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4.xml.rels" ContentType="application/vnd.openxmlformats-package.relationships+xml"/>
  <Override PartName="/xl/worksheets/_rels/sheet10.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9.xml.rels" ContentType="application/vnd.openxmlformats-package.relationships+xml"/>
  <Override PartName="/xl/worksheets/_rels/sheet5.xml.rels" ContentType="application/vnd.openxmlformats-package.relationships+xml"/>
  <Override PartName="/xl/worksheets/_rels/sheet1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7.xml" ContentType="application/vnd.openxmlformats-officedocument.drawing+xml"/>
  <Override PartName="/xl/drawings/drawing11.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w_To_Use" sheetId="1" state="visible" r:id="rId3"/>
    <sheet name="Dashboard" sheetId="2" state="visible" r:id="rId4"/>
    <sheet name="Levels_Detail" sheetId="3" state="visible" r:id="rId5"/>
    <sheet name="Year 1" sheetId="4" state="visible" r:id="rId6"/>
    <sheet name="Year 2" sheetId="5" state="visible" r:id="rId7"/>
    <sheet name="Year 3" sheetId="6" state="visible" r:id="rId8"/>
    <sheet name="Year 4" sheetId="7" state="visible" r:id="rId9"/>
    <sheet name="Year 5" sheetId="8" state="visible" r:id="rId10"/>
    <sheet name="Year 6" sheetId="9" state="visible" r:id="rId11"/>
    <sheet name="Year 7" sheetId="10" state="visible" r:id="rId12"/>
    <sheet name="Year 8" sheetId="11" state="visible" r:id="rId13"/>
    <sheet name="Year 9" sheetId="12" state="visible" r:id="rId14"/>
    <sheet name="Year 10" sheetId="13" state="visible" r:id="rId15"/>
    <sheet name="Lists" sheetId="14" state="visible" r:id="rId16"/>
  </sheets>
  <definedNames>
    <definedName function="false" hidden="false" localSheetId="3" name="_xlnm.Print_Titles" vbProcedure="false">'Year 1'!$4:$5</definedName>
    <definedName function="false" hidden="true" localSheetId="3" name="_xlnm._FilterDatabase" vbProcedure="false">'Year 1'!$A$5:$AP$305</definedName>
    <definedName function="false" hidden="false" localSheetId="12" name="_xlnm.Print_Titles" vbProcedure="false">'Year 10'!$4:$5</definedName>
    <definedName function="false" hidden="true" localSheetId="12" name="_xlnm._FilterDatabase" vbProcedure="false">'Year 10'!$A$5:$AP$305</definedName>
    <definedName function="false" hidden="false" localSheetId="4" name="_xlnm.Print_Titles" vbProcedure="false">'Year 2'!$4:$5</definedName>
    <definedName function="false" hidden="true" localSheetId="4" name="_xlnm._FilterDatabase" vbProcedure="false">'Year 2'!$A$5:$AP$305</definedName>
    <definedName function="false" hidden="false" localSheetId="5" name="_xlnm.Print_Titles" vbProcedure="false">'Year 3'!$4:$5</definedName>
    <definedName function="false" hidden="true" localSheetId="5" name="_xlnm._FilterDatabase" vbProcedure="false">'Year 3'!$A$5:$AP$305</definedName>
    <definedName function="false" hidden="false" localSheetId="6" name="_xlnm.Print_Titles" vbProcedure="false">'Year 4'!$4:$5</definedName>
    <definedName function="false" hidden="true" localSheetId="6" name="_xlnm._FilterDatabase" vbProcedure="false">'Year 4'!$A$5:$AP$305</definedName>
    <definedName function="false" hidden="false" localSheetId="7" name="_xlnm.Print_Titles" vbProcedure="false">'Year 5'!$4:$5</definedName>
    <definedName function="false" hidden="true" localSheetId="7" name="_xlnm._FilterDatabase" vbProcedure="false">'Year 5'!$A$5:$AP$305</definedName>
    <definedName function="false" hidden="false" localSheetId="8" name="_xlnm.Print_Titles" vbProcedure="false">'Year 6'!$4:$5</definedName>
    <definedName function="false" hidden="true" localSheetId="8" name="_xlnm._FilterDatabase" vbProcedure="false">'Year 6'!$A$5:$AP$305</definedName>
    <definedName function="false" hidden="false" localSheetId="9" name="_xlnm.Print_Titles" vbProcedure="false">'Year 7'!$4:$5</definedName>
    <definedName function="false" hidden="true" localSheetId="9" name="_xlnm._FilterDatabase" vbProcedure="false">'Year 7'!$A$5:$AP$305</definedName>
    <definedName function="false" hidden="false" localSheetId="10" name="_xlnm.Print_Titles" vbProcedure="false">'Year 8'!$4:$5</definedName>
    <definedName function="false" hidden="true" localSheetId="10" name="_xlnm._FilterDatabase" vbProcedure="false">'Year 8'!$A$5:$AP$305</definedName>
    <definedName function="false" hidden="false" localSheetId="11" name="_xlnm.Print_Titles" vbProcedure="false">'Year 9'!$4:$5</definedName>
    <definedName function="false" hidden="true" localSheetId="11" name="_xlnm._FilterDatabase" vbProcedure="false">'Year 9'!$A$5:$AP$305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<sst xmlns="http://schemas.openxmlformats.org/spreadsheetml/2006/main" count="2185" uniqueCount="497">
  <si>
    <t xml:space="preserve">Admissions tracker, Years 1 to 10</t>
  </si>
  <si>
    <t xml:space="preserve">For the admission assessments of pack v3.1. One workbook for the whole admissions team.</t>
  </si>
  <si>
    <t xml:space="preserve">DEMO COPY: every candidate, number and score is fictional and for illustration only. Two rows are left incomplete on purpose so that you can see the Data check working. Demo bands are not worked out from the real band guides. Use Admissions_Tracker_v3.1.xlsx for real candidates.</t>
  </si>
  <si>
    <t xml:space="preserve">What it does</t>
  </si>
  <si>
    <t xml:space="preserve">Each year group has its own sheet (Year 1 to Year 10) with one row for each candidate. The Dashboard and Levels_Detail sheets count those rows and show where candidates are in the process, their English, maths and science levels, decisions, offers and support needs. You only ever type on the Year sheets.</t>
  </si>
  <si>
    <t xml:space="preserve">Using it, step by step</t>
  </si>
  <si>
    <t xml:space="preserve">1. Go to the sheet for the year group the candidate has applied for. Type the candidate on the next empty row (rows 6 to 305).</t>
  </si>
  <si>
    <t xml:space="preserve">2. Type in the white cells with blue text, from left to right, as the process moves on. Use the drop-downs. The sheet will not accept a score above the maximum shown in row 3.</t>
  </si>
  <si>
    <t xml:space="preserve">3. Change the Status each time the candidate reaches the next stage (status table below). A candidate who is assessed but not yet decided stays at Assessed.</t>
  </si>
  <si>
    <t xml:space="preserve">4. After the head of section has confirmed the decision: enter the recommendation, the support level and the dates from the final mark sheet, then set the status to Decision confirmed.</t>
  </si>
  <si>
    <t xml:space="preserve">5. Check the Data check column. OK means the row is complete for its status. Anything else says what is missing. The Dashboard shows how many rows need checking.</t>
  </si>
  <si>
    <t xml:space="preserve">6. Look at the Dashboard and Levels_Detail whenever you want the picture. They update by themselves; do not type on them.</t>
  </si>
  <si>
    <t xml:space="preserve">7. Save the workbook in the secure admissions folder. Keep a dated copy at the end of each admissions round.</t>
  </si>
  <si>
    <t xml:space="preserve">Colour key</t>
  </si>
  <si>
    <t xml:space="preserve">Blue text on white</t>
  </si>
  <si>
    <t xml:space="preserve">Type here.</t>
  </si>
  <si>
    <t xml:space="preserve">Yellow, blue text, row 3</t>
  </si>
  <si>
    <t xml:space="preserve">The maximum mark from the grading sheet for that year group. Change only if the grading sheet changes.</t>
  </si>
  <si>
    <t xml:space="preserve">Grey</t>
  </si>
  <si>
    <t xml:space="preserve">Not used in this year group (for example the reading paper in Years 1 to 3).</t>
  </si>
  <si>
    <t xml:space="preserve">Blue-grey, black text</t>
  </si>
  <si>
    <t xml:space="preserve">Calculated. Do not type.</t>
  </si>
  <si>
    <t xml:space="preserve">Red in Data check</t>
  </si>
  <si>
    <t xml:space="preserve">The row is incomplete for its status. Fix it.</t>
  </si>
  <si>
    <t xml:space="preserve">Band colours</t>
  </si>
  <si>
    <t xml:space="preserve">Orange and red tints mark the lower bands, green tints the higher bands, so that a row can be read at a glance.</t>
  </si>
  <si>
    <t xml:space="preserve">Status: what each stage means</t>
  </si>
  <si>
    <t xml:space="preserve">Applied</t>
  </si>
  <si>
    <t xml:space="preserve">Application received. No visit date yet.</t>
  </si>
  <si>
    <t xml:space="preserve">Visit booked</t>
  </si>
  <si>
    <t xml:space="preserve">Assessment visit arranged.</t>
  </si>
  <si>
    <t xml:space="preserve">Assessed</t>
  </si>
  <si>
    <t xml:space="preserve">The visit is done and the papers are marked. Waiting for the decision.</t>
  </si>
  <si>
    <t xml:space="preserve">Decision confirmed</t>
  </si>
  <si>
    <t xml:space="preserve">The head of section has confirmed the recommendation. The family has not been told yet.</t>
  </si>
  <si>
    <t xml:space="preserve">Family told</t>
  </si>
  <si>
    <t xml:space="preserve">The family has been told the outcome and given the assessment result and report.</t>
  </si>
  <si>
    <t xml:space="preserve">Enrolled</t>
  </si>
  <si>
    <t xml:space="preserve">An offer has been accepted and the student is joining.</t>
  </si>
  <si>
    <t xml:space="preserve">Withdrawn</t>
  </si>
  <si>
    <t xml:space="preserve">The family has withdrawn the application, or the school has closed it.</t>
  </si>
  <si>
    <t xml:space="preserve">Bands and ratings (full guide: 00_Admissions_Guide.md and each year's grading sheet)</t>
  </si>
  <si>
    <t xml:space="preserve">English, A to E</t>
  </si>
  <si>
    <t xml:space="preserve">A New to English, B Early acquisition, C Developing competence, D Competent, E Fluent.</t>
  </si>
  <si>
    <t xml:space="preserve">Maths and science, 1 to 4</t>
  </si>
  <si>
    <t xml:space="preserve">1 Well below expected, 2 Working towards, 3 Expected, 4 Greater depth.</t>
  </si>
  <si>
    <t xml:space="preserve">Suitability, 1 to 4</t>
  </si>
  <si>
    <t xml:space="preserve">1 Concern, 2 Some concern, 3 Good, 4 Strong. Enter the lowest rating.</t>
  </si>
  <si>
    <t xml:space="preserve">Recommendation</t>
  </si>
  <si>
    <t xml:space="preserve">Offer; Offer with English support; Offer with a learning plan; Further assessment before a decision; Unable to offer at this time.</t>
  </si>
  <si>
    <t xml:space="preserve">Column guide, with an example for a fictional Year 5 candidate</t>
  </si>
  <si>
    <t xml:space="preserve">Column</t>
  </si>
  <si>
    <t xml:space="preserve">Example</t>
  </si>
  <si>
    <t xml:space="preserve">What to enter</t>
  </si>
  <si>
    <t xml:space="preserve">Where it comes from</t>
  </si>
  <si>
    <t xml:space="preserve">Candidate number</t>
  </si>
  <si>
    <t xml:space="preserve">E05-0001</t>
  </si>
  <si>
    <t xml:space="preserve">The number the school gives the candidate. Use it as the main identifier if the file is shared.</t>
  </si>
  <si>
    <t xml:space="preserve">Final mark sheet, top</t>
  </si>
  <si>
    <t xml:space="preserve">Name (or initials)</t>
  </si>
  <si>
    <t xml:space="preserve">Example Child</t>
  </si>
  <si>
    <t xml:space="preserve">Name or initials, as the school's data policy allows.</t>
  </si>
  <si>
    <t xml:space="preserve">Date of birth</t>
  </si>
  <si>
    <t xml:space="preserve">14/03/2016</t>
  </si>
  <si>
    <t xml:space="preserve">Date of birth, day first. Used for age at assessment and the reading age gap.</t>
  </si>
  <si>
    <t xml:space="preserve">Current school</t>
  </si>
  <si>
    <t xml:space="preserve">Example Bilingual School</t>
  </si>
  <si>
    <t xml:space="preserve">The school the student attends now.</t>
  </si>
  <si>
    <t xml:space="preserve">Boarding (Y/N)</t>
  </si>
  <si>
    <t xml:space="preserve">N</t>
  </si>
  <si>
    <t xml:space="preserve">Y if the family has applied for boarding, otherwise N.</t>
  </si>
  <si>
    <t xml:space="preserve">Application form</t>
  </si>
  <si>
    <t xml:space="preserve">Date applied</t>
  </si>
  <si>
    <t xml:space="preserve">01/09/2026</t>
  </si>
  <si>
    <t xml:space="preserve">The day the application was received.</t>
  </si>
  <si>
    <t xml:space="preserve">Admissions record</t>
  </si>
  <si>
    <t xml:space="preserve">Date assessed</t>
  </si>
  <si>
    <t xml:space="preserve">12/10/2026</t>
  </si>
  <si>
    <t xml:space="preserve">The day of the assessment visit.</t>
  </si>
  <si>
    <t xml:space="preserve">Assessor (initials)</t>
  </si>
  <si>
    <t xml:space="preserve">AB</t>
  </si>
  <si>
    <t xml:space="preserve">Initials of the assessor.</t>
  </si>
  <si>
    <t xml:space="preserve">Grading sheet</t>
  </si>
  <si>
    <t xml:space="preserve">Paper version sat</t>
  </si>
  <si>
    <t xml:space="preserve">v3.1</t>
  </si>
  <si>
    <t xml:space="preserve">The paper version sat, printed on the front page of the student paper.</t>
  </si>
  <si>
    <t xml:space="preserve">Status</t>
  </si>
  <si>
    <t xml:space="preserve">Choose from the list. Move the candidate on as each stage is reached (see the status table below).</t>
  </si>
  <si>
    <t xml:space="preserve">Listening score</t>
  </si>
  <si>
    <t xml:space="preserve">6</t>
  </si>
  <si>
    <t xml:space="preserve">Total listening score. The sheet will not accept more than the maximum in row 3.</t>
  </si>
  <si>
    <t xml:space="preserve">Listening band</t>
  </si>
  <si>
    <t xml:space="preserve">C</t>
  </si>
  <si>
    <t xml:space="preserve">Listening band A to E.</t>
  </si>
  <si>
    <t xml:space="preserve">Grading sheet; final mark sheet, Section 1</t>
  </si>
  <si>
    <t xml:space="preserve">Speaking band</t>
  </si>
  <si>
    <t xml:space="preserve">Speaking band A to E.</t>
  </si>
  <si>
    <t xml:space="preserve">Interview sheet; final mark sheet, Section 1</t>
  </si>
  <si>
    <t xml:space="preserve">Early Reading Screen book band (Years 1 to 3)</t>
  </si>
  <si>
    <t xml:space="preserve">Yellow</t>
  </si>
  <si>
    <t xml:space="preserve">Years 1 to 3 only: the book band reached on the Early Reading Screen.</t>
  </si>
  <si>
    <t xml:space="preserve">Reading front sheet</t>
  </si>
  <si>
    <t xml:space="preserve">Reading paper score (Years 4 to 10)</t>
  </si>
  <si>
    <t xml:space="preserve">15</t>
  </si>
  <si>
    <t xml:space="preserve">Years 4 to 10 only: reading paper score.</t>
  </si>
  <si>
    <t xml:space="preserve">Reading front sheet; grading sheet</t>
  </si>
  <si>
    <t xml:space="preserve">Reading band</t>
  </si>
  <si>
    <t xml:space="preserve">Reading band A to E.</t>
  </si>
  <si>
    <t xml:space="preserve">Final mark sheet, Section 1</t>
  </si>
  <si>
    <t xml:space="preserve">Sentence reading points (of 72)</t>
  </si>
  <si>
    <t xml:space="preserve">34</t>
  </si>
  <si>
    <t xml:space="preserve">Total sentence reading points out of 72.</t>
  </si>
  <si>
    <t xml:space="preserve">Reading front sheet, Part 3</t>
  </si>
  <si>
    <t xml:space="preserve">Reading age (calculated)</t>
  </si>
  <si>
    <t xml:space="preserve">10:08</t>
  </si>
  <si>
    <t xml:space="preserve">Calculated from the points: 5:00 plus 2 months for each point. Do not type.</t>
  </si>
  <si>
    <t xml:space="preserve">Calculated</t>
  </si>
  <si>
    <t xml:space="preserve">Reading aloud band (indicative)</t>
  </si>
  <si>
    <t xml:space="preserve">D</t>
  </si>
  <si>
    <t xml:space="preserve">Reading aloud band A to E (indicative).</t>
  </si>
  <si>
    <t xml:space="preserve">Writing score</t>
  </si>
  <si>
    <t xml:space="preserve">10</t>
  </si>
  <si>
    <t xml:space="preserve">Total writing score out of 16.</t>
  </si>
  <si>
    <t xml:space="preserve">Writing band</t>
  </si>
  <si>
    <t xml:space="preserve">Writing band A to E.</t>
  </si>
  <si>
    <t xml:space="preserve">Overall English band</t>
  </si>
  <si>
    <t xml:space="preserve">Overall English band A to E.</t>
  </si>
  <si>
    <t xml:space="preserve">Maths score</t>
  </si>
  <si>
    <t xml:space="preserve">17</t>
  </si>
  <si>
    <t xml:space="preserve">Total maths score.</t>
  </si>
  <si>
    <t xml:space="preserve">Maths band (1 to 4)</t>
  </si>
  <si>
    <t xml:space="preserve">3</t>
  </si>
  <si>
    <t xml:space="preserve">Maths band 1 to 4.</t>
  </si>
  <si>
    <t xml:space="preserve">Grading sheet; final mark sheet, Section 2</t>
  </si>
  <si>
    <t xml:space="preserve">Maths word problems score</t>
  </si>
  <si>
    <t xml:space="preserve">Score on the word problems only (the sub-score on the grading sheet).</t>
  </si>
  <si>
    <t xml:space="preserve">English barrier in maths?</t>
  </si>
  <si>
    <t xml:space="preserve">No</t>
  </si>
  <si>
    <t xml:space="preserve">Yes, No or Unsure: is poor English the likely reason for a weaker word problem score?</t>
  </si>
  <si>
    <t xml:space="preserve">Science score</t>
  </si>
  <si>
    <t xml:space="preserve">Years 5 to 10 only: science score out of 10.</t>
  </si>
  <si>
    <t xml:space="preserve">Science band (1 to 4)</t>
  </si>
  <si>
    <t xml:space="preserve">Years 5 to 10 only: science band 1 to 4.</t>
  </si>
  <si>
    <t xml:space="preserve">Lowest suitability rating (1 to 4)</t>
  </si>
  <si>
    <t xml:space="preserve">The lowest of the strand ratings on the Interview sheet (1 Concern, 2 Some concern, 3 Good, 4 Strong).</t>
  </si>
  <si>
    <t xml:space="preserve">Interview sheet; final mark sheet, Section 3</t>
  </si>
  <si>
    <t xml:space="preserve">Learning needs follow-up (Y)</t>
  </si>
  <si>
    <t xml:space="preserve">Y if the final mark sheet records a follow-up on learning needs. Record Y only: no detail here.</t>
  </si>
  <si>
    <t xml:space="preserve">Final mark sheet, Section 3</t>
  </si>
  <si>
    <t xml:space="preserve">Wellbeing follow-up (Y)</t>
  </si>
  <si>
    <t xml:space="preserve">Y if a wellbeing follow-up is recorded. Y only: no detail here.</t>
  </si>
  <si>
    <t xml:space="preserve">Safeguarding referral made (Y)</t>
  </si>
  <si>
    <t xml:space="preserve">Y if a safeguarding referral has been made. Y only: the detail belongs in the safeguarding file, never here.</t>
  </si>
  <si>
    <t xml:space="preserve">Offer with English support</t>
  </si>
  <si>
    <t xml:space="preserve">Choose one of the five recommendations.</t>
  </si>
  <si>
    <t xml:space="preserve">Final mark sheet, Section 4</t>
  </si>
  <si>
    <t xml:space="preserve">English support level</t>
  </si>
  <si>
    <t xml:space="preserve">In-class support and monitoring</t>
  </si>
  <si>
    <t xml:space="preserve">Choose the English support level (offers only).</t>
  </si>
  <si>
    <t xml:space="preserve">Final mark sheet, Section 5</t>
  </si>
  <si>
    <t xml:space="preserve">Date decision confirmed</t>
  </si>
  <si>
    <t xml:space="preserve">14/10/2026</t>
  </si>
  <si>
    <t xml:space="preserve">The day the head of section confirmed the decision.</t>
  </si>
  <si>
    <t xml:space="preserve">Final mark sheet, sign-off</t>
  </si>
  <si>
    <t xml:space="preserve">Date family told</t>
  </si>
  <si>
    <t xml:space="preserve">15/10/2026</t>
  </si>
  <si>
    <t xml:space="preserve">The day the family was told the outcome.</t>
  </si>
  <si>
    <t xml:space="preserve">Date result and report given</t>
  </si>
  <si>
    <t xml:space="preserve">The day the assessment result and report was given with the marked papers.</t>
  </si>
  <si>
    <t xml:space="preserve">Final mark sheet, filing line</t>
  </si>
  <si>
    <t xml:space="preserve">Notes (no sensitive detail)</t>
  </si>
  <si>
    <t xml:space="preserve">Parents asked about boarding in term 2.</t>
  </si>
  <si>
    <t xml:space="preserve">Short practical notes only. No medical, safeguarding or family detail.</t>
  </si>
  <si>
    <t xml:space="preserve">Age at assessment (months)</t>
  </si>
  <si>
    <t xml:space="preserve">103</t>
  </si>
  <si>
    <t xml:space="preserve">Calculated from date of birth and date assessed. Do not type.</t>
  </si>
  <si>
    <t xml:space="preserve">Reading age minus age (months)</t>
  </si>
  <si>
    <t xml:space="preserve">-6</t>
  </si>
  <si>
    <t xml:space="preserve">Calculated: reading age minus age, in months. Negative means below age. Do not type.</t>
  </si>
  <si>
    <t xml:space="preserve">Days from assessment to family told</t>
  </si>
  <si>
    <t xml:space="preserve">Calculated: days from assessment to telling the family. Do not type.</t>
  </si>
  <si>
    <t xml:space="preserve">Data check</t>
  </si>
  <si>
    <t xml:space="preserve">OK</t>
  </si>
  <si>
    <t xml:space="preserve">Calculated. Shows what is missing, for example Band missing. Fix it on the Year sheet until it says OK.</t>
  </si>
  <si>
    <t xml:space="preserve">More than 300 rows in a year group</t>
  </si>
  <si>
    <t xml:space="preserve">Select row 305 on that Year sheet, copy it, select the rows below and paste. The formulas, drop-downs and colours come with it. The Dashboard counts down to row 1005.</t>
  </si>
  <si>
    <t xml:space="preserve">Personal data: please read</t>
  </si>
  <si>
    <t xml:space="preserve">This workbook holds personal data about children. Keep it in the secure admissions folder, share it only with the admissions team and the heads of section, and follow the school's data protection policy for how long it is kept. If you must send it, send the candidate number rather than the name. Do not type medical, safeguarding or family details in the Notes column: record Y in the follow-up columns and keep the detail in the candidate's secure file. When a year group has only a few candidates, take care before sharing percentages outside the team.</t>
  </si>
  <si>
    <t xml:space="preserve">If something looks wrong</t>
  </si>
  <si>
    <t xml:space="preserve">A drop-down will not accept my entry: use the list. A score is refused: it is above the maximum in row 3, or it is not a whole number. A Dashboard figure looks too low: check the Status and Data check columns on the Year sheet. Never delete a row to remove a candidate: set the status to Withdrawn, so that the history stays.</t>
  </si>
  <si>
    <t xml:space="preserve">Admissions dashboard, Years 1 to 10</t>
  </si>
  <si>
    <t xml:space="preserve">Assessment pack v3.1. Every figure is counted from the Year 1 to Year 10 sheets and updates by itself. Do not type on this sheet.</t>
  </si>
  <si>
    <t xml:space="preserve">DEMO COPY: every candidate, number and score here is fictional, to show how the dashboard reads.</t>
  </si>
  <si>
    <t xml:space="preserve">CANDIDATES ON FILE</t>
  </si>
  <si>
    <t xml:space="preserve">ASSESSED OR LATER</t>
  </si>
  <si>
    <t xml:space="preserve">DECISIONS CONFIRMED</t>
  </si>
  <si>
    <t xml:space="preserve">OFFERS MADE</t>
  </si>
  <si>
    <t xml:space="preserve">OFFER RATE</t>
  </si>
  <si>
    <t xml:space="preserve">FAMILIES NOT YET TOLD</t>
  </si>
  <si>
    <t xml:space="preserve">DAYS TO TELL THE FAMILY</t>
  </si>
  <si>
    <t xml:space="preserve">ROWS TO CHECK</t>
  </si>
  <si>
    <t xml:space="preserve">1. Where candidates are in the process</t>
  </si>
  <si>
    <t xml:space="preserve">Status is chosen on each Year sheet. 'No status' means a row has a name or number but no status yet.</t>
  </si>
  <si>
    <t xml:space="preserve">Year group</t>
  </si>
  <si>
    <t xml:space="preserve">No status</t>
  </si>
  <si>
    <t xml:space="preserve">Total</t>
  </si>
  <si>
    <t xml:space="preserve">Rows to check</t>
  </si>
  <si>
    <t xml:space="preserve">Year 1</t>
  </si>
  <si>
    <t xml:space="preserve">Year 2</t>
  </si>
  <si>
    <t xml:space="preserve">Year 3</t>
  </si>
  <si>
    <t xml:space="preserve">Year 4</t>
  </si>
  <si>
    <t xml:space="preserve">Year 5</t>
  </si>
  <si>
    <t xml:space="preserve">Year 6</t>
  </si>
  <si>
    <t xml:space="preserve">Year 7</t>
  </si>
  <si>
    <t xml:space="preserve">Year 8</t>
  </si>
  <si>
    <t xml:space="preserve">Year 9</t>
  </si>
  <si>
    <t xml:space="preserve">Year 10</t>
  </si>
  <si>
    <t xml:space="preserve">All years</t>
  </si>
  <si>
    <t xml:space="preserve">2. Overall English band</t>
  </si>
  <si>
    <t xml:space="preserve">A New to English, B Early acquisition, C Developing competence, D Competent, E Fluent. Counts every candidate with a band entered.</t>
  </si>
  <si>
    <t xml:space="preserve">A</t>
  </si>
  <si>
    <t xml:space="preserve">B</t>
  </si>
  <si>
    <t xml:space="preserve">E</t>
  </si>
  <si>
    <t xml:space="preserve">Banded</t>
  </si>
  <si>
    <t xml:space="preserve">A or B (share)</t>
  </si>
  <si>
    <t xml:space="preserve">D or E (share)</t>
  </si>
  <si>
    <t xml:space="preserve">3. Decisions and offers</t>
  </si>
  <si>
    <t xml:space="preserve">Counts candidates whose status is Decision confirmed, Family told or Enrolled. Offer rate is the three kinds of offer divided by decisions confirmed.</t>
  </si>
  <si>
    <t xml:space="preserve">Decisions confirmed</t>
  </si>
  <si>
    <t xml:space="preserve">Offer</t>
  </si>
  <si>
    <t xml:space="preserve">Offer with a learning plan</t>
  </si>
  <si>
    <t xml:space="preserve">Further assessment before a decision</t>
  </si>
  <si>
    <t xml:space="preserve">Unable to offer at this time</t>
  </si>
  <si>
    <t xml:space="preserve">Offer rate</t>
  </si>
  <si>
    <t xml:space="preserve">Assessed, no decision yet</t>
  </si>
  <si>
    <t xml:space="preserve">Decided, family not yet told</t>
  </si>
  <si>
    <t xml:space="preserve">4. Maths band</t>
  </si>
  <si>
    <t xml:space="preserve">1 Well below expected, 2 Working towards, 3 Expected, 4 Greater depth (Years 7 to 10: boundaries are lower, the papers are harder). 'English barrier' counts the Yes answers.</t>
  </si>
  <si>
    <t xml:space="preserve">3 or 4 (share)</t>
  </si>
  <si>
    <t xml:space="preserve">English barrier: Yes</t>
  </si>
  <si>
    <t xml:space="preserve">5. Science band (Years 5 to 10)</t>
  </si>
  <si>
    <t xml:space="preserve">6. Sentence reading and reading age</t>
  </si>
  <si>
    <t xml:space="preserve">Reading age = 5:00 plus 2 months for each point (Sentence Reading Guide, Section 6). The gap is reading age minus actual age at assessment. Indicative only; in Years 1 and 2 use as supporting evidence.</t>
  </si>
  <si>
    <t xml:space="preserve">Students with a score</t>
  </si>
  <si>
    <t xml:space="preserve">Average points (of 72)</t>
  </si>
  <si>
    <t xml:space="preserve">Average gap (months)</t>
  </si>
  <si>
    <t xml:space="preserve">12 or more months below age</t>
  </si>
  <si>
    <t xml:space="preserve">1 to 11 months below age</t>
  </si>
  <si>
    <t xml:space="preserve">At or above age</t>
  </si>
  <si>
    <t xml:space="preserve">7. Support recommended and follow-ups</t>
  </si>
  <si>
    <t xml:space="preserve">Support level is counted from the Support column. Follow-ups are counts only: details stay in the secure candidate file.</t>
  </si>
  <si>
    <t xml:space="preserve">Intensive (new to English)</t>
  </si>
  <si>
    <t xml:space="preserve">Timetabled support lessons</t>
  </si>
  <si>
    <t xml:space="preserve">None needed</t>
  </si>
  <si>
    <t xml:space="preserve">Learning needs follow-up</t>
  </si>
  <si>
    <t xml:space="preserve">Wellbeing follow-up</t>
  </si>
  <si>
    <t xml:space="preserve">Safeguarding referral made</t>
  </si>
  <si>
    <t xml:space="preserve">Suitability rated 1 (concern)</t>
  </si>
  <si>
    <t xml:space="preserve">Boarding applicants</t>
  </si>
  <si>
    <t xml:space="preserve">How the figures are worked out</t>
  </si>
  <si>
    <t xml:space="preserve">Assessed or later = status Assessed, Decision confirmed, Family told or Enrolled. Decisions confirmed = Decision confirmed, Family told or Enrolled.</t>
  </si>
  <si>
    <t xml:space="preserve">Bands and scores are counted as entered. The tracker does not work out bands from scores: a band is a professional judgement on the grading sheet and final mark sheet.</t>
  </si>
  <si>
    <t xml:space="preserve">Rows to check are rows whose Data check column on the Year sheet is not OK. Fix them there; this number then falls.</t>
  </si>
  <si>
    <t xml:space="preserve">The Dashboard counts rows 6 to 1005 of each Year sheet. Rows 6 to 305 are ready to use; to go further, copy row 305 down (see How_To_Use).</t>
  </si>
  <si>
    <t xml:space="preserve">Small numbers: with only a few candidates in a year group a percentage can mislead. Read the counts as well.</t>
  </si>
  <si>
    <t xml:space="preserve">Levels in detail, Years 1 to 10</t>
  </si>
  <si>
    <t xml:space="preserve">Each English skill by year group, and average scores. Counted from the Year sheets; do not type on this sheet.</t>
  </si>
  <si>
    <t xml:space="preserve">Share of candidates banded D or E, by skill</t>
  </si>
  <si>
    <t xml:space="preserve">Listening</t>
  </si>
  <si>
    <t xml:space="preserve">Speaking</t>
  </si>
  <si>
    <t xml:space="preserve">Reading</t>
  </si>
  <si>
    <t xml:space="preserve">Reading aloud (indicative)</t>
  </si>
  <si>
    <t xml:space="preserve">Writing</t>
  </si>
  <si>
    <t xml:space="preserve">Overall English</t>
  </si>
  <si>
    <t xml:space="preserve">Share of candidates banded A or B, by skill (the students who will need most English support)</t>
  </si>
  <si>
    <t xml:space="preserve">Average score as a percentage of the maximum</t>
  </si>
  <si>
    <t xml:space="preserve">Reading paper</t>
  </si>
  <si>
    <t xml:space="preserve">Maths</t>
  </si>
  <si>
    <t xml:space="preserve">Science</t>
  </si>
  <si>
    <t xml:space="preserve">n/a</t>
  </si>
  <si>
    <t xml:space="preserve">Listening band, counts</t>
  </si>
  <si>
    <t xml:space="preserve">Speaking band, counts</t>
  </si>
  <si>
    <t xml:space="preserve">Reading band, counts</t>
  </si>
  <si>
    <t xml:space="preserve">Reading aloud (indicative) band, counts</t>
  </si>
  <si>
    <t xml:space="preserve">Writing band, counts</t>
  </si>
  <si>
    <t xml:space="preserve">Year 1 admissions tracker</t>
  </si>
  <si>
    <t xml:space="preserve">One row per candidate. Type in the white cells (blue text). Grey columns are not used in this year group. Blue-grey columns are calculated: do not type in them. Instructions: sheet How_To_Use.</t>
  </si>
  <si>
    <t xml:space="preserve">Maximum mark (Year 1 grading sheet)</t>
  </si>
  <si>
    <t xml:space="preserve">not used</t>
  </si>
  <si>
    <t xml:space="preserve">Candidate</t>
  </si>
  <si>
    <t xml:space="preserve">Visit and status</t>
  </si>
  <si>
    <t xml:space="preserve">English</t>
  </si>
  <si>
    <t xml:space="preserve">Maths and science</t>
  </si>
  <si>
    <t xml:space="preserve">Interview and follow-up</t>
  </si>
  <si>
    <t xml:space="preserve">Decision and family</t>
  </si>
  <si>
    <t xml:space="preserve">Calculated: do not type</t>
  </si>
  <si>
    <t xml:space="preserve">D01-001</t>
  </si>
  <si>
    <t xml:space="preserve">Demo candidate Y01-01</t>
  </si>
  <si>
    <t xml:space="preserve">Demo Bilingual School</t>
  </si>
  <si>
    <t xml:space="preserve">EF</t>
  </si>
  <si>
    <t xml:space="preserve">Pink</t>
  </si>
  <si>
    <t xml:space="preserve">D01-002</t>
  </si>
  <si>
    <t xml:space="preserve">Demo candidate Y01-02</t>
  </si>
  <si>
    <t xml:space="preserve">Demo International Kindergarten</t>
  </si>
  <si>
    <t xml:space="preserve">Red</t>
  </si>
  <si>
    <t xml:space="preserve">D01-003</t>
  </si>
  <si>
    <t xml:space="preserve">Demo candidate Y01-03</t>
  </si>
  <si>
    <t xml:space="preserve">Demo Local Primary</t>
  </si>
  <si>
    <t xml:space="preserve">Not yet Pink</t>
  </si>
  <si>
    <t xml:space="preserve">D01-004</t>
  </si>
  <si>
    <t xml:space="preserve">Demo candidate Y01-04</t>
  </si>
  <si>
    <t xml:space="preserve">Y</t>
  </si>
  <si>
    <t xml:space="preserve">D01-005</t>
  </si>
  <si>
    <t xml:space="preserve">Demo candidate Y01-05</t>
  </si>
  <si>
    <t xml:space="preserve">CD</t>
  </si>
  <si>
    <t xml:space="preserve">Demo note: parents asked about the boarding timetable.</t>
  </si>
  <si>
    <t xml:space="preserve">D01-006</t>
  </si>
  <si>
    <t xml:space="preserve">Demo candidate Y01-06</t>
  </si>
  <si>
    <t xml:space="preserve">Year 2 admissions tracker</t>
  </si>
  <si>
    <t xml:space="preserve">Maximum mark (Year 2 grading sheet)</t>
  </si>
  <si>
    <t xml:space="preserve">D02-001</t>
  </si>
  <si>
    <t xml:space="preserve">Demo candidate Y02-01</t>
  </si>
  <si>
    <t xml:space="preserve">D02-002</t>
  </si>
  <si>
    <t xml:space="preserve">Demo candidate Y02-02</t>
  </si>
  <si>
    <t xml:space="preserve">Light Blue</t>
  </si>
  <si>
    <t xml:space="preserve">D02-003</t>
  </si>
  <si>
    <t xml:space="preserve">Demo candidate Y02-03</t>
  </si>
  <si>
    <t xml:space="preserve">D02-004</t>
  </si>
  <si>
    <t xml:space="preserve">Demo candidate Y02-04</t>
  </si>
  <si>
    <t xml:space="preserve">D02-005</t>
  </si>
  <si>
    <t xml:space="preserve">Demo candidate Y02-05</t>
  </si>
  <si>
    <t xml:space="preserve">D02-006</t>
  </si>
  <si>
    <t xml:space="preserve">Demo candidate Y02-06</t>
  </si>
  <si>
    <t xml:space="preserve">Family chose another school.</t>
  </si>
  <si>
    <t xml:space="preserve">D02-007</t>
  </si>
  <si>
    <t xml:space="preserve">Demo candidate Y02-07</t>
  </si>
  <si>
    <t xml:space="preserve">Year 3 admissions tracker</t>
  </si>
  <si>
    <t xml:space="preserve">Maximum mark (Year 3 grading sheet)</t>
  </si>
  <si>
    <t xml:space="preserve">D03-001</t>
  </si>
  <si>
    <t xml:space="preserve">Demo candidate Y03-01</t>
  </si>
  <si>
    <t xml:space="preserve">Green</t>
  </si>
  <si>
    <t xml:space="preserve">D03-002</t>
  </si>
  <si>
    <t xml:space="preserve">Demo candidate Y03-02</t>
  </si>
  <si>
    <t xml:space="preserve">D03-003</t>
  </si>
  <si>
    <t xml:space="preserve">Demo candidate Y03-03</t>
  </si>
  <si>
    <t xml:space="preserve">D03-004</t>
  </si>
  <si>
    <t xml:space="preserve">Demo candidate Y03-04</t>
  </si>
  <si>
    <t xml:space="preserve">D03-005</t>
  </si>
  <si>
    <t xml:space="preserve">Demo candidate Y03-05</t>
  </si>
  <si>
    <t xml:space="preserve">D03-006</t>
  </si>
  <si>
    <t xml:space="preserve">Demo candidate Y03-06</t>
  </si>
  <si>
    <t xml:space="preserve">D03-007</t>
  </si>
  <si>
    <t xml:space="preserve">Demo candidate Y03-07</t>
  </si>
  <si>
    <t xml:space="preserve">D03-008</t>
  </si>
  <si>
    <t xml:space="preserve">Demo candidate Y03-08</t>
  </si>
  <si>
    <t xml:space="preserve">Year 4 admissions tracker</t>
  </si>
  <si>
    <t xml:space="preserve">Maximum mark (Year 4 grading sheet)</t>
  </si>
  <si>
    <t xml:space="preserve">D04-001</t>
  </si>
  <si>
    <t xml:space="preserve">Demo candidate Y04-01</t>
  </si>
  <si>
    <t xml:space="preserve">D04-002</t>
  </si>
  <si>
    <t xml:space="preserve">Demo candidate Y04-02</t>
  </si>
  <si>
    <t xml:space="preserve">Demo Language School</t>
  </si>
  <si>
    <t xml:space="preserve">D04-003</t>
  </si>
  <si>
    <t xml:space="preserve">Demo candidate Y04-03</t>
  </si>
  <si>
    <t xml:space="preserve">D04-004</t>
  </si>
  <si>
    <t xml:space="preserve">Demo candidate Y04-04</t>
  </si>
  <si>
    <t xml:space="preserve">D04-005</t>
  </si>
  <si>
    <t xml:space="preserve">Demo candidate Y04-05</t>
  </si>
  <si>
    <t xml:space="preserve">D04-006</t>
  </si>
  <si>
    <t xml:space="preserve">Demo candidate Y04-06</t>
  </si>
  <si>
    <t xml:space="preserve">D04-007</t>
  </si>
  <si>
    <t xml:space="preserve">Demo candidate Y04-07</t>
  </si>
  <si>
    <t xml:space="preserve">D04-008</t>
  </si>
  <si>
    <t xml:space="preserve">Demo candidate Y04-08</t>
  </si>
  <si>
    <t xml:space="preserve">Year 5 admissions tracker</t>
  </si>
  <si>
    <t xml:space="preserve">Maximum mark (Year 5 grading sheet)</t>
  </si>
  <si>
    <t xml:space="preserve">D05-001</t>
  </si>
  <si>
    <t xml:space="preserve">Demo candidate Y05-01</t>
  </si>
  <si>
    <t xml:space="preserve">D05-002</t>
  </si>
  <si>
    <t xml:space="preserve">Demo candidate Y05-02</t>
  </si>
  <si>
    <t xml:space="preserve">D05-003</t>
  </si>
  <si>
    <t xml:space="preserve">Demo candidate Y05-03</t>
  </si>
  <si>
    <t xml:space="preserve">Yes</t>
  </si>
  <si>
    <t xml:space="preserve">D05-004</t>
  </si>
  <si>
    <t xml:space="preserve">Demo candidate Y05-04</t>
  </si>
  <si>
    <t xml:space="preserve">D05-005</t>
  </si>
  <si>
    <t xml:space="preserve">Demo candidate Y05-05</t>
  </si>
  <si>
    <t xml:space="preserve">D05-006</t>
  </si>
  <si>
    <t xml:space="preserve">Demo candidate Y05-06</t>
  </si>
  <si>
    <t xml:space="preserve">D05-007</t>
  </si>
  <si>
    <t xml:space="preserve">Demo candidate Y05-07</t>
  </si>
  <si>
    <t xml:space="preserve">D05-008</t>
  </si>
  <si>
    <t xml:space="preserve">Demo candidate Y05-08</t>
  </si>
  <si>
    <t xml:space="preserve">D05-009</t>
  </si>
  <si>
    <t xml:space="preserve">Demo candidate Y05-09</t>
  </si>
  <si>
    <t xml:space="preserve">Year 6 admissions tracker</t>
  </si>
  <si>
    <t xml:space="preserve">Maximum mark (Year 6 grading sheet)</t>
  </si>
  <si>
    <t xml:space="preserve">D06-001</t>
  </si>
  <si>
    <t xml:space="preserve">Demo candidate Y06-01</t>
  </si>
  <si>
    <t xml:space="preserve">D06-002</t>
  </si>
  <si>
    <t xml:space="preserve">Demo candidate Y06-02</t>
  </si>
  <si>
    <t xml:space="preserve">D06-003</t>
  </si>
  <si>
    <t xml:space="preserve">Demo candidate Y06-03</t>
  </si>
  <si>
    <t xml:space="preserve">D06-004</t>
  </si>
  <si>
    <t xml:space="preserve">Demo candidate Y06-04</t>
  </si>
  <si>
    <t xml:space="preserve">D06-005</t>
  </si>
  <si>
    <t xml:space="preserve">Demo candidate Y06-05</t>
  </si>
  <si>
    <t xml:space="preserve">D06-006</t>
  </si>
  <si>
    <t xml:space="preserve">Demo candidate Y06-06</t>
  </si>
  <si>
    <t xml:space="preserve">D06-007</t>
  </si>
  <si>
    <t xml:space="preserve">Demo candidate Y06-07</t>
  </si>
  <si>
    <t xml:space="preserve">D06-008</t>
  </si>
  <si>
    <t xml:space="preserve">Demo candidate Y06-08</t>
  </si>
  <si>
    <t xml:space="preserve">D06-009</t>
  </si>
  <si>
    <t xml:space="preserve">Demo candidate Y06-09</t>
  </si>
  <si>
    <t xml:space="preserve">Year 7 admissions tracker</t>
  </si>
  <si>
    <t xml:space="preserve">Maximum mark (Year 7 grading sheet)</t>
  </si>
  <si>
    <t xml:space="preserve">D07-001</t>
  </si>
  <si>
    <t xml:space="preserve">Demo candidate Y07-01</t>
  </si>
  <si>
    <t xml:space="preserve">D07-002</t>
  </si>
  <si>
    <t xml:space="preserve">Demo candidate Y07-02</t>
  </si>
  <si>
    <t xml:space="preserve">D07-003</t>
  </si>
  <si>
    <t xml:space="preserve">Demo candidate Y07-03</t>
  </si>
  <si>
    <t xml:space="preserve">Demo Local Middle School</t>
  </si>
  <si>
    <t xml:space="preserve">D07-004</t>
  </si>
  <si>
    <t xml:space="preserve">Demo candidate Y07-04</t>
  </si>
  <si>
    <t xml:space="preserve">Unsure</t>
  </si>
  <si>
    <t xml:space="preserve">D07-005</t>
  </si>
  <si>
    <t xml:space="preserve">Demo candidate Y07-05</t>
  </si>
  <si>
    <t xml:space="preserve">D07-006</t>
  </si>
  <si>
    <t xml:space="preserve">Demo candidate Y07-06</t>
  </si>
  <si>
    <t xml:space="preserve">D07-007</t>
  </si>
  <si>
    <t xml:space="preserve">Demo candidate Y07-07</t>
  </si>
  <si>
    <t xml:space="preserve">D07-008</t>
  </si>
  <si>
    <t xml:space="preserve">Demo candidate Y07-08</t>
  </si>
  <si>
    <t xml:space="preserve">D07-009</t>
  </si>
  <si>
    <t xml:space="preserve">Demo candidate Y07-09</t>
  </si>
  <si>
    <t xml:space="preserve">Year 8 admissions tracker</t>
  </si>
  <si>
    <t xml:space="preserve">Maximum mark (Year 8 grading sheet)</t>
  </si>
  <si>
    <t xml:space="preserve">D08-001</t>
  </si>
  <si>
    <t xml:space="preserve">Demo candidate Y08-01</t>
  </si>
  <si>
    <t xml:space="preserve">D08-002</t>
  </si>
  <si>
    <t xml:space="preserve">Demo candidate Y08-02</t>
  </si>
  <si>
    <t xml:space="preserve">D08-003</t>
  </si>
  <si>
    <t xml:space="preserve">Demo candidate Y08-03</t>
  </si>
  <si>
    <t xml:space="preserve">D08-004</t>
  </si>
  <si>
    <t xml:space="preserve">Demo candidate Y08-04</t>
  </si>
  <si>
    <t xml:space="preserve">D08-005</t>
  </si>
  <si>
    <t xml:space="preserve">Demo candidate Y08-05</t>
  </si>
  <si>
    <t xml:space="preserve">D08-006</t>
  </si>
  <si>
    <t xml:space="preserve">Demo candidate Y08-06</t>
  </si>
  <si>
    <t xml:space="preserve">D08-007</t>
  </si>
  <si>
    <t xml:space="preserve">Demo candidate Y08-07</t>
  </si>
  <si>
    <t xml:space="preserve">D08-008</t>
  </si>
  <si>
    <t xml:space="preserve">Demo candidate Y08-08</t>
  </si>
  <si>
    <t xml:space="preserve">Year 9 admissions tracker</t>
  </si>
  <si>
    <t xml:space="preserve">Maximum mark (Year 9 grading sheet)</t>
  </si>
  <si>
    <t xml:space="preserve">D09-001</t>
  </si>
  <si>
    <t xml:space="preserve">Demo candidate Y09-01</t>
  </si>
  <si>
    <t xml:space="preserve">D09-002</t>
  </si>
  <si>
    <t xml:space="preserve">Demo candidate Y09-02</t>
  </si>
  <si>
    <t xml:space="preserve">D09-003</t>
  </si>
  <si>
    <t xml:space="preserve">Demo candidate Y09-03</t>
  </si>
  <si>
    <t xml:space="preserve">D09-004</t>
  </si>
  <si>
    <t xml:space="preserve">Demo candidate Y09-04</t>
  </si>
  <si>
    <t xml:space="preserve">D09-005</t>
  </si>
  <si>
    <t xml:space="preserve">Demo candidate Y09-05</t>
  </si>
  <si>
    <t xml:space="preserve">D09-006</t>
  </si>
  <si>
    <t xml:space="preserve">Demo candidate Y09-06</t>
  </si>
  <si>
    <t xml:space="preserve">D09-007</t>
  </si>
  <si>
    <t xml:space="preserve">Demo candidate Y09-07</t>
  </si>
  <si>
    <t xml:space="preserve">D09-008</t>
  </si>
  <si>
    <t xml:space="preserve">Demo candidate Y09-08</t>
  </si>
  <si>
    <t xml:space="preserve">Year 10 admissions tracker</t>
  </si>
  <si>
    <t xml:space="preserve">Maximum mark (Year 10 grading sheet)</t>
  </si>
  <si>
    <t xml:space="preserve">D10-001</t>
  </si>
  <si>
    <t xml:space="preserve">Demo candidate Y10-01</t>
  </si>
  <si>
    <t xml:space="preserve">D10-002</t>
  </si>
  <si>
    <t xml:space="preserve">Demo candidate Y10-02</t>
  </si>
  <si>
    <t xml:space="preserve">D10-003</t>
  </si>
  <si>
    <t xml:space="preserve">Demo candidate Y10-03</t>
  </si>
  <si>
    <t xml:space="preserve">D10-004</t>
  </si>
  <si>
    <t xml:space="preserve">Demo candidate Y10-04</t>
  </si>
  <si>
    <t xml:space="preserve">D10-005</t>
  </si>
  <si>
    <t xml:space="preserve">Demo candidate Y10-05</t>
  </si>
  <si>
    <t xml:space="preserve">D10-006</t>
  </si>
  <si>
    <t xml:space="preserve">Demo candidate Y10-06</t>
  </si>
  <si>
    <t xml:space="preserve">D10-007</t>
  </si>
  <si>
    <t xml:space="preserve">Demo candidate Y10-07</t>
  </si>
  <si>
    <t xml:space="preserve">D10-008</t>
  </si>
  <si>
    <t xml:space="preserve">Demo candidate Y10-08</t>
  </si>
  <si>
    <t xml:space="preserve">Early Reading Screen book band</t>
  </si>
  <si>
    <t xml:space="preserve">English barrier in maths</t>
  </si>
  <si>
    <t xml:space="preserve">Orange</t>
  </si>
  <si>
    <t xml:space="preserve">Turquoise and Purple</t>
  </si>
  <si>
    <t xml:space="preserve">Gold and White</t>
  </si>
  <si>
    <t xml:space="preserve">These words feed the drop-downs and the Dashboard counts. Do not change them: a changed word is no longer counted. This sheet is protected without a password to stop accidents.</t>
  </si>
</sst>
</file>

<file path=xl/styles.xml><?xml version="1.0" encoding="utf-8"?>
<styleSheet xmlns="http://schemas.openxmlformats.org/spreadsheetml/2006/main">
  <numFmts count="6">
    <numFmt numFmtId="164" formatCode="General"/>
    <numFmt numFmtId="165" formatCode="0"/>
    <numFmt numFmtId="166" formatCode="0%"/>
    <numFmt numFmtId="167" formatCode="0.0"/>
    <numFmt numFmtId="168" formatCode="General"/>
    <numFmt numFmtId="169" formatCode="dd/mm/yyyy"/>
  </numFmts>
  <fonts count="29">
    <font>
      <sz val="11"/>
      <color theme="1"/>
      <name val="Calibri"/>
      <family val="2"/>
      <charset val="1"/>
    </font>
    <font>
      <sz val="10"/>
      <name val="Arial"/>
      <family val="0"/>
    </font>
    <font>
      <sz val="10"/>
      <name val="Arial"/>
      <family val="0"/>
    </font>
    <font>
      <sz val="10"/>
      <name val="Arial"/>
      <family val="0"/>
    </font>
    <font>
      <sz val="11"/>
      <color theme="1"/>
      <name val="Arial"/>
      <family val="0"/>
      <charset val="1"/>
    </font>
    <font>
      <b val="true"/>
      <sz val="18"/>
      <color rgb="FF1F3864"/>
      <name val="Arial"/>
      <family val="0"/>
      <charset val="1"/>
    </font>
    <font>
      <sz val="10"/>
      <color rgb="FF595959"/>
      <name val="Arial"/>
      <family val="0"/>
      <charset val="1"/>
    </font>
    <font>
      <b val="true"/>
      <sz val="10"/>
      <color rgb="FFC00000"/>
      <name val="Arial"/>
      <family val="0"/>
      <charset val="1"/>
    </font>
    <font>
      <b val="true"/>
      <sz val="12"/>
      <color rgb="FF1F3864"/>
      <name val="Arial"/>
      <family val="0"/>
      <charset val="1"/>
    </font>
    <font>
      <sz val="10"/>
      <name val="Arial"/>
      <family val="0"/>
      <charset val="1"/>
    </font>
    <font>
      <sz val="10"/>
      <color rgb="FF0000FF"/>
      <name val="Arial"/>
      <family val="0"/>
      <charset val="1"/>
    </font>
    <font>
      <b val="true"/>
      <sz val="10"/>
      <color rgb="FF0000FF"/>
      <name val="Arial"/>
      <family val="0"/>
      <charset val="1"/>
    </font>
    <font>
      <sz val="10"/>
      <color rgb="FF7F7F7F"/>
      <name val="Arial"/>
      <family val="0"/>
      <charset val="1"/>
    </font>
    <font>
      <b val="true"/>
      <sz val="10"/>
      <color rgb="FF9C0006"/>
      <name val="Arial"/>
      <family val="0"/>
      <charset val="1"/>
    </font>
    <font>
      <b val="true"/>
      <sz val="10"/>
      <name val="Arial"/>
      <family val="0"/>
      <charset val="1"/>
    </font>
    <font>
      <b val="true"/>
      <sz val="9"/>
      <color rgb="FFFFFFFF"/>
      <name val="Arial"/>
      <family val="0"/>
      <charset val="1"/>
    </font>
    <font>
      <sz val="9"/>
      <color rgb="FF595959"/>
      <name val="Arial"/>
      <family val="0"/>
      <charset val="1"/>
    </font>
    <font>
      <b val="true"/>
      <sz val="9"/>
      <color rgb="FF595959"/>
      <name val="Arial"/>
      <family val="0"/>
      <charset val="1"/>
    </font>
    <font>
      <b val="true"/>
      <sz val="22"/>
      <color rgb="FF1F3864"/>
      <name val="Arial"/>
      <family val="0"/>
      <charset val="1"/>
    </font>
    <font>
      <sz val="8"/>
      <color rgb="FF595959"/>
      <name val="Arial"/>
      <family val="0"/>
      <charset val="1"/>
    </font>
    <font>
      <b val="true"/>
      <sz val="9"/>
      <color rgb="FF404040"/>
      <name val="Arial"/>
      <family val="0"/>
      <charset val="1"/>
    </font>
    <font>
      <sz val="9"/>
      <color rgb="FF404040"/>
      <name val="Arial"/>
      <family val="0"/>
      <charset val="1"/>
    </font>
    <font>
      <b val="true"/>
      <sz val="11"/>
      <color rgb="FF1F3864"/>
      <name val="Arial"/>
      <family val="2"/>
    </font>
    <font>
      <sz val="10"/>
      <color rgb="FF000000"/>
      <name val="Calibri"/>
      <family val="2"/>
    </font>
    <font>
      <b val="true"/>
      <sz val="14"/>
      <color rgb="FF1F3864"/>
      <name val="Arial"/>
      <family val="0"/>
      <charset val="1"/>
    </font>
    <font>
      <i val="true"/>
      <sz val="9"/>
      <color rgb="FF595959"/>
      <name val="Arial"/>
      <family val="0"/>
      <charset val="1"/>
    </font>
    <font>
      <sz val="8"/>
      <color rgb="FF7F7F7F"/>
      <name val="Arial"/>
      <family val="0"/>
      <charset val="1"/>
    </font>
    <font>
      <b val="true"/>
      <sz val="10"/>
      <color rgb="FFFFFFFF"/>
      <name val="Arial"/>
      <family val="0"/>
      <charset val="1"/>
    </font>
    <font>
      <b val="true"/>
      <sz val="10"/>
      <color rgb="FF7F7F7F"/>
      <name val="Arial"/>
      <family val="0"/>
      <charset val="1"/>
    </font>
  </fonts>
  <fills count="11">
    <fill>
      <patternFill patternType="none"/>
    </fill>
    <fill>
      <patternFill patternType="gray125"/>
    </fill>
    <fill>
      <patternFill patternType="solid">
        <fgColor rgb="FFFFF8DC"/>
        <bgColor rgb="FFFFFFFF"/>
      </patternFill>
    </fill>
    <fill>
      <patternFill patternType="solid">
        <fgColor rgb="FFD9D9D9"/>
        <bgColor rgb="FFC9DDF5"/>
      </patternFill>
    </fill>
    <fill>
      <patternFill patternType="solid">
        <fgColor rgb="FFEEF2F7"/>
        <bgColor rgb="FFF2F6FC"/>
      </patternFill>
    </fill>
    <fill>
      <patternFill patternType="solid">
        <fgColor rgb="FFF4B6B6"/>
        <bgColor rgb="FFF9D7A8"/>
      </patternFill>
    </fill>
    <fill>
      <patternFill patternType="solid">
        <fgColor rgb="FFF9D7A8"/>
        <bgColor rgb="FFFFF2B3"/>
      </patternFill>
    </fill>
    <fill>
      <patternFill patternType="solid">
        <fgColor rgb="FF1F3864"/>
        <bgColor rgb="FF143564"/>
      </patternFill>
    </fill>
    <fill>
      <patternFill patternType="solid">
        <fgColor rgb="FFF2F6FC"/>
        <bgColor rgb="FFEEF2F7"/>
      </patternFill>
    </fill>
    <fill>
      <patternFill patternType="solid">
        <fgColor rgb="FF2F5597"/>
        <bgColor rgb="FF2A5DAD"/>
      </patternFill>
    </fill>
    <fill>
      <patternFill patternType="solid">
        <fgColor rgb="FF5B6B82"/>
        <bgColor rgb="FF595959"/>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medium">
        <color rgb="FF2A78D6"/>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1" fillId="2" borderId="1" xfId="0" applyFont="true" applyBorder="true" applyAlignment="false" applyProtection="false">
      <alignment horizontal="general" vertical="bottom" textRotation="0" wrapText="false" indent="0" shrinkToFit="false"/>
      <protection locked="true" hidden="false"/>
    </xf>
    <xf numFmtId="164" fontId="12" fillId="3"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4" fontId="13" fillId="5" borderId="1" xfId="0" applyFont="true" applyBorder="true" applyAlignment="false" applyProtection="false">
      <alignment horizontal="general" vertical="bottom" textRotation="0" wrapText="false" indent="0" shrinkToFit="false"/>
      <protection locked="true" hidden="false"/>
    </xf>
    <xf numFmtId="164" fontId="9" fillId="6" borderId="1" xfId="0" applyFont="true" applyBorder="true" applyAlignment="false" applyProtection="false">
      <alignment horizontal="general" vertical="bottom" textRotation="0" wrapText="false" indent="0" shrinkToFit="false"/>
      <protection locked="true" hidden="false"/>
    </xf>
    <xf numFmtId="164" fontId="14" fillId="0" borderId="1" xfId="0" applyFont="true" applyBorder="true" applyAlignment="false" applyProtection="false">
      <alignment horizontal="general" vertical="bottom" textRotation="0" wrapText="false" indent="0" shrinkToFit="false"/>
      <protection locked="true" hidden="false"/>
    </xf>
    <xf numFmtId="164" fontId="15" fillId="7" borderId="1" xfId="0" applyFont="true" applyBorder="true" applyAlignment="true" applyProtection="false">
      <alignment horizontal="left" vertical="center" textRotation="0" wrapText="tru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10" fillId="0" borderId="1" xfId="0" applyFont="true" applyBorder="true" applyAlignment="true" applyProtection="false">
      <alignment horizontal="left" vertical="top" textRotation="0" wrapText="tru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7" fillId="8" borderId="2" xfId="0" applyFont="true" applyBorder="true" applyAlignment="true" applyProtection="false">
      <alignment horizontal="left" vertical="center" textRotation="0" wrapText="false" indent="1" shrinkToFit="false"/>
      <protection locked="true" hidden="false"/>
    </xf>
    <xf numFmtId="165" fontId="18" fillId="8" borderId="2" xfId="0" applyFont="true" applyBorder="true" applyAlignment="true" applyProtection="false">
      <alignment horizontal="left" vertical="center" textRotation="0" wrapText="false" indent="1" shrinkToFit="false"/>
      <protection locked="true" hidden="false"/>
    </xf>
    <xf numFmtId="164" fontId="19" fillId="8" borderId="2" xfId="0" applyFont="true" applyBorder="true" applyAlignment="true" applyProtection="false">
      <alignment horizontal="left" vertical="center" textRotation="0" wrapText="false" indent="1" shrinkToFit="false"/>
      <protection locked="true" hidden="false"/>
    </xf>
    <xf numFmtId="166" fontId="18" fillId="8" borderId="2" xfId="0" applyFont="true" applyBorder="true" applyAlignment="true" applyProtection="false">
      <alignment horizontal="left" vertical="center" textRotation="0" wrapText="false" indent="1" shrinkToFit="false"/>
      <protection locked="true" hidden="false"/>
    </xf>
    <xf numFmtId="167" fontId="18" fillId="8" borderId="2" xfId="0" applyFont="true" applyBorder="true" applyAlignment="true" applyProtection="false">
      <alignment horizontal="left" vertical="center" textRotation="0" wrapText="false" indent="1"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15" fillId="7"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left" vertical="bottom" textRotation="0" wrapText="false" indent="0" shrinkToFit="false"/>
      <protection locked="true" hidden="false"/>
    </xf>
    <xf numFmtId="168" fontId="9" fillId="0" borderId="1" xfId="0" applyFont="true" applyBorder="true" applyAlignment="true" applyProtection="false">
      <alignment horizontal="center" vertical="bottom" textRotation="0" wrapText="false" indent="0" shrinkToFit="false"/>
      <protection locked="true" hidden="false"/>
    </xf>
    <xf numFmtId="164" fontId="14" fillId="4" borderId="1" xfId="0" applyFont="true" applyBorder="true" applyAlignment="true" applyProtection="false">
      <alignment horizontal="left" vertical="bottom" textRotation="0" wrapText="false" indent="0" shrinkToFit="false"/>
      <protection locked="true" hidden="false"/>
    </xf>
    <xf numFmtId="168" fontId="14" fillId="4" borderId="1" xfId="0" applyFont="true" applyBorder="true" applyAlignment="true" applyProtection="false">
      <alignment horizontal="center" vertical="bottom" textRotation="0" wrapText="false" indent="0" shrinkToFit="false"/>
      <protection locked="true" hidden="false"/>
    </xf>
    <xf numFmtId="166" fontId="9" fillId="0" borderId="1" xfId="0" applyFont="true" applyBorder="true" applyAlignment="true" applyProtection="false">
      <alignment horizontal="center" vertical="bottom" textRotation="0" wrapText="false" indent="0" shrinkToFit="false"/>
      <protection locked="true" hidden="false"/>
    </xf>
    <xf numFmtId="166" fontId="14" fillId="4" borderId="1" xfId="0" applyFont="true" applyBorder="true" applyAlignment="true" applyProtection="false">
      <alignment horizontal="center" vertical="bottom" textRotation="0" wrapText="false" indent="0" shrinkToFit="false"/>
      <protection locked="true" hidden="false"/>
    </xf>
    <xf numFmtId="167" fontId="9" fillId="0" borderId="1" xfId="0" applyFont="true" applyBorder="true" applyAlignment="true" applyProtection="false">
      <alignment horizontal="center" vertical="bottom" textRotation="0" wrapText="false" indent="0" shrinkToFit="false"/>
      <protection locked="true" hidden="false"/>
    </xf>
    <xf numFmtId="167" fontId="14" fillId="4" borderId="1" xfId="0" applyFont="true" applyBorder="true" applyAlignment="true" applyProtection="false">
      <alignment horizontal="center"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center"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25" fillId="0" borderId="0" xfId="0" applyFont="true" applyBorder="false" applyAlignment="true" applyProtection="false">
      <alignment horizontal="right" vertical="bottom" textRotation="0" wrapText="false" indent="0" shrinkToFit="false"/>
      <protection locked="true" hidden="false"/>
    </xf>
    <xf numFmtId="164" fontId="11" fillId="2" borderId="1" xfId="0" applyFont="true" applyBorder="true" applyAlignment="true" applyProtection="false">
      <alignment horizontal="center" vertical="bottom" textRotation="0" wrapText="false" indent="0" shrinkToFit="false"/>
      <protection locked="true" hidden="false"/>
    </xf>
    <xf numFmtId="164" fontId="26" fillId="0" borderId="0" xfId="0" applyFont="true" applyBorder="false" applyAlignment="true" applyProtection="false">
      <alignment horizontal="center" vertical="bottom" textRotation="0" wrapText="false" indent="0" shrinkToFit="false"/>
      <protection locked="true" hidden="false"/>
    </xf>
    <xf numFmtId="164" fontId="27" fillId="9" borderId="1" xfId="0" applyFont="true" applyBorder="true" applyAlignment="true" applyProtection="false">
      <alignment horizontal="center" vertical="center" textRotation="0" wrapText="false" indent="0" shrinkToFit="false"/>
      <protection locked="true" hidden="false"/>
    </xf>
    <xf numFmtId="164" fontId="27" fillId="10" borderId="1" xfId="0" applyFont="true" applyBorder="true" applyAlignment="true" applyProtection="false">
      <alignment horizontal="center" vertical="center" textRotation="0" wrapText="false" indent="0" shrinkToFit="false"/>
      <protection locked="true" hidden="false"/>
    </xf>
    <xf numFmtId="164" fontId="27" fillId="7" borderId="1" xfId="0" applyFont="true" applyBorder="true" applyAlignment="true" applyProtection="false">
      <alignment horizontal="center" vertical="center" textRotation="0" wrapText="true" indent="0" shrinkToFit="false"/>
      <protection locked="true" hidden="false"/>
    </xf>
    <xf numFmtId="164" fontId="28" fillId="3" borderId="1" xfId="0" applyFont="true" applyBorder="true" applyAlignment="true" applyProtection="false">
      <alignment horizontal="center" vertical="center" textRotation="0" wrapText="true" indent="0" shrinkToFit="false"/>
      <protection locked="true" hidden="false"/>
    </xf>
    <xf numFmtId="169" fontId="10" fillId="0" borderId="1" xfId="0" applyFont="true" applyBorder="true" applyAlignment="true" applyProtection="false">
      <alignment horizontal="center"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4" fontId="9" fillId="4" borderId="1" xfId="0" applyFont="true" applyBorder="true" applyAlignment="true" applyProtection="false">
      <alignment horizontal="center" vertical="bottom" textRotation="0" wrapText="false" indent="0" shrinkToFit="false"/>
      <protection locked="true" hidden="false"/>
    </xf>
    <xf numFmtId="165" fontId="9" fillId="4" borderId="1" xfId="0" applyFont="true" applyBorder="true" applyAlignment="true" applyProtection="false">
      <alignment horizontal="center" vertical="bottom" textRotation="0" wrapText="false" indent="0" shrinkToFit="false"/>
      <protection locked="true" hidden="false"/>
    </xf>
    <xf numFmtId="164" fontId="9" fillId="4" borderId="1" xfId="0" applyFont="true" applyBorder="true" applyAlignment="true" applyProtection="false">
      <alignment horizontal="left" vertical="bottom" textRotation="0" wrapText="false" indent="0" shrinkToFit="false"/>
      <protection locked="true" hidden="false"/>
    </xf>
    <xf numFmtId="164" fontId="27" fillId="7"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2">
    <dxf>
      <fill>
        <patternFill patternType="solid">
          <fgColor rgb="FF1F3864"/>
          <bgColor rgb="FF000000"/>
        </patternFill>
      </fill>
    </dxf>
    <dxf>
      <fill>
        <patternFill patternType="solid">
          <bgColor rgb="FF000000"/>
        </patternFill>
      </fill>
    </dxf>
    <dxf>
      <fill>
        <patternFill patternType="solid">
          <fgColor rgb="FF0000FF"/>
          <bgColor rgb="FF000000"/>
        </patternFill>
      </fill>
    </dxf>
    <dxf>
      <fill>
        <patternFill patternType="solid">
          <fgColor rgb="FFFFFFFF"/>
          <bgColor rgb="FF000000"/>
        </patternFill>
      </fill>
    </dxf>
    <dxf>
      <fill>
        <patternFill patternType="solid">
          <fgColor rgb="FFF4B6B6"/>
          <bgColor rgb="FF000000"/>
        </patternFill>
      </fill>
    </dxf>
    <dxf>
      <fill>
        <patternFill patternType="solid">
          <fgColor rgb="FFF9D7A8"/>
          <bgColor rgb="FF000000"/>
        </patternFill>
      </fill>
    </dxf>
    <dxf>
      <fill>
        <patternFill patternType="solid">
          <fgColor rgb="FFFFF2B3"/>
          <bgColor rgb="FF000000"/>
        </patternFill>
      </fill>
    </dxf>
    <dxf>
      <fill>
        <patternFill patternType="solid">
          <fgColor rgb="FFCDE8C5"/>
          <bgColor rgb="FF000000"/>
        </patternFill>
      </fill>
    </dxf>
    <dxf>
      <fill>
        <patternFill patternType="solid">
          <fgColor rgb="FFD9D9D9"/>
          <bgColor rgb="FF000000"/>
        </patternFill>
      </fill>
    </dxf>
    <dxf>
      <fill>
        <patternFill patternType="solid">
          <fgColor rgb="FF7F7F7F"/>
          <bgColor rgb="FF000000"/>
        </patternFill>
      </fill>
    </dxf>
    <dxf>
      <fill>
        <patternFill patternType="solid">
          <fgColor rgb="FFEEF2F7"/>
          <bgColor rgb="FF000000"/>
        </patternFill>
      </fill>
    </dxf>
    <dxf>
      <fill>
        <patternFill patternType="solid">
          <fgColor rgb="FFA9D8B8"/>
          <bgColor rgb="FF000000"/>
        </patternFill>
      </fill>
    </dxf>
    <dxf>
      <fill>
        <patternFill patternType="solid">
          <fgColor rgb="FF2E7D32"/>
          <bgColor rgb="FF000000"/>
        </patternFill>
      </fill>
    </dxf>
    <dxf>
      <fill>
        <patternFill>
          <bgColor rgb="FFF4B6B6"/>
        </patternFill>
      </fill>
    </dxf>
    <dxf>
      <fill>
        <patternFill>
          <bgColor rgb="FFF9D7A8"/>
        </patternFill>
      </fill>
    </dxf>
    <dxf>
      <fill>
        <patternFill>
          <bgColor rgb="FFFFF2B3"/>
        </patternFill>
      </fill>
    </dxf>
    <dxf>
      <fill>
        <patternFill>
          <bgColor rgb="FFCDE8C5"/>
        </patternFill>
      </fill>
    </dxf>
    <dxf>
      <fill>
        <patternFill>
          <bgColor rgb="FFA9D8B8"/>
        </patternFill>
      </fill>
    </dxf>
    <dxf>
      <font>
        <i val="1"/>
        <color rgb="FF7F7F7F"/>
      </font>
    </dxf>
    <dxf>
      <font>
        <b val="1"/>
        <color rgb="FF9C0006"/>
      </font>
      <fill>
        <patternFill>
          <bgColor rgb="FFF4B6B6"/>
        </patternFill>
      </fill>
    </dxf>
    <dxf>
      <font>
        <color rgb="FF2E7D32"/>
      </font>
    </dxf>
    <dxf>
      <fill>
        <patternFill patternType="solid">
          <fgColor rgb="FF9C0006"/>
          <bgColor rgb="FF000000"/>
        </patternFill>
      </fill>
    </dxf>
  </dxfs>
  <colors>
    <indexedColors>
      <rgbColor rgb="FF000000"/>
      <rgbColor rgb="FFFFFFFF"/>
      <rgbColor rgb="FFC00000"/>
      <rgbColor rgb="FF00FF00"/>
      <rgbColor rgb="FF0000FF"/>
      <rgbColor rgb="FFA5D9BD"/>
      <rgbColor rgb="FFFF00FF"/>
      <rgbColor rgb="FF00FFFF"/>
      <rgbColor rgb="FF9C0006"/>
      <rgbColor rgb="FF2E7D32"/>
      <rgbColor rgb="FF000080"/>
      <rgbColor rgb="FF878787"/>
      <rgbColor rgb="FF800080"/>
      <rgbColor rgb="FF1A7F4B"/>
      <rgbColor rgb="FFBFBFBF"/>
      <rgbColor rgb="FF7F7F7F"/>
      <rgbColor rgb="FF85B0E8"/>
      <rgbColor rgb="FF595959"/>
      <rgbColor rgb="FFFFF8DC"/>
      <rgbColor rgb="FFEEF2F7"/>
      <rgbColor rgb="FF660066"/>
      <rgbColor rgb="FF8DB6EA"/>
      <rgbColor rgb="FF2A64B5"/>
      <rgbColor rgb="FFC6DBF5"/>
      <rgbColor rgb="FF000080"/>
      <rgbColor rgb="FFFF00FF"/>
      <rgbColor rgb="FFC9DDF5"/>
      <rgbColor rgb="FF00FFFF"/>
      <rgbColor rgb="FF800080"/>
      <rgbColor rgb="FF800000"/>
      <rgbColor rgb="FF2A5DAD"/>
      <rgbColor rgb="FF0000FF"/>
      <rgbColor rgb="FF4A88D8"/>
      <rgbColor rgb="FFF2F6FC"/>
      <rgbColor rgb="FFCDE8C5"/>
      <rgbColor rgb="FFFFF2B3"/>
      <rgbColor rgb="FF9FC2EC"/>
      <rgbColor rgb="FFF4B6B6"/>
      <rgbColor rgb="FFC9C8C2"/>
      <rgbColor rgb="FFF9D7A8"/>
      <rgbColor rgb="FF2A78D6"/>
      <rgbColor rgb="FF75A5E2"/>
      <rgbColor rgb="FFA9D8B8"/>
      <rgbColor rgb="FFD9D9D9"/>
      <rgbColor rgb="FFFF9900"/>
      <rgbColor rgb="FFD9534F"/>
      <rgbColor rgb="FF5B6B82"/>
      <rgbColor rgb="FFA6A5A0"/>
      <rgbColor rgb="FF143564"/>
      <rgbColor rgb="FF4FB37D"/>
      <rgbColor rgb="FF123F75"/>
      <rgbColor rgb="FF2F5597"/>
      <rgbColor rgb="FF993300"/>
      <rgbColor rgb="FF4F8ADB"/>
      <rgbColor rgb="FF1F3864"/>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100" spc="-1" strike="noStrike">
                <a:solidFill>
                  <a:srgbClr val="1f3864"/>
                </a:solidFill>
                <a:latin typeface="Arial"/>
              </a:defRPr>
            </a:pPr>
            <a:r>
              <a:rPr b="1" sz="1100" spc="-1" strike="noStrike">
                <a:solidFill>
                  <a:srgbClr val="1f3864"/>
                </a:solidFill>
                <a:latin typeface="Arial"/>
              </a:rPr>
              <a:t>Candidates by stage</a:t>
            </a:r>
          </a:p>
        </c:rich>
      </c:tx>
      <c:overlay val="0"/>
      <c:spPr>
        <a:noFill/>
        <a:ln w="0">
          <a:noFill/>
        </a:ln>
      </c:spPr>
    </c:title>
    <c:autoTitleDeleted val="0"/>
    <c:plotArea>
      <c:barChart>
        <c:barDir val="col"/>
        <c:grouping val="stacked"/>
        <c:varyColors val="0"/>
        <c:ser>
          <c:idx val="0"/>
          <c:order val="0"/>
          <c:tx>
            <c:strRef>
              <c:f>Dashboard!C15</c:f>
              <c:strCache>
                <c:ptCount val="1"/>
                <c:pt idx="0">
                  <c:v>Applied</c:v>
                </c:pt>
              </c:strCache>
            </c:strRef>
          </c:tx>
          <c:spPr>
            <a:solidFill>
              <a:srgbClr val="c9ddf5"/>
            </a:solidFill>
            <a:ln w="9360">
              <a:solidFill>
                <a:srgbClr val="ffffff"/>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Dashboard!$B$16:$B$25</c:f>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f>Dashboard!$C$16:$C$25</c:f>
              <c:numCache>
                <c:formatCode>General</c:formatCode>
                <c:ptCount val="10"/>
                <c:pt idx="0">
                  <c:v>1</c:v>
                </c:pt>
                <c:pt idx="1">
                  <c:v>1</c:v>
                </c:pt>
                <c:pt idx="2">
                  <c:v>0</c:v>
                </c:pt>
                <c:pt idx="3">
                  <c:v>1</c:v>
                </c:pt>
                <c:pt idx="4">
                  <c:v>0</c:v>
                </c:pt>
                <c:pt idx="5">
                  <c:v>0</c:v>
                </c:pt>
                <c:pt idx="6">
                  <c:v>3</c:v>
                </c:pt>
                <c:pt idx="7">
                  <c:v>1</c:v>
                </c:pt>
                <c:pt idx="8">
                  <c:v>0</c:v>
                </c:pt>
                <c:pt idx="9">
                  <c:v>1</c:v>
                </c:pt>
              </c:numCache>
            </c:numRef>
          </c:val>
        </c:ser>
        <c:ser>
          <c:idx val="1"/>
          <c:order val="1"/>
          <c:tx>
            <c:strRef>
              <c:f>Dashboard!D15</c:f>
              <c:strCache>
                <c:ptCount val="1"/>
                <c:pt idx="0">
                  <c:v>Visit booked</c:v>
                </c:pt>
              </c:strCache>
            </c:strRef>
          </c:tx>
          <c:spPr>
            <a:solidFill>
              <a:srgbClr val="9fc2ec"/>
            </a:solidFill>
            <a:ln w="9360">
              <a:solidFill>
                <a:srgbClr val="ffffff"/>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Dashboard!$B$16:$B$25</c:f>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f>Dashboard!$D$16:$D$25</c:f>
              <c:numCache>
                <c:formatCode>General</c:formatCode>
                <c:ptCount val="10"/>
                <c:pt idx="0">
                  <c:v>0</c:v>
                </c:pt>
                <c:pt idx="1">
                  <c:v>0</c:v>
                </c:pt>
                <c:pt idx="2">
                  <c:v>1</c:v>
                </c:pt>
                <c:pt idx="3">
                  <c:v>1</c:v>
                </c:pt>
                <c:pt idx="4">
                  <c:v>0</c:v>
                </c:pt>
                <c:pt idx="5">
                  <c:v>1</c:v>
                </c:pt>
                <c:pt idx="6">
                  <c:v>0</c:v>
                </c:pt>
                <c:pt idx="7">
                  <c:v>1</c:v>
                </c:pt>
                <c:pt idx="8">
                  <c:v>1</c:v>
                </c:pt>
                <c:pt idx="9">
                  <c:v>1</c:v>
                </c:pt>
              </c:numCache>
            </c:numRef>
          </c:val>
        </c:ser>
        <c:ser>
          <c:idx val="2"/>
          <c:order val="2"/>
          <c:tx>
            <c:strRef>
              <c:f>Dashboard!E15</c:f>
              <c:strCache>
                <c:ptCount val="1"/>
                <c:pt idx="0">
                  <c:v>Assessed</c:v>
                </c:pt>
              </c:strCache>
            </c:strRef>
          </c:tx>
          <c:spPr>
            <a:solidFill>
              <a:srgbClr val="75a5e2"/>
            </a:solidFill>
            <a:ln w="9360">
              <a:solidFill>
                <a:srgbClr val="ffffff"/>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Dashboard!$B$16:$B$25</c:f>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f>Dashboard!$E$16:$E$25</c:f>
              <c:numCache>
                <c:formatCode>General</c:formatCode>
                <c:ptCount val="10"/>
                <c:pt idx="0">
                  <c:v>0</c:v>
                </c:pt>
                <c:pt idx="1">
                  <c:v>1</c:v>
                </c:pt>
                <c:pt idx="2">
                  <c:v>2</c:v>
                </c:pt>
                <c:pt idx="3">
                  <c:v>2</c:v>
                </c:pt>
                <c:pt idx="4">
                  <c:v>3</c:v>
                </c:pt>
                <c:pt idx="5">
                  <c:v>1</c:v>
                </c:pt>
                <c:pt idx="6">
                  <c:v>2</c:v>
                </c:pt>
                <c:pt idx="7">
                  <c:v>0</c:v>
                </c:pt>
                <c:pt idx="8">
                  <c:v>1</c:v>
                </c:pt>
                <c:pt idx="9">
                  <c:v>3</c:v>
                </c:pt>
              </c:numCache>
            </c:numRef>
          </c:val>
        </c:ser>
        <c:ser>
          <c:idx val="3"/>
          <c:order val="3"/>
          <c:tx>
            <c:strRef>
              <c:f>Dashboard!F15</c:f>
              <c:strCache>
                <c:ptCount val="1"/>
                <c:pt idx="0">
                  <c:v>Decision confirmed</c:v>
                </c:pt>
              </c:strCache>
            </c:strRef>
          </c:tx>
          <c:spPr>
            <a:solidFill>
              <a:srgbClr val="4a88d8"/>
            </a:solidFill>
            <a:ln w="9360">
              <a:solidFill>
                <a:srgbClr val="ffffff"/>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Dashboard!$B$16:$B$25</c:f>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f>Dashboard!$F$16:$F$25</c:f>
              <c:numCache>
                <c:formatCode>General</c:formatCode>
                <c:ptCount val="10"/>
                <c:pt idx="0">
                  <c:v>1</c:v>
                </c:pt>
                <c:pt idx="1">
                  <c:v>2</c:v>
                </c:pt>
                <c:pt idx="2">
                  <c:v>0</c:v>
                </c:pt>
                <c:pt idx="3">
                  <c:v>2</c:v>
                </c:pt>
                <c:pt idx="4">
                  <c:v>0</c:v>
                </c:pt>
                <c:pt idx="5">
                  <c:v>2</c:v>
                </c:pt>
                <c:pt idx="6">
                  <c:v>1</c:v>
                </c:pt>
                <c:pt idx="7">
                  <c:v>0</c:v>
                </c:pt>
                <c:pt idx="8">
                  <c:v>1</c:v>
                </c:pt>
                <c:pt idx="9">
                  <c:v>1</c:v>
                </c:pt>
              </c:numCache>
            </c:numRef>
          </c:val>
        </c:ser>
        <c:ser>
          <c:idx val="4"/>
          <c:order val="4"/>
          <c:tx>
            <c:strRef>
              <c:f>Dashboard!G15</c:f>
              <c:strCache>
                <c:ptCount val="1"/>
                <c:pt idx="0">
                  <c:v>Family told</c:v>
                </c:pt>
              </c:strCache>
            </c:strRef>
          </c:tx>
          <c:spPr>
            <a:solidFill>
              <a:srgbClr val="2a64b5"/>
            </a:solidFill>
            <a:ln w="9360">
              <a:solidFill>
                <a:srgbClr val="ffffff"/>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Dashboard!$B$16:$B$25</c:f>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f>Dashboard!$G$16:$G$25</c:f>
              <c:numCache>
                <c:formatCode>General</c:formatCode>
                <c:ptCount val="10"/>
                <c:pt idx="0">
                  <c:v>2</c:v>
                </c:pt>
                <c:pt idx="1">
                  <c:v>2</c:v>
                </c:pt>
                <c:pt idx="2">
                  <c:v>4</c:v>
                </c:pt>
                <c:pt idx="3">
                  <c:v>1</c:v>
                </c:pt>
                <c:pt idx="4">
                  <c:v>2</c:v>
                </c:pt>
                <c:pt idx="5">
                  <c:v>3</c:v>
                </c:pt>
                <c:pt idx="6">
                  <c:v>3</c:v>
                </c:pt>
                <c:pt idx="7">
                  <c:v>4</c:v>
                </c:pt>
                <c:pt idx="8">
                  <c:v>3</c:v>
                </c:pt>
                <c:pt idx="9">
                  <c:v>0</c:v>
                </c:pt>
              </c:numCache>
            </c:numRef>
          </c:val>
        </c:ser>
        <c:ser>
          <c:idx val="5"/>
          <c:order val="5"/>
          <c:tx>
            <c:strRef>
              <c:f>Dashboard!H15</c:f>
              <c:strCache>
                <c:ptCount val="1"/>
                <c:pt idx="0">
                  <c:v>Enrolled</c:v>
                </c:pt>
              </c:strCache>
            </c:strRef>
          </c:tx>
          <c:spPr>
            <a:solidFill>
              <a:srgbClr val="123f75"/>
            </a:solidFill>
            <a:ln w="9360">
              <a:solidFill>
                <a:srgbClr val="ffffff"/>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Dashboard!$B$16:$B$25</c:f>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f>Dashboard!$H$16:$H$25</c:f>
              <c:numCache>
                <c:formatCode>General</c:formatCode>
                <c:ptCount val="10"/>
                <c:pt idx="0">
                  <c:v>2</c:v>
                </c:pt>
                <c:pt idx="1">
                  <c:v>0</c:v>
                </c:pt>
                <c:pt idx="2">
                  <c:v>1</c:v>
                </c:pt>
                <c:pt idx="3">
                  <c:v>1</c:v>
                </c:pt>
                <c:pt idx="4">
                  <c:v>2</c:v>
                </c:pt>
                <c:pt idx="5">
                  <c:v>1</c:v>
                </c:pt>
                <c:pt idx="6">
                  <c:v>0</c:v>
                </c:pt>
                <c:pt idx="7">
                  <c:v>2</c:v>
                </c:pt>
                <c:pt idx="8">
                  <c:v>1</c:v>
                </c:pt>
                <c:pt idx="9">
                  <c:v>1</c:v>
                </c:pt>
              </c:numCache>
            </c:numRef>
          </c:val>
        </c:ser>
        <c:ser>
          <c:idx val="6"/>
          <c:order val="6"/>
          <c:tx>
            <c:strRef>
              <c:f>Dashboard!I15</c:f>
              <c:strCache>
                <c:ptCount val="1"/>
                <c:pt idx="0">
                  <c:v>Withdrawn</c:v>
                </c:pt>
              </c:strCache>
            </c:strRef>
          </c:tx>
          <c:spPr>
            <a:solidFill>
              <a:srgbClr val="a6a5a0"/>
            </a:solidFill>
            <a:ln w="9360">
              <a:solidFill>
                <a:srgbClr val="ffffff"/>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Dashboard!$B$16:$B$25</c:f>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f>Dashboard!$I$16:$I$25</c:f>
              <c:numCache>
                <c:formatCode>General</c:formatCode>
                <c:ptCount val="10"/>
                <c:pt idx="0">
                  <c:v>0</c:v>
                </c:pt>
                <c:pt idx="1">
                  <c:v>1</c:v>
                </c:pt>
                <c:pt idx="2">
                  <c:v>0</c:v>
                </c:pt>
                <c:pt idx="3">
                  <c:v>0</c:v>
                </c:pt>
                <c:pt idx="4">
                  <c:v>2</c:v>
                </c:pt>
                <c:pt idx="5">
                  <c:v>1</c:v>
                </c:pt>
                <c:pt idx="6">
                  <c:v>0</c:v>
                </c:pt>
                <c:pt idx="7">
                  <c:v>0</c:v>
                </c:pt>
                <c:pt idx="8">
                  <c:v>1</c:v>
                </c:pt>
                <c:pt idx="9">
                  <c:v>1</c:v>
                </c:pt>
              </c:numCache>
            </c:numRef>
          </c:val>
        </c:ser>
        <c:gapWidth val="55"/>
        <c:overlap val="100"/>
        <c:axId val="8919716"/>
        <c:axId val="53487742"/>
      </c:barChart>
      <c:catAx>
        <c:axId val="891971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3487742"/>
        <c:crosses val="autoZero"/>
        <c:auto val="1"/>
        <c:lblAlgn val="ctr"/>
        <c:lblOffset val="100"/>
        <c:noMultiLvlLbl val="0"/>
      </c:catAx>
      <c:valAx>
        <c:axId val="53487742"/>
        <c:scaling>
          <c:orientation val="minMax"/>
        </c:scaling>
        <c:delete val="0"/>
        <c:axPos val="l"/>
        <c:majorGridlines>
          <c:spPr>
            <a:ln w="6480">
              <a:solidFill>
                <a:srgbClr val="d9d9d9"/>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919716"/>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100" spc="-1" strike="noStrike">
                <a:solidFill>
                  <a:srgbClr val="1f3864"/>
                </a:solidFill>
                <a:latin typeface="Arial"/>
              </a:defRPr>
            </a:pPr>
            <a:r>
              <a:rPr b="1" sz="1100" spc="-1" strike="noStrike">
                <a:solidFill>
                  <a:srgbClr val="1f3864"/>
                </a:solidFill>
                <a:latin typeface="Arial"/>
              </a:rPr>
              <a:t>Overall English band, share of each year group</a:t>
            </a:r>
          </a:p>
        </c:rich>
      </c:tx>
      <c:overlay val="0"/>
      <c:spPr>
        <a:noFill/>
        <a:ln w="0">
          <a:noFill/>
        </a:ln>
      </c:spPr>
    </c:title>
    <c:autoTitleDeleted val="0"/>
    <c:plotArea>
      <c:barChart>
        <c:barDir val="col"/>
        <c:grouping val="percentStacked"/>
        <c:varyColors val="0"/>
        <c:ser>
          <c:idx val="0"/>
          <c:order val="0"/>
          <c:tx>
            <c:strRef>
              <c:f>Dashboard!C30</c:f>
              <c:strCache>
                <c:ptCount val="1"/>
                <c:pt idx="0">
                  <c:v>A</c:v>
                </c:pt>
              </c:strCache>
            </c:strRef>
          </c:tx>
          <c:spPr>
            <a:solidFill>
              <a:srgbClr val="c9ddf5"/>
            </a:solidFill>
            <a:ln w="9360">
              <a:solidFill>
                <a:srgbClr val="ffffff"/>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Dashboard!$B$31:$B$40</c:f>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f>Dashboard!$C$31:$C$40</c:f>
              <c:numCache>
                <c:formatCode>General</c:formatCode>
                <c:ptCount val="10"/>
                <c:pt idx="0">
                  <c:v>1</c:v>
                </c:pt>
                <c:pt idx="1">
                  <c:v>1</c:v>
                </c:pt>
                <c:pt idx="2">
                  <c:v>2</c:v>
                </c:pt>
                <c:pt idx="3">
                  <c:v>0</c:v>
                </c:pt>
                <c:pt idx="4">
                  <c:v>1</c:v>
                </c:pt>
                <c:pt idx="5">
                  <c:v>0</c:v>
                </c:pt>
                <c:pt idx="6">
                  <c:v>1</c:v>
                </c:pt>
                <c:pt idx="7">
                  <c:v>1</c:v>
                </c:pt>
                <c:pt idx="8">
                  <c:v>0</c:v>
                </c:pt>
                <c:pt idx="9">
                  <c:v>1</c:v>
                </c:pt>
              </c:numCache>
            </c:numRef>
          </c:val>
        </c:ser>
        <c:ser>
          <c:idx val="1"/>
          <c:order val="1"/>
          <c:tx>
            <c:strRef>
              <c:f>Dashboard!D30</c:f>
              <c:strCache>
                <c:ptCount val="1"/>
                <c:pt idx="0">
                  <c:v>B</c:v>
                </c:pt>
              </c:strCache>
            </c:strRef>
          </c:tx>
          <c:spPr>
            <a:solidFill>
              <a:srgbClr val="8db6ea"/>
            </a:solidFill>
            <a:ln w="9360">
              <a:solidFill>
                <a:srgbClr val="ffffff"/>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Dashboard!$B$31:$B$40</c:f>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f>Dashboard!$D$31:$D$40</c:f>
              <c:numCache>
                <c:formatCode>General</c:formatCode>
                <c:ptCount val="10"/>
                <c:pt idx="0">
                  <c:v>1</c:v>
                </c:pt>
                <c:pt idx="1">
                  <c:v>0</c:v>
                </c:pt>
                <c:pt idx="2">
                  <c:v>2</c:v>
                </c:pt>
                <c:pt idx="3">
                  <c:v>4</c:v>
                </c:pt>
                <c:pt idx="4">
                  <c:v>3</c:v>
                </c:pt>
                <c:pt idx="5">
                  <c:v>4</c:v>
                </c:pt>
                <c:pt idx="6">
                  <c:v>2</c:v>
                </c:pt>
                <c:pt idx="7">
                  <c:v>2</c:v>
                </c:pt>
                <c:pt idx="8">
                  <c:v>2</c:v>
                </c:pt>
                <c:pt idx="9">
                  <c:v>1</c:v>
                </c:pt>
              </c:numCache>
            </c:numRef>
          </c:val>
        </c:ser>
        <c:ser>
          <c:idx val="2"/>
          <c:order val="2"/>
          <c:tx>
            <c:strRef>
              <c:f>Dashboard!E30</c:f>
              <c:strCache>
                <c:ptCount val="1"/>
                <c:pt idx="0">
                  <c:v>C</c:v>
                </c:pt>
              </c:strCache>
            </c:strRef>
          </c:tx>
          <c:spPr>
            <a:solidFill>
              <a:srgbClr val="4f8adb"/>
            </a:solidFill>
            <a:ln w="9360">
              <a:solidFill>
                <a:srgbClr val="ffffff"/>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Dashboard!$B$31:$B$40</c:f>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f>Dashboard!$E$31:$E$40</c:f>
              <c:numCache>
                <c:formatCode>General</c:formatCode>
                <c:ptCount val="10"/>
                <c:pt idx="0">
                  <c:v>3</c:v>
                </c:pt>
                <c:pt idx="1">
                  <c:v>3</c:v>
                </c:pt>
                <c:pt idx="2">
                  <c:v>1</c:v>
                </c:pt>
                <c:pt idx="3">
                  <c:v>2</c:v>
                </c:pt>
                <c:pt idx="4">
                  <c:v>3</c:v>
                </c:pt>
                <c:pt idx="5">
                  <c:v>2</c:v>
                </c:pt>
                <c:pt idx="6">
                  <c:v>3</c:v>
                </c:pt>
                <c:pt idx="7">
                  <c:v>3</c:v>
                </c:pt>
                <c:pt idx="8">
                  <c:v>2</c:v>
                </c:pt>
                <c:pt idx="9">
                  <c:v>2</c:v>
                </c:pt>
              </c:numCache>
            </c:numRef>
          </c:val>
        </c:ser>
        <c:ser>
          <c:idx val="3"/>
          <c:order val="3"/>
          <c:tx>
            <c:strRef>
              <c:f>Dashboard!F30</c:f>
              <c:strCache>
                <c:ptCount val="1"/>
                <c:pt idx="0">
                  <c:v>D</c:v>
                </c:pt>
              </c:strCache>
            </c:strRef>
          </c:tx>
          <c:spPr>
            <a:solidFill>
              <a:srgbClr val="2a5dad"/>
            </a:solidFill>
            <a:ln w="9360">
              <a:solidFill>
                <a:srgbClr val="ffffff"/>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Dashboard!$B$31:$B$40</c:f>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f>Dashboard!$F$31:$F$40</c:f>
              <c:numCache>
                <c:formatCode>General</c:formatCode>
                <c:ptCount val="10"/>
                <c:pt idx="0">
                  <c:v>0</c:v>
                </c:pt>
                <c:pt idx="1">
                  <c:v>1</c:v>
                </c:pt>
                <c:pt idx="2">
                  <c:v>2</c:v>
                </c:pt>
                <c:pt idx="3">
                  <c:v>0</c:v>
                </c:pt>
                <c:pt idx="4">
                  <c:v>0</c:v>
                </c:pt>
                <c:pt idx="5">
                  <c:v>1</c:v>
                </c:pt>
                <c:pt idx="6">
                  <c:v>0</c:v>
                </c:pt>
                <c:pt idx="7">
                  <c:v>0</c:v>
                </c:pt>
                <c:pt idx="8">
                  <c:v>1</c:v>
                </c:pt>
                <c:pt idx="9">
                  <c:v>1</c:v>
                </c:pt>
              </c:numCache>
            </c:numRef>
          </c:val>
        </c:ser>
        <c:ser>
          <c:idx val="4"/>
          <c:order val="4"/>
          <c:tx>
            <c:strRef>
              <c:f>Dashboard!G30</c:f>
              <c:strCache>
                <c:ptCount val="1"/>
                <c:pt idx="0">
                  <c:v>E</c:v>
                </c:pt>
              </c:strCache>
            </c:strRef>
          </c:tx>
          <c:spPr>
            <a:solidFill>
              <a:srgbClr val="143564"/>
            </a:solidFill>
            <a:ln w="9360">
              <a:solidFill>
                <a:srgbClr val="ffffff"/>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Dashboard!$B$31:$B$40</c:f>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f>Dashboard!$G$31:$G$40</c:f>
              <c:numCache>
                <c:formatCode>General</c:formatCode>
                <c:ptCount val="10"/>
                <c:pt idx="0">
                  <c:v>0</c:v>
                </c:pt>
                <c:pt idx="1">
                  <c:v>0</c:v>
                </c:pt>
                <c:pt idx="2">
                  <c:v>0</c:v>
                </c:pt>
                <c:pt idx="3">
                  <c:v>0</c:v>
                </c:pt>
                <c:pt idx="4">
                  <c:v>0</c:v>
                </c:pt>
                <c:pt idx="5">
                  <c:v>0</c:v>
                </c:pt>
                <c:pt idx="6">
                  <c:v>0</c:v>
                </c:pt>
                <c:pt idx="7">
                  <c:v>0</c:v>
                </c:pt>
                <c:pt idx="8">
                  <c:v>1</c:v>
                </c:pt>
                <c:pt idx="9">
                  <c:v>0</c:v>
                </c:pt>
              </c:numCache>
            </c:numRef>
          </c:val>
        </c:ser>
        <c:gapWidth val="55"/>
        <c:overlap val="100"/>
        <c:axId val="73447977"/>
        <c:axId val="53507461"/>
      </c:barChart>
      <c:catAx>
        <c:axId val="7344797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3507461"/>
        <c:crosses val="autoZero"/>
        <c:auto val="1"/>
        <c:lblAlgn val="ctr"/>
        <c:lblOffset val="100"/>
        <c:noMultiLvlLbl val="0"/>
      </c:catAx>
      <c:valAx>
        <c:axId val="53507461"/>
        <c:scaling>
          <c:orientation val="minMax"/>
        </c:scaling>
        <c:delete val="0"/>
        <c:axPos val="l"/>
        <c:majorGridlines>
          <c:spPr>
            <a:ln w="6480">
              <a:solidFill>
                <a:srgbClr val="d9d9d9"/>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3447977"/>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100" spc="-1" strike="noStrike">
                <a:solidFill>
                  <a:srgbClr val="1f3864"/>
                </a:solidFill>
                <a:latin typeface="Arial"/>
              </a:defRPr>
            </a:pPr>
            <a:r>
              <a:rPr b="1" sz="1100" spc="-1" strike="noStrike">
                <a:solidFill>
                  <a:srgbClr val="1f3864"/>
                </a:solidFill>
                <a:latin typeface="Arial"/>
              </a:rPr>
              <a:t>Recommendations made, by year group</a:t>
            </a:r>
          </a:p>
        </c:rich>
      </c:tx>
      <c:overlay val="0"/>
      <c:spPr>
        <a:noFill/>
        <a:ln w="0">
          <a:noFill/>
        </a:ln>
      </c:spPr>
    </c:title>
    <c:autoTitleDeleted val="0"/>
    <c:plotArea>
      <c:barChart>
        <c:barDir val="col"/>
        <c:grouping val="stacked"/>
        <c:varyColors val="0"/>
        <c:ser>
          <c:idx val="0"/>
          <c:order val="0"/>
          <c:tx>
            <c:strRef>
              <c:f>Dashboard!D46</c:f>
              <c:strCache>
                <c:ptCount val="1"/>
                <c:pt idx="0">
                  <c:v>Offer</c:v>
                </c:pt>
              </c:strCache>
            </c:strRef>
          </c:tx>
          <c:spPr>
            <a:solidFill>
              <a:srgbClr val="1a7f4b"/>
            </a:solidFill>
            <a:ln w="9360">
              <a:solidFill>
                <a:srgbClr val="ffffff"/>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Dashboard!$B$47:$B$56</c:f>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f>Dashboard!$D$47:$D$56</c:f>
              <c:numCache>
                <c:formatCode>General</c:formatCode>
                <c:ptCount val="10"/>
                <c:pt idx="0">
                  <c:v>0</c:v>
                </c:pt>
                <c:pt idx="1">
                  <c:v>1</c:v>
                </c:pt>
                <c:pt idx="2">
                  <c:v>1</c:v>
                </c:pt>
                <c:pt idx="3">
                  <c:v>0</c:v>
                </c:pt>
                <c:pt idx="4">
                  <c:v>0</c:v>
                </c:pt>
                <c:pt idx="5">
                  <c:v>1</c:v>
                </c:pt>
                <c:pt idx="6">
                  <c:v>0</c:v>
                </c:pt>
                <c:pt idx="7">
                  <c:v>0</c:v>
                </c:pt>
                <c:pt idx="8">
                  <c:v>1</c:v>
                </c:pt>
                <c:pt idx="9">
                  <c:v>0</c:v>
                </c:pt>
              </c:numCache>
            </c:numRef>
          </c:val>
        </c:ser>
        <c:ser>
          <c:idx val="1"/>
          <c:order val="1"/>
          <c:tx>
            <c:strRef>
              <c:f>Dashboard!E46</c:f>
              <c:strCache>
                <c:ptCount val="1"/>
                <c:pt idx="0">
                  <c:v>Offer with English support</c:v>
                </c:pt>
              </c:strCache>
            </c:strRef>
          </c:tx>
          <c:spPr>
            <a:solidFill>
              <a:srgbClr val="4fb37d"/>
            </a:solidFill>
            <a:ln w="9360">
              <a:solidFill>
                <a:srgbClr val="ffffff"/>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Dashboard!$B$47:$B$56</c:f>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f>Dashboard!$E$47:$E$56</c:f>
              <c:numCache>
                <c:formatCode>General</c:formatCode>
                <c:ptCount val="10"/>
                <c:pt idx="0">
                  <c:v>4</c:v>
                </c:pt>
                <c:pt idx="1">
                  <c:v>3</c:v>
                </c:pt>
                <c:pt idx="2">
                  <c:v>3</c:v>
                </c:pt>
                <c:pt idx="3">
                  <c:v>4</c:v>
                </c:pt>
                <c:pt idx="4">
                  <c:v>4</c:v>
                </c:pt>
                <c:pt idx="5">
                  <c:v>2</c:v>
                </c:pt>
                <c:pt idx="6">
                  <c:v>3</c:v>
                </c:pt>
                <c:pt idx="7">
                  <c:v>5</c:v>
                </c:pt>
                <c:pt idx="8">
                  <c:v>2</c:v>
                </c:pt>
                <c:pt idx="9">
                  <c:v>1</c:v>
                </c:pt>
              </c:numCache>
            </c:numRef>
          </c:val>
        </c:ser>
        <c:ser>
          <c:idx val="2"/>
          <c:order val="2"/>
          <c:tx>
            <c:strRef>
              <c:f>Dashboard!F46</c:f>
              <c:strCache>
                <c:ptCount val="1"/>
                <c:pt idx="0">
                  <c:v>Offer with a learning plan</c:v>
                </c:pt>
              </c:strCache>
            </c:strRef>
          </c:tx>
          <c:spPr>
            <a:solidFill>
              <a:srgbClr val="a5d9bd"/>
            </a:solidFill>
            <a:ln w="9360">
              <a:solidFill>
                <a:srgbClr val="ffffff"/>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Dashboard!$B$47:$B$56</c:f>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f>Dashboard!$F$47:$F$56</c:f>
              <c:numCache>
                <c:formatCode>General</c:formatCode>
                <c:ptCount val="10"/>
                <c:pt idx="0">
                  <c:v>0</c:v>
                </c:pt>
                <c:pt idx="1">
                  <c:v>0</c:v>
                </c:pt>
                <c:pt idx="2">
                  <c:v>1</c:v>
                </c:pt>
                <c:pt idx="3">
                  <c:v>0</c:v>
                </c:pt>
                <c:pt idx="4">
                  <c:v>0</c:v>
                </c:pt>
                <c:pt idx="5">
                  <c:v>1</c:v>
                </c:pt>
                <c:pt idx="6">
                  <c:v>0</c:v>
                </c:pt>
                <c:pt idx="7">
                  <c:v>0</c:v>
                </c:pt>
                <c:pt idx="8">
                  <c:v>1</c:v>
                </c:pt>
                <c:pt idx="9">
                  <c:v>0</c:v>
                </c:pt>
              </c:numCache>
            </c:numRef>
          </c:val>
        </c:ser>
        <c:ser>
          <c:idx val="3"/>
          <c:order val="3"/>
          <c:tx>
            <c:strRef>
              <c:f>Dashboard!G46</c:f>
              <c:strCache>
                <c:ptCount val="1"/>
                <c:pt idx="0">
                  <c:v>Further assessment before a decision</c:v>
                </c:pt>
              </c:strCache>
            </c:strRef>
          </c:tx>
          <c:spPr>
            <a:solidFill>
              <a:srgbClr val="c9c8c2"/>
            </a:solidFill>
            <a:ln w="9360">
              <a:solidFill>
                <a:srgbClr val="ffffff"/>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Dashboard!$B$47:$B$56</c:f>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f>Dashboard!$G$47:$G$56</c:f>
              <c:numCache>
                <c:formatCode>General</c:formatCode>
                <c:ptCount val="10"/>
                <c:pt idx="0">
                  <c:v>1</c:v>
                </c:pt>
                <c:pt idx="1">
                  <c:v>0</c:v>
                </c:pt>
                <c:pt idx="2">
                  <c:v>0</c:v>
                </c:pt>
                <c:pt idx="3">
                  <c:v>0</c:v>
                </c:pt>
                <c:pt idx="4">
                  <c:v>0</c:v>
                </c:pt>
                <c:pt idx="5">
                  <c:v>2</c:v>
                </c:pt>
                <c:pt idx="6">
                  <c:v>0</c:v>
                </c:pt>
                <c:pt idx="7">
                  <c:v>0</c:v>
                </c:pt>
                <c:pt idx="8">
                  <c:v>1</c:v>
                </c:pt>
                <c:pt idx="9">
                  <c:v>1</c:v>
                </c:pt>
              </c:numCache>
            </c:numRef>
          </c:val>
        </c:ser>
        <c:ser>
          <c:idx val="4"/>
          <c:order val="4"/>
          <c:tx>
            <c:strRef>
              <c:f>Dashboard!H46</c:f>
              <c:strCache>
                <c:ptCount val="1"/>
                <c:pt idx="0">
                  <c:v>Unable to offer at this time</c:v>
                </c:pt>
              </c:strCache>
            </c:strRef>
          </c:tx>
          <c:spPr>
            <a:solidFill>
              <a:srgbClr val="d9534f"/>
            </a:solidFill>
            <a:ln w="9360">
              <a:solidFill>
                <a:srgbClr val="ffffff"/>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Dashboard!$B$47:$B$56</c:f>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f>Dashboard!$H$47:$H$56</c:f>
              <c:numCache>
                <c:formatCode>General</c:formatCode>
                <c:ptCount val="10"/>
                <c:pt idx="0">
                  <c:v>0</c:v>
                </c:pt>
                <c:pt idx="1">
                  <c:v>0</c:v>
                </c:pt>
                <c:pt idx="2">
                  <c:v>0</c:v>
                </c:pt>
                <c:pt idx="3">
                  <c:v>0</c:v>
                </c:pt>
                <c:pt idx="4">
                  <c:v>0</c:v>
                </c:pt>
                <c:pt idx="5">
                  <c:v>0</c:v>
                </c:pt>
                <c:pt idx="6">
                  <c:v>1</c:v>
                </c:pt>
                <c:pt idx="7">
                  <c:v>1</c:v>
                </c:pt>
                <c:pt idx="8">
                  <c:v>0</c:v>
                </c:pt>
                <c:pt idx="9">
                  <c:v>0</c:v>
                </c:pt>
              </c:numCache>
            </c:numRef>
          </c:val>
        </c:ser>
        <c:gapWidth val="55"/>
        <c:overlap val="100"/>
        <c:axId val="5659837"/>
        <c:axId val="6120486"/>
      </c:barChart>
      <c:catAx>
        <c:axId val="565983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120486"/>
        <c:crosses val="autoZero"/>
        <c:auto val="1"/>
        <c:lblAlgn val="ctr"/>
        <c:lblOffset val="100"/>
        <c:noMultiLvlLbl val="0"/>
      </c:catAx>
      <c:valAx>
        <c:axId val="6120486"/>
        <c:scaling>
          <c:orientation val="minMax"/>
        </c:scaling>
        <c:delete val="0"/>
        <c:axPos val="l"/>
        <c:majorGridlines>
          <c:spPr>
            <a:ln w="6480">
              <a:solidFill>
                <a:srgbClr val="d9d9d9"/>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659837"/>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100" spc="-1" strike="noStrike">
                <a:solidFill>
                  <a:srgbClr val="1f3864"/>
                </a:solidFill>
                <a:latin typeface="Arial"/>
              </a:defRPr>
            </a:pPr>
            <a:r>
              <a:rPr b="1" sz="1100" spc="-1" strike="noStrike">
                <a:solidFill>
                  <a:srgbClr val="1f3864"/>
                </a:solidFill>
                <a:latin typeface="Arial"/>
              </a:rPr>
              <a:t>Maths band, share of each year group</a:t>
            </a:r>
          </a:p>
        </c:rich>
      </c:tx>
      <c:overlay val="0"/>
      <c:spPr>
        <a:noFill/>
        <a:ln w="0">
          <a:noFill/>
        </a:ln>
      </c:spPr>
    </c:title>
    <c:autoTitleDeleted val="0"/>
    <c:plotArea>
      <c:barChart>
        <c:barDir val="col"/>
        <c:grouping val="percentStacked"/>
        <c:varyColors val="0"/>
        <c:ser>
          <c:idx val="0"/>
          <c:order val="0"/>
          <c:tx>
            <c:strRef>
              <c:f>Dashboard!C62</c:f>
              <c:strCache>
                <c:ptCount val="1"/>
                <c:pt idx="0">
                  <c:v>1</c:v>
                </c:pt>
              </c:strCache>
            </c:strRef>
          </c:tx>
          <c:spPr>
            <a:solidFill>
              <a:srgbClr val="c6dbf5"/>
            </a:solidFill>
            <a:ln w="9360">
              <a:solidFill>
                <a:srgbClr val="ffffff"/>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Dashboard!$B$63:$B$72</c:f>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f>Dashboard!$C$63:$C$72</c:f>
              <c:numCache>
                <c:formatCode>General</c:formatCode>
                <c:ptCount val="10"/>
                <c:pt idx="0">
                  <c:v>1</c:v>
                </c:pt>
                <c:pt idx="1">
                  <c:v>0</c:v>
                </c:pt>
                <c:pt idx="2">
                  <c:v>1</c:v>
                </c:pt>
                <c:pt idx="3">
                  <c:v>0</c:v>
                </c:pt>
                <c:pt idx="4">
                  <c:v>0</c:v>
                </c:pt>
                <c:pt idx="5">
                  <c:v>2</c:v>
                </c:pt>
                <c:pt idx="6">
                  <c:v>1</c:v>
                </c:pt>
                <c:pt idx="7">
                  <c:v>1</c:v>
                </c:pt>
                <c:pt idx="8">
                  <c:v>0</c:v>
                </c:pt>
                <c:pt idx="9">
                  <c:v>0</c:v>
                </c:pt>
              </c:numCache>
            </c:numRef>
          </c:val>
        </c:ser>
        <c:ser>
          <c:idx val="1"/>
          <c:order val="1"/>
          <c:tx>
            <c:strRef>
              <c:f>Dashboard!D62</c:f>
              <c:strCache>
                <c:ptCount val="1"/>
                <c:pt idx="0">
                  <c:v>2</c:v>
                </c:pt>
              </c:strCache>
            </c:strRef>
          </c:tx>
          <c:spPr>
            <a:solidFill>
              <a:srgbClr val="85b0e8"/>
            </a:solidFill>
            <a:ln w="9360">
              <a:solidFill>
                <a:srgbClr val="ffffff"/>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Dashboard!$B$63:$B$72</c:f>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f>Dashboard!$D$63:$D$72</c:f>
              <c:numCache>
                <c:formatCode>General</c:formatCode>
                <c:ptCount val="10"/>
                <c:pt idx="0">
                  <c:v>2</c:v>
                </c:pt>
                <c:pt idx="1">
                  <c:v>2</c:v>
                </c:pt>
                <c:pt idx="2">
                  <c:v>3</c:v>
                </c:pt>
                <c:pt idx="3">
                  <c:v>4</c:v>
                </c:pt>
                <c:pt idx="4">
                  <c:v>3</c:v>
                </c:pt>
                <c:pt idx="5">
                  <c:v>3</c:v>
                </c:pt>
                <c:pt idx="6">
                  <c:v>3</c:v>
                </c:pt>
                <c:pt idx="7">
                  <c:v>2</c:v>
                </c:pt>
                <c:pt idx="8">
                  <c:v>3</c:v>
                </c:pt>
                <c:pt idx="9">
                  <c:v>2</c:v>
                </c:pt>
              </c:numCache>
            </c:numRef>
          </c:val>
        </c:ser>
        <c:ser>
          <c:idx val="2"/>
          <c:order val="2"/>
          <c:tx>
            <c:strRef>
              <c:f>Dashboard!E62</c:f>
              <c:strCache>
                <c:ptCount val="1"/>
                <c:pt idx="0">
                  <c:v>3</c:v>
                </c:pt>
              </c:strCache>
            </c:strRef>
          </c:tx>
          <c:spPr>
            <a:solidFill>
              <a:srgbClr val="2a78d6"/>
            </a:solidFill>
            <a:ln w="9360">
              <a:solidFill>
                <a:srgbClr val="ffffff"/>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Dashboard!$B$63:$B$72</c:f>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f>Dashboard!$E$63:$E$72</c:f>
              <c:numCache>
                <c:formatCode>General</c:formatCode>
                <c:ptCount val="10"/>
                <c:pt idx="0">
                  <c:v>2</c:v>
                </c:pt>
                <c:pt idx="1">
                  <c:v>3</c:v>
                </c:pt>
                <c:pt idx="2">
                  <c:v>1</c:v>
                </c:pt>
                <c:pt idx="3">
                  <c:v>2</c:v>
                </c:pt>
                <c:pt idx="4">
                  <c:v>4</c:v>
                </c:pt>
                <c:pt idx="5">
                  <c:v>1</c:v>
                </c:pt>
                <c:pt idx="6">
                  <c:v>1</c:v>
                </c:pt>
                <c:pt idx="7">
                  <c:v>3</c:v>
                </c:pt>
                <c:pt idx="8">
                  <c:v>1</c:v>
                </c:pt>
                <c:pt idx="9">
                  <c:v>3</c:v>
                </c:pt>
              </c:numCache>
            </c:numRef>
          </c:val>
        </c:ser>
        <c:ser>
          <c:idx val="3"/>
          <c:order val="3"/>
          <c:tx>
            <c:strRef>
              <c:f>Dashboard!F62</c:f>
              <c:strCache>
                <c:ptCount val="1"/>
                <c:pt idx="0">
                  <c:v>4</c:v>
                </c:pt>
              </c:strCache>
            </c:strRef>
          </c:tx>
          <c:spPr>
            <a:solidFill>
              <a:srgbClr val="123f75"/>
            </a:solidFill>
            <a:ln w="9360">
              <a:solidFill>
                <a:srgbClr val="ffffff"/>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Dashboard!$B$63:$B$72</c:f>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f>Dashboard!$F$63:$F$72</c:f>
              <c:numCache>
                <c:formatCode>General</c:formatCode>
                <c:ptCount val="10"/>
                <c:pt idx="0">
                  <c:v>0</c:v>
                </c:pt>
                <c:pt idx="1">
                  <c:v>0</c:v>
                </c:pt>
                <c:pt idx="2">
                  <c:v>2</c:v>
                </c:pt>
                <c:pt idx="3">
                  <c:v>0</c:v>
                </c:pt>
                <c:pt idx="4">
                  <c:v>0</c:v>
                </c:pt>
                <c:pt idx="5">
                  <c:v>1</c:v>
                </c:pt>
                <c:pt idx="6">
                  <c:v>1</c:v>
                </c:pt>
                <c:pt idx="7">
                  <c:v>0</c:v>
                </c:pt>
                <c:pt idx="8">
                  <c:v>2</c:v>
                </c:pt>
                <c:pt idx="9">
                  <c:v>0</c:v>
                </c:pt>
              </c:numCache>
            </c:numRef>
          </c:val>
        </c:ser>
        <c:gapWidth val="55"/>
        <c:overlap val="100"/>
        <c:axId val="8169308"/>
        <c:axId val="38515742"/>
      </c:barChart>
      <c:catAx>
        <c:axId val="816930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8515742"/>
        <c:crosses val="autoZero"/>
        <c:auto val="1"/>
        <c:lblAlgn val="ctr"/>
        <c:lblOffset val="100"/>
        <c:noMultiLvlLbl val="0"/>
      </c:catAx>
      <c:valAx>
        <c:axId val="38515742"/>
        <c:scaling>
          <c:orientation val="minMax"/>
        </c:scaling>
        <c:delete val="0"/>
        <c:axPos val="l"/>
        <c:majorGridlines>
          <c:spPr>
            <a:ln w="6480">
              <a:solidFill>
                <a:srgbClr val="d9d9d9"/>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169308"/>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0</xdr:colOff>
      <xdr:row>11</xdr:row>
      <xdr:rowOff>100800</xdr:rowOff>
    </xdr:from>
    <xdr:to>
      <xdr:col>22</xdr:col>
      <xdr:colOff>76320</xdr:colOff>
      <xdr:row>24</xdr:row>
      <xdr:rowOff>150480</xdr:rowOff>
    </xdr:to>
    <xdr:graphicFrame>
      <xdr:nvGraphicFramePr>
        <xdr:cNvPr id="0" name="Chart 1"/>
        <xdr:cNvGraphicFramePr/>
      </xdr:nvGraphicFramePr>
      <xdr:xfrm>
        <a:off x="10893600" y="2705040"/>
        <a:ext cx="5579640" cy="2735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0</xdr:colOff>
      <xdr:row>26</xdr:row>
      <xdr:rowOff>101160</xdr:rowOff>
    </xdr:from>
    <xdr:to>
      <xdr:col>22</xdr:col>
      <xdr:colOff>76320</xdr:colOff>
      <xdr:row>39</xdr:row>
      <xdr:rowOff>150480</xdr:rowOff>
    </xdr:to>
    <xdr:graphicFrame>
      <xdr:nvGraphicFramePr>
        <xdr:cNvPr id="1" name="Chart 2"/>
        <xdr:cNvGraphicFramePr/>
      </xdr:nvGraphicFramePr>
      <xdr:xfrm>
        <a:off x="10893600" y="5772240"/>
        <a:ext cx="5579640" cy="2735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0</xdr:colOff>
      <xdr:row>42</xdr:row>
      <xdr:rowOff>101160</xdr:rowOff>
    </xdr:from>
    <xdr:to>
      <xdr:col>22</xdr:col>
      <xdr:colOff>76320</xdr:colOff>
      <xdr:row>54</xdr:row>
      <xdr:rowOff>189000</xdr:rowOff>
    </xdr:to>
    <xdr:graphicFrame>
      <xdr:nvGraphicFramePr>
        <xdr:cNvPr id="2" name="Chart 3"/>
        <xdr:cNvGraphicFramePr/>
      </xdr:nvGraphicFramePr>
      <xdr:xfrm>
        <a:off x="10893600" y="9029880"/>
        <a:ext cx="5579640" cy="2735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0</xdr:colOff>
      <xdr:row>58</xdr:row>
      <xdr:rowOff>101160</xdr:rowOff>
    </xdr:from>
    <xdr:to>
      <xdr:col>22</xdr:col>
      <xdr:colOff>76320</xdr:colOff>
      <xdr:row>71</xdr:row>
      <xdr:rowOff>150840</xdr:rowOff>
    </xdr:to>
    <xdr:graphicFrame>
      <xdr:nvGraphicFramePr>
        <xdr:cNvPr id="3" name="Chart 4"/>
        <xdr:cNvGraphicFramePr/>
      </xdr:nvGraphicFramePr>
      <xdr:xfrm>
        <a:off x="10893600" y="12439800"/>
        <a:ext cx="5579640" cy="2735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_rels/sheet8.xml.rels><?xml version="1.0" encoding="UTF-8"?>
<Relationships xmlns="http://schemas.openxmlformats.org/package/2006/relationships"><Relationship Id="rId1" Type="http://schemas.openxmlformats.org/officeDocument/2006/relationships/drawing" Target="../drawings/drawing6.xml"/>
</Relationships>
</file>

<file path=xl/worksheets/_rels/sheet9.xml.rels><?xml version="1.0" encoding="UTF-8"?>
<Relationships xmlns="http://schemas.openxmlformats.org/package/2006/relationships"><Relationship Id="rId1" Type="http://schemas.openxmlformats.org/officeDocument/2006/relationships/drawing" Target="../drawings/drawing7.xml"/>
</Relationships>
</file>

<file path=xl/worksheets/_rels/sheet10.xml.rels><?xml version="1.0" encoding="UTF-8"?>
<Relationships xmlns="http://schemas.openxmlformats.org/package/2006/relationships"><Relationship Id="rId1" Type="http://schemas.openxmlformats.org/officeDocument/2006/relationships/drawing" Target="../drawings/drawing8.xml"/>
</Relationships>
</file>

<file path=xl/worksheets/_rels/sheet11.xml.rels><?xml version="1.0" encoding="UTF-8"?>
<Relationships xmlns="http://schemas.openxmlformats.org/package/2006/relationships"><Relationship Id="rId1" Type="http://schemas.openxmlformats.org/officeDocument/2006/relationships/drawing" Target="../drawings/drawing9.xml"/>
</Relationships>
</file>

<file path=xl/worksheets/_rels/sheet12.xml.rels><?xml version="1.0" encoding="UTF-8"?>
<Relationships xmlns="http://schemas.openxmlformats.org/package/2006/relationships"><Relationship Id="rId1" Type="http://schemas.openxmlformats.org/officeDocument/2006/relationships/drawing" Target="../drawings/drawing10.xml"/>
</Relationships>
</file>

<file path=xl/worksheets/_rels/sheet13.xml.rels><?xml version="1.0" encoding="UTF-8"?>
<Relationships xmlns="http://schemas.openxmlformats.org/package/2006/relationships"><Relationship Id="rId1" Type="http://schemas.openxmlformats.org/officeDocument/2006/relationships/drawing" Target="../drawings/drawing1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true"/>
  </sheetPr>
  <dimension ref="A1:E9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4"/>
    <col collapsed="false" customWidth="true" hidden="false" outlineLevel="0" max="3" min="3" style="0" width="26"/>
    <col collapsed="false" customWidth="true" hidden="false" outlineLevel="0" max="4" min="4" style="0" width="62"/>
    <col collapsed="false" customWidth="true" hidden="false" outlineLevel="0" max="5" min="5" style="0" width="38"/>
    <col collapsed="false" customWidth="true" hidden="false" outlineLevel="0" max="6" min="6" style="0" width="2"/>
  </cols>
  <sheetData>
    <row r="1" customFormat="false" ht="22.05" hidden="false" customHeight="false" outlineLevel="0" collapsed="false">
      <c r="A1" s="1"/>
      <c r="B1" s="2" t="s">
        <v>0</v>
      </c>
      <c r="C1" s="1"/>
      <c r="D1" s="1"/>
      <c r="E1" s="1"/>
    </row>
    <row r="2" customFormat="false" ht="15" hidden="false" customHeight="false" outlineLevel="0" collapsed="false">
      <c r="A2" s="1"/>
      <c r="B2" s="3" t="s">
        <v>1</v>
      </c>
      <c r="C2" s="1"/>
      <c r="D2" s="1"/>
      <c r="E2" s="1"/>
    </row>
    <row r="3" customFormat="false" ht="43.5" hidden="false" customHeight="true" outlineLevel="0" collapsed="false">
      <c r="A3" s="1"/>
      <c r="B3" s="4" t="s">
        <v>2</v>
      </c>
      <c r="C3" s="4"/>
      <c r="D3" s="4"/>
      <c r="E3" s="4"/>
    </row>
    <row r="4" customFormat="false" ht="15" hidden="false" customHeight="false" outlineLevel="0" collapsed="false">
      <c r="A4" s="1"/>
      <c r="B4" s="1"/>
      <c r="C4" s="1"/>
      <c r="D4" s="1"/>
      <c r="E4" s="1"/>
    </row>
    <row r="5" customFormat="false" ht="15" hidden="false" customHeight="false" outlineLevel="0" collapsed="false">
      <c r="A5" s="1"/>
      <c r="B5" s="5" t="s">
        <v>3</v>
      </c>
      <c r="C5" s="1"/>
      <c r="D5" s="1"/>
      <c r="E5" s="1"/>
    </row>
    <row r="6" customFormat="false" ht="45" hidden="false" customHeight="true" outlineLevel="0" collapsed="false">
      <c r="A6" s="1"/>
      <c r="B6" s="6" t="s">
        <v>4</v>
      </c>
      <c r="C6" s="6"/>
      <c r="D6" s="6"/>
      <c r="E6" s="6"/>
    </row>
    <row r="7" customFormat="false" ht="15" hidden="false" customHeight="false" outlineLevel="0" collapsed="false">
      <c r="A7" s="1"/>
      <c r="B7" s="1"/>
      <c r="C7" s="1"/>
      <c r="D7" s="1"/>
      <c r="E7" s="1"/>
    </row>
    <row r="8" customFormat="false" ht="15" hidden="false" customHeight="false" outlineLevel="0" collapsed="false">
      <c r="A8" s="1"/>
      <c r="B8" s="5" t="s">
        <v>5</v>
      </c>
      <c r="C8" s="1"/>
      <c r="D8" s="1"/>
      <c r="E8" s="1"/>
    </row>
    <row r="9" customFormat="false" ht="15" hidden="false" customHeight="true" outlineLevel="0" collapsed="false">
      <c r="A9" s="1"/>
      <c r="B9" s="6" t="s">
        <v>6</v>
      </c>
      <c r="C9" s="6"/>
      <c r="D9" s="6"/>
      <c r="E9" s="6"/>
    </row>
    <row r="10" customFormat="false" ht="30" hidden="false" customHeight="true" outlineLevel="0" collapsed="false">
      <c r="A10" s="1"/>
      <c r="B10" s="6" t="s">
        <v>7</v>
      </c>
      <c r="C10" s="6"/>
      <c r="D10" s="6"/>
      <c r="E10" s="6"/>
    </row>
    <row r="11" customFormat="false" ht="30" hidden="false" customHeight="true" outlineLevel="0" collapsed="false">
      <c r="A11" s="1"/>
      <c r="B11" s="6" t="s">
        <v>8</v>
      </c>
      <c r="C11" s="6"/>
      <c r="D11" s="6"/>
      <c r="E11" s="6"/>
    </row>
    <row r="12" customFormat="false" ht="30" hidden="false" customHeight="true" outlineLevel="0" collapsed="false">
      <c r="A12" s="1"/>
      <c r="B12" s="6" t="s">
        <v>9</v>
      </c>
      <c r="C12" s="6"/>
      <c r="D12" s="6"/>
      <c r="E12" s="6"/>
    </row>
    <row r="13" customFormat="false" ht="30" hidden="false" customHeight="true" outlineLevel="0" collapsed="false">
      <c r="A13" s="1"/>
      <c r="B13" s="6" t="s">
        <v>10</v>
      </c>
      <c r="C13" s="6"/>
      <c r="D13" s="6"/>
      <c r="E13" s="6"/>
    </row>
    <row r="14" customFormat="false" ht="15" hidden="false" customHeight="true" outlineLevel="0" collapsed="false">
      <c r="A14" s="1"/>
      <c r="B14" s="6" t="s">
        <v>11</v>
      </c>
      <c r="C14" s="6"/>
      <c r="D14" s="6"/>
      <c r="E14" s="6"/>
    </row>
    <row r="15" customFormat="false" ht="15" hidden="false" customHeight="true" outlineLevel="0" collapsed="false">
      <c r="A15" s="1"/>
      <c r="B15" s="6" t="s">
        <v>12</v>
      </c>
      <c r="C15" s="6"/>
      <c r="D15" s="6"/>
      <c r="E15" s="6"/>
    </row>
    <row r="16" customFormat="false" ht="15" hidden="false" customHeight="false" outlineLevel="0" collapsed="false">
      <c r="A16" s="1"/>
      <c r="B16" s="1"/>
      <c r="C16" s="1"/>
      <c r="D16" s="1"/>
      <c r="E16" s="1"/>
    </row>
    <row r="17" customFormat="false" ht="15" hidden="false" customHeight="false" outlineLevel="0" collapsed="false">
      <c r="A17" s="1"/>
      <c r="B17" s="5" t="s">
        <v>13</v>
      </c>
      <c r="C17" s="1"/>
      <c r="D17" s="1"/>
      <c r="E17" s="1"/>
    </row>
    <row r="18" customFormat="false" ht="15" hidden="false" customHeight="false" outlineLevel="0" collapsed="false">
      <c r="A18" s="1"/>
      <c r="B18" s="7" t="s">
        <v>14</v>
      </c>
      <c r="C18" s="8" t="s">
        <v>15</v>
      </c>
      <c r="D18" s="8"/>
      <c r="E18" s="8"/>
    </row>
    <row r="19" customFormat="false" ht="15" hidden="false" customHeight="false" outlineLevel="0" collapsed="false">
      <c r="A19" s="1"/>
      <c r="B19" s="9" t="s">
        <v>16</v>
      </c>
      <c r="C19" s="8" t="s">
        <v>17</v>
      </c>
      <c r="D19" s="8"/>
      <c r="E19" s="8"/>
    </row>
    <row r="20" customFormat="false" ht="15" hidden="false" customHeight="false" outlineLevel="0" collapsed="false">
      <c r="A20" s="1"/>
      <c r="B20" s="10" t="s">
        <v>18</v>
      </c>
      <c r="C20" s="8" t="s">
        <v>19</v>
      </c>
      <c r="D20" s="8"/>
      <c r="E20" s="8"/>
    </row>
    <row r="21" customFormat="false" ht="15" hidden="false" customHeight="false" outlineLevel="0" collapsed="false">
      <c r="A21" s="1"/>
      <c r="B21" s="11" t="s">
        <v>20</v>
      </c>
      <c r="C21" s="8" t="s">
        <v>21</v>
      </c>
      <c r="D21" s="8"/>
      <c r="E21" s="8"/>
    </row>
    <row r="22" customFormat="false" ht="15" hidden="false" customHeight="false" outlineLevel="0" collapsed="false">
      <c r="A22" s="1"/>
      <c r="B22" s="12" t="s">
        <v>22</v>
      </c>
      <c r="C22" s="8" t="s">
        <v>23</v>
      </c>
      <c r="D22" s="8"/>
      <c r="E22" s="8"/>
    </row>
    <row r="23" customFormat="false" ht="15" hidden="false" customHeight="false" outlineLevel="0" collapsed="false">
      <c r="A23" s="1"/>
      <c r="B23" s="13" t="s">
        <v>24</v>
      </c>
      <c r="C23" s="8" t="s">
        <v>25</v>
      </c>
      <c r="D23" s="8"/>
      <c r="E23" s="8"/>
    </row>
    <row r="24" customFormat="false" ht="15" hidden="false" customHeight="false" outlineLevel="0" collapsed="false">
      <c r="A24" s="1"/>
      <c r="B24" s="1"/>
      <c r="C24" s="1"/>
      <c r="D24" s="1"/>
      <c r="E24" s="1"/>
    </row>
    <row r="25" customFormat="false" ht="15" hidden="false" customHeight="false" outlineLevel="0" collapsed="false">
      <c r="A25" s="1"/>
      <c r="B25" s="5" t="s">
        <v>26</v>
      </c>
      <c r="C25" s="1"/>
      <c r="D25" s="1"/>
      <c r="E25" s="1"/>
    </row>
    <row r="26" customFormat="false" ht="15" hidden="false" customHeight="false" outlineLevel="0" collapsed="false">
      <c r="A26" s="1"/>
      <c r="B26" s="14" t="s">
        <v>27</v>
      </c>
      <c r="C26" s="8" t="s">
        <v>28</v>
      </c>
      <c r="D26" s="8"/>
      <c r="E26" s="8"/>
    </row>
    <row r="27" customFormat="false" ht="15" hidden="false" customHeight="false" outlineLevel="0" collapsed="false">
      <c r="A27" s="1"/>
      <c r="B27" s="14" t="s">
        <v>29</v>
      </c>
      <c r="C27" s="8" t="s">
        <v>30</v>
      </c>
      <c r="D27" s="8"/>
      <c r="E27" s="8"/>
    </row>
    <row r="28" customFormat="false" ht="15" hidden="false" customHeight="false" outlineLevel="0" collapsed="false">
      <c r="A28" s="1"/>
      <c r="B28" s="14" t="s">
        <v>31</v>
      </c>
      <c r="C28" s="8" t="s">
        <v>32</v>
      </c>
      <c r="D28" s="8"/>
      <c r="E28" s="8"/>
    </row>
    <row r="29" customFormat="false" ht="15" hidden="false" customHeight="false" outlineLevel="0" collapsed="false">
      <c r="A29" s="1"/>
      <c r="B29" s="14" t="s">
        <v>33</v>
      </c>
      <c r="C29" s="8" t="s">
        <v>34</v>
      </c>
      <c r="D29" s="8"/>
      <c r="E29" s="8"/>
    </row>
    <row r="30" customFormat="false" ht="15" hidden="false" customHeight="false" outlineLevel="0" collapsed="false">
      <c r="A30" s="1"/>
      <c r="B30" s="14" t="s">
        <v>35</v>
      </c>
      <c r="C30" s="8" t="s">
        <v>36</v>
      </c>
      <c r="D30" s="8"/>
      <c r="E30" s="8"/>
    </row>
    <row r="31" customFormat="false" ht="15" hidden="false" customHeight="false" outlineLevel="0" collapsed="false">
      <c r="A31" s="1"/>
      <c r="B31" s="14" t="s">
        <v>37</v>
      </c>
      <c r="C31" s="8" t="s">
        <v>38</v>
      </c>
      <c r="D31" s="8"/>
      <c r="E31" s="8"/>
    </row>
    <row r="32" customFormat="false" ht="15" hidden="false" customHeight="false" outlineLevel="0" collapsed="false">
      <c r="A32" s="1"/>
      <c r="B32" s="14" t="s">
        <v>39</v>
      </c>
      <c r="C32" s="8" t="s">
        <v>40</v>
      </c>
      <c r="D32" s="8"/>
      <c r="E32" s="8"/>
    </row>
    <row r="33" customFormat="false" ht="15" hidden="false" customHeight="false" outlineLevel="0" collapsed="false">
      <c r="A33" s="1"/>
      <c r="B33" s="1"/>
      <c r="C33" s="1"/>
      <c r="D33" s="1"/>
      <c r="E33" s="1"/>
    </row>
    <row r="34" customFormat="false" ht="15" hidden="false" customHeight="false" outlineLevel="0" collapsed="false">
      <c r="A34" s="1"/>
      <c r="B34" s="5" t="s">
        <v>41</v>
      </c>
      <c r="C34" s="1"/>
      <c r="D34" s="1"/>
      <c r="E34" s="1"/>
    </row>
    <row r="35" customFormat="false" ht="15" hidden="false" customHeight="false" outlineLevel="0" collapsed="false">
      <c r="A35" s="1"/>
      <c r="B35" s="14" t="s">
        <v>42</v>
      </c>
      <c r="C35" s="8" t="s">
        <v>43</v>
      </c>
      <c r="D35" s="8"/>
      <c r="E35" s="8"/>
    </row>
    <row r="36" customFormat="false" ht="15" hidden="false" customHeight="false" outlineLevel="0" collapsed="false">
      <c r="A36" s="1"/>
      <c r="B36" s="14" t="s">
        <v>44</v>
      </c>
      <c r="C36" s="8" t="s">
        <v>45</v>
      </c>
      <c r="D36" s="8"/>
      <c r="E36" s="8"/>
    </row>
    <row r="37" customFormat="false" ht="15" hidden="false" customHeight="false" outlineLevel="0" collapsed="false">
      <c r="A37" s="1"/>
      <c r="B37" s="14" t="s">
        <v>46</v>
      </c>
      <c r="C37" s="8" t="s">
        <v>47</v>
      </c>
      <c r="D37" s="8"/>
      <c r="E37" s="8"/>
    </row>
    <row r="38" customFormat="false" ht="15" hidden="false" customHeight="false" outlineLevel="0" collapsed="false">
      <c r="A38" s="1"/>
      <c r="B38" s="14" t="s">
        <v>48</v>
      </c>
      <c r="C38" s="8" t="s">
        <v>49</v>
      </c>
      <c r="D38" s="8"/>
      <c r="E38" s="8"/>
    </row>
    <row r="39" customFormat="false" ht="15" hidden="false" customHeight="false" outlineLevel="0" collapsed="false">
      <c r="A39" s="1"/>
      <c r="B39" s="1"/>
      <c r="C39" s="1"/>
      <c r="D39" s="1"/>
      <c r="E39" s="1"/>
    </row>
    <row r="40" customFormat="false" ht="15" hidden="false" customHeight="false" outlineLevel="0" collapsed="false">
      <c r="A40" s="1"/>
      <c r="B40" s="5" t="s">
        <v>50</v>
      </c>
      <c r="C40" s="1"/>
      <c r="D40" s="1"/>
      <c r="E40" s="1"/>
    </row>
    <row r="41" customFormat="false" ht="15" hidden="false" customHeight="false" outlineLevel="0" collapsed="false">
      <c r="A41" s="1"/>
      <c r="B41" s="15" t="s">
        <v>51</v>
      </c>
      <c r="C41" s="15" t="s">
        <v>52</v>
      </c>
      <c r="D41" s="15" t="s">
        <v>53</v>
      </c>
      <c r="E41" s="15" t="s">
        <v>54</v>
      </c>
    </row>
    <row r="42" customFormat="false" ht="30" hidden="false" customHeight="true" outlineLevel="0" collapsed="false">
      <c r="A42" s="1"/>
      <c r="B42" s="16" t="s">
        <v>55</v>
      </c>
      <c r="C42" s="17" t="s">
        <v>56</v>
      </c>
      <c r="D42" s="16" t="s">
        <v>57</v>
      </c>
      <c r="E42" s="16" t="s">
        <v>58</v>
      </c>
    </row>
    <row r="43" customFormat="false" ht="15" hidden="false" customHeight="true" outlineLevel="0" collapsed="false">
      <c r="A43" s="1"/>
      <c r="B43" s="16" t="s">
        <v>59</v>
      </c>
      <c r="C43" s="17" t="s">
        <v>60</v>
      </c>
      <c r="D43" s="16" t="s">
        <v>61</v>
      </c>
      <c r="E43" s="16" t="s">
        <v>58</v>
      </c>
    </row>
    <row r="44" customFormat="false" ht="30" hidden="false" customHeight="true" outlineLevel="0" collapsed="false">
      <c r="A44" s="1"/>
      <c r="B44" s="16" t="s">
        <v>62</v>
      </c>
      <c r="C44" s="17" t="s">
        <v>63</v>
      </c>
      <c r="D44" s="16" t="s">
        <v>64</v>
      </c>
      <c r="E44" s="16" t="s">
        <v>58</v>
      </c>
    </row>
    <row r="45" customFormat="false" ht="15" hidden="false" customHeight="true" outlineLevel="0" collapsed="false">
      <c r="A45" s="1"/>
      <c r="B45" s="16" t="s">
        <v>65</v>
      </c>
      <c r="C45" s="17" t="s">
        <v>66</v>
      </c>
      <c r="D45" s="16" t="s">
        <v>67</v>
      </c>
      <c r="E45" s="16" t="s">
        <v>58</v>
      </c>
    </row>
    <row r="46" customFormat="false" ht="15" hidden="false" customHeight="true" outlineLevel="0" collapsed="false">
      <c r="A46" s="1"/>
      <c r="B46" s="16" t="s">
        <v>68</v>
      </c>
      <c r="C46" s="17" t="s">
        <v>69</v>
      </c>
      <c r="D46" s="16" t="s">
        <v>70</v>
      </c>
      <c r="E46" s="16" t="s">
        <v>71</v>
      </c>
    </row>
    <row r="47" customFormat="false" ht="15" hidden="false" customHeight="true" outlineLevel="0" collapsed="false">
      <c r="A47" s="1"/>
      <c r="B47" s="16" t="s">
        <v>72</v>
      </c>
      <c r="C47" s="17" t="s">
        <v>73</v>
      </c>
      <c r="D47" s="16" t="s">
        <v>74</v>
      </c>
      <c r="E47" s="16" t="s">
        <v>75</v>
      </c>
    </row>
    <row r="48" customFormat="false" ht="15" hidden="false" customHeight="true" outlineLevel="0" collapsed="false">
      <c r="A48" s="1"/>
      <c r="B48" s="16" t="s">
        <v>76</v>
      </c>
      <c r="C48" s="17" t="s">
        <v>77</v>
      </c>
      <c r="D48" s="16" t="s">
        <v>78</v>
      </c>
      <c r="E48" s="16" t="s">
        <v>58</v>
      </c>
    </row>
    <row r="49" customFormat="false" ht="15" hidden="false" customHeight="true" outlineLevel="0" collapsed="false">
      <c r="A49" s="1"/>
      <c r="B49" s="16" t="s">
        <v>79</v>
      </c>
      <c r="C49" s="17" t="s">
        <v>80</v>
      </c>
      <c r="D49" s="16" t="s">
        <v>81</v>
      </c>
      <c r="E49" s="16" t="s">
        <v>82</v>
      </c>
    </row>
    <row r="50" customFormat="false" ht="30" hidden="false" customHeight="true" outlineLevel="0" collapsed="false">
      <c r="A50" s="1"/>
      <c r="B50" s="16" t="s">
        <v>83</v>
      </c>
      <c r="C50" s="17" t="s">
        <v>84</v>
      </c>
      <c r="D50" s="16" t="s">
        <v>85</v>
      </c>
      <c r="E50" s="16" t="s">
        <v>58</v>
      </c>
    </row>
    <row r="51" customFormat="false" ht="30" hidden="false" customHeight="true" outlineLevel="0" collapsed="false">
      <c r="A51" s="1"/>
      <c r="B51" s="16" t="s">
        <v>86</v>
      </c>
      <c r="C51" s="17" t="s">
        <v>31</v>
      </c>
      <c r="D51" s="16" t="s">
        <v>87</v>
      </c>
      <c r="E51" s="16"/>
    </row>
    <row r="52" customFormat="false" ht="30" hidden="false" customHeight="true" outlineLevel="0" collapsed="false">
      <c r="A52" s="1"/>
      <c r="B52" s="16" t="s">
        <v>88</v>
      </c>
      <c r="C52" s="17" t="s">
        <v>89</v>
      </c>
      <c r="D52" s="16" t="s">
        <v>90</v>
      </c>
      <c r="E52" s="16" t="s">
        <v>82</v>
      </c>
    </row>
    <row r="53" customFormat="false" ht="30" hidden="false" customHeight="true" outlineLevel="0" collapsed="false">
      <c r="A53" s="1"/>
      <c r="B53" s="16" t="s">
        <v>91</v>
      </c>
      <c r="C53" s="17" t="s">
        <v>92</v>
      </c>
      <c r="D53" s="16" t="s">
        <v>93</v>
      </c>
      <c r="E53" s="16" t="s">
        <v>94</v>
      </c>
    </row>
    <row r="54" customFormat="false" ht="30" hidden="false" customHeight="true" outlineLevel="0" collapsed="false">
      <c r="A54" s="1"/>
      <c r="B54" s="16" t="s">
        <v>95</v>
      </c>
      <c r="C54" s="17" t="s">
        <v>92</v>
      </c>
      <c r="D54" s="16" t="s">
        <v>96</v>
      </c>
      <c r="E54" s="16" t="s">
        <v>97</v>
      </c>
    </row>
    <row r="55" customFormat="false" ht="30" hidden="false" customHeight="true" outlineLevel="0" collapsed="false">
      <c r="A55" s="1"/>
      <c r="B55" s="16" t="s">
        <v>98</v>
      </c>
      <c r="C55" s="17" t="s">
        <v>99</v>
      </c>
      <c r="D55" s="16" t="s">
        <v>100</v>
      </c>
      <c r="E55" s="16" t="s">
        <v>101</v>
      </c>
    </row>
    <row r="56" customFormat="false" ht="30" hidden="false" customHeight="true" outlineLevel="0" collapsed="false">
      <c r="A56" s="1"/>
      <c r="B56" s="16" t="s">
        <v>102</v>
      </c>
      <c r="C56" s="17" t="s">
        <v>103</v>
      </c>
      <c r="D56" s="16" t="s">
        <v>104</v>
      </c>
      <c r="E56" s="16" t="s">
        <v>105</v>
      </c>
    </row>
    <row r="57" customFormat="false" ht="15" hidden="false" customHeight="true" outlineLevel="0" collapsed="false">
      <c r="A57" s="1"/>
      <c r="B57" s="16" t="s">
        <v>106</v>
      </c>
      <c r="C57" s="17" t="s">
        <v>92</v>
      </c>
      <c r="D57" s="16" t="s">
        <v>107</v>
      </c>
      <c r="E57" s="16" t="s">
        <v>108</v>
      </c>
    </row>
    <row r="58" customFormat="false" ht="15" hidden="false" customHeight="true" outlineLevel="0" collapsed="false">
      <c r="A58" s="1"/>
      <c r="B58" s="16" t="s">
        <v>109</v>
      </c>
      <c r="C58" s="17" t="s">
        <v>110</v>
      </c>
      <c r="D58" s="16" t="s">
        <v>111</v>
      </c>
      <c r="E58" s="16" t="s">
        <v>112</v>
      </c>
    </row>
    <row r="59" customFormat="false" ht="30" hidden="false" customHeight="true" outlineLevel="0" collapsed="false">
      <c r="A59" s="1"/>
      <c r="B59" s="16" t="s">
        <v>113</v>
      </c>
      <c r="C59" s="16" t="s">
        <v>114</v>
      </c>
      <c r="D59" s="16" t="s">
        <v>115</v>
      </c>
      <c r="E59" s="16" t="s">
        <v>116</v>
      </c>
    </row>
    <row r="60" customFormat="false" ht="15" hidden="false" customHeight="true" outlineLevel="0" collapsed="false">
      <c r="A60" s="1"/>
      <c r="B60" s="16" t="s">
        <v>117</v>
      </c>
      <c r="C60" s="17" t="s">
        <v>118</v>
      </c>
      <c r="D60" s="16" t="s">
        <v>119</v>
      </c>
      <c r="E60" s="16" t="s">
        <v>108</v>
      </c>
    </row>
    <row r="61" customFormat="false" ht="15" hidden="false" customHeight="true" outlineLevel="0" collapsed="false">
      <c r="A61" s="1"/>
      <c r="B61" s="16" t="s">
        <v>120</v>
      </c>
      <c r="C61" s="17" t="s">
        <v>121</v>
      </c>
      <c r="D61" s="16" t="s">
        <v>122</v>
      </c>
      <c r="E61" s="16" t="s">
        <v>82</v>
      </c>
    </row>
    <row r="62" customFormat="false" ht="15" hidden="false" customHeight="true" outlineLevel="0" collapsed="false">
      <c r="A62" s="1"/>
      <c r="B62" s="16" t="s">
        <v>123</v>
      </c>
      <c r="C62" s="17" t="s">
        <v>92</v>
      </c>
      <c r="D62" s="16" t="s">
        <v>124</v>
      </c>
      <c r="E62" s="16" t="s">
        <v>82</v>
      </c>
    </row>
    <row r="63" customFormat="false" ht="15" hidden="false" customHeight="true" outlineLevel="0" collapsed="false">
      <c r="A63" s="1"/>
      <c r="B63" s="16" t="s">
        <v>125</v>
      </c>
      <c r="C63" s="17" t="s">
        <v>92</v>
      </c>
      <c r="D63" s="16" t="s">
        <v>126</v>
      </c>
      <c r="E63" s="16" t="s">
        <v>108</v>
      </c>
    </row>
    <row r="64" customFormat="false" ht="15" hidden="false" customHeight="true" outlineLevel="0" collapsed="false">
      <c r="A64" s="1"/>
      <c r="B64" s="16" t="s">
        <v>127</v>
      </c>
      <c r="C64" s="17" t="s">
        <v>128</v>
      </c>
      <c r="D64" s="16" t="s">
        <v>129</v>
      </c>
      <c r="E64" s="16" t="s">
        <v>82</v>
      </c>
    </row>
    <row r="65" customFormat="false" ht="30" hidden="false" customHeight="true" outlineLevel="0" collapsed="false">
      <c r="A65" s="1"/>
      <c r="B65" s="16" t="s">
        <v>130</v>
      </c>
      <c r="C65" s="17" t="s">
        <v>131</v>
      </c>
      <c r="D65" s="16" t="s">
        <v>132</v>
      </c>
      <c r="E65" s="16" t="s">
        <v>133</v>
      </c>
    </row>
    <row r="66" customFormat="false" ht="30" hidden="false" customHeight="true" outlineLevel="0" collapsed="false">
      <c r="A66" s="1"/>
      <c r="B66" s="16" t="s">
        <v>134</v>
      </c>
      <c r="C66" s="17" t="s">
        <v>131</v>
      </c>
      <c r="D66" s="16" t="s">
        <v>135</v>
      </c>
      <c r="E66" s="16" t="s">
        <v>82</v>
      </c>
    </row>
    <row r="67" customFormat="false" ht="30" hidden="false" customHeight="true" outlineLevel="0" collapsed="false">
      <c r="A67" s="1"/>
      <c r="B67" s="16" t="s">
        <v>136</v>
      </c>
      <c r="C67" s="17" t="s">
        <v>137</v>
      </c>
      <c r="D67" s="16" t="s">
        <v>138</v>
      </c>
      <c r="E67" s="16" t="s">
        <v>82</v>
      </c>
    </row>
    <row r="68" customFormat="false" ht="15" hidden="false" customHeight="true" outlineLevel="0" collapsed="false">
      <c r="A68" s="1"/>
      <c r="B68" s="16" t="s">
        <v>139</v>
      </c>
      <c r="C68" s="17" t="s">
        <v>89</v>
      </c>
      <c r="D68" s="16" t="s">
        <v>140</v>
      </c>
      <c r="E68" s="16" t="s">
        <v>82</v>
      </c>
    </row>
    <row r="69" customFormat="false" ht="15" hidden="false" customHeight="true" outlineLevel="0" collapsed="false">
      <c r="A69" s="1"/>
      <c r="B69" s="16" t="s">
        <v>141</v>
      </c>
      <c r="C69" s="17" t="s">
        <v>131</v>
      </c>
      <c r="D69" s="16" t="s">
        <v>142</v>
      </c>
      <c r="E69" s="16" t="s">
        <v>82</v>
      </c>
    </row>
    <row r="70" customFormat="false" ht="30" hidden="false" customHeight="true" outlineLevel="0" collapsed="false">
      <c r="A70" s="1"/>
      <c r="B70" s="16" t="s">
        <v>143</v>
      </c>
      <c r="C70" s="17" t="s">
        <v>131</v>
      </c>
      <c r="D70" s="16" t="s">
        <v>144</v>
      </c>
      <c r="E70" s="16" t="s">
        <v>145</v>
      </c>
    </row>
    <row r="71" customFormat="false" ht="30" hidden="false" customHeight="true" outlineLevel="0" collapsed="false">
      <c r="A71" s="1"/>
      <c r="B71" s="16" t="s">
        <v>146</v>
      </c>
      <c r="C71" s="17" t="s">
        <v>69</v>
      </c>
      <c r="D71" s="16" t="s">
        <v>147</v>
      </c>
      <c r="E71" s="16" t="s">
        <v>148</v>
      </c>
    </row>
    <row r="72" customFormat="false" ht="30" hidden="false" customHeight="true" outlineLevel="0" collapsed="false">
      <c r="A72" s="1"/>
      <c r="B72" s="16" t="s">
        <v>149</v>
      </c>
      <c r="C72" s="17" t="s">
        <v>69</v>
      </c>
      <c r="D72" s="16" t="s">
        <v>150</v>
      </c>
      <c r="E72" s="16" t="s">
        <v>148</v>
      </c>
    </row>
    <row r="73" customFormat="false" ht="30" hidden="false" customHeight="true" outlineLevel="0" collapsed="false">
      <c r="A73" s="1"/>
      <c r="B73" s="16" t="s">
        <v>151</v>
      </c>
      <c r="C73" s="17" t="s">
        <v>69</v>
      </c>
      <c r="D73" s="16" t="s">
        <v>152</v>
      </c>
      <c r="E73" s="16" t="s">
        <v>148</v>
      </c>
    </row>
    <row r="74" customFormat="false" ht="15" hidden="false" customHeight="true" outlineLevel="0" collapsed="false">
      <c r="A74" s="1"/>
      <c r="B74" s="16" t="s">
        <v>48</v>
      </c>
      <c r="C74" s="17" t="s">
        <v>153</v>
      </c>
      <c r="D74" s="16" t="s">
        <v>154</v>
      </c>
      <c r="E74" s="16" t="s">
        <v>155</v>
      </c>
    </row>
    <row r="75" customFormat="false" ht="15" hidden="false" customHeight="true" outlineLevel="0" collapsed="false">
      <c r="A75" s="1"/>
      <c r="B75" s="16" t="s">
        <v>156</v>
      </c>
      <c r="C75" s="17" t="s">
        <v>157</v>
      </c>
      <c r="D75" s="16" t="s">
        <v>158</v>
      </c>
      <c r="E75" s="16" t="s">
        <v>159</v>
      </c>
    </row>
    <row r="76" customFormat="false" ht="15" hidden="false" customHeight="true" outlineLevel="0" collapsed="false">
      <c r="A76" s="1"/>
      <c r="B76" s="16" t="s">
        <v>160</v>
      </c>
      <c r="C76" s="17" t="s">
        <v>161</v>
      </c>
      <c r="D76" s="16" t="s">
        <v>162</v>
      </c>
      <c r="E76" s="16" t="s">
        <v>163</v>
      </c>
    </row>
    <row r="77" customFormat="false" ht="15" hidden="false" customHeight="true" outlineLevel="0" collapsed="false">
      <c r="A77" s="1"/>
      <c r="B77" s="16" t="s">
        <v>164</v>
      </c>
      <c r="C77" s="17" t="s">
        <v>165</v>
      </c>
      <c r="D77" s="16" t="s">
        <v>166</v>
      </c>
      <c r="E77" s="16" t="s">
        <v>163</v>
      </c>
    </row>
    <row r="78" customFormat="false" ht="30" hidden="false" customHeight="true" outlineLevel="0" collapsed="false">
      <c r="A78" s="1"/>
      <c r="B78" s="16" t="s">
        <v>167</v>
      </c>
      <c r="C78" s="17" t="s">
        <v>165</v>
      </c>
      <c r="D78" s="16" t="s">
        <v>168</v>
      </c>
      <c r="E78" s="16" t="s">
        <v>169</v>
      </c>
    </row>
    <row r="79" customFormat="false" ht="30" hidden="false" customHeight="true" outlineLevel="0" collapsed="false">
      <c r="A79" s="1"/>
      <c r="B79" s="16" t="s">
        <v>170</v>
      </c>
      <c r="C79" s="17" t="s">
        <v>171</v>
      </c>
      <c r="D79" s="16" t="s">
        <v>172</v>
      </c>
      <c r="E79" s="16"/>
    </row>
    <row r="80" customFormat="false" ht="15" hidden="false" customHeight="true" outlineLevel="0" collapsed="false">
      <c r="A80" s="1"/>
      <c r="B80" s="16" t="s">
        <v>173</v>
      </c>
      <c r="C80" s="16" t="s">
        <v>174</v>
      </c>
      <c r="D80" s="16" t="s">
        <v>175</v>
      </c>
      <c r="E80" s="16" t="s">
        <v>116</v>
      </c>
    </row>
    <row r="81" customFormat="false" ht="30" hidden="false" customHeight="true" outlineLevel="0" collapsed="false">
      <c r="A81" s="1"/>
      <c r="B81" s="16" t="s">
        <v>176</v>
      </c>
      <c r="C81" s="16" t="s">
        <v>177</v>
      </c>
      <c r="D81" s="16" t="s">
        <v>178</v>
      </c>
      <c r="E81" s="16" t="s">
        <v>116</v>
      </c>
    </row>
    <row r="82" customFormat="false" ht="30" hidden="false" customHeight="true" outlineLevel="0" collapsed="false">
      <c r="A82" s="1"/>
      <c r="B82" s="16" t="s">
        <v>179</v>
      </c>
      <c r="C82" s="16" t="s">
        <v>131</v>
      </c>
      <c r="D82" s="16" t="s">
        <v>180</v>
      </c>
      <c r="E82" s="16" t="s">
        <v>116</v>
      </c>
    </row>
    <row r="83" customFormat="false" ht="30" hidden="false" customHeight="true" outlineLevel="0" collapsed="false">
      <c r="A83" s="1"/>
      <c r="B83" s="16" t="s">
        <v>181</v>
      </c>
      <c r="C83" s="16" t="s">
        <v>182</v>
      </c>
      <c r="D83" s="16" t="s">
        <v>183</v>
      </c>
      <c r="E83" s="16" t="s">
        <v>116</v>
      </c>
    </row>
    <row r="84" customFormat="false" ht="15" hidden="false" customHeight="false" outlineLevel="0" collapsed="false">
      <c r="A84" s="1"/>
      <c r="B84" s="1"/>
      <c r="C84" s="1"/>
      <c r="D84" s="1"/>
      <c r="E84" s="1"/>
    </row>
    <row r="85" customFormat="false" ht="15" hidden="false" customHeight="false" outlineLevel="0" collapsed="false">
      <c r="A85" s="1"/>
      <c r="B85" s="5" t="s">
        <v>184</v>
      </c>
      <c r="C85" s="1"/>
      <c r="D85" s="1"/>
      <c r="E85" s="1"/>
    </row>
    <row r="86" customFormat="false" ht="30" hidden="false" customHeight="true" outlineLevel="0" collapsed="false">
      <c r="A86" s="1"/>
      <c r="B86" s="6" t="s">
        <v>185</v>
      </c>
      <c r="C86" s="6"/>
      <c r="D86" s="6"/>
      <c r="E86" s="6"/>
    </row>
    <row r="87" customFormat="false" ht="15" hidden="false" customHeight="false" outlineLevel="0" collapsed="false">
      <c r="A87" s="1"/>
      <c r="B87" s="1"/>
      <c r="C87" s="1"/>
      <c r="D87" s="1"/>
      <c r="E87" s="1"/>
    </row>
    <row r="88" customFormat="false" ht="15" hidden="false" customHeight="false" outlineLevel="0" collapsed="false">
      <c r="A88" s="1"/>
      <c r="B88" s="5" t="s">
        <v>186</v>
      </c>
      <c r="C88" s="1"/>
      <c r="D88" s="1"/>
      <c r="E88" s="1"/>
    </row>
    <row r="89" customFormat="false" ht="63.75" hidden="false" customHeight="true" outlineLevel="0" collapsed="false">
      <c r="A89" s="1"/>
      <c r="B89" s="6" t="s">
        <v>187</v>
      </c>
      <c r="C89" s="6"/>
      <c r="D89" s="6"/>
      <c r="E89" s="6"/>
    </row>
    <row r="90" customFormat="false" ht="15" hidden="false" customHeight="false" outlineLevel="0" collapsed="false">
      <c r="A90" s="1"/>
      <c r="B90" s="1"/>
      <c r="C90" s="1"/>
      <c r="D90" s="1"/>
      <c r="E90" s="1"/>
    </row>
    <row r="91" customFormat="false" ht="15" hidden="false" customHeight="false" outlineLevel="0" collapsed="false">
      <c r="A91" s="1"/>
      <c r="B91" s="5" t="s">
        <v>188</v>
      </c>
      <c r="C91" s="1"/>
      <c r="D91" s="1"/>
      <c r="E91" s="1"/>
    </row>
    <row r="92" customFormat="false" ht="45" hidden="false" customHeight="true" outlineLevel="0" collapsed="false">
      <c r="A92" s="1"/>
      <c r="B92" s="6" t="s">
        <v>189</v>
      </c>
      <c r="C92" s="6"/>
      <c r="D92" s="6"/>
      <c r="E92" s="6"/>
    </row>
  </sheetData>
  <mergeCells count="29">
    <mergeCell ref="B3:E3"/>
    <mergeCell ref="B6:E6"/>
    <mergeCell ref="B9:E9"/>
    <mergeCell ref="B10:E10"/>
    <mergeCell ref="B11:E11"/>
    <mergeCell ref="B12:E12"/>
    <mergeCell ref="B13:E13"/>
    <mergeCell ref="B14:E14"/>
    <mergeCell ref="B15:E15"/>
    <mergeCell ref="C18:E18"/>
    <mergeCell ref="C19:E19"/>
    <mergeCell ref="C20:E20"/>
    <mergeCell ref="C21:E21"/>
    <mergeCell ref="C22:E22"/>
    <mergeCell ref="C23:E23"/>
    <mergeCell ref="C26:E26"/>
    <mergeCell ref="C27:E27"/>
    <mergeCell ref="C28:E28"/>
    <mergeCell ref="C29:E29"/>
    <mergeCell ref="C30:E30"/>
    <mergeCell ref="C31:E31"/>
    <mergeCell ref="C32:E32"/>
    <mergeCell ref="C35:E35"/>
    <mergeCell ref="C36:E36"/>
    <mergeCell ref="C37:E37"/>
    <mergeCell ref="C38:E38"/>
    <mergeCell ref="B86:E86"/>
    <mergeCell ref="B89:E89"/>
    <mergeCell ref="B92:E9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M1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5"/>
    <col collapsed="false" customWidth="true" hidden="false" outlineLevel="0" max="13" min="3" style="0" width="12.5"/>
  </cols>
  <sheetData>
    <row r="1" customFormat="false" ht="22.05" hidden="false" customHeight="false" outlineLevel="0" collapsed="false">
      <c r="A1" s="1"/>
      <c r="B1" s="2" t="s">
        <v>190</v>
      </c>
      <c r="C1" s="1"/>
      <c r="D1" s="1"/>
      <c r="E1" s="1"/>
      <c r="F1" s="1"/>
      <c r="G1" s="1"/>
      <c r="H1" s="1"/>
      <c r="I1" s="1"/>
      <c r="J1" s="1"/>
      <c r="K1" s="1"/>
      <c r="L1" s="1"/>
      <c r="M1" s="1"/>
    </row>
    <row r="2" customFormat="false" ht="15" hidden="false" customHeight="false" outlineLevel="0" collapsed="false">
      <c r="A2" s="1"/>
      <c r="B2" s="18" t="s">
        <v>191</v>
      </c>
      <c r="C2" s="1"/>
      <c r="D2" s="1"/>
      <c r="E2" s="1"/>
      <c r="F2" s="1"/>
      <c r="G2" s="1"/>
      <c r="H2" s="1"/>
      <c r="I2" s="1"/>
      <c r="J2" s="1"/>
      <c r="K2" s="1"/>
      <c r="L2" s="1"/>
      <c r="M2" s="1"/>
    </row>
    <row r="3" customFormat="false" ht="15" hidden="false" customHeight="false" outlineLevel="0" collapsed="false">
      <c r="A3" s="1"/>
      <c r="B3" s="19" t="s">
        <v>192</v>
      </c>
      <c r="C3" s="1"/>
      <c r="D3" s="1"/>
      <c r="E3" s="1"/>
      <c r="F3" s="1"/>
      <c r="G3" s="1"/>
      <c r="H3" s="1"/>
      <c r="I3" s="1"/>
      <c r="J3" s="1"/>
      <c r="K3" s="1"/>
      <c r="L3" s="1"/>
      <c r="M3" s="1"/>
    </row>
    <row r="4" customFormat="false" ht="15" hidden="false" customHeight="false" outlineLevel="0" collapsed="false">
      <c r="A4" s="1"/>
      <c r="B4" s="1"/>
      <c r="C4" s="1"/>
      <c r="D4" s="1"/>
      <c r="E4" s="1"/>
      <c r="F4" s="1"/>
      <c r="G4" s="1"/>
      <c r="H4" s="1"/>
      <c r="I4" s="1"/>
      <c r="J4" s="1"/>
      <c r="K4" s="1"/>
      <c r="L4" s="1"/>
      <c r="M4" s="1"/>
    </row>
    <row r="5" customFormat="false" ht="15" hidden="false" customHeight="false" outlineLevel="0" collapsed="false">
      <c r="A5" s="1"/>
      <c r="B5" s="20" t="s">
        <v>193</v>
      </c>
      <c r="C5" s="20"/>
      <c r="D5" s="20"/>
      <c r="E5" s="20" t="s">
        <v>194</v>
      </c>
      <c r="F5" s="20"/>
      <c r="G5" s="20"/>
      <c r="H5" s="20" t="s">
        <v>195</v>
      </c>
      <c r="I5" s="20"/>
      <c r="J5" s="20"/>
      <c r="K5" s="20" t="s">
        <v>196</v>
      </c>
      <c r="L5" s="20"/>
      <c r="M5" s="20"/>
    </row>
    <row r="6" customFormat="false" ht="31.5" hidden="false" customHeight="true" outlineLevel="0" collapsed="false">
      <c r="A6" s="1"/>
      <c r="B6" s="21" t="n">
        <f aca="false">K26</f>
        <v>80</v>
      </c>
      <c r="C6" s="21"/>
      <c r="D6" s="21"/>
      <c r="E6" s="21" t="n">
        <f aca="false">SUM(E26:H26)</f>
        <v>60</v>
      </c>
      <c r="F6" s="21"/>
      <c r="G6" s="21"/>
      <c r="H6" s="21" t="n">
        <f aca="false">C57</f>
        <v>45</v>
      </c>
      <c r="I6" s="21"/>
      <c r="J6" s="21"/>
      <c r="K6" s="21" t="n">
        <f aca="false">D57+E57+F57</f>
        <v>38</v>
      </c>
      <c r="L6" s="21"/>
      <c r="M6" s="21"/>
    </row>
    <row r="7" customFormat="false" ht="15" hidden="false" customHeight="false" outlineLevel="0" collapsed="false">
      <c r="A7" s="1"/>
      <c r="B7" s="22" t="str">
        <f aca="false">"of which "&amp;I26&amp;" withdrawn"</f>
        <v>of which 6 withdrawn</v>
      </c>
      <c r="C7" s="22"/>
      <c r="D7" s="22"/>
      <c r="E7" s="22" t="str">
        <f aca="false">IF(K26=0,"",TEXT(SUM(E26:H26)/K26,"0%")&amp;" of candidates on file")</f>
        <v>75% of candidates on file</v>
      </c>
      <c r="F7" s="22"/>
      <c r="G7" s="22"/>
      <c r="H7" s="22" t="str">
        <f aca="false">J57&amp;" assessed, waiting for a decision"</f>
        <v>15 assessed, waiting for a decision</v>
      </c>
      <c r="I7" s="22"/>
      <c r="J7" s="22"/>
      <c r="K7" s="22" t="str">
        <f aca="false">"of which "&amp;E57&amp;" with English support"</f>
        <v>of which 31 with English support</v>
      </c>
      <c r="L7" s="22"/>
      <c r="M7" s="22"/>
    </row>
    <row r="8" customFormat="false" ht="15" hidden="false" customHeight="false" outlineLevel="0" collapsed="false">
      <c r="A8" s="1"/>
      <c r="B8" s="1"/>
      <c r="C8" s="1"/>
      <c r="D8" s="1"/>
      <c r="E8" s="1"/>
      <c r="F8" s="1"/>
      <c r="G8" s="1"/>
      <c r="H8" s="1"/>
      <c r="I8" s="1"/>
      <c r="J8" s="1"/>
      <c r="K8" s="1"/>
      <c r="L8" s="1"/>
      <c r="M8" s="1"/>
    </row>
    <row r="9" customFormat="false" ht="15" hidden="false" customHeight="false" outlineLevel="0" collapsed="false">
      <c r="A9" s="1"/>
      <c r="B9" s="20" t="s">
        <v>197</v>
      </c>
      <c r="C9" s="20"/>
      <c r="D9" s="20"/>
      <c r="E9" s="20" t="s">
        <v>198</v>
      </c>
      <c r="F9" s="20"/>
      <c r="G9" s="20"/>
      <c r="H9" s="20" t="s">
        <v>199</v>
      </c>
      <c r="I9" s="20"/>
      <c r="J9" s="20"/>
      <c r="K9" s="20" t="s">
        <v>200</v>
      </c>
      <c r="L9" s="20"/>
      <c r="M9" s="20"/>
    </row>
    <row r="10" customFormat="false" ht="31.5" hidden="false" customHeight="true" outlineLevel="0" collapsed="false">
      <c r="A10" s="1"/>
      <c r="B10" s="23" t="n">
        <f aca="false">IF(C57=0,"",(D57+E57+F57)/C57)</f>
        <v>0.844444444444444</v>
      </c>
      <c r="C10" s="23"/>
      <c r="D10" s="23"/>
      <c r="E10" s="21" t="n">
        <f aca="false">K57</f>
        <v>10</v>
      </c>
      <c r="F10" s="21"/>
      <c r="G10" s="21"/>
      <c r="H10" s="24" t="n">
        <f aca="false">IFERROR(AVERAGE('Year 1'!$AO$6:$AO$1005,'Year 2'!$AO$6:$AO$1005,'Year 3'!$AO$6:$AO$1005,'Year 4'!$AO$6:$AO$1005,'Year 5'!$AO$6:$AO$1005,'Year 6'!$AO$6:$AO$1005,'Year 7'!$AO$6:$AO$1005,'Year 8'!$AO$6:$AO$1005,'Year 9'!$AO$6:$AO$1005,'Year 10'!$AO$6:$AO$1005),"")</f>
        <v>6.73529411764706</v>
      </c>
      <c r="I10" s="24"/>
      <c r="J10" s="24"/>
      <c r="K10" s="21" t="n">
        <f aca="false">L26</f>
        <v>2</v>
      </c>
      <c r="L10" s="21"/>
      <c r="M10" s="21"/>
    </row>
    <row r="11" customFormat="false" ht="15" hidden="false" customHeight="false" outlineLevel="0" collapsed="false">
      <c r="A11" s="1"/>
      <c r="B11" s="22" t="str">
        <f aca="false">"offers out of decisions confirmed"</f>
        <v>offers out of decisions confirmed</v>
      </c>
      <c r="C11" s="22"/>
      <c r="D11" s="22"/>
      <c r="E11" s="22" t="str">
        <f aca="false">"decided, family not yet told"</f>
        <v>decided, family not yet told</v>
      </c>
      <c r="F11" s="22"/>
      <c r="G11" s="22"/>
      <c r="H11" s="22" t="str">
        <f aca="false">"average, assessment to family told"</f>
        <v>average, assessment to family told</v>
      </c>
      <c r="I11" s="22"/>
      <c r="J11" s="22"/>
      <c r="K11" s="22" t="str">
        <f aca="false">"see Data check on the Year sheets"</f>
        <v>see Data check on the Year sheets</v>
      </c>
      <c r="L11" s="22"/>
      <c r="M11" s="22"/>
    </row>
    <row r="12" customFormat="false" ht="15" hidden="false" customHeight="false" outlineLevel="0" collapsed="false">
      <c r="A12" s="1"/>
      <c r="B12" s="1"/>
      <c r="C12" s="1"/>
      <c r="D12" s="1"/>
      <c r="E12" s="1"/>
      <c r="F12" s="1"/>
      <c r="G12" s="1"/>
      <c r="H12" s="1"/>
      <c r="I12" s="1"/>
      <c r="J12" s="1"/>
      <c r="K12" s="1"/>
      <c r="L12" s="1"/>
      <c r="M12" s="1"/>
    </row>
    <row r="13" customFormat="false" ht="15" hidden="false" customHeight="false" outlineLevel="0" collapsed="false">
      <c r="A13" s="1"/>
      <c r="B13" s="5" t="s">
        <v>201</v>
      </c>
      <c r="C13" s="1"/>
      <c r="D13" s="1"/>
      <c r="E13" s="1"/>
      <c r="F13" s="1"/>
      <c r="G13" s="1"/>
      <c r="H13" s="1"/>
      <c r="I13" s="1"/>
      <c r="J13" s="1"/>
      <c r="K13" s="1"/>
      <c r="L13" s="1"/>
      <c r="M13" s="1"/>
    </row>
    <row r="14" customFormat="false" ht="15" hidden="false" customHeight="false" outlineLevel="0" collapsed="false">
      <c r="A14" s="1"/>
      <c r="B14" s="25" t="s">
        <v>202</v>
      </c>
      <c r="C14" s="1"/>
      <c r="D14" s="1"/>
      <c r="E14" s="1"/>
      <c r="F14" s="1"/>
      <c r="G14" s="1"/>
      <c r="H14" s="1"/>
      <c r="I14" s="1"/>
      <c r="J14" s="1"/>
      <c r="K14" s="1"/>
      <c r="L14" s="1"/>
      <c r="M14" s="1"/>
    </row>
    <row r="15" customFormat="false" ht="31.5" hidden="false" customHeight="true" outlineLevel="0" collapsed="false">
      <c r="A15" s="1"/>
      <c r="B15" s="15" t="s">
        <v>203</v>
      </c>
      <c r="C15" s="26" t="s">
        <v>27</v>
      </c>
      <c r="D15" s="26" t="s">
        <v>29</v>
      </c>
      <c r="E15" s="26" t="s">
        <v>31</v>
      </c>
      <c r="F15" s="26" t="s">
        <v>33</v>
      </c>
      <c r="G15" s="26" t="s">
        <v>35</v>
      </c>
      <c r="H15" s="26" t="s">
        <v>37</v>
      </c>
      <c r="I15" s="26" t="s">
        <v>39</v>
      </c>
      <c r="J15" s="26" t="s">
        <v>204</v>
      </c>
      <c r="K15" s="26" t="s">
        <v>205</v>
      </c>
      <c r="L15" s="26" t="s">
        <v>206</v>
      </c>
      <c r="M15" s="1"/>
    </row>
    <row r="16" customFormat="false" ht="15" hidden="false" customHeight="false" outlineLevel="0" collapsed="false">
      <c r="A16" s="1"/>
      <c r="B16" s="27" t="s">
        <v>207</v>
      </c>
      <c r="C16" s="28" t="n">
        <f aca="false">COUNTIF('Year 1'!$J$6:$J$1005,C$15)</f>
        <v>1</v>
      </c>
      <c r="D16" s="28" t="n">
        <f aca="false">COUNTIF('Year 1'!$J$6:$J$1005,D$15)</f>
        <v>0</v>
      </c>
      <c r="E16" s="28" t="n">
        <f aca="false">COUNTIF('Year 1'!$J$6:$J$1005,E$15)</f>
        <v>0</v>
      </c>
      <c r="F16" s="28" t="n">
        <f aca="false">COUNTIF('Year 1'!$J$6:$J$1005,F$15)</f>
        <v>1</v>
      </c>
      <c r="G16" s="28" t="n">
        <f aca="false">COUNTIF('Year 1'!$J$6:$J$1005,G$15)</f>
        <v>2</v>
      </c>
      <c r="H16" s="28" t="n">
        <f aca="false">COUNTIF('Year 1'!$J$6:$J$1005,H$15)</f>
        <v>2</v>
      </c>
      <c r="I16" s="28" t="n">
        <f aca="false">COUNTIF('Year 1'!$J$6:$J$1005,I$15)</f>
        <v>0</v>
      </c>
      <c r="J16" s="28" t="n">
        <f aca="false">K16-SUM(C16:I16)</f>
        <v>0</v>
      </c>
      <c r="K16" s="28" t="n">
        <f aca="false">SUMPRODUCT((('Year 1'!$B$6:$B$1005&lt;&gt;"")+('Year 1'!$A$6:$A$1005&lt;&gt;"")&gt;0)*1)</f>
        <v>6</v>
      </c>
      <c r="L16" s="28" t="n">
        <f aca="false">SUMPRODUCT(('Year 1'!$AP$6:$AP$1005&lt;&gt;"")*('Year 1'!$AP$6:$AP$1005&lt;&gt;"OK"))</f>
        <v>0</v>
      </c>
      <c r="M16" s="1"/>
    </row>
    <row r="17" customFormat="false" ht="15" hidden="false" customHeight="false" outlineLevel="0" collapsed="false">
      <c r="A17" s="1"/>
      <c r="B17" s="27" t="s">
        <v>208</v>
      </c>
      <c r="C17" s="28" t="n">
        <f aca="false">COUNTIF('Year 2'!$J$6:$J$1005,C$15)</f>
        <v>1</v>
      </c>
      <c r="D17" s="28" t="n">
        <f aca="false">COUNTIF('Year 2'!$J$6:$J$1005,D$15)</f>
        <v>0</v>
      </c>
      <c r="E17" s="28" t="n">
        <f aca="false">COUNTIF('Year 2'!$J$6:$J$1005,E$15)</f>
        <v>1</v>
      </c>
      <c r="F17" s="28" t="n">
        <f aca="false">COUNTIF('Year 2'!$J$6:$J$1005,F$15)</f>
        <v>2</v>
      </c>
      <c r="G17" s="28" t="n">
        <f aca="false">COUNTIF('Year 2'!$J$6:$J$1005,G$15)</f>
        <v>2</v>
      </c>
      <c r="H17" s="28" t="n">
        <f aca="false">COUNTIF('Year 2'!$J$6:$J$1005,H$15)</f>
        <v>0</v>
      </c>
      <c r="I17" s="28" t="n">
        <f aca="false">COUNTIF('Year 2'!$J$6:$J$1005,I$15)</f>
        <v>1</v>
      </c>
      <c r="J17" s="28" t="n">
        <f aca="false">K17-SUM(C17:I17)</f>
        <v>0</v>
      </c>
      <c r="K17" s="28" t="n">
        <f aca="false">SUMPRODUCT((('Year 2'!$B$6:$B$1005&lt;&gt;"")+('Year 2'!$A$6:$A$1005&lt;&gt;"")&gt;0)*1)</f>
        <v>7</v>
      </c>
      <c r="L17" s="28" t="n">
        <f aca="false">SUMPRODUCT(('Year 2'!$AP$6:$AP$1005&lt;&gt;"")*('Year 2'!$AP$6:$AP$1005&lt;&gt;"OK"))</f>
        <v>0</v>
      </c>
      <c r="M17" s="1"/>
    </row>
    <row r="18" customFormat="false" ht="15" hidden="false" customHeight="false" outlineLevel="0" collapsed="false">
      <c r="A18" s="1"/>
      <c r="B18" s="27" t="s">
        <v>209</v>
      </c>
      <c r="C18" s="28" t="n">
        <f aca="false">COUNTIF('Year 3'!$J$6:$J$1005,C$15)</f>
        <v>0</v>
      </c>
      <c r="D18" s="28" t="n">
        <f aca="false">COUNTIF('Year 3'!$J$6:$J$1005,D$15)</f>
        <v>1</v>
      </c>
      <c r="E18" s="28" t="n">
        <f aca="false">COUNTIF('Year 3'!$J$6:$J$1005,E$15)</f>
        <v>2</v>
      </c>
      <c r="F18" s="28" t="n">
        <f aca="false">COUNTIF('Year 3'!$J$6:$J$1005,F$15)</f>
        <v>0</v>
      </c>
      <c r="G18" s="28" t="n">
        <f aca="false">COUNTIF('Year 3'!$J$6:$J$1005,G$15)</f>
        <v>4</v>
      </c>
      <c r="H18" s="28" t="n">
        <f aca="false">COUNTIF('Year 3'!$J$6:$J$1005,H$15)</f>
        <v>1</v>
      </c>
      <c r="I18" s="28" t="n">
        <f aca="false">COUNTIF('Year 3'!$J$6:$J$1005,I$15)</f>
        <v>0</v>
      </c>
      <c r="J18" s="28" t="n">
        <f aca="false">K18-SUM(C18:I18)</f>
        <v>0</v>
      </c>
      <c r="K18" s="28" t="n">
        <f aca="false">SUMPRODUCT((('Year 3'!$B$6:$B$1005&lt;&gt;"")+('Year 3'!$A$6:$A$1005&lt;&gt;"")&gt;0)*1)</f>
        <v>8</v>
      </c>
      <c r="L18" s="28" t="n">
        <f aca="false">SUMPRODUCT(('Year 3'!$AP$6:$AP$1005&lt;&gt;"")*('Year 3'!$AP$6:$AP$1005&lt;&gt;"OK"))</f>
        <v>0</v>
      </c>
      <c r="M18" s="1"/>
    </row>
    <row r="19" customFormat="false" ht="15" hidden="false" customHeight="false" outlineLevel="0" collapsed="false">
      <c r="A19" s="1"/>
      <c r="B19" s="27" t="s">
        <v>210</v>
      </c>
      <c r="C19" s="28" t="n">
        <f aca="false">COUNTIF('Year 4'!$J$6:$J$1005,C$15)</f>
        <v>1</v>
      </c>
      <c r="D19" s="28" t="n">
        <f aca="false">COUNTIF('Year 4'!$J$6:$J$1005,D$15)</f>
        <v>1</v>
      </c>
      <c r="E19" s="28" t="n">
        <f aca="false">COUNTIF('Year 4'!$J$6:$J$1005,E$15)</f>
        <v>2</v>
      </c>
      <c r="F19" s="28" t="n">
        <f aca="false">COUNTIF('Year 4'!$J$6:$J$1005,F$15)</f>
        <v>2</v>
      </c>
      <c r="G19" s="28" t="n">
        <f aca="false">COUNTIF('Year 4'!$J$6:$J$1005,G$15)</f>
        <v>1</v>
      </c>
      <c r="H19" s="28" t="n">
        <f aca="false">COUNTIF('Year 4'!$J$6:$J$1005,H$15)</f>
        <v>1</v>
      </c>
      <c r="I19" s="28" t="n">
        <f aca="false">COUNTIF('Year 4'!$J$6:$J$1005,I$15)</f>
        <v>0</v>
      </c>
      <c r="J19" s="28" t="n">
        <f aca="false">K19-SUM(C19:I19)</f>
        <v>0</v>
      </c>
      <c r="K19" s="28" t="n">
        <f aca="false">SUMPRODUCT((('Year 4'!$B$6:$B$1005&lt;&gt;"")+('Year 4'!$A$6:$A$1005&lt;&gt;"")&gt;0)*1)</f>
        <v>8</v>
      </c>
      <c r="L19" s="28" t="n">
        <f aca="false">SUMPRODUCT(('Year 4'!$AP$6:$AP$1005&lt;&gt;"")*('Year 4'!$AP$6:$AP$1005&lt;&gt;"OK"))</f>
        <v>0</v>
      </c>
      <c r="M19" s="1"/>
    </row>
    <row r="20" customFormat="false" ht="15" hidden="false" customHeight="false" outlineLevel="0" collapsed="false">
      <c r="A20" s="1"/>
      <c r="B20" s="27" t="s">
        <v>211</v>
      </c>
      <c r="C20" s="28" t="n">
        <f aca="false">COUNTIF('Year 5'!$J$6:$J$1005,C$15)</f>
        <v>0</v>
      </c>
      <c r="D20" s="28" t="n">
        <f aca="false">COUNTIF('Year 5'!$J$6:$J$1005,D$15)</f>
        <v>0</v>
      </c>
      <c r="E20" s="28" t="n">
        <f aca="false">COUNTIF('Year 5'!$J$6:$J$1005,E$15)</f>
        <v>3</v>
      </c>
      <c r="F20" s="28" t="n">
        <f aca="false">COUNTIF('Year 5'!$J$6:$J$1005,F$15)</f>
        <v>0</v>
      </c>
      <c r="G20" s="28" t="n">
        <f aca="false">COUNTIF('Year 5'!$J$6:$J$1005,G$15)</f>
        <v>2</v>
      </c>
      <c r="H20" s="28" t="n">
        <f aca="false">COUNTIF('Year 5'!$J$6:$J$1005,H$15)</f>
        <v>2</v>
      </c>
      <c r="I20" s="28" t="n">
        <f aca="false">COUNTIF('Year 5'!$J$6:$J$1005,I$15)</f>
        <v>2</v>
      </c>
      <c r="J20" s="28" t="n">
        <f aca="false">K20-SUM(C20:I20)</f>
        <v>0</v>
      </c>
      <c r="K20" s="28" t="n">
        <f aca="false">SUMPRODUCT((('Year 5'!$B$6:$B$1005&lt;&gt;"")+('Year 5'!$A$6:$A$1005&lt;&gt;"")&gt;0)*1)</f>
        <v>9</v>
      </c>
      <c r="L20" s="28" t="n">
        <f aca="false">SUMPRODUCT(('Year 5'!$AP$6:$AP$1005&lt;&gt;"")*('Year 5'!$AP$6:$AP$1005&lt;&gt;"OK"))</f>
        <v>1</v>
      </c>
      <c r="M20" s="1"/>
    </row>
    <row r="21" customFormat="false" ht="15" hidden="false" customHeight="false" outlineLevel="0" collapsed="false">
      <c r="A21" s="1"/>
      <c r="B21" s="27" t="s">
        <v>212</v>
      </c>
      <c r="C21" s="28" t="n">
        <f aca="false">COUNTIF('Year 6'!$J$6:$J$1005,C$15)</f>
        <v>0</v>
      </c>
      <c r="D21" s="28" t="n">
        <f aca="false">COUNTIF('Year 6'!$J$6:$J$1005,D$15)</f>
        <v>1</v>
      </c>
      <c r="E21" s="28" t="n">
        <f aca="false">COUNTIF('Year 6'!$J$6:$J$1005,E$15)</f>
        <v>1</v>
      </c>
      <c r="F21" s="28" t="n">
        <f aca="false">COUNTIF('Year 6'!$J$6:$J$1005,F$15)</f>
        <v>2</v>
      </c>
      <c r="G21" s="28" t="n">
        <f aca="false">COUNTIF('Year 6'!$J$6:$J$1005,G$15)</f>
        <v>3</v>
      </c>
      <c r="H21" s="28" t="n">
        <f aca="false">COUNTIF('Year 6'!$J$6:$J$1005,H$15)</f>
        <v>1</v>
      </c>
      <c r="I21" s="28" t="n">
        <f aca="false">COUNTIF('Year 6'!$J$6:$J$1005,I$15)</f>
        <v>1</v>
      </c>
      <c r="J21" s="28" t="n">
        <f aca="false">K21-SUM(C21:I21)</f>
        <v>0</v>
      </c>
      <c r="K21" s="28" t="n">
        <f aca="false">SUMPRODUCT((('Year 6'!$B$6:$B$1005&lt;&gt;"")+('Year 6'!$A$6:$A$1005&lt;&gt;"")&gt;0)*1)</f>
        <v>9</v>
      </c>
      <c r="L21" s="28" t="n">
        <f aca="false">SUMPRODUCT(('Year 6'!$AP$6:$AP$1005&lt;&gt;"")*('Year 6'!$AP$6:$AP$1005&lt;&gt;"OK"))</f>
        <v>0</v>
      </c>
      <c r="M21" s="1"/>
    </row>
    <row r="22" customFormat="false" ht="15" hidden="false" customHeight="false" outlineLevel="0" collapsed="false">
      <c r="A22" s="1"/>
      <c r="B22" s="27" t="s">
        <v>213</v>
      </c>
      <c r="C22" s="28" t="n">
        <f aca="false">COUNTIF('Year 7'!$J$6:$J$1005,C$15)</f>
        <v>3</v>
      </c>
      <c r="D22" s="28" t="n">
        <f aca="false">COUNTIF('Year 7'!$J$6:$J$1005,D$15)</f>
        <v>0</v>
      </c>
      <c r="E22" s="28" t="n">
        <f aca="false">COUNTIF('Year 7'!$J$6:$J$1005,E$15)</f>
        <v>2</v>
      </c>
      <c r="F22" s="28" t="n">
        <f aca="false">COUNTIF('Year 7'!$J$6:$J$1005,F$15)</f>
        <v>1</v>
      </c>
      <c r="G22" s="28" t="n">
        <f aca="false">COUNTIF('Year 7'!$J$6:$J$1005,G$15)</f>
        <v>3</v>
      </c>
      <c r="H22" s="28" t="n">
        <f aca="false">COUNTIF('Year 7'!$J$6:$J$1005,H$15)</f>
        <v>0</v>
      </c>
      <c r="I22" s="28" t="n">
        <f aca="false">COUNTIF('Year 7'!$J$6:$J$1005,I$15)</f>
        <v>0</v>
      </c>
      <c r="J22" s="28" t="n">
        <f aca="false">K22-SUM(C22:I22)</f>
        <v>0</v>
      </c>
      <c r="K22" s="28" t="n">
        <f aca="false">SUMPRODUCT((('Year 7'!$B$6:$B$1005&lt;&gt;"")+('Year 7'!$A$6:$A$1005&lt;&gt;"")&gt;0)*1)</f>
        <v>9</v>
      </c>
      <c r="L22" s="28" t="n">
        <f aca="false">SUMPRODUCT(('Year 7'!$AP$6:$AP$1005&lt;&gt;"")*('Year 7'!$AP$6:$AP$1005&lt;&gt;"OK"))</f>
        <v>0</v>
      </c>
      <c r="M22" s="1"/>
    </row>
    <row r="23" customFormat="false" ht="15" hidden="false" customHeight="false" outlineLevel="0" collapsed="false">
      <c r="A23" s="1"/>
      <c r="B23" s="27" t="s">
        <v>214</v>
      </c>
      <c r="C23" s="28" t="n">
        <f aca="false">COUNTIF('Year 8'!$J$6:$J$1005,C$15)</f>
        <v>1</v>
      </c>
      <c r="D23" s="28" t="n">
        <f aca="false">COUNTIF('Year 8'!$J$6:$J$1005,D$15)</f>
        <v>1</v>
      </c>
      <c r="E23" s="28" t="n">
        <f aca="false">COUNTIF('Year 8'!$J$6:$J$1005,E$15)</f>
        <v>0</v>
      </c>
      <c r="F23" s="28" t="n">
        <f aca="false">COUNTIF('Year 8'!$J$6:$J$1005,F$15)</f>
        <v>0</v>
      </c>
      <c r="G23" s="28" t="n">
        <f aca="false">COUNTIF('Year 8'!$J$6:$J$1005,G$15)</f>
        <v>4</v>
      </c>
      <c r="H23" s="28" t="n">
        <f aca="false">COUNTIF('Year 8'!$J$6:$J$1005,H$15)</f>
        <v>2</v>
      </c>
      <c r="I23" s="28" t="n">
        <f aca="false">COUNTIF('Year 8'!$J$6:$J$1005,I$15)</f>
        <v>0</v>
      </c>
      <c r="J23" s="28" t="n">
        <f aca="false">K23-SUM(C23:I23)</f>
        <v>0</v>
      </c>
      <c r="K23" s="28" t="n">
        <f aca="false">SUMPRODUCT((('Year 8'!$B$6:$B$1005&lt;&gt;"")+('Year 8'!$A$6:$A$1005&lt;&gt;"")&gt;0)*1)</f>
        <v>8</v>
      </c>
      <c r="L23" s="28" t="n">
        <f aca="false">SUMPRODUCT(('Year 8'!$AP$6:$AP$1005&lt;&gt;"")*('Year 8'!$AP$6:$AP$1005&lt;&gt;"OK"))</f>
        <v>1</v>
      </c>
      <c r="M23" s="1"/>
    </row>
    <row r="24" customFormat="false" ht="15" hidden="false" customHeight="false" outlineLevel="0" collapsed="false">
      <c r="A24" s="1"/>
      <c r="B24" s="27" t="s">
        <v>215</v>
      </c>
      <c r="C24" s="28" t="n">
        <f aca="false">COUNTIF('Year 9'!$J$6:$J$1005,C$15)</f>
        <v>0</v>
      </c>
      <c r="D24" s="28" t="n">
        <f aca="false">COUNTIF('Year 9'!$J$6:$J$1005,D$15)</f>
        <v>1</v>
      </c>
      <c r="E24" s="28" t="n">
        <f aca="false">COUNTIF('Year 9'!$J$6:$J$1005,E$15)</f>
        <v>1</v>
      </c>
      <c r="F24" s="28" t="n">
        <f aca="false">COUNTIF('Year 9'!$J$6:$J$1005,F$15)</f>
        <v>1</v>
      </c>
      <c r="G24" s="28" t="n">
        <f aca="false">COUNTIF('Year 9'!$J$6:$J$1005,G$15)</f>
        <v>3</v>
      </c>
      <c r="H24" s="28" t="n">
        <f aca="false">COUNTIF('Year 9'!$J$6:$J$1005,H$15)</f>
        <v>1</v>
      </c>
      <c r="I24" s="28" t="n">
        <f aca="false">COUNTIF('Year 9'!$J$6:$J$1005,I$15)</f>
        <v>1</v>
      </c>
      <c r="J24" s="28" t="n">
        <f aca="false">K24-SUM(C24:I24)</f>
        <v>0</v>
      </c>
      <c r="K24" s="28" t="n">
        <f aca="false">SUMPRODUCT((('Year 9'!$B$6:$B$1005&lt;&gt;"")+('Year 9'!$A$6:$A$1005&lt;&gt;"")&gt;0)*1)</f>
        <v>8</v>
      </c>
      <c r="L24" s="28" t="n">
        <f aca="false">SUMPRODUCT(('Year 9'!$AP$6:$AP$1005&lt;&gt;"")*('Year 9'!$AP$6:$AP$1005&lt;&gt;"OK"))</f>
        <v>0</v>
      </c>
      <c r="M24" s="1"/>
    </row>
    <row r="25" customFormat="false" ht="15" hidden="false" customHeight="false" outlineLevel="0" collapsed="false">
      <c r="A25" s="1"/>
      <c r="B25" s="27" t="s">
        <v>216</v>
      </c>
      <c r="C25" s="28" t="n">
        <f aca="false">COUNTIF('Year 10'!$J$6:$J$1005,C$15)</f>
        <v>1</v>
      </c>
      <c r="D25" s="28" t="n">
        <f aca="false">COUNTIF('Year 10'!$J$6:$J$1005,D$15)</f>
        <v>1</v>
      </c>
      <c r="E25" s="28" t="n">
        <f aca="false">COUNTIF('Year 10'!$J$6:$J$1005,E$15)</f>
        <v>3</v>
      </c>
      <c r="F25" s="28" t="n">
        <f aca="false">COUNTIF('Year 10'!$J$6:$J$1005,F$15)</f>
        <v>1</v>
      </c>
      <c r="G25" s="28" t="n">
        <f aca="false">COUNTIF('Year 10'!$J$6:$J$1005,G$15)</f>
        <v>0</v>
      </c>
      <c r="H25" s="28" t="n">
        <f aca="false">COUNTIF('Year 10'!$J$6:$J$1005,H$15)</f>
        <v>1</v>
      </c>
      <c r="I25" s="28" t="n">
        <f aca="false">COUNTIF('Year 10'!$J$6:$J$1005,I$15)</f>
        <v>1</v>
      </c>
      <c r="J25" s="28" t="n">
        <f aca="false">K25-SUM(C25:I25)</f>
        <v>0</v>
      </c>
      <c r="K25" s="28" t="n">
        <f aca="false">SUMPRODUCT((('Year 10'!$B$6:$B$1005&lt;&gt;"")+('Year 10'!$A$6:$A$1005&lt;&gt;"")&gt;0)*1)</f>
        <v>8</v>
      </c>
      <c r="L25" s="28" t="n">
        <f aca="false">SUMPRODUCT(('Year 10'!$AP$6:$AP$1005&lt;&gt;"")*('Year 10'!$AP$6:$AP$1005&lt;&gt;"OK"))</f>
        <v>0</v>
      </c>
      <c r="M25" s="1"/>
    </row>
    <row r="26" customFormat="false" ht="15" hidden="false" customHeight="false" outlineLevel="0" collapsed="false">
      <c r="A26" s="1"/>
      <c r="B26" s="29" t="s">
        <v>217</v>
      </c>
      <c r="C26" s="30" t="n">
        <f aca="false">SUM(C16:C25)</f>
        <v>8</v>
      </c>
      <c r="D26" s="30" t="n">
        <f aca="false">SUM(D16:D25)</f>
        <v>6</v>
      </c>
      <c r="E26" s="30" t="n">
        <f aca="false">SUM(E16:E25)</f>
        <v>15</v>
      </c>
      <c r="F26" s="30" t="n">
        <f aca="false">SUM(F16:F25)</f>
        <v>10</v>
      </c>
      <c r="G26" s="30" t="n">
        <f aca="false">SUM(G16:G25)</f>
        <v>24</v>
      </c>
      <c r="H26" s="30" t="n">
        <f aca="false">SUM(H16:H25)</f>
        <v>11</v>
      </c>
      <c r="I26" s="30" t="n">
        <f aca="false">SUM(I16:I25)</f>
        <v>6</v>
      </c>
      <c r="J26" s="30" t="n">
        <f aca="false">SUM(J16:J25)</f>
        <v>0</v>
      </c>
      <c r="K26" s="30" t="n">
        <f aca="false">SUM(K16:K25)</f>
        <v>80</v>
      </c>
      <c r="L26" s="30" t="n">
        <f aca="false">SUM(L16:L25)</f>
        <v>2</v>
      </c>
      <c r="M26" s="1"/>
    </row>
    <row r="27" customFormat="false" ht="15" hidden="false" customHeight="false" outlineLevel="0" collapsed="false">
      <c r="A27" s="1"/>
      <c r="B27" s="1"/>
      <c r="C27" s="1"/>
      <c r="D27" s="1"/>
      <c r="E27" s="1"/>
      <c r="F27" s="1"/>
      <c r="G27" s="1"/>
      <c r="H27" s="1"/>
      <c r="I27" s="1"/>
      <c r="J27" s="1"/>
      <c r="K27" s="1"/>
      <c r="L27" s="1"/>
      <c r="M27" s="1"/>
    </row>
    <row r="28" customFormat="false" ht="15" hidden="false" customHeight="false" outlineLevel="0" collapsed="false">
      <c r="A28" s="1"/>
      <c r="B28" s="5" t="s">
        <v>218</v>
      </c>
      <c r="C28" s="1"/>
      <c r="D28" s="1"/>
      <c r="E28" s="1"/>
      <c r="F28" s="1"/>
      <c r="G28" s="1"/>
      <c r="H28" s="1"/>
      <c r="I28" s="1"/>
      <c r="J28" s="1"/>
      <c r="K28" s="1"/>
      <c r="L28" s="1"/>
      <c r="M28" s="1"/>
    </row>
    <row r="29" customFormat="false" ht="15" hidden="false" customHeight="false" outlineLevel="0" collapsed="false">
      <c r="A29" s="1"/>
      <c r="B29" s="25" t="s">
        <v>219</v>
      </c>
      <c r="C29" s="1"/>
      <c r="D29" s="1"/>
      <c r="E29" s="1"/>
      <c r="F29" s="1"/>
      <c r="G29" s="1"/>
      <c r="H29" s="1"/>
      <c r="I29" s="1"/>
      <c r="J29" s="1"/>
      <c r="K29" s="1"/>
      <c r="L29" s="1"/>
      <c r="M29" s="1"/>
    </row>
    <row r="30" customFormat="false" ht="31.5" hidden="false" customHeight="true" outlineLevel="0" collapsed="false">
      <c r="A30" s="1"/>
      <c r="B30" s="15" t="s">
        <v>203</v>
      </c>
      <c r="C30" s="26" t="s">
        <v>220</v>
      </c>
      <c r="D30" s="26" t="s">
        <v>221</v>
      </c>
      <c r="E30" s="26" t="s">
        <v>92</v>
      </c>
      <c r="F30" s="26" t="s">
        <v>118</v>
      </c>
      <c r="G30" s="26" t="s">
        <v>222</v>
      </c>
      <c r="H30" s="26" t="s">
        <v>223</v>
      </c>
      <c r="I30" s="26" t="s">
        <v>224</v>
      </c>
      <c r="J30" s="26" t="s">
        <v>225</v>
      </c>
      <c r="K30" s="1"/>
      <c r="L30" s="1"/>
      <c r="M30" s="1"/>
    </row>
    <row r="31" customFormat="false" ht="15" hidden="false" customHeight="false" outlineLevel="0" collapsed="false">
      <c r="A31" s="1"/>
      <c r="B31" s="27" t="s">
        <v>207</v>
      </c>
      <c r="C31" s="28" t="n">
        <f aca="false">COUNTIF('Year 1'!$V$6:$V$1005,C$30)</f>
        <v>1</v>
      </c>
      <c r="D31" s="28" t="n">
        <f aca="false">COUNTIF('Year 1'!$V$6:$V$1005,D$30)</f>
        <v>1</v>
      </c>
      <c r="E31" s="28" t="n">
        <f aca="false">COUNTIF('Year 1'!$V$6:$V$1005,E$30)</f>
        <v>3</v>
      </c>
      <c r="F31" s="28" t="n">
        <f aca="false">COUNTIF('Year 1'!$V$6:$V$1005,F$30)</f>
        <v>0</v>
      </c>
      <c r="G31" s="28" t="n">
        <f aca="false">COUNTIF('Year 1'!$V$6:$V$1005,G$30)</f>
        <v>0</v>
      </c>
      <c r="H31" s="28" t="n">
        <f aca="false">SUM(C31:G31)</f>
        <v>5</v>
      </c>
      <c r="I31" s="31" t="n">
        <f aca="false">IF(H31=0,"",(C31+D31)/H31)</f>
        <v>0.4</v>
      </c>
      <c r="J31" s="31" t="n">
        <f aca="false">IF(H31=0,"",(F31+G31)/H31)</f>
        <v>0</v>
      </c>
      <c r="K31" s="1"/>
      <c r="L31" s="1"/>
      <c r="M31" s="1"/>
    </row>
    <row r="32" customFormat="false" ht="15" hidden="false" customHeight="false" outlineLevel="0" collapsed="false">
      <c r="A32" s="1"/>
      <c r="B32" s="27" t="s">
        <v>208</v>
      </c>
      <c r="C32" s="28" t="n">
        <f aca="false">COUNTIF('Year 2'!$V$6:$V$1005,C$30)</f>
        <v>1</v>
      </c>
      <c r="D32" s="28" t="n">
        <f aca="false">COUNTIF('Year 2'!$V$6:$V$1005,D$30)</f>
        <v>0</v>
      </c>
      <c r="E32" s="28" t="n">
        <f aca="false">COUNTIF('Year 2'!$V$6:$V$1005,E$30)</f>
        <v>3</v>
      </c>
      <c r="F32" s="28" t="n">
        <f aca="false">COUNTIF('Year 2'!$V$6:$V$1005,F$30)</f>
        <v>1</v>
      </c>
      <c r="G32" s="28" t="n">
        <f aca="false">COUNTIF('Year 2'!$V$6:$V$1005,G$30)</f>
        <v>0</v>
      </c>
      <c r="H32" s="28" t="n">
        <f aca="false">SUM(C32:G32)</f>
        <v>5</v>
      </c>
      <c r="I32" s="31" t="n">
        <f aca="false">IF(H32=0,"",(C32+D32)/H32)</f>
        <v>0.2</v>
      </c>
      <c r="J32" s="31" t="n">
        <f aca="false">IF(H32=0,"",(F32+G32)/H32)</f>
        <v>0.2</v>
      </c>
      <c r="K32" s="1"/>
      <c r="L32" s="1"/>
      <c r="M32" s="1"/>
    </row>
    <row r="33" customFormat="false" ht="15" hidden="false" customHeight="false" outlineLevel="0" collapsed="false">
      <c r="A33" s="1"/>
      <c r="B33" s="27" t="s">
        <v>209</v>
      </c>
      <c r="C33" s="28" t="n">
        <f aca="false">COUNTIF('Year 3'!$V$6:$V$1005,C$30)</f>
        <v>2</v>
      </c>
      <c r="D33" s="28" t="n">
        <f aca="false">COUNTIF('Year 3'!$V$6:$V$1005,D$30)</f>
        <v>2</v>
      </c>
      <c r="E33" s="28" t="n">
        <f aca="false">COUNTIF('Year 3'!$V$6:$V$1005,E$30)</f>
        <v>1</v>
      </c>
      <c r="F33" s="28" t="n">
        <f aca="false">COUNTIF('Year 3'!$V$6:$V$1005,F$30)</f>
        <v>2</v>
      </c>
      <c r="G33" s="28" t="n">
        <f aca="false">COUNTIF('Year 3'!$V$6:$V$1005,G$30)</f>
        <v>0</v>
      </c>
      <c r="H33" s="28" t="n">
        <f aca="false">SUM(C33:G33)</f>
        <v>7</v>
      </c>
      <c r="I33" s="31" t="n">
        <f aca="false">IF(H33=0,"",(C33+D33)/H33)</f>
        <v>0.571428571428571</v>
      </c>
      <c r="J33" s="31" t="n">
        <f aca="false">IF(H33=0,"",(F33+G33)/H33)</f>
        <v>0.285714285714286</v>
      </c>
      <c r="K33" s="1"/>
      <c r="L33" s="1"/>
      <c r="M33" s="1"/>
    </row>
    <row r="34" customFormat="false" ht="15" hidden="false" customHeight="false" outlineLevel="0" collapsed="false">
      <c r="A34" s="1"/>
      <c r="B34" s="27" t="s">
        <v>210</v>
      </c>
      <c r="C34" s="28" t="n">
        <f aca="false">COUNTIF('Year 4'!$V$6:$V$1005,C$30)</f>
        <v>0</v>
      </c>
      <c r="D34" s="28" t="n">
        <f aca="false">COUNTIF('Year 4'!$V$6:$V$1005,D$30)</f>
        <v>4</v>
      </c>
      <c r="E34" s="28" t="n">
        <f aca="false">COUNTIF('Year 4'!$V$6:$V$1005,E$30)</f>
        <v>2</v>
      </c>
      <c r="F34" s="28" t="n">
        <f aca="false">COUNTIF('Year 4'!$V$6:$V$1005,F$30)</f>
        <v>0</v>
      </c>
      <c r="G34" s="28" t="n">
        <f aca="false">COUNTIF('Year 4'!$V$6:$V$1005,G$30)</f>
        <v>0</v>
      </c>
      <c r="H34" s="28" t="n">
        <f aca="false">SUM(C34:G34)</f>
        <v>6</v>
      </c>
      <c r="I34" s="31" t="n">
        <f aca="false">IF(H34=0,"",(C34+D34)/H34)</f>
        <v>0.666666666666667</v>
      </c>
      <c r="J34" s="31" t="n">
        <f aca="false">IF(H34=0,"",(F34+G34)/H34)</f>
        <v>0</v>
      </c>
      <c r="K34" s="1"/>
      <c r="L34" s="1"/>
      <c r="M34" s="1"/>
    </row>
    <row r="35" customFormat="false" ht="15" hidden="false" customHeight="false" outlineLevel="0" collapsed="false">
      <c r="A35" s="1"/>
      <c r="B35" s="27" t="s">
        <v>211</v>
      </c>
      <c r="C35" s="28" t="n">
        <f aca="false">COUNTIF('Year 5'!$V$6:$V$1005,C$30)</f>
        <v>1</v>
      </c>
      <c r="D35" s="28" t="n">
        <f aca="false">COUNTIF('Year 5'!$V$6:$V$1005,D$30)</f>
        <v>3</v>
      </c>
      <c r="E35" s="28" t="n">
        <f aca="false">COUNTIF('Year 5'!$V$6:$V$1005,E$30)</f>
        <v>3</v>
      </c>
      <c r="F35" s="28" t="n">
        <f aca="false">COUNTIF('Year 5'!$V$6:$V$1005,F$30)</f>
        <v>0</v>
      </c>
      <c r="G35" s="28" t="n">
        <f aca="false">COUNTIF('Year 5'!$V$6:$V$1005,G$30)</f>
        <v>0</v>
      </c>
      <c r="H35" s="28" t="n">
        <f aca="false">SUM(C35:G35)</f>
        <v>7</v>
      </c>
      <c r="I35" s="31" t="n">
        <f aca="false">IF(H35=0,"",(C35+D35)/H35)</f>
        <v>0.571428571428571</v>
      </c>
      <c r="J35" s="31" t="n">
        <f aca="false">IF(H35=0,"",(F35+G35)/H35)</f>
        <v>0</v>
      </c>
      <c r="K35" s="1"/>
      <c r="L35" s="1"/>
      <c r="M35" s="1"/>
    </row>
    <row r="36" customFormat="false" ht="15" hidden="false" customHeight="false" outlineLevel="0" collapsed="false">
      <c r="A36" s="1"/>
      <c r="B36" s="27" t="s">
        <v>212</v>
      </c>
      <c r="C36" s="28" t="n">
        <f aca="false">COUNTIF('Year 6'!$V$6:$V$1005,C$30)</f>
        <v>0</v>
      </c>
      <c r="D36" s="28" t="n">
        <f aca="false">COUNTIF('Year 6'!$V$6:$V$1005,D$30)</f>
        <v>4</v>
      </c>
      <c r="E36" s="28" t="n">
        <f aca="false">COUNTIF('Year 6'!$V$6:$V$1005,E$30)</f>
        <v>2</v>
      </c>
      <c r="F36" s="28" t="n">
        <f aca="false">COUNTIF('Year 6'!$V$6:$V$1005,F$30)</f>
        <v>1</v>
      </c>
      <c r="G36" s="28" t="n">
        <f aca="false">COUNTIF('Year 6'!$V$6:$V$1005,G$30)</f>
        <v>0</v>
      </c>
      <c r="H36" s="28" t="n">
        <f aca="false">SUM(C36:G36)</f>
        <v>7</v>
      </c>
      <c r="I36" s="31" t="n">
        <f aca="false">IF(H36=0,"",(C36+D36)/H36)</f>
        <v>0.571428571428571</v>
      </c>
      <c r="J36" s="31" t="n">
        <f aca="false">IF(H36=0,"",(F36+G36)/H36)</f>
        <v>0.142857142857143</v>
      </c>
      <c r="K36" s="1"/>
      <c r="L36" s="1"/>
      <c r="M36" s="1"/>
    </row>
    <row r="37" customFormat="false" ht="15" hidden="false" customHeight="false" outlineLevel="0" collapsed="false">
      <c r="A37" s="1"/>
      <c r="B37" s="27" t="s">
        <v>213</v>
      </c>
      <c r="C37" s="28" t="n">
        <f aca="false">COUNTIF('Year 7'!$V$6:$V$1005,C$30)</f>
        <v>1</v>
      </c>
      <c r="D37" s="28" t="n">
        <f aca="false">COUNTIF('Year 7'!$V$6:$V$1005,D$30)</f>
        <v>2</v>
      </c>
      <c r="E37" s="28" t="n">
        <f aca="false">COUNTIF('Year 7'!$V$6:$V$1005,E$30)</f>
        <v>3</v>
      </c>
      <c r="F37" s="28" t="n">
        <f aca="false">COUNTIF('Year 7'!$V$6:$V$1005,F$30)</f>
        <v>0</v>
      </c>
      <c r="G37" s="28" t="n">
        <f aca="false">COUNTIF('Year 7'!$V$6:$V$1005,G$30)</f>
        <v>0</v>
      </c>
      <c r="H37" s="28" t="n">
        <f aca="false">SUM(C37:G37)</f>
        <v>6</v>
      </c>
      <c r="I37" s="31" t="n">
        <f aca="false">IF(H37=0,"",(C37+D37)/H37)</f>
        <v>0.5</v>
      </c>
      <c r="J37" s="31" t="n">
        <f aca="false">IF(H37=0,"",(F37+G37)/H37)</f>
        <v>0</v>
      </c>
      <c r="K37" s="1"/>
      <c r="L37" s="1"/>
      <c r="M37" s="1"/>
    </row>
    <row r="38" customFormat="false" ht="15" hidden="false" customHeight="false" outlineLevel="0" collapsed="false">
      <c r="A38" s="1"/>
      <c r="B38" s="27" t="s">
        <v>214</v>
      </c>
      <c r="C38" s="28" t="n">
        <f aca="false">COUNTIF('Year 8'!$V$6:$V$1005,C$30)</f>
        <v>1</v>
      </c>
      <c r="D38" s="28" t="n">
        <f aca="false">COUNTIF('Year 8'!$V$6:$V$1005,D$30)</f>
        <v>2</v>
      </c>
      <c r="E38" s="28" t="n">
        <f aca="false">COUNTIF('Year 8'!$V$6:$V$1005,E$30)</f>
        <v>3</v>
      </c>
      <c r="F38" s="28" t="n">
        <f aca="false">COUNTIF('Year 8'!$V$6:$V$1005,F$30)</f>
        <v>0</v>
      </c>
      <c r="G38" s="28" t="n">
        <f aca="false">COUNTIF('Year 8'!$V$6:$V$1005,G$30)</f>
        <v>0</v>
      </c>
      <c r="H38" s="28" t="n">
        <f aca="false">SUM(C38:G38)</f>
        <v>6</v>
      </c>
      <c r="I38" s="31" t="n">
        <f aca="false">IF(H38=0,"",(C38+D38)/H38)</f>
        <v>0.5</v>
      </c>
      <c r="J38" s="31" t="n">
        <f aca="false">IF(H38=0,"",(F38+G38)/H38)</f>
        <v>0</v>
      </c>
      <c r="K38" s="1"/>
      <c r="L38" s="1"/>
      <c r="M38" s="1"/>
    </row>
    <row r="39" customFormat="false" ht="15" hidden="false" customHeight="false" outlineLevel="0" collapsed="false">
      <c r="A39" s="1"/>
      <c r="B39" s="27" t="s">
        <v>215</v>
      </c>
      <c r="C39" s="28" t="n">
        <f aca="false">COUNTIF('Year 9'!$V$6:$V$1005,C$30)</f>
        <v>0</v>
      </c>
      <c r="D39" s="28" t="n">
        <f aca="false">COUNTIF('Year 9'!$V$6:$V$1005,D$30)</f>
        <v>2</v>
      </c>
      <c r="E39" s="28" t="n">
        <f aca="false">COUNTIF('Year 9'!$V$6:$V$1005,E$30)</f>
        <v>2</v>
      </c>
      <c r="F39" s="28" t="n">
        <f aca="false">COUNTIF('Year 9'!$V$6:$V$1005,F$30)</f>
        <v>1</v>
      </c>
      <c r="G39" s="28" t="n">
        <f aca="false">COUNTIF('Year 9'!$V$6:$V$1005,G$30)</f>
        <v>1</v>
      </c>
      <c r="H39" s="28" t="n">
        <f aca="false">SUM(C39:G39)</f>
        <v>6</v>
      </c>
      <c r="I39" s="31" t="n">
        <f aca="false">IF(H39=0,"",(C39+D39)/H39)</f>
        <v>0.333333333333333</v>
      </c>
      <c r="J39" s="31" t="n">
        <f aca="false">IF(H39=0,"",(F39+G39)/H39)</f>
        <v>0.333333333333333</v>
      </c>
      <c r="K39" s="1"/>
      <c r="L39" s="1"/>
      <c r="M39" s="1"/>
    </row>
    <row r="40" customFormat="false" ht="15" hidden="false" customHeight="false" outlineLevel="0" collapsed="false">
      <c r="A40" s="1"/>
      <c r="B40" s="27" t="s">
        <v>216</v>
      </c>
      <c r="C40" s="28" t="n">
        <f aca="false">COUNTIF('Year 10'!$V$6:$V$1005,C$30)</f>
        <v>1</v>
      </c>
      <c r="D40" s="28" t="n">
        <f aca="false">COUNTIF('Year 10'!$V$6:$V$1005,D$30)</f>
        <v>1</v>
      </c>
      <c r="E40" s="28" t="n">
        <f aca="false">COUNTIF('Year 10'!$V$6:$V$1005,E$30)</f>
        <v>2</v>
      </c>
      <c r="F40" s="28" t="n">
        <f aca="false">COUNTIF('Year 10'!$V$6:$V$1005,F$30)</f>
        <v>1</v>
      </c>
      <c r="G40" s="28" t="n">
        <f aca="false">COUNTIF('Year 10'!$V$6:$V$1005,G$30)</f>
        <v>0</v>
      </c>
      <c r="H40" s="28" t="n">
        <f aca="false">SUM(C40:G40)</f>
        <v>5</v>
      </c>
      <c r="I40" s="31" t="n">
        <f aca="false">IF(H40=0,"",(C40+D40)/H40)</f>
        <v>0.4</v>
      </c>
      <c r="J40" s="31" t="n">
        <f aca="false">IF(H40=0,"",(F40+G40)/H40)</f>
        <v>0.2</v>
      </c>
      <c r="K40" s="1"/>
      <c r="L40" s="1"/>
      <c r="M40" s="1"/>
    </row>
    <row r="41" customFormat="false" ht="15" hidden="false" customHeight="false" outlineLevel="0" collapsed="false">
      <c r="A41" s="1"/>
      <c r="B41" s="29" t="s">
        <v>217</v>
      </c>
      <c r="C41" s="30" t="n">
        <f aca="false">SUM(C31:C40)</f>
        <v>8</v>
      </c>
      <c r="D41" s="30" t="n">
        <f aca="false">SUM(D31:D40)</f>
        <v>21</v>
      </c>
      <c r="E41" s="30" t="n">
        <f aca="false">SUM(E31:E40)</f>
        <v>24</v>
      </c>
      <c r="F41" s="30" t="n">
        <f aca="false">SUM(F31:F40)</f>
        <v>6</v>
      </c>
      <c r="G41" s="30" t="n">
        <f aca="false">SUM(G31:G40)</f>
        <v>1</v>
      </c>
      <c r="H41" s="30" t="n">
        <f aca="false">SUM(H31:H40)</f>
        <v>60</v>
      </c>
      <c r="I41" s="32" t="n">
        <f aca="false">IF(H41=0,"",(C41+D41)/H41)</f>
        <v>0.483333333333333</v>
      </c>
      <c r="J41" s="32" t="n">
        <f aca="false">IF(H41=0,"",(F41+G41)/H41)</f>
        <v>0.116666666666667</v>
      </c>
      <c r="K41" s="1"/>
      <c r="L41" s="1"/>
      <c r="M41" s="1"/>
    </row>
    <row r="42" customFormat="false" ht="15" hidden="false" customHeight="false" outlineLevel="0" collapsed="false">
      <c r="A42" s="1"/>
      <c r="B42" s="1"/>
      <c r="C42" s="1"/>
      <c r="D42" s="1"/>
      <c r="E42" s="1"/>
      <c r="F42" s="1"/>
      <c r="G42" s="1"/>
      <c r="H42" s="1"/>
      <c r="I42" s="1"/>
      <c r="J42" s="1"/>
      <c r="K42" s="1"/>
      <c r="L42" s="1"/>
      <c r="M42" s="1"/>
    </row>
    <row r="43" customFormat="false" ht="15" hidden="false" customHeight="false" outlineLevel="0" collapsed="false">
      <c r="A43" s="1"/>
      <c r="B43" s="1"/>
      <c r="C43" s="1"/>
      <c r="D43" s="1"/>
      <c r="E43" s="1"/>
      <c r="F43" s="1"/>
      <c r="G43" s="1"/>
      <c r="H43" s="1"/>
      <c r="I43" s="1"/>
      <c r="J43" s="1"/>
      <c r="K43" s="1"/>
      <c r="L43" s="1"/>
      <c r="M43" s="1"/>
    </row>
    <row r="44" customFormat="false" ht="15" hidden="false" customHeight="false" outlineLevel="0" collapsed="false">
      <c r="A44" s="1"/>
      <c r="B44" s="5" t="s">
        <v>226</v>
      </c>
      <c r="C44" s="1"/>
      <c r="D44" s="1"/>
      <c r="E44" s="1"/>
      <c r="F44" s="1"/>
      <c r="G44" s="1"/>
      <c r="H44" s="1"/>
      <c r="I44" s="1"/>
      <c r="J44" s="1"/>
      <c r="K44" s="1"/>
      <c r="L44" s="1"/>
      <c r="M44" s="1"/>
    </row>
    <row r="45" customFormat="false" ht="15" hidden="false" customHeight="false" outlineLevel="0" collapsed="false">
      <c r="A45" s="1"/>
      <c r="B45" s="25" t="s">
        <v>227</v>
      </c>
      <c r="C45" s="1"/>
      <c r="D45" s="1"/>
      <c r="E45" s="1"/>
      <c r="F45" s="1"/>
      <c r="G45" s="1"/>
      <c r="H45" s="1"/>
      <c r="I45" s="1"/>
      <c r="J45" s="1"/>
      <c r="K45" s="1"/>
      <c r="L45" s="1"/>
      <c r="M45" s="1"/>
    </row>
    <row r="46" customFormat="false" ht="43.5" hidden="false" customHeight="true" outlineLevel="0" collapsed="false">
      <c r="A46" s="1"/>
      <c r="B46" s="15" t="s">
        <v>203</v>
      </c>
      <c r="C46" s="26" t="s">
        <v>228</v>
      </c>
      <c r="D46" s="26" t="s">
        <v>229</v>
      </c>
      <c r="E46" s="26" t="s">
        <v>153</v>
      </c>
      <c r="F46" s="26" t="s">
        <v>230</v>
      </c>
      <c r="G46" s="26" t="s">
        <v>231</v>
      </c>
      <c r="H46" s="26" t="s">
        <v>232</v>
      </c>
      <c r="I46" s="26" t="s">
        <v>233</v>
      </c>
      <c r="J46" s="26" t="s">
        <v>234</v>
      </c>
      <c r="K46" s="26" t="s">
        <v>235</v>
      </c>
      <c r="L46" s="1"/>
      <c r="M46" s="1"/>
    </row>
    <row r="47" customFormat="false" ht="15" hidden="false" customHeight="false" outlineLevel="0" collapsed="false">
      <c r="A47" s="1"/>
      <c r="B47" s="27" t="s">
        <v>207</v>
      </c>
      <c r="C47" s="28" t="n">
        <f aca="false">(COUNTIFS('Year 1'!$J$6:$J$1005,"Decision confirmed")+COUNTIFS('Year 1'!$J$6:$J$1005,"Family told")+COUNTIFS('Year 1'!$J$6:$J$1005,"Enrolled"))</f>
        <v>5</v>
      </c>
      <c r="D47" s="28" t="n">
        <f aca="false">(COUNTIFS('Year 1'!$J$6:$J$1005,"Decision confirmed",'Year 1'!$AG$6:$AG$1005,D$46)+COUNTIFS('Year 1'!$J$6:$J$1005,"Family told",'Year 1'!$AG$6:$AG$1005,D$46)+COUNTIFS('Year 1'!$J$6:$J$1005,"Enrolled",'Year 1'!$AG$6:$AG$1005,D$46))</f>
        <v>0</v>
      </c>
      <c r="E47" s="28" t="n">
        <f aca="false">(COUNTIFS('Year 1'!$J$6:$J$1005,"Decision confirmed",'Year 1'!$AG$6:$AG$1005,E$46)+COUNTIFS('Year 1'!$J$6:$J$1005,"Family told",'Year 1'!$AG$6:$AG$1005,E$46)+COUNTIFS('Year 1'!$J$6:$J$1005,"Enrolled",'Year 1'!$AG$6:$AG$1005,E$46))</f>
        <v>4</v>
      </c>
      <c r="F47" s="28" t="n">
        <f aca="false">(COUNTIFS('Year 1'!$J$6:$J$1005,"Decision confirmed",'Year 1'!$AG$6:$AG$1005,F$46)+COUNTIFS('Year 1'!$J$6:$J$1005,"Family told",'Year 1'!$AG$6:$AG$1005,F$46)+COUNTIFS('Year 1'!$J$6:$J$1005,"Enrolled",'Year 1'!$AG$6:$AG$1005,F$46))</f>
        <v>0</v>
      </c>
      <c r="G47" s="28" t="n">
        <f aca="false">(COUNTIFS('Year 1'!$J$6:$J$1005,"Decision confirmed",'Year 1'!$AG$6:$AG$1005,G$46)+COUNTIFS('Year 1'!$J$6:$J$1005,"Family told",'Year 1'!$AG$6:$AG$1005,G$46)+COUNTIFS('Year 1'!$J$6:$J$1005,"Enrolled",'Year 1'!$AG$6:$AG$1005,G$46))</f>
        <v>1</v>
      </c>
      <c r="H47" s="28" t="n">
        <f aca="false">(COUNTIFS('Year 1'!$J$6:$J$1005,"Decision confirmed",'Year 1'!$AG$6:$AG$1005,H$46)+COUNTIFS('Year 1'!$J$6:$J$1005,"Family told",'Year 1'!$AG$6:$AG$1005,H$46)+COUNTIFS('Year 1'!$J$6:$J$1005,"Enrolled",'Year 1'!$AG$6:$AG$1005,H$46))</f>
        <v>0</v>
      </c>
      <c r="I47" s="31" t="n">
        <f aca="false">IF(C47=0,"",(D47+E47+F47)/C47)</f>
        <v>0.8</v>
      </c>
      <c r="J47" s="28" t="n">
        <f aca="false">COUNTIF('Year 1'!$J$6:$J$1005,"Assessed")</f>
        <v>0</v>
      </c>
      <c r="K47" s="28" t="n">
        <f aca="false">COUNTIF('Year 1'!$J$6:$J$1005,"Decision confirmed")</f>
        <v>1</v>
      </c>
      <c r="L47" s="1"/>
      <c r="M47" s="1"/>
    </row>
    <row r="48" customFormat="false" ht="15" hidden="false" customHeight="false" outlineLevel="0" collapsed="false">
      <c r="A48" s="1"/>
      <c r="B48" s="27" t="s">
        <v>208</v>
      </c>
      <c r="C48" s="28" t="n">
        <f aca="false">(COUNTIFS('Year 2'!$J$6:$J$1005,"Decision confirmed")+COUNTIFS('Year 2'!$J$6:$J$1005,"Family told")+COUNTIFS('Year 2'!$J$6:$J$1005,"Enrolled"))</f>
        <v>4</v>
      </c>
      <c r="D48" s="28" t="n">
        <f aca="false">(COUNTIFS('Year 2'!$J$6:$J$1005,"Decision confirmed",'Year 2'!$AG$6:$AG$1005,D$46)+COUNTIFS('Year 2'!$J$6:$J$1005,"Family told",'Year 2'!$AG$6:$AG$1005,D$46)+COUNTIFS('Year 2'!$J$6:$J$1005,"Enrolled",'Year 2'!$AG$6:$AG$1005,D$46))</f>
        <v>1</v>
      </c>
      <c r="E48" s="28" t="n">
        <f aca="false">(COUNTIFS('Year 2'!$J$6:$J$1005,"Decision confirmed",'Year 2'!$AG$6:$AG$1005,E$46)+COUNTIFS('Year 2'!$J$6:$J$1005,"Family told",'Year 2'!$AG$6:$AG$1005,E$46)+COUNTIFS('Year 2'!$J$6:$J$1005,"Enrolled",'Year 2'!$AG$6:$AG$1005,E$46))</f>
        <v>3</v>
      </c>
      <c r="F48" s="28" t="n">
        <f aca="false">(COUNTIFS('Year 2'!$J$6:$J$1005,"Decision confirmed",'Year 2'!$AG$6:$AG$1005,F$46)+COUNTIFS('Year 2'!$J$6:$J$1005,"Family told",'Year 2'!$AG$6:$AG$1005,F$46)+COUNTIFS('Year 2'!$J$6:$J$1005,"Enrolled",'Year 2'!$AG$6:$AG$1005,F$46))</f>
        <v>0</v>
      </c>
      <c r="G48" s="28" t="n">
        <f aca="false">(COUNTIFS('Year 2'!$J$6:$J$1005,"Decision confirmed",'Year 2'!$AG$6:$AG$1005,G$46)+COUNTIFS('Year 2'!$J$6:$J$1005,"Family told",'Year 2'!$AG$6:$AG$1005,G$46)+COUNTIFS('Year 2'!$J$6:$J$1005,"Enrolled",'Year 2'!$AG$6:$AG$1005,G$46))</f>
        <v>0</v>
      </c>
      <c r="H48" s="28" t="n">
        <f aca="false">(COUNTIFS('Year 2'!$J$6:$J$1005,"Decision confirmed",'Year 2'!$AG$6:$AG$1005,H$46)+COUNTIFS('Year 2'!$J$6:$J$1005,"Family told",'Year 2'!$AG$6:$AG$1005,H$46)+COUNTIFS('Year 2'!$J$6:$J$1005,"Enrolled",'Year 2'!$AG$6:$AG$1005,H$46))</f>
        <v>0</v>
      </c>
      <c r="I48" s="31" t="n">
        <f aca="false">IF(C48=0,"",(D48+E48+F48)/C48)</f>
        <v>1</v>
      </c>
      <c r="J48" s="28" t="n">
        <f aca="false">COUNTIF('Year 2'!$J$6:$J$1005,"Assessed")</f>
        <v>1</v>
      </c>
      <c r="K48" s="28" t="n">
        <f aca="false">COUNTIF('Year 2'!$J$6:$J$1005,"Decision confirmed")</f>
        <v>2</v>
      </c>
      <c r="L48" s="1"/>
      <c r="M48" s="1"/>
    </row>
    <row r="49" customFormat="false" ht="15" hidden="false" customHeight="false" outlineLevel="0" collapsed="false">
      <c r="A49" s="1"/>
      <c r="B49" s="27" t="s">
        <v>209</v>
      </c>
      <c r="C49" s="28" t="n">
        <f aca="false">(COUNTIFS('Year 3'!$J$6:$J$1005,"Decision confirmed")+COUNTIFS('Year 3'!$J$6:$J$1005,"Family told")+COUNTIFS('Year 3'!$J$6:$J$1005,"Enrolled"))</f>
        <v>5</v>
      </c>
      <c r="D49" s="28" t="n">
        <f aca="false">(COUNTIFS('Year 3'!$J$6:$J$1005,"Decision confirmed",'Year 3'!$AG$6:$AG$1005,D$46)+COUNTIFS('Year 3'!$J$6:$J$1005,"Family told",'Year 3'!$AG$6:$AG$1005,D$46)+COUNTIFS('Year 3'!$J$6:$J$1005,"Enrolled",'Year 3'!$AG$6:$AG$1005,D$46))</f>
        <v>1</v>
      </c>
      <c r="E49" s="28" t="n">
        <f aca="false">(COUNTIFS('Year 3'!$J$6:$J$1005,"Decision confirmed",'Year 3'!$AG$6:$AG$1005,E$46)+COUNTIFS('Year 3'!$J$6:$J$1005,"Family told",'Year 3'!$AG$6:$AG$1005,E$46)+COUNTIFS('Year 3'!$J$6:$J$1005,"Enrolled",'Year 3'!$AG$6:$AG$1005,E$46))</f>
        <v>3</v>
      </c>
      <c r="F49" s="28" t="n">
        <f aca="false">(COUNTIFS('Year 3'!$J$6:$J$1005,"Decision confirmed",'Year 3'!$AG$6:$AG$1005,F$46)+COUNTIFS('Year 3'!$J$6:$J$1005,"Family told",'Year 3'!$AG$6:$AG$1005,F$46)+COUNTIFS('Year 3'!$J$6:$J$1005,"Enrolled",'Year 3'!$AG$6:$AG$1005,F$46))</f>
        <v>1</v>
      </c>
      <c r="G49" s="28" t="n">
        <f aca="false">(COUNTIFS('Year 3'!$J$6:$J$1005,"Decision confirmed",'Year 3'!$AG$6:$AG$1005,G$46)+COUNTIFS('Year 3'!$J$6:$J$1005,"Family told",'Year 3'!$AG$6:$AG$1005,G$46)+COUNTIFS('Year 3'!$J$6:$J$1005,"Enrolled",'Year 3'!$AG$6:$AG$1005,G$46))</f>
        <v>0</v>
      </c>
      <c r="H49" s="28" t="n">
        <f aca="false">(COUNTIFS('Year 3'!$J$6:$J$1005,"Decision confirmed",'Year 3'!$AG$6:$AG$1005,H$46)+COUNTIFS('Year 3'!$J$6:$J$1005,"Family told",'Year 3'!$AG$6:$AG$1005,H$46)+COUNTIFS('Year 3'!$J$6:$J$1005,"Enrolled",'Year 3'!$AG$6:$AG$1005,H$46))</f>
        <v>0</v>
      </c>
      <c r="I49" s="31" t="n">
        <f aca="false">IF(C49=0,"",(D49+E49+F49)/C49)</f>
        <v>1</v>
      </c>
      <c r="J49" s="28" t="n">
        <f aca="false">COUNTIF('Year 3'!$J$6:$J$1005,"Assessed")</f>
        <v>2</v>
      </c>
      <c r="K49" s="28" t="n">
        <f aca="false">COUNTIF('Year 3'!$J$6:$J$1005,"Decision confirmed")</f>
        <v>0</v>
      </c>
      <c r="L49" s="1"/>
      <c r="M49" s="1"/>
    </row>
    <row r="50" customFormat="false" ht="15" hidden="false" customHeight="false" outlineLevel="0" collapsed="false">
      <c r="A50" s="1"/>
      <c r="B50" s="27" t="s">
        <v>210</v>
      </c>
      <c r="C50" s="28" t="n">
        <f aca="false">(COUNTIFS('Year 4'!$J$6:$J$1005,"Decision confirmed")+COUNTIFS('Year 4'!$J$6:$J$1005,"Family told")+COUNTIFS('Year 4'!$J$6:$J$1005,"Enrolled"))</f>
        <v>4</v>
      </c>
      <c r="D50" s="28" t="n">
        <f aca="false">(COUNTIFS('Year 4'!$J$6:$J$1005,"Decision confirmed",'Year 4'!$AG$6:$AG$1005,D$46)+COUNTIFS('Year 4'!$J$6:$J$1005,"Family told",'Year 4'!$AG$6:$AG$1005,D$46)+COUNTIFS('Year 4'!$J$6:$J$1005,"Enrolled",'Year 4'!$AG$6:$AG$1005,D$46))</f>
        <v>0</v>
      </c>
      <c r="E50" s="28" t="n">
        <f aca="false">(COUNTIFS('Year 4'!$J$6:$J$1005,"Decision confirmed",'Year 4'!$AG$6:$AG$1005,E$46)+COUNTIFS('Year 4'!$J$6:$J$1005,"Family told",'Year 4'!$AG$6:$AG$1005,E$46)+COUNTIFS('Year 4'!$J$6:$J$1005,"Enrolled",'Year 4'!$AG$6:$AG$1005,E$46))</f>
        <v>4</v>
      </c>
      <c r="F50" s="28" t="n">
        <f aca="false">(COUNTIFS('Year 4'!$J$6:$J$1005,"Decision confirmed",'Year 4'!$AG$6:$AG$1005,F$46)+COUNTIFS('Year 4'!$J$6:$J$1005,"Family told",'Year 4'!$AG$6:$AG$1005,F$46)+COUNTIFS('Year 4'!$J$6:$J$1005,"Enrolled",'Year 4'!$AG$6:$AG$1005,F$46))</f>
        <v>0</v>
      </c>
      <c r="G50" s="28" t="n">
        <f aca="false">(COUNTIFS('Year 4'!$J$6:$J$1005,"Decision confirmed",'Year 4'!$AG$6:$AG$1005,G$46)+COUNTIFS('Year 4'!$J$6:$J$1005,"Family told",'Year 4'!$AG$6:$AG$1005,G$46)+COUNTIFS('Year 4'!$J$6:$J$1005,"Enrolled",'Year 4'!$AG$6:$AG$1005,G$46))</f>
        <v>0</v>
      </c>
      <c r="H50" s="28" t="n">
        <f aca="false">(COUNTIFS('Year 4'!$J$6:$J$1005,"Decision confirmed",'Year 4'!$AG$6:$AG$1005,H$46)+COUNTIFS('Year 4'!$J$6:$J$1005,"Family told",'Year 4'!$AG$6:$AG$1005,H$46)+COUNTIFS('Year 4'!$J$6:$J$1005,"Enrolled",'Year 4'!$AG$6:$AG$1005,H$46))</f>
        <v>0</v>
      </c>
      <c r="I50" s="31" t="n">
        <f aca="false">IF(C50=0,"",(D50+E50+F50)/C50)</f>
        <v>1</v>
      </c>
      <c r="J50" s="28" t="n">
        <f aca="false">COUNTIF('Year 4'!$J$6:$J$1005,"Assessed")</f>
        <v>2</v>
      </c>
      <c r="K50" s="28" t="n">
        <f aca="false">COUNTIF('Year 4'!$J$6:$J$1005,"Decision confirmed")</f>
        <v>2</v>
      </c>
      <c r="L50" s="1"/>
      <c r="M50" s="1"/>
    </row>
    <row r="51" customFormat="false" ht="15" hidden="false" customHeight="false" outlineLevel="0" collapsed="false">
      <c r="A51" s="1"/>
      <c r="B51" s="27" t="s">
        <v>211</v>
      </c>
      <c r="C51" s="28" t="n">
        <f aca="false">(COUNTIFS('Year 5'!$J$6:$J$1005,"Decision confirmed")+COUNTIFS('Year 5'!$J$6:$J$1005,"Family told")+COUNTIFS('Year 5'!$J$6:$J$1005,"Enrolled"))</f>
        <v>4</v>
      </c>
      <c r="D51" s="28" t="n">
        <f aca="false">(COUNTIFS('Year 5'!$J$6:$J$1005,"Decision confirmed",'Year 5'!$AG$6:$AG$1005,D$46)+COUNTIFS('Year 5'!$J$6:$J$1005,"Family told",'Year 5'!$AG$6:$AG$1005,D$46)+COUNTIFS('Year 5'!$J$6:$J$1005,"Enrolled",'Year 5'!$AG$6:$AG$1005,D$46))</f>
        <v>0</v>
      </c>
      <c r="E51" s="28" t="n">
        <f aca="false">(COUNTIFS('Year 5'!$J$6:$J$1005,"Decision confirmed",'Year 5'!$AG$6:$AG$1005,E$46)+COUNTIFS('Year 5'!$J$6:$J$1005,"Family told",'Year 5'!$AG$6:$AG$1005,E$46)+COUNTIFS('Year 5'!$J$6:$J$1005,"Enrolled",'Year 5'!$AG$6:$AG$1005,E$46))</f>
        <v>4</v>
      </c>
      <c r="F51" s="28" t="n">
        <f aca="false">(COUNTIFS('Year 5'!$J$6:$J$1005,"Decision confirmed",'Year 5'!$AG$6:$AG$1005,F$46)+COUNTIFS('Year 5'!$J$6:$J$1005,"Family told",'Year 5'!$AG$6:$AG$1005,F$46)+COUNTIFS('Year 5'!$J$6:$J$1005,"Enrolled",'Year 5'!$AG$6:$AG$1005,F$46))</f>
        <v>0</v>
      </c>
      <c r="G51" s="28" t="n">
        <f aca="false">(COUNTIFS('Year 5'!$J$6:$J$1005,"Decision confirmed",'Year 5'!$AG$6:$AG$1005,G$46)+COUNTIFS('Year 5'!$J$6:$J$1005,"Family told",'Year 5'!$AG$6:$AG$1005,G$46)+COUNTIFS('Year 5'!$J$6:$J$1005,"Enrolled",'Year 5'!$AG$6:$AG$1005,G$46))</f>
        <v>0</v>
      </c>
      <c r="H51" s="28" t="n">
        <f aca="false">(COUNTIFS('Year 5'!$J$6:$J$1005,"Decision confirmed",'Year 5'!$AG$6:$AG$1005,H$46)+COUNTIFS('Year 5'!$J$6:$J$1005,"Family told",'Year 5'!$AG$6:$AG$1005,H$46)+COUNTIFS('Year 5'!$J$6:$J$1005,"Enrolled",'Year 5'!$AG$6:$AG$1005,H$46))</f>
        <v>0</v>
      </c>
      <c r="I51" s="31" t="n">
        <f aca="false">IF(C51=0,"",(D51+E51+F51)/C51)</f>
        <v>1</v>
      </c>
      <c r="J51" s="28" t="n">
        <f aca="false">COUNTIF('Year 5'!$J$6:$J$1005,"Assessed")</f>
        <v>3</v>
      </c>
      <c r="K51" s="28" t="n">
        <f aca="false">COUNTIF('Year 5'!$J$6:$J$1005,"Decision confirmed")</f>
        <v>0</v>
      </c>
      <c r="L51" s="1"/>
      <c r="M51" s="1"/>
    </row>
    <row r="52" customFormat="false" ht="15" hidden="false" customHeight="false" outlineLevel="0" collapsed="false">
      <c r="A52" s="1"/>
      <c r="B52" s="27" t="s">
        <v>212</v>
      </c>
      <c r="C52" s="28" t="n">
        <f aca="false">(COUNTIFS('Year 6'!$J$6:$J$1005,"Decision confirmed")+COUNTIFS('Year 6'!$J$6:$J$1005,"Family told")+COUNTIFS('Year 6'!$J$6:$J$1005,"Enrolled"))</f>
        <v>6</v>
      </c>
      <c r="D52" s="28" t="n">
        <f aca="false">(COUNTIFS('Year 6'!$J$6:$J$1005,"Decision confirmed",'Year 6'!$AG$6:$AG$1005,D$46)+COUNTIFS('Year 6'!$J$6:$J$1005,"Family told",'Year 6'!$AG$6:$AG$1005,D$46)+COUNTIFS('Year 6'!$J$6:$J$1005,"Enrolled",'Year 6'!$AG$6:$AG$1005,D$46))</f>
        <v>1</v>
      </c>
      <c r="E52" s="28" t="n">
        <f aca="false">(COUNTIFS('Year 6'!$J$6:$J$1005,"Decision confirmed",'Year 6'!$AG$6:$AG$1005,E$46)+COUNTIFS('Year 6'!$J$6:$J$1005,"Family told",'Year 6'!$AG$6:$AG$1005,E$46)+COUNTIFS('Year 6'!$J$6:$J$1005,"Enrolled",'Year 6'!$AG$6:$AG$1005,E$46))</f>
        <v>2</v>
      </c>
      <c r="F52" s="28" t="n">
        <f aca="false">(COUNTIFS('Year 6'!$J$6:$J$1005,"Decision confirmed",'Year 6'!$AG$6:$AG$1005,F$46)+COUNTIFS('Year 6'!$J$6:$J$1005,"Family told",'Year 6'!$AG$6:$AG$1005,F$46)+COUNTIFS('Year 6'!$J$6:$J$1005,"Enrolled",'Year 6'!$AG$6:$AG$1005,F$46))</f>
        <v>1</v>
      </c>
      <c r="G52" s="28" t="n">
        <f aca="false">(COUNTIFS('Year 6'!$J$6:$J$1005,"Decision confirmed",'Year 6'!$AG$6:$AG$1005,G$46)+COUNTIFS('Year 6'!$J$6:$J$1005,"Family told",'Year 6'!$AG$6:$AG$1005,G$46)+COUNTIFS('Year 6'!$J$6:$J$1005,"Enrolled",'Year 6'!$AG$6:$AG$1005,G$46))</f>
        <v>2</v>
      </c>
      <c r="H52" s="28" t="n">
        <f aca="false">(COUNTIFS('Year 6'!$J$6:$J$1005,"Decision confirmed",'Year 6'!$AG$6:$AG$1005,H$46)+COUNTIFS('Year 6'!$J$6:$J$1005,"Family told",'Year 6'!$AG$6:$AG$1005,H$46)+COUNTIFS('Year 6'!$J$6:$J$1005,"Enrolled",'Year 6'!$AG$6:$AG$1005,H$46))</f>
        <v>0</v>
      </c>
      <c r="I52" s="31" t="n">
        <f aca="false">IF(C52=0,"",(D52+E52+F52)/C52)</f>
        <v>0.666666666666667</v>
      </c>
      <c r="J52" s="28" t="n">
        <f aca="false">COUNTIF('Year 6'!$J$6:$J$1005,"Assessed")</f>
        <v>1</v>
      </c>
      <c r="K52" s="28" t="n">
        <f aca="false">COUNTIF('Year 6'!$J$6:$J$1005,"Decision confirmed")</f>
        <v>2</v>
      </c>
      <c r="L52" s="1"/>
      <c r="M52" s="1"/>
    </row>
    <row r="53" customFormat="false" ht="15" hidden="false" customHeight="false" outlineLevel="0" collapsed="false">
      <c r="A53" s="1"/>
      <c r="B53" s="27" t="s">
        <v>213</v>
      </c>
      <c r="C53" s="28" t="n">
        <f aca="false">(COUNTIFS('Year 7'!$J$6:$J$1005,"Decision confirmed")+COUNTIFS('Year 7'!$J$6:$J$1005,"Family told")+COUNTIFS('Year 7'!$J$6:$J$1005,"Enrolled"))</f>
        <v>4</v>
      </c>
      <c r="D53" s="28" t="n">
        <f aca="false">(COUNTIFS('Year 7'!$J$6:$J$1005,"Decision confirmed",'Year 7'!$AG$6:$AG$1005,D$46)+COUNTIFS('Year 7'!$J$6:$J$1005,"Family told",'Year 7'!$AG$6:$AG$1005,D$46)+COUNTIFS('Year 7'!$J$6:$J$1005,"Enrolled",'Year 7'!$AG$6:$AG$1005,D$46))</f>
        <v>0</v>
      </c>
      <c r="E53" s="28" t="n">
        <f aca="false">(COUNTIFS('Year 7'!$J$6:$J$1005,"Decision confirmed",'Year 7'!$AG$6:$AG$1005,E$46)+COUNTIFS('Year 7'!$J$6:$J$1005,"Family told",'Year 7'!$AG$6:$AG$1005,E$46)+COUNTIFS('Year 7'!$J$6:$J$1005,"Enrolled",'Year 7'!$AG$6:$AG$1005,E$46))</f>
        <v>3</v>
      </c>
      <c r="F53" s="28" t="n">
        <f aca="false">(COUNTIFS('Year 7'!$J$6:$J$1005,"Decision confirmed",'Year 7'!$AG$6:$AG$1005,F$46)+COUNTIFS('Year 7'!$J$6:$J$1005,"Family told",'Year 7'!$AG$6:$AG$1005,F$46)+COUNTIFS('Year 7'!$J$6:$J$1005,"Enrolled",'Year 7'!$AG$6:$AG$1005,F$46))</f>
        <v>0</v>
      </c>
      <c r="G53" s="28" t="n">
        <f aca="false">(COUNTIFS('Year 7'!$J$6:$J$1005,"Decision confirmed",'Year 7'!$AG$6:$AG$1005,G$46)+COUNTIFS('Year 7'!$J$6:$J$1005,"Family told",'Year 7'!$AG$6:$AG$1005,G$46)+COUNTIFS('Year 7'!$J$6:$J$1005,"Enrolled",'Year 7'!$AG$6:$AG$1005,G$46))</f>
        <v>0</v>
      </c>
      <c r="H53" s="28" t="n">
        <f aca="false">(COUNTIFS('Year 7'!$J$6:$J$1005,"Decision confirmed",'Year 7'!$AG$6:$AG$1005,H$46)+COUNTIFS('Year 7'!$J$6:$J$1005,"Family told",'Year 7'!$AG$6:$AG$1005,H$46)+COUNTIFS('Year 7'!$J$6:$J$1005,"Enrolled",'Year 7'!$AG$6:$AG$1005,H$46))</f>
        <v>1</v>
      </c>
      <c r="I53" s="31" t="n">
        <f aca="false">IF(C53=0,"",(D53+E53+F53)/C53)</f>
        <v>0.75</v>
      </c>
      <c r="J53" s="28" t="n">
        <f aca="false">COUNTIF('Year 7'!$J$6:$J$1005,"Assessed")</f>
        <v>2</v>
      </c>
      <c r="K53" s="28" t="n">
        <f aca="false">COUNTIF('Year 7'!$J$6:$J$1005,"Decision confirmed")</f>
        <v>1</v>
      </c>
      <c r="L53" s="1"/>
      <c r="M53" s="1"/>
    </row>
    <row r="54" customFormat="false" ht="15" hidden="false" customHeight="false" outlineLevel="0" collapsed="false">
      <c r="A54" s="1"/>
      <c r="B54" s="27" t="s">
        <v>214</v>
      </c>
      <c r="C54" s="28" t="n">
        <f aca="false">(COUNTIFS('Year 8'!$J$6:$J$1005,"Decision confirmed")+COUNTIFS('Year 8'!$J$6:$J$1005,"Family told")+COUNTIFS('Year 8'!$J$6:$J$1005,"Enrolled"))</f>
        <v>6</v>
      </c>
      <c r="D54" s="28" t="n">
        <f aca="false">(COUNTIFS('Year 8'!$J$6:$J$1005,"Decision confirmed",'Year 8'!$AG$6:$AG$1005,D$46)+COUNTIFS('Year 8'!$J$6:$J$1005,"Family told",'Year 8'!$AG$6:$AG$1005,D$46)+COUNTIFS('Year 8'!$J$6:$J$1005,"Enrolled",'Year 8'!$AG$6:$AG$1005,D$46))</f>
        <v>0</v>
      </c>
      <c r="E54" s="28" t="n">
        <f aca="false">(COUNTIFS('Year 8'!$J$6:$J$1005,"Decision confirmed",'Year 8'!$AG$6:$AG$1005,E$46)+COUNTIFS('Year 8'!$J$6:$J$1005,"Family told",'Year 8'!$AG$6:$AG$1005,E$46)+COUNTIFS('Year 8'!$J$6:$J$1005,"Enrolled",'Year 8'!$AG$6:$AG$1005,E$46))</f>
        <v>5</v>
      </c>
      <c r="F54" s="28" t="n">
        <f aca="false">(COUNTIFS('Year 8'!$J$6:$J$1005,"Decision confirmed",'Year 8'!$AG$6:$AG$1005,F$46)+COUNTIFS('Year 8'!$J$6:$J$1005,"Family told",'Year 8'!$AG$6:$AG$1005,F$46)+COUNTIFS('Year 8'!$J$6:$J$1005,"Enrolled",'Year 8'!$AG$6:$AG$1005,F$46))</f>
        <v>0</v>
      </c>
      <c r="G54" s="28" t="n">
        <f aca="false">(COUNTIFS('Year 8'!$J$6:$J$1005,"Decision confirmed",'Year 8'!$AG$6:$AG$1005,G$46)+COUNTIFS('Year 8'!$J$6:$J$1005,"Family told",'Year 8'!$AG$6:$AG$1005,G$46)+COUNTIFS('Year 8'!$J$6:$J$1005,"Enrolled",'Year 8'!$AG$6:$AG$1005,G$46))</f>
        <v>0</v>
      </c>
      <c r="H54" s="28" t="n">
        <f aca="false">(COUNTIFS('Year 8'!$J$6:$J$1005,"Decision confirmed",'Year 8'!$AG$6:$AG$1005,H$46)+COUNTIFS('Year 8'!$J$6:$J$1005,"Family told",'Year 8'!$AG$6:$AG$1005,H$46)+COUNTIFS('Year 8'!$J$6:$J$1005,"Enrolled",'Year 8'!$AG$6:$AG$1005,H$46))</f>
        <v>1</v>
      </c>
      <c r="I54" s="31" t="n">
        <f aca="false">IF(C54=0,"",(D54+E54+F54)/C54)</f>
        <v>0.833333333333333</v>
      </c>
      <c r="J54" s="28" t="n">
        <f aca="false">COUNTIF('Year 8'!$J$6:$J$1005,"Assessed")</f>
        <v>0</v>
      </c>
      <c r="K54" s="28" t="n">
        <f aca="false">COUNTIF('Year 8'!$J$6:$J$1005,"Decision confirmed")</f>
        <v>0</v>
      </c>
      <c r="L54" s="1"/>
      <c r="M54" s="1"/>
    </row>
    <row r="55" customFormat="false" ht="15" hidden="false" customHeight="false" outlineLevel="0" collapsed="false">
      <c r="A55" s="1"/>
      <c r="B55" s="27" t="s">
        <v>215</v>
      </c>
      <c r="C55" s="28" t="n">
        <f aca="false">(COUNTIFS('Year 9'!$J$6:$J$1005,"Decision confirmed")+COUNTIFS('Year 9'!$J$6:$J$1005,"Family told")+COUNTIFS('Year 9'!$J$6:$J$1005,"Enrolled"))</f>
        <v>5</v>
      </c>
      <c r="D55" s="28" t="n">
        <f aca="false">(COUNTIFS('Year 9'!$J$6:$J$1005,"Decision confirmed",'Year 9'!$AG$6:$AG$1005,D$46)+COUNTIFS('Year 9'!$J$6:$J$1005,"Family told",'Year 9'!$AG$6:$AG$1005,D$46)+COUNTIFS('Year 9'!$J$6:$J$1005,"Enrolled",'Year 9'!$AG$6:$AG$1005,D$46))</f>
        <v>1</v>
      </c>
      <c r="E55" s="28" t="n">
        <f aca="false">(COUNTIFS('Year 9'!$J$6:$J$1005,"Decision confirmed",'Year 9'!$AG$6:$AG$1005,E$46)+COUNTIFS('Year 9'!$J$6:$J$1005,"Family told",'Year 9'!$AG$6:$AG$1005,E$46)+COUNTIFS('Year 9'!$J$6:$J$1005,"Enrolled",'Year 9'!$AG$6:$AG$1005,E$46))</f>
        <v>2</v>
      </c>
      <c r="F55" s="28" t="n">
        <f aca="false">(COUNTIFS('Year 9'!$J$6:$J$1005,"Decision confirmed",'Year 9'!$AG$6:$AG$1005,F$46)+COUNTIFS('Year 9'!$J$6:$J$1005,"Family told",'Year 9'!$AG$6:$AG$1005,F$46)+COUNTIFS('Year 9'!$J$6:$J$1005,"Enrolled",'Year 9'!$AG$6:$AG$1005,F$46))</f>
        <v>1</v>
      </c>
      <c r="G55" s="28" t="n">
        <f aca="false">(COUNTIFS('Year 9'!$J$6:$J$1005,"Decision confirmed",'Year 9'!$AG$6:$AG$1005,G$46)+COUNTIFS('Year 9'!$J$6:$J$1005,"Family told",'Year 9'!$AG$6:$AG$1005,G$46)+COUNTIFS('Year 9'!$J$6:$J$1005,"Enrolled",'Year 9'!$AG$6:$AG$1005,G$46))</f>
        <v>1</v>
      </c>
      <c r="H55" s="28" t="n">
        <f aca="false">(COUNTIFS('Year 9'!$J$6:$J$1005,"Decision confirmed",'Year 9'!$AG$6:$AG$1005,H$46)+COUNTIFS('Year 9'!$J$6:$J$1005,"Family told",'Year 9'!$AG$6:$AG$1005,H$46)+COUNTIFS('Year 9'!$J$6:$J$1005,"Enrolled",'Year 9'!$AG$6:$AG$1005,H$46))</f>
        <v>0</v>
      </c>
      <c r="I55" s="31" t="n">
        <f aca="false">IF(C55=0,"",(D55+E55+F55)/C55)</f>
        <v>0.8</v>
      </c>
      <c r="J55" s="28" t="n">
        <f aca="false">COUNTIF('Year 9'!$J$6:$J$1005,"Assessed")</f>
        <v>1</v>
      </c>
      <c r="K55" s="28" t="n">
        <f aca="false">COUNTIF('Year 9'!$J$6:$J$1005,"Decision confirmed")</f>
        <v>1</v>
      </c>
      <c r="L55" s="1"/>
      <c r="M55" s="1"/>
    </row>
    <row r="56" customFormat="false" ht="15" hidden="false" customHeight="false" outlineLevel="0" collapsed="false">
      <c r="A56" s="1"/>
      <c r="B56" s="27" t="s">
        <v>216</v>
      </c>
      <c r="C56" s="28" t="n">
        <f aca="false">(COUNTIFS('Year 10'!$J$6:$J$1005,"Decision confirmed")+COUNTIFS('Year 10'!$J$6:$J$1005,"Family told")+COUNTIFS('Year 10'!$J$6:$J$1005,"Enrolled"))</f>
        <v>2</v>
      </c>
      <c r="D56" s="28" t="n">
        <f aca="false">(COUNTIFS('Year 10'!$J$6:$J$1005,"Decision confirmed",'Year 10'!$AG$6:$AG$1005,D$46)+COUNTIFS('Year 10'!$J$6:$J$1005,"Family told",'Year 10'!$AG$6:$AG$1005,D$46)+COUNTIFS('Year 10'!$J$6:$J$1005,"Enrolled",'Year 10'!$AG$6:$AG$1005,D$46))</f>
        <v>0</v>
      </c>
      <c r="E56" s="28" t="n">
        <f aca="false">(COUNTIFS('Year 10'!$J$6:$J$1005,"Decision confirmed",'Year 10'!$AG$6:$AG$1005,E$46)+COUNTIFS('Year 10'!$J$6:$J$1005,"Family told",'Year 10'!$AG$6:$AG$1005,E$46)+COUNTIFS('Year 10'!$J$6:$J$1005,"Enrolled",'Year 10'!$AG$6:$AG$1005,E$46))</f>
        <v>1</v>
      </c>
      <c r="F56" s="28" t="n">
        <f aca="false">(COUNTIFS('Year 10'!$J$6:$J$1005,"Decision confirmed",'Year 10'!$AG$6:$AG$1005,F$46)+COUNTIFS('Year 10'!$J$6:$J$1005,"Family told",'Year 10'!$AG$6:$AG$1005,F$46)+COUNTIFS('Year 10'!$J$6:$J$1005,"Enrolled",'Year 10'!$AG$6:$AG$1005,F$46))</f>
        <v>0</v>
      </c>
      <c r="G56" s="28" t="n">
        <f aca="false">(COUNTIFS('Year 10'!$J$6:$J$1005,"Decision confirmed",'Year 10'!$AG$6:$AG$1005,G$46)+COUNTIFS('Year 10'!$J$6:$J$1005,"Family told",'Year 10'!$AG$6:$AG$1005,G$46)+COUNTIFS('Year 10'!$J$6:$J$1005,"Enrolled",'Year 10'!$AG$6:$AG$1005,G$46))</f>
        <v>1</v>
      </c>
      <c r="H56" s="28" t="n">
        <f aca="false">(COUNTIFS('Year 10'!$J$6:$J$1005,"Decision confirmed",'Year 10'!$AG$6:$AG$1005,H$46)+COUNTIFS('Year 10'!$J$6:$J$1005,"Family told",'Year 10'!$AG$6:$AG$1005,H$46)+COUNTIFS('Year 10'!$J$6:$J$1005,"Enrolled",'Year 10'!$AG$6:$AG$1005,H$46))</f>
        <v>0</v>
      </c>
      <c r="I56" s="31" t="n">
        <f aca="false">IF(C56=0,"",(D56+E56+F56)/C56)</f>
        <v>0.5</v>
      </c>
      <c r="J56" s="28" t="n">
        <f aca="false">COUNTIF('Year 10'!$J$6:$J$1005,"Assessed")</f>
        <v>3</v>
      </c>
      <c r="K56" s="28" t="n">
        <f aca="false">COUNTIF('Year 10'!$J$6:$J$1005,"Decision confirmed")</f>
        <v>1</v>
      </c>
      <c r="L56" s="1"/>
      <c r="M56" s="1"/>
    </row>
    <row r="57" customFormat="false" ht="15" hidden="false" customHeight="false" outlineLevel="0" collapsed="false">
      <c r="A57" s="1"/>
      <c r="B57" s="29" t="s">
        <v>217</v>
      </c>
      <c r="C57" s="30" t="n">
        <f aca="false">SUM(C47:C56)</f>
        <v>45</v>
      </c>
      <c r="D57" s="30" t="n">
        <f aca="false">SUM(D47:D56)</f>
        <v>4</v>
      </c>
      <c r="E57" s="30" t="n">
        <f aca="false">SUM(E47:E56)</f>
        <v>31</v>
      </c>
      <c r="F57" s="30" t="n">
        <f aca="false">SUM(F47:F56)</f>
        <v>3</v>
      </c>
      <c r="G57" s="30" t="n">
        <f aca="false">SUM(G47:G56)</f>
        <v>5</v>
      </c>
      <c r="H57" s="30" t="n">
        <f aca="false">SUM(H47:H56)</f>
        <v>2</v>
      </c>
      <c r="I57" s="32" t="n">
        <f aca="false">IF(C57=0,"",(D57+E57+F57)/C57)</f>
        <v>0.844444444444444</v>
      </c>
      <c r="J57" s="30" t="n">
        <f aca="false">SUM(J47:J56)</f>
        <v>15</v>
      </c>
      <c r="K57" s="30" t="n">
        <f aca="false">SUM(K47:K56)</f>
        <v>10</v>
      </c>
      <c r="L57" s="1"/>
      <c r="M57" s="1"/>
    </row>
    <row r="58" customFormat="false" ht="15" hidden="false" customHeight="false" outlineLevel="0" collapsed="false">
      <c r="A58" s="1"/>
      <c r="B58" s="1"/>
      <c r="C58" s="1"/>
      <c r="D58" s="1"/>
      <c r="E58" s="1"/>
      <c r="F58" s="1"/>
      <c r="G58" s="1"/>
      <c r="H58" s="1"/>
      <c r="I58" s="1"/>
      <c r="J58" s="1"/>
      <c r="K58" s="1"/>
      <c r="L58" s="1"/>
      <c r="M58" s="1"/>
    </row>
    <row r="59" customFormat="false" ht="15" hidden="false" customHeight="false" outlineLevel="0" collapsed="false">
      <c r="A59" s="1"/>
      <c r="B59" s="1"/>
      <c r="C59" s="1"/>
      <c r="D59" s="1"/>
      <c r="E59" s="1"/>
      <c r="F59" s="1"/>
      <c r="G59" s="1"/>
      <c r="H59" s="1"/>
      <c r="I59" s="1"/>
      <c r="J59" s="1"/>
      <c r="K59" s="1"/>
      <c r="L59" s="1"/>
      <c r="M59" s="1"/>
    </row>
    <row r="60" customFormat="false" ht="15" hidden="false" customHeight="false" outlineLevel="0" collapsed="false">
      <c r="A60" s="1"/>
      <c r="B60" s="5" t="s">
        <v>236</v>
      </c>
      <c r="C60" s="1"/>
      <c r="D60" s="1"/>
      <c r="E60" s="1"/>
      <c r="F60" s="1"/>
      <c r="G60" s="1"/>
      <c r="H60" s="1"/>
      <c r="I60" s="1"/>
      <c r="J60" s="1"/>
      <c r="K60" s="1"/>
      <c r="L60" s="1"/>
      <c r="M60" s="1"/>
    </row>
    <row r="61" customFormat="false" ht="15" hidden="false" customHeight="false" outlineLevel="0" collapsed="false">
      <c r="A61" s="1"/>
      <c r="B61" s="25" t="s">
        <v>237</v>
      </c>
      <c r="C61" s="1"/>
      <c r="D61" s="1"/>
      <c r="E61" s="1"/>
      <c r="F61" s="1"/>
      <c r="G61" s="1"/>
      <c r="H61" s="1"/>
      <c r="I61" s="1"/>
      <c r="J61" s="1"/>
      <c r="K61" s="1"/>
      <c r="L61" s="1"/>
      <c r="M61" s="1"/>
    </row>
    <row r="62" customFormat="false" ht="31.5" hidden="false" customHeight="true" outlineLevel="0" collapsed="false">
      <c r="A62" s="1"/>
      <c r="B62" s="15" t="s">
        <v>203</v>
      </c>
      <c r="C62" s="26" t="n">
        <v>1</v>
      </c>
      <c r="D62" s="26" t="n">
        <v>2</v>
      </c>
      <c r="E62" s="26" t="n">
        <v>3</v>
      </c>
      <c r="F62" s="26" t="n">
        <v>4</v>
      </c>
      <c r="G62" s="26" t="s">
        <v>223</v>
      </c>
      <c r="H62" s="26" t="s">
        <v>238</v>
      </c>
      <c r="I62" s="26" t="s">
        <v>239</v>
      </c>
      <c r="J62" s="1"/>
      <c r="K62" s="1"/>
      <c r="L62" s="1"/>
      <c r="M62" s="1"/>
    </row>
    <row r="63" customFormat="false" ht="15" hidden="false" customHeight="false" outlineLevel="0" collapsed="false">
      <c r="A63" s="1"/>
      <c r="B63" s="27" t="s">
        <v>207</v>
      </c>
      <c r="C63" s="28" t="n">
        <f aca="false">COUNTIF('Year 1'!$X$6:$X$1005,C$62)</f>
        <v>1</v>
      </c>
      <c r="D63" s="28" t="n">
        <f aca="false">COUNTIF('Year 1'!$X$6:$X$1005,D$62)</f>
        <v>2</v>
      </c>
      <c r="E63" s="28" t="n">
        <f aca="false">COUNTIF('Year 1'!$X$6:$X$1005,E$62)</f>
        <v>2</v>
      </c>
      <c r="F63" s="28" t="n">
        <f aca="false">COUNTIF('Year 1'!$X$6:$X$1005,F$62)</f>
        <v>0</v>
      </c>
      <c r="G63" s="28" t="n">
        <f aca="false">SUM(C63:F63)</f>
        <v>5</v>
      </c>
      <c r="H63" s="31" t="n">
        <f aca="false">IF(G63=0,"",(E63+F63)/G63)</f>
        <v>0.4</v>
      </c>
      <c r="I63" s="28" t="n">
        <f aca="false">COUNTIF('Year 1'!$Z$6:$Z$1005,"Yes")</f>
        <v>0</v>
      </c>
      <c r="J63" s="1"/>
      <c r="K63" s="1"/>
      <c r="L63" s="1"/>
      <c r="M63" s="1"/>
    </row>
    <row r="64" customFormat="false" ht="15" hidden="false" customHeight="false" outlineLevel="0" collapsed="false">
      <c r="A64" s="1"/>
      <c r="B64" s="27" t="s">
        <v>208</v>
      </c>
      <c r="C64" s="28" t="n">
        <f aca="false">COUNTIF('Year 2'!$X$6:$X$1005,C$62)</f>
        <v>0</v>
      </c>
      <c r="D64" s="28" t="n">
        <f aca="false">COUNTIF('Year 2'!$X$6:$X$1005,D$62)</f>
        <v>2</v>
      </c>
      <c r="E64" s="28" t="n">
        <f aca="false">COUNTIF('Year 2'!$X$6:$X$1005,E$62)</f>
        <v>3</v>
      </c>
      <c r="F64" s="28" t="n">
        <f aca="false">COUNTIF('Year 2'!$X$6:$X$1005,F$62)</f>
        <v>0</v>
      </c>
      <c r="G64" s="28" t="n">
        <f aca="false">SUM(C64:F64)</f>
        <v>5</v>
      </c>
      <c r="H64" s="31" t="n">
        <f aca="false">IF(G64=0,"",(E64+F64)/G64)</f>
        <v>0.6</v>
      </c>
      <c r="I64" s="28" t="n">
        <f aca="false">COUNTIF('Year 2'!$Z$6:$Z$1005,"Yes")</f>
        <v>0</v>
      </c>
      <c r="J64" s="1"/>
      <c r="K64" s="1"/>
      <c r="L64" s="1"/>
      <c r="M64" s="1"/>
    </row>
    <row r="65" customFormat="false" ht="15" hidden="false" customHeight="false" outlineLevel="0" collapsed="false">
      <c r="A65" s="1"/>
      <c r="B65" s="27" t="s">
        <v>209</v>
      </c>
      <c r="C65" s="28" t="n">
        <f aca="false">COUNTIF('Year 3'!$X$6:$X$1005,C$62)</f>
        <v>1</v>
      </c>
      <c r="D65" s="28" t="n">
        <f aca="false">COUNTIF('Year 3'!$X$6:$X$1005,D$62)</f>
        <v>3</v>
      </c>
      <c r="E65" s="28" t="n">
        <f aca="false">COUNTIF('Year 3'!$X$6:$X$1005,E$62)</f>
        <v>1</v>
      </c>
      <c r="F65" s="28" t="n">
        <f aca="false">COUNTIF('Year 3'!$X$6:$X$1005,F$62)</f>
        <v>2</v>
      </c>
      <c r="G65" s="28" t="n">
        <f aca="false">SUM(C65:F65)</f>
        <v>7</v>
      </c>
      <c r="H65" s="31" t="n">
        <f aca="false">IF(G65=0,"",(E65+F65)/G65)</f>
        <v>0.428571428571429</v>
      </c>
      <c r="I65" s="28" t="n">
        <f aca="false">COUNTIF('Year 3'!$Z$6:$Z$1005,"Yes")</f>
        <v>0</v>
      </c>
      <c r="J65" s="1"/>
      <c r="K65" s="1"/>
      <c r="L65" s="1"/>
      <c r="M65" s="1"/>
    </row>
    <row r="66" customFormat="false" ht="15" hidden="false" customHeight="false" outlineLevel="0" collapsed="false">
      <c r="A66" s="1"/>
      <c r="B66" s="27" t="s">
        <v>210</v>
      </c>
      <c r="C66" s="28" t="n">
        <f aca="false">COUNTIF('Year 4'!$X$6:$X$1005,C$62)</f>
        <v>0</v>
      </c>
      <c r="D66" s="28" t="n">
        <f aca="false">COUNTIF('Year 4'!$X$6:$X$1005,D$62)</f>
        <v>4</v>
      </c>
      <c r="E66" s="28" t="n">
        <f aca="false">COUNTIF('Year 4'!$X$6:$X$1005,E$62)</f>
        <v>2</v>
      </c>
      <c r="F66" s="28" t="n">
        <f aca="false">COUNTIF('Year 4'!$X$6:$X$1005,F$62)</f>
        <v>0</v>
      </c>
      <c r="G66" s="28" t="n">
        <f aca="false">SUM(C66:F66)</f>
        <v>6</v>
      </c>
      <c r="H66" s="31" t="n">
        <f aca="false">IF(G66=0,"",(E66+F66)/G66)</f>
        <v>0.333333333333333</v>
      </c>
      <c r="I66" s="28" t="n">
        <f aca="false">COUNTIF('Year 4'!$Z$6:$Z$1005,"Yes")</f>
        <v>0</v>
      </c>
      <c r="J66" s="1"/>
      <c r="K66" s="1"/>
      <c r="L66" s="1"/>
      <c r="M66" s="1"/>
    </row>
    <row r="67" customFormat="false" ht="15" hidden="false" customHeight="false" outlineLevel="0" collapsed="false">
      <c r="A67" s="1"/>
      <c r="B67" s="27" t="s">
        <v>211</v>
      </c>
      <c r="C67" s="28" t="n">
        <f aca="false">COUNTIF('Year 5'!$X$6:$X$1005,C$62)</f>
        <v>0</v>
      </c>
      <c r="D67" s="28" t="n">
        <f aca="false">COUNTIF('Year 5'!$X$6:$X$1005,D$62)</f>
        <v>3</v>
      </c>
      <c r="E67" s="28" t="n">
        <f aca="false">COUNTIF('Year 5'!$X$6:$X$1005,E$62)</f>
        <v>4</v>
      </c>
      <c r="F67" s="28" t="n">
        <f aca="false">COUNTIF('Year 5'!$X$6:$X$1005,F$62)</f>
        <v>0</v>
      </c>
      <c r="G67" s="28" t="n">
        <f aca="false">SUM(C67:F67)</f>
        <v>7</v>
      </c>
      <c r="H67" s="31" t="n">
        <f aca="false">IF(G67=0,"",(E67+F67)/G67)</f>
        <v>0.571428571428571</v>
      </c>
      <c r="I67" s="28" t="n">
        <f aca="false">COUNTIF('Year 5'!$Z$6:$Z$1005,"Yes")</f>
        <v>1</v>
      </c>
      <c r="J67" s="1"/>
      <c r="K67" s="1"/>
      <c r="L67" s="1"/>
      <c r="M67" s="1"/>
    </row>
    <row r="68" customFormat="false" ht="15" hidden="false" customHeight="false" outlineLevel="0" collapsed="false">
      <c r="A68" s="1"/>
      <c r="B68" s="27" t="s">
        <v>212</v>
      </c>
      <c r="C68" s="28" t="n">
        <f aca="false">COUNTIF('Year 6'!$X$6:$X$1005,C$62)</f>
        <v>2</v>
      </c>
      <c r="D68" s="28" t="n">
        <f aca="false">COUNTIF('Year 6'!$X$6:$X$1005,D$62)</f>
        <v>3</v>
      </c>
      <c r="E68" s="28" t="n">
        <f aca="false">COUNTIF('Year 6'!$X$6:$X$1005,E$62)</f>
        <v>1</v>
      </c>
      <c r="F68" s="28" t="n">
        <f aca="false">COUNTIF('Year 6'!$X$6:$X$1005,F$62)</f>
        <v>1</v>
      </c>
      <c r="G68" s="28" t="n">
        <f aca="false">SUM(C68:F68)</f>
        <v>7</v>
      </c>
      <c r="H68" s="31" t="n">
        <f aca="false">IF(G68=0,"",(E68+F68)/G68)</f>
        <v>0.285714285714286</v>
      </c>
      <c r="I68" s="28" t="n">
        <f aca="false">COUNTIF('Year 6'!$Z$6:$Z$1005,"Yes")</f>
        <v>0</v>
      </c>
      <c r="J68" s="1"/>
      <c r="K68" s="1"/>
      <c r="L68" s="1"/>
      <c r="M68" s="1"/>
    </row>
    <row r="69" customFormat="false" ht="15" hidden="false" customHeight="false" outlineLevel="0" collapsed="false">
      <c r="A69" s="1"/>
      <c r="B69" s="27" t="s">
        <v>213</v>
      </c>
      <c r="C69" s="28" t="n">
        <f aca="false">COUNTIF('Year 7'!$X$6:$X$1005,C$62)</f>
        <v>1</v>
      </c>
      <c r="D69" s="28" t="n">
        <f aca="false">COUNTIF('Year 7'!$X$6:$X$1005,D$62)</f>
        <v>3</v>
      </c>
      <c r="E69" s="28" t="n">
        <f aca="false">COUNTIF('Year 7'!$X$6:$X$1005,E$62)</f>
        <v>1</v>
      </c>
      <c r="F69" s="28" t="n">
        <f aca="false">COUNTIF('Year 7'!$X$6:$X$1005,F$62)</f>
        <v>1</v>
      </c>
      <c r="G69" s="28" t="n">
        <f aca="false">SUM(C69:F69)</f>
        <v>6</v>
      </c>
      <c r="H69" s="31" t="n">
        <f aca="false">IF(G69=0,"",(E69+F69)/G69)</f>
        <v>0.333333333333333</v>
      </c>
      <c r="I69" s="28" t="n">
        <f aca="false">COUNTIF('Year 7'!$Z$6:$Z$1005,"Yes")</f>
        <v>0</v>
      </c>
      <c r="J69" s="1"/>
      <c r="K69" s="1"/>
      <c r="L69" s="1"/>
      <c r="M69" s="1"/>
    </row>
    <row r="70" customFormat="false" ht="15" hidden="false" customHeight="false" outlineLevel="0" collapsed="false">
      <c r="A70" s="1"/>
      <c r="B70" s="27" t="s">
        <v>214</v>
      </c>
      <c r="C70" s="28" t="n">
        <f aca="false">COUNTIF('Year 8'!$X$6:$X$1005,C$62)</f>
        <v>1</v>
      </c>
      <c r="D70" s="28" t="n">
        <f aca="false">COUNTIF('Year 8'!$X$6:$X$1005,D$62)</f>
        <v>2</v>
      </c>
      <c r="E70" s="28" t="n">
        <f aca="false">COUNTIF('Year 8'!$X$6:$X$1005,E$62)</f>
        <v>3</v>
      </c>
      <c r="F70" s="28" t="n">
        <f aca="false">COUNTIF('Year 8'!$X$6:$X$1005,F$62)</f>
        <v>0</v>
      </c>
      <c r="G70" s="28" t="n">
        <f aca="false">SUM(C70:F70)</f>
        <v>6</v>
      </c>
      <c r="H70" s="31" t="n">
        <f aca="false">IF(G70=0,"",(E70+F70)/G70)</f>
        <v>0.5</v>
      </c>
      <c r="I70" s="28" t="n">
        <f aca="false">COUNTIF('Year 8'!$Z$6:$Z$1005,"Yes")</f>
        <v>1</v>
      </c>
      <c r="J70" s="1"/>
      <c r="K70" s="1"/>
      <c r="L70" s="1"/>
      <c r="M70" s="1"/>
    </row>
    <row r="71" customFormat="false" ht="15" hidden="false" customHeight="false" outlineLevel="0" collapsed="false">
      <c r="A71" s="1"/>
      <c r="B71" s="27" t="s">
        <v>215</v>
      </c>
      <c r="C71" s="28" t="n">
        <f aca="false">COUNTIF('Year 9'!$X$6:$X$1005,C$62)</f>
        <v>0</v>
      </c>
      <c r="D71" s="28" t="n">
        <f aca="false">COUNTIF('Year 9'!$X$6:$X$1005,D$62)</f>
        <v>3</v>
      </c>
      <c r="E71" s="28" t="n">
        <f aca="false">COUNTIF('Year 9'!$X$6:$X$1005,E$62)</f>
        <v>1</v>
      </c>
      <c r="F71" s="28" t="n">
        <f aca="false">COUNTIF('Year 9'!$X$6:$X$1005,F$62)</f>
        <v>2</v>
      </c>
      <c r="G71" s="28" t="n">
        <f aca="false">SUM(C71:F71)</f>
        <v>6</v>
      </c>
      <c r="H71" s="31" t="n">
        <f aca="false">IF(G71=0,"",(E71+F71)/G71)</f>
        <v>0.5</v>
      </c>
      <c r="I71" s="28" t="n">
        <f aca="false">COUNTIF('Year 9'!$Z$6:$Z$1005,"Yes")</f>
        <v>0</v>
      </c>
      <c r="J71" s="1"/>
      <c r="K71" s="1"/>
      <c r="L71" s="1"/>
      <c r="M71" s="1"/>
    </row>
    <row r="72" customFormat="false" ht="15" hidden="false" customHeight="false" outlineLevel="0" collapsed="false">
      <c r="A72" s="1"/>
      <c r="B72" s="27" t="s">
        <v>216</v>
      </c>
      <c r="C72" s="28" t="n">
        <f aca="false">COUNTIF('Year 10'!$X$6:$X$1005,C$62)</f>
        <v>0</v>
      </c>
      <c r="D72" s="28" t="n">
        <f aca="false">COUNTIF('Year 10'!$X$6:$X$1005,D$62)</f>
        <v>2</v>
      </c>
      <c r="E72" s="28" t="n">
        <f aca="false">COUNTIF('Year 10'!$X$6:$X$1005,E$62)</f>
        <v>3</v>
      </c>
      <c r="F72" s="28" t="n">
        <f aca="false">COUNTIF('Year 10'!$X$6:$X$1005,F$62)</f>
        <v>0</v>
      </c>
      <c r="G72" s="28" t="n">
        <f aca="false">SUM(C72:F72)</f>
        <v>5</v>
      </c>
      <c r="H72" s="31" t="n">
        <f aca="false">IF(G72=0,"",(E72+F72)/G72)</f>
        <v>0.6</v>
      </c>
      <c r="I72" s="28" t="n">
        <f aca="false">COUNTIF('Year 10'!$Z$6:$Z$1005,"Yes")</f>
        <v>1</v>
      </c>
      <c r="J72" s="1"/>
      <c r="K72" s="1"/>
      <c r="L72" s="1"/>
      <c r="M72" s="1"/>
    </row>
    <row r="73" customFormat="false" ht="15" hidden="false" customHeight="false" outlineLevel="0" collapsed="false">
      <c r="A73" s="1"/>
      <c r="B73" s="29" t="s">
        <v>217</v>
      </c>
      <c r="C73" s="30" t="n">
        <f aca="false">SUM(C63:C72)</f>
        <v>6</v>
      </c>
      <c r="D73" s="30" t="n">
        <f aca="false">SUM(D63:D72)</f>
        <v>27</v>
      </c>
      <c r="E73" s="30" t="n">
        <f aca="false">SUM(E63:E72)</f>
        <v>21</v>
      </c>
      <c r="F73" s="30" t="n">
        <f aca="false">SUM(F63:F72)</f>
        <v>6</v>
      </c>
      <c r="G73" s="30" t="n">
        <f aca="false">SUM(G63:G72)</f>
        <v>60</v>
      </c>
      <c r="H73" s="32" t="n">
        <f aca="false">IF(G73=0,"",(E73+F73)/G73)</f>
        <v>0.45</v>
      </c>
      <c r="I73" s="30" t="n">
        <f aca="false">SUM(I63:I72)</f>
        <v>3</v>
      </c>
      <c r="J73" s="1"/>
      <c r="K73" s="1"/>
      <c r="L73" s="1"/>
      <c r="M73" s="1"/>
    </row>
    <row r="74" customFormat="false" ht="15" hidden="false" customHeight="false" outlineLevel="0" collapsed="false">
      <c r="A74" s="1"/>
      <c r="B74" s="1"/>
      <c r="C74" s="1"/>
      <c r="D74" s="1"/>
      <c r="E74" s="1"/>
      <c r="F74" s="1"/>
      <c r="G74" s="1"/>
      <c r="H74" s="1"/>
      <c r="I74" s="1"/>
      <c r="J74" s="1"/>
      <c r="K74" s="1"/>
      <c r="L74" s="1"/>
      <c r="M74" s="1"/>
    </row>
    <row r="75" customFormat="false" ht="15" hidden="false" customHeight="false" outlineLevel="0" collapsed="false">
      <c r="A75" s="1"/>
      <c r="B75" s="1"/>
      <c r="C75" s="1"/>
      <c r="D75" s="1"/>
      <c r="E75" s="1"/>
      <c r="F75" s="1"/>
      <c r="G75" s="1"/>
      <c r="H75" s="1"/>
      <c r="I75" s="1"/>
      <c r="J75" s="1"/>
      <c r="K75" s="1"/>
      <c r="L75" s="1"/>
      <c r="M75" s="1"/>
    </row>
    <row r="76" customFormat="false" ht="15" hidden="false" customHeight="false" outlineLevel="0" collapsed="false">
      <c r="A76" s="1"/>
      <c r="B76" s="5" t="s">
        <v>240</v>
      </c>
      <c r="C76" s="1"/>
      <c r="D76" s="1"/>
      <c r="E76" s="1"/>
      <c r="F76" s="1"/>
      <c r="G76" s="1"/>
      <c r="H76" s="1"/>
      <c r="I76" s="1"/>
      <c r="J76" s="1"/>
      <c r="K76" s="1"/>
      <c r="L76" s="1"/>
      <c r="M76" s="1"/>
    </row>
    <row r="77" customFormat="false" ht="15" hidden="false" customHeight="false" outlineLevel="0" collapsed="false">
      <c r="A77" s="1"/>
      <c r="B77" s="1"/>
      <c r="C77" s="1"/>
      <c r="D77" s="1"/>
      <c r="E77" s="1"/>
      <c r="F77" s="1"/>
      <c r="G77" s="1"/>
      <c r="H77" s="1"/>
      <c r="I77" s="1"/>
      <c r="J77" s="1"/>
      <c r="K77" s="1"/>
      <c r="L77" s="1"/>
      <c r="M77" s="1"/>
    </row>
    <row r="78" customFormat="false" ht="24" hidden="false" customHeight="true" outlineLevel="0" collapsed="false">
      <c r="A78" s="1"/>
      <c r="B78" s="15" t="s">
        <v>203</v>
      </c>
      <c r="C78" s="26" t="n">
        <v>1</v>
      </c>
      <c r="D78" s="26" t="n">
        <v>2</v>
      </c>
      <c r="E78" s="26" t="n">
        <v>3</v>
      </c>
      <c r="F78" s="26" t="n">
        <v>4</v>
      </c>
      <c r="G78" s="26" t="s">
        <v>223</v>
      </c>
      <c r="H78" s="26" t="s">
        <v>238</v>
      </c>
      <c r="I78" s="1"/>
      <c r="J78" s="1"/>
      <c r="K78" s="1"/>
      <c r="L78" s="1"/>
      <c r="M78" s="1"/>
    </row>
    <row r="79" customFormat="false" ht="15" hidden="false" customHeight="false" outlineLevel="0" collapsed="false">
      <c r="A79" s="1"/>
      <c r="B79" s="27" t="s">
        <v>211</v>
      </c>
      <c r="C79" s="28" t="n">
        <f aca="false">COUNTIF('Year 5'!$AB$6:$AB$1005,C$78)</f>
        <v>1</v>
      </c>
      <c r="D79" s="28" t="n">
        <f aca="false">COUNTIF('Year 5'!$AB$6:$AB$1005,D$78)</f>
        <v>3</v>
      </c>
      <c r="E79" s="28" t="n">
        <f aca="false">COUNTIF('Year 5'!$AB$6:$AB$1005,E$78)</f>
        <v>3</v>
      </c>
      <c r="F79" s="28" t="n">
        <f aca="false">COUNTIF('Year 5'!$AB$6:$AB$1005,F$78)</f>
        <v>0</v>
      </c>
      <c r="G79" s="28" t="n">
        <f aca="false">SUM(C79:F79)</f>
        <v>7</v>
      </c>
      <c r="H79" s="31" t="n">
        <f aca="false">IF(G79=0,"",(E79+F79)/G79)</f>
        <v>0.428571428571429</v>
      </c>
      <c r="I79" s="1"/>
      <c r="J79" s="1"/>
      <c r="K79" s="1"/>
      <c r="L79" s="1"/>
      <c r="M79" s="1"/>
    </row>
    <row r="80" customFormat="false" ht="15" hidden="false" customHeight="false" outlineLevel="0" collapsed="false">
      <c r="A80" s="1"/>
      <c r="B80" s="27" t="s">
        <v>212</v>
      </c>
      <c r="C80" s="28" t="n">
        <f aca="false">COUNTIF('Year 6'!$AB$6:$AB$1005,C$78)</f>
        <v>1</v>
      </c>
      <c r="D80" s="28" t="n">
        <f aca="false">COUNTIF('Year 6'!$AB$6:$AB$1005,D$78)</f>
        <v>3</v>
      </c>
      <c r="E80" s="28" t="n">
        <f aca="false">COUNTIF('Year 6'!$AB$6:$AB$1005,E$78)</f>
        <v>2</v>
      </c>
      <c r="F80" s="28" t="n">
        <f aca="false">COUNTIF('Year 6'!$AB$6:$AB$1005,F$78)</f>
        <v>1</v>
      </c>
      <c r="G80" s="28" t="n">
        <f aca="false">SUM(C80:F80)</f>
        <v>7</v>
      </c>
      <c r="H80" s="31" t="n">
        <f aca="false">IF(G80=0,"",(E80+F80)/G80)</f>
        <v>0.428571428571429</v>
      </c>
      <c r="I80" s="1"/>
      <c r="J80" s="1"/>
      <c r="K80" s="1"/>
      <c r="L80" s="1"/>
      <c r="M80" s="1"/>
    </row>
    <row r="81" customFormat="false" ht="15" hidden="false" customHeight="false" outlineLevel="0" collapsed="false">
      <c r="A81" s="1"/>
      <c r="B81" s="27" t="s">
        <v>213</v>
      </c>
      <c r="C81" s="28" t="n">
        <f aca="false">COUNTIF('Year 7'!$AB$6:$AB$1005,C$78)</f>
        <v>1</v>
      </c>
      <c r="D81" s="28" t="n">
        <f aca="false">COUNTIF('Year 7'!$AB$6:$AB$1005,D$78)</f>
        <v>2</v>
      </c>
      <c r="E81" s="28" t="n">
        <f aca="false">COUNTIF('Year 7'!$AB$6:$AB$1005,E$78)</f>
        <v>2</v>
      </c>
      <c r="F81" s="28" t="n">
        <f aca="false">COUNTIF('Year 7'!$AB$6:$AB$1005,F$78)</f>
        <v>1</v>
      </c>
      <c r="G81" s="28" t="n">
        <f aca="false">SUM(C81:F81)</f>
        <v>6</v>
      </c>
      <c r="H81" s="31" t="n">
        <f aca="false">IF(G81=0,"",(E81+F81)/G81)</f>
        <v>0.5</v>
      </c>
      <c r="I81" s="1"/>
      <c r="J81" s="1"/>
      <c r="K81" s="1"/>
      <c r="L81" s="1"/>
      <c r="M81" s="1"/>
    </row>
    <row r="82" customFormat="false" ht="15" hidden="false" customHeight="false" outlineLevel="0" collapsed="false">
      <c r="A82" s="1"/>
      <c r="B82" s="27" t="s">
        <v>214</v>
      </c>
      <c r="C82" s="28" t="n">
        <f aca="false">COUNTIF('Year 8'!$AB$6:$AB$1005,C$78)</f>
        <v>1</v>
      </c>
      <c r="D82" s="28" t="n">
        <f aca="false">COUNTIF('Year 8'!$AB$6:$AB$1005,D$78)</f>
        <v>3</v>
      </c>
      <c r="E82" s="28" t="n">
        <f aca="false">COUNTIF('Year 8'!$AB$6:$AB$1005,E$78)</f>
        <v>2</v>
      </c>
      <c r="F82" s="28" t="n">
        <f aca="false">COUNTIF('Year 8'!$AB$6:$AB$1005,F$78)</f>
        <v>0</v>
      </c>
      <c r="G82" s="28" t="n">
        <f aca="false">SUM(C82:F82)</f>
        <v>6</v>
      </c>
      <c r="H82" s="31" t="n">
        <f aca="false">IF(G82=0,"",(E82+F82)/G82)</f>
        <v>0.333333333333333</v>
      </c>
      <c r="I82" s="1"/>
      <c r="J82" s="1"/>
      <c r="K82" s="1"/>
      <c r="L82" s="1"/>
      <c r="M82" s="1"/>
    </row>
    <row r="83" customFormat="false" ht="15" hidden="false" customHeight="false" outlineLevel="0" collapsed="false">
      <c r="A83" s="1"/>
      <c r="B83" s="27" t="s">
        <v>215</v>
      </c>
      <c r="C83" s="28" t="n">
        <f aca="false">COUNTIF('Year 9'!$AB$6:$AB$1005,C$78)</f>
        <v>1</v>
      </c>
      <c r="D83" s="28" t="n">
        <f aca="false">COUNTIF('Year 9'!$AB$6:$AB$1005,D$78)</f>
        <v>2</v>
      </c>
      <c r="E83" s="28" t="n">
        <f aca="false">COUNTIF('Year 9'!$AB$6:$AB$1005,E$78)</f>
        <v>2</v>
      </c>
      <c r="F83" s="28" t="n">
        <f aca="false">COUNTIF('Year 9'!$AB$6:$AB$1005,F$78)</f>
        <v>1</v>
      </c>
      <c r="G83" s="28" t="n">
        <f aca="false">SUM(C83:F83)</f>
        <v>6</v>
      </c>
      <c r="H83" s="31" t="n">
        <f aca="false">IF(G83=0,"",(E83+F83)/G83)</f>
        <v>0.5</v>
      </c>
      <c r="I83" s="1"/>
      <c r="J83" s="1"/>
      <c r="K83" s="1"/>
      <c r="L83" s="1"/>
      <c r="M83" s="1"/>
    </row>
    <row r="84" customFormat="false" ht="15" hidden="false" customHeight="false" outlineLevel="0" collapsed="false">
      <c r="A84" s="1"/>
      <c r="B84" s="27" t="s">
        <v>216</v>
      </c>
      <c r="C84" s="28" t="n">
        <f aca="false">COUNTIF('Year 10'!$AB$6:$AB$1005,C$78)</f>
        <v>0</v>
      </c>
      <c r="D84" s="28" t="n">
        <f aca="false">COUNTIF('Year 10'!$AB$6:$AB$1005,D$78)</f>
        <v>4</v>
      </c>
      <c r="E84" s="28" t="n">
        <f aca="false">COUNTIF('Year 10'!$AB$6:$AB$1005,E$78)</f>
        <v>1</v>
      </c>
      <c r="F84" s="28" t="n">
        <f aca="false">COUNTIF('Year 10'!$AB$6:$AB$1005,F$78)</f>
        <v>0</v>
      </c>
      <c r="G84" s="28" t="n">
        <f aca="false">SUM(C84:F84)</f>
        <v>5</v>
      </c>
      <c r="H84" s="31" t="n">
        <f aca="false">IF(G84=0,"",(E84+F84)/G84)</f>
        <v>0.2</v>
      </c>
      <c r="I84" s="1"/>
      <c r="J84" s="1"/>
      <c r="K84" s="1"/>
      <c r="L84" s="1"/>
      <c r="M84" s="1"/>
    </row>
    <row r="85" customFormat="false" ht="15" hidden="false" customHeight="false" outlineLevel="0" collapsed="false">
      <c r="A85" s="1"/>
      <c r="B85" s="29" t="s">
        <v>217</v>
      </c>
      <c r="C85" s="30" t="n">
        <f aca="false">SUM(C79:C84)</f>
        <v>5</v>
      </c>
      <c r="D85" s="30" t="n">
        <f aca="false">SUM(D79:D84)</f>
        <v>17</v>
      </c>
      <c r="E85" s="30" t="n">
        <f aca="false">SUM(E79:E84)</f>
        <v>12</v>
      </c>
      <c r="F85" s="30" t="n">
        <f aca="false">SUM(F79:F84)</f>
        <v>3</v>
      </c>
      <c r="G85" s="30" t="n">
        <f aca="false">SUM(G79:G84)</f>
        <v>37</v>
      </c>
      <c r="H85" s="32" t="n">
        <f aca="false">IF(G85=0,"",(E85+F85)/G85)</f>
        <v>0.405405405405405</v>
      </c>
      <c r="I85" s="1"/>
      <c r="J85" s="1"/>
      <c r="K85" s="1"/>
      <c r="L85" s="1"/>
      <c r="M85" s="1"/>
    </row>
    <row r="86" customFormat="false" ht="15" hidden="false" customHeight="false" outlineLevel="0" collapsed="false">
      <c r="A86" s="1"/>
      <c r="B86" s="1"/>
      <c r="C86" s="1"/>
      <c r="D86" s="1"/>
      <c r="E86" s="1"/>
      <c r="F86" s="1"/>
      <c r="G86" s="1"/>
      <c r="H86" s="1"/>
      <c r="I86" s="1"/>
      <c r="J86" s="1"/>
      <c r="K86" s="1"/>
      <c r="L86" s="1"/>
      <c r="M86" s="1"/>
    </row>
    <row r="87" customFormat="false" ht="15" hidden="false" customHeight="false" outlineLevel="0" collapsed="false">
      <c r="A87" s="1"/>
      <c r="B87" s="1"/>
      <c r="C87" s="1"/>
      <c r="D87" s="1"/>
      <c r="E87" s="1"/>
      <c r="F87" s="1"/>
      <c r="G87" s="1"/>
      <c r="H87" s="1"/>
      <c r="I87" s="1"/>
      <c r="J87" s="1"/>
      <c r="K87" s="1"/>
      <c r="L87" s="1"/>
      <c r="M87" s="1"/>
    </row>
    <row r="88" customFormat="false" ht="15" hidden="false" customHeight="false" outlineLevel="0" collapsed="false">
      <c r="A88" s="1"/>
      <c r="B88" s="5" t="s">
        <v>241</v>
      </c>
      <c r="C88" s="1"/>
      <c r="D88" s="1"/>
      <c r="E88" s="1"/>
      <c r="F88" s="1"/>
      <c r="G88" s="1"/>
      <c r="H88" s="1"/>
      <c r="I88" s="1"/>
      <c r="J88" s="1"/>
      <c r="K88" s="1"/>
      <c r="L88" s="1"/>
      <c r="M88" s="1"/>
    </row>
    <row r="89" customFormat="false" ht="15" hidden="false" customHeight="false" outlineLevel="0" collapsed="false">
      <c r="A89" s="1"/>
      <c r="B89" s="25" t="s">
        <v>242</v>
      </c>
      <c r="C89" s="1"/>
      <c r="D89" s="1"/>
      <c r="E89" s="1"/>
      <c r="F89" s="1"/>
      <c r="G89" s="1"/>
      <c r="H89" s="1"/>
      <c r="I89" s="1"/>
      <c r="J89" s="1"/>
      <c r="K89" s="1"/>
      <c r="L89" s="1"/>
      <c r="M89" s="1"/>
    </row>
    <row r="90" customFormat="false" ht="43.5" hidden="false" customHeight="true" outlineLevel="0" collapsed="false">
      <c r="A90" s="1"/>
      <c r="B90" s="15" t="s">
        <v>203</v>
      </c>
      <c r="C90" s="26" t="s">
        <v>243</v>
      </c>
      <c r="D90" s="26" t="s">
        <v>244</v>
      </c>
      <c r="E90" s="26" t="s">
        <v>245</v>
      </c>
      <c r="F90" s="26" t="s">
        <v>246</v>
      </c>
      <c r="G90" s="26" t="s">
        <v>247</v>
      </c>
      <c r="H90" s="26" t="s">
        <v>248</v>
      </c>
      <c r="I90" s="1"/>
      <c r="J90" s="1"/>
      <c r="K90" s="1"/>
      <c r="L90" s="1"/>
      <c r="M90" s="1"/>
    </row>
    <row r="91" customFormat="false" ht="15" hidden="false" customHeight="false" outlineLevel="0" collapsed="false">
      <c r="A91" s="1"/>
      <c r="B91" s="27" t="s">
        <v>207</v>
      </c>
      <c r="C91" s="28" t="n">
        <f aca="false">COUNT('Year 1'!$Q$6:$Q$1005)</f>
        <v>5</v>
      </c>
      <c r="D91" s="33" t="n">
        <f aca="false">IFERROR(AVERAGE('Year 1'!$Q$6:$Q$1005),"")</f>
        <v>6.8</v>
      </c>
      <c r="E91" s="33" t="n">
        <f aca="false">IFERROR(AVERAGE('Year 1'!$AN$6:$AN$1005),"")</f>
        <v>5.8</v>
      </c>
      <c r="F91" s="28" t="n">
        <f aca="false">COUNTIF('Year 1'!$AN$6:$AN$1005,"&lt;=-12")</f>
        <v>0</v>
      </c>
      <c r="G91" s="28" t="n">
        <f aca="false">COUNTIFS('Year 1'!$AN$6:$AN$1005,"&lt;0",'Year 1'!$AN$6:$AN$1005,"&gt;-12")</f>
        <v>2</v>
      </c>
      <c r="H91" s="28" t="n">
        <f aca="false">COUNTIF('Year 1'!$AN$6:$AN$1005,"&gt;=0")</f>
        <v>3</v>
      </c>
      <c r="I91" s="1"/>
      <c r="J91" s="1"/>
      <c r="K91" s="1"/>
      <c r="L91" s="1"/>
      <c r="M91" s="1"/>
    </row>
    <row r="92" customFormat="false" ht="15" hidden="false" customHeight="false" outlineLevel="0" collapsed="false">
      <c r="A92" s="1"/>
      <c r="B92" s="27" t="s">
        <v>208</v>
      </c>
      <c r="C92" s="28" t="n">
        <f aca="false">COUNT('Year 2'!$Q$6:$Q$1005)</f>
        <v>5</v>
      </c>
      <c r="D92" s="33" t="n">
        <f aca="false">IFERROR(AVERAGE('Year 2'!$Q$6:$Q$1005),"")</f>
        <v>13.8</v>
      </c>
      <c r="E92" s="33" t="n">
        <f aca="false">IFERROR(AVERAGE('Year 2'!$AN$6:$AN$1005),"")</f>
        <v>10.8</v>
      </c>
      <c r="F92" s="28" t="n">
        <f aca="false">COUNTIF('Year 2'!$AN$6:$AN$1005,"&lt;=-12")</f>
        <v>1</v>
      </c>
      <c r="G92" s="28" t="n">
        <f aca="false">COUNTIFS('Year 2'!$AN$6:$AN$1005,"&lt;0",'Year 2'!$AN$6:$AN$1005,"&gt;-12")</f>
        <v>1</v>
      </c>
      <c r="H92" s="28" t="n">
        <f aca="false">COUNTIF('Year 2'!$AN$6:$AN$1005,"&gt;=0")</f>
        <v>3</v>
      </c>
      <c r="I92" s="1"/>
      <c r="J92" s="1"/>
      <c r="K92" s="1"/>
      <c r="L92" s="1"/>
      <c r="M92" s="1"/>
    </row>
    <row r="93" customFormat="false" ht="15" hidden="false" customHeight="false" outlineLevel="0" collapsed="false">
      <c r="A93" s="1"/>
      <c r="B93" s="27" t="s">
        <v>209</v>
      </c>
      <c r="C93" s="28" t="n">
        <f aca="false">COUNT('Year 3'!$Q$6:$Q$1005)</f>
        <v>7</v>
      </c>
      <c r="D93" s="33" t="n">
        <f aca="false">IFERROR(AVERAGE('Year 3'!$Q$6:$Q$1005),"")</f>
        <v>12</v>
      </c>
      <c r="E93" s="33" t="n">
        <f aca="false">IFERROR(AVERAGE('Year 3'!$AN$6:$AN$1005),"")</f>
        <v>-8.42857142857143</v>
      </c>
      <c r="F93" s="28" t="n">
        <f aca="false">COUNTIF('Year 3'!$AN$6:$AN$1005,"&lt;=-12")</f>
        <v>4</v>
      </c>
      <c r="G93" s="28" t="n">
        <f aca="false">COUNTIFS('Year 3'!$AN$6:$AN$1005,"&lt;0",'Year 3'!$AN$6:$AN$1005,"&gt;-12")</f>
        <v>1</v>
      </c>
      <c r="H93" s="28" t="n">
        <f aca="false">COUNTIF('Year 3'!$AN$6:$AN$1005,"&gt;=0")</f>
        <v>2</v>
      </c>
      <c r="I93" s="1"/>
      <c r="J93" s="1"/>
      <c r="K93" s="1"/>
      <c r="L93" s="1"/>
      <c r="M93" s="1"/>
    </row>
    <row r="94" customFormat="false" ht="15" hidden="false" customHeight="false" outlineLevel="0" collapsed="false">
      <c r="A94" s="1"/>
      <c r="B94" s="27" t="s">
        <v>210</v>
      </c>
      <c r="C94" s="28" t="n">
        <f aca="false">COUNT('Year 4'!$Q$6:$Q$1005)</f>
        <v>6</v>
      </c>
      <c r="D94" s="33" t="n">
        <f aca="false">IFERROR(AVERAGE('Year 4'!$Q$6:$Q$1005),"")</f>
        <v>16.1666666666667</v>
      </c>
      <c r="E94" s="33" t="n">
        <f aca="false">IFERROR(AVERAGE('Year 4'!$AN$6:$AN$1005),"")</f>
        <v>-11.5</v>
      </c>
      <c r="F94" s="28" t="n">
        <f aca="false">COUNTIF('Year 4'!$AN$6:$AN$1005,"&lt;=-12")</f>
        <v>4</v>
      </c>
      <c r="G94" s="28" t="n">
        <f aca="false">COUNTIFS('Year 4'!$AN$6:$AN$1005,"&lt;0",'Year 4'!$AN$6:$AN$1005,"&gt;-12")</f>
        <v>1</v>
      </c>
      <c r="H94" s="28" t="n">
        <f aca="false">COUNTIF('Year 4'!$AN$6:$AN$1005,"&gt;=0")</f>
        <v>1</v>
      </c>
      <c r="I94" s="1"/>
      <c r="J94" s="1"/>
      <c r="K94" s="1"/>
      <c r="L94" s="1"/>
      <c r="M94" s="1"/>
    </row>
    <row r="95" customFormat="false" ht="15" hidden="false" customHeight="false" outlineLevel="0" collapsed="false">
      <c r="A95" s="1"/>
      <c r="B95" s="27" t="s">
        <v>211</v>
      </c>
      <c r="C95" s="28" t="n">
        <f aca="false">COUNT('Year 5'!$Q$6:$Q$1005)</f>
        <v>7</v>
      </c>
      <c r="D95" s="33" t="n">
        <f aca="false">IFERROR(AVERAGE('Year 5'!$Q$6:$Q$1005),"")</f>
        <v>16.7142857142857</v>
      </c>
      <c r="E95" s="33" t="n">
        <f aca="false">IFERROR(AVERAGE('Year 5'!$AN$6:$AN$1005),"")</f>
        <v>-22.5714285714286</v>
      </c>
      <c r="F95" s="28" t="n">
        <f aca="false">COUNTIF('Year 5'!$AN$6:$AN$1005,"&lt;=-12")</f>
        <v>5</v>
      </c>
      <c r="G95" s="28" t="n">
        <f aca="false">COUNTIFS('Year 5'!$AN$6:$AN$1005,"&lt;0",'Year 5'!$AN$6:$AN$1005,"&gt;-12")</f>
        <v>1</v>
      </c>
      <c r="H95" s="28" t="n">
        <f aca="false">COUNTIF('Year 5'!$AN$6:$AN$1005,"&gt;=0")</f>
        <v>1</v>
      </c>
      <c r="I95" s="1"/>
      <c r="J95" s="1"/>
      <c r="K95" s="1"/>
      <c r="L95" s="1"/>
      <c r="M95" s="1"/>
    </row>
    <row r="96" customFormat="false" ht="15" hidden="false" customHeight="false" outlineLevel="0" collapsed="false">
      <c r="A96" s="1"/>
      <c r="B96" s="27" t="s">
        <v>212</v>
      </c>
      <c r="C96" s="28" t="n">
        <f aca="false">COUNT('Year 6'!$Q$6:$Q$1005)</f>
        <v>7</v>
      </c>
      <c r="D96" s="33" t="n">
        <f aca="false">IFERROR(AVERAGE('Year 6'!$Q$6:$Q$1005),"")</f>
        <v>29.5714285714286</v>
      </c>
      <c r="E96" s="33" t="n">
        <f aca="false">IFERROR(AVERAGE('Year 6'!$AN$6:$AN$1005),"")</f>
        <v>-5.57142857142857</v>
      </c>
      <c r="F96" s="28" t="n">
        <f aca="false">COUNTIF('Year 6'!$AN$6:$AN$1005,"&lt;=-12")</f>
        <v>3</v>
      </c>
      <c r="G96" s="28" t="n">
        <f aca="false">COUNTIFS('Year 6'!$AN$6:$AN$1005,"&lt;0",'Year 6'!$AN$6:$AN$1005,"&gt;-12")</f>
        <v>3</v>
      </c>
      <c r="H96" s="28" t="n">
        <f aca="false">COUNTIF('Year 6'!$AN$6:$AN$1005,"&gt;=0")</f>
        <v>1</v>
      </c>
      <c r="I96" s="1"/>
      <c r="J96" s="1"/>
      <c r="K96" s="1"/>
      <c r="L96" s="1"/>
      <c r="M96" s="1"/>
    </row>
    <row r="97" customFormat="false" ht="15" hidden="false" customHeight="false" outlineLevel="0" collapsed="false">
      <c r="A97" s="1"/>
      <c r="B97" s="27" t="s">
        <v>213</v>
      </c>
      <c r="C97" s="28" t="n">
        <f aca="false">COUNT('Year 7'!$Q$6:$Q$1005)</f>
        <v>6</v>
      </c>
      <c r="D97" s="33" t="n">
        <f aca="false">IFERROR(AVERAGE('Year 7'!$Q$6:$Q$1005),"")</f>
        <v>35.5</v>
      </c>
      <c r="E97" s="33" t="n">
        <f aca="false">IFERROR(AVERAGE('Year 7'!$AN$6:$AN$1005),"")</f>
        <v>-7.66666666666667</v>
      </c>
      <c r="F97" s="28" t="n">
        <f aca="false">COUNTIF('Year 7'!$AN$6:$AN$1005,"&lt;=-12")</f>
        <v>2</v>
      </c>
      <c r="G97" s="28" t="n">
        <f aca="false">COUNTIFS('Year 7'!$AN$6:$AN$1005,"&lt;0",'Year 7'!$AN$6:$AN$1005,"&gt;-12")</f>
        <v>1</v>
      </c>
      <c r="H97" s="28" t="n">
        <f aca="false">COUNTIF('Year 7'!$AN$6:$AN$1005,"&gt;=0")</f>
        <v>3</v>
      </c>
      <c r="I97" s="1"/>
      <c r="J97" s="1"/>
      <c r="K97" s="1"/>
      <c r="L97" s="1"/>
      <c r="M97" s="1"/>
    </row>
    <row r="98" customFormat="false" ht="15" hidden="false" customHeight="false" outlineLevel="0" collapsed="false">
      <c r="A98" s="1"/>
      <c r="B98" s="27" t="s">
        <v>214</v>
      </c>
      <c r="C98" s="28" t="n">
        <f aca="false">COUNT('Year 8'!$Q$6:$Q$1005)</f>
        <v>6</v>
      </c>
      <c r="D98" s="33" t="n">
        <f aca="false">IFERROR(AVERAGE('Year 8'!$Q$6:$Q$1005),"")</f>
        <v>39.8333333333333</v>
      </c>
      <c r="E98" s="33" t="n">
        <f aca="false">IFERROR(AVERAGE('Year 8'!$AN$6:$AN$1005),"")</f>
        <v>-10.3333333333333</v>
      </c>
      <c r="F98" s="28" t="n">
        <f aca="false">COUNTIF('Year 8'!$AN$6:$AN$1005,"&lt;=-12")</f>
        <v>2</v>
      </c>
      <c r="G98" s="28" t="n">
        <f aca="false">COUNTIFS('Year 8'!$AN$6:$AN$1005,"&lt;0",'Year 8'!$AN$6:$AN$1005,"&gt;-12")</f>
        <v>1</v>
      </c>
      <c r="H98" s="28" t="n">
        <f aca="false">COUNTIF('Year 8'!$AN$6:$AN$1005,"&gt;=0")</f>
        <v>3</v>
      </c>
      <c r="I98" s="1"/>
      <c r="J98" s="1"/>
      <c r="K98" s="1"/>
      <c r="L98" s="1"/>
      <c r="M98" s="1"/>
    </row>
    <row r="99" customFormat="false" ht="15" hidden="false" customHeight="false" outlineLevel="0" collapsed="false">
      <c r="A99" s="1"/>
      <c r="B99" s="27" t="s">
        <v>215</v>
      </c>
      <c r="C99" s="28" t="n">
        <f aca="false">COUNT('Year 9'!$Q$6:$Q$1005)</f>
        <v>6</v>
      </c>
      <c r="D99" s="33" t="n">
        <f aca="false">IFERROR(AVERAGE('Year 9'!$Q$6:$Q$1005),"")</f>
        <v>53.1666666666667</v>
      </c>
      <c r="E99" s="33" t="n">
        <f aca="false">IFERROR(AVERAGE('Year 9'!$AN$6:$AN$1005),"")</f>
        <v>2</v>
      </c>
      <c r="F99" s="28" t="n">
        <f aca="false">COUNTIF('Year 9'!$AN$6:$AN$1005,"&lt;=-12")</f>
        <v>2</v>
      </c>
      <c r="G99" s="28" t="n">
        <f aca="false">COUNTIFS('Year 9'!$AN$6:$AN$1005,"&lt;0",'Year 9'!$AN$6:$AN$1005,"&gt;-12")</f>
        <v>2</v>
      </c>
      <c r="H99" s="28" t="n">
        <f aca="false">COUNTIF('Year 9'!$AN$6:$AN$1005,"&gt;=0")</f>
        <v>2</v>
      </c>
      <c r="I99" s="1"/>
      <c r="J99" s="1"/>
      <c r="K99" s="1"/>
      <c r="L99" s="1"/>
      <c r="M99" s="1"/>
    </row>
    <row r="100" customFormat="false" ht="15" hidden="false" customHeight="false" outlineLevel="0" collapsed="false">
      <c r="A100" s="1"/>
      <c r="B100" s="27" t="s">
        <v>216</v>
      </c>
      <c r="C100" s="28" t="n">
        <f aca="false">COUNT('Year 10'!$Q$6:$Q$1005)</f>
        <v>5</v>
      </c>
      <c r="D100" s="33" t="n">
        <f aca="false">IFERROR(AVERAGE('Year 10'!$Q$6:$Q$1005),"")</f>
        <v>55.4</v>
      </c>
      <c r="E100" s="33" t="n">
        <f aca="false">IFERROR(AVERAGE('Year 10'!$AN$6:$AN$1005),"")</f>
        <v>-3.2</v>
      </c>
      <c r="F100" s="28" t="n">
        <f aca="false">COUNTIF('Year 10'!$AN$6:$AN$1005,"&lt;=-12")</f>
        <v>1</v>
      </c>
      <c r="G100" s="28" t="n">
        <f aca="false">COUNTIFS('Year 10'!$AN$6:$AN$1005,"&lt;0",'Year 10'!$AN$6:$AN$1005,"&gt;-12")</f>
        <v>2</v>
      </c>
      <c r="H100" s="28" t="n">
        <f aca="false">COUNTIF('Year 10'!$AN$6:$AN$1005,"&gt;=0")</f>
        <v>2</v>
      </c>
      <c r="I100" s="1"/>
      <c r="J100" s="1"/>
      <c r="K100" s="1"/>
      <c r="L100" s="1"/>
      <c r="M100" s="1"/>
    </row>
    <row r="101" customFormat="false" ht="15" hidden="false" customHeight="false" outlineLevel="0" collapsed="false">
      <c r="A101" s="1"/>
      <c r="B101" s="29" t="s">
        <v>217</v>
      </c>
      <c r="C101" s="30" t="n">
        <f aca="false">SUM(C91:C100)</f>
        <v>60</v>
      </c>
      <c r="D101" s="34" t="n">
        <f aca="false">IFERROR(AVERAGE('Year 1'!$Q$6:$Q$1005,'Year 2'!$Q$6:$Q$1005,'Year 3'!$Q$6:$Q$1005,'Year 4'!$Q$6:$Q$1005,'Year 5'!$Q$6:$Q$1005,'Year 6'!$Q$6:$Q$1005,'Year 7'!$Q$6:$Q$1005,'Year 8'!$Q$6:$Q$1005,'Year 9'!$Q$6:$Q$1005,'Year 10'!$Q$6:$Q$1005),"")</f>
        <v>27.6</v>
      </c>
      <c r="E101" s="34" t="n">
        <f aca="false">IFERROR(AVERAGE('Year 1'!$AN$6:$AN$1005,'Year 2'!$AN$6:$AN$1005,'Year 3'!$AN$6:$AN$1005,'Year 4'!$AN$6:$AN$1005,'Year 5'!$AN$6:$AN$1005,'Year 6'!$AN$6:$AN$1005,'Year 7'!$AN$6:$AN$1005,'Year 8'!$AN$6:$AN$1005,'Year 9'!$AN$6:$AN$1005,'Year 10'!$AN$6:$AN$1005),"")</f>
        <v>-5.9</v>
      </c>
      <c r="F101" s="30" t="n">
        <f aca="false">SUM(F91:F100)</f>
        <v>24</v>
      </c>
      <c r="G101" s="30" t="n">
        <f aca="false">SUM(G91:G100)</f>
        <v>15</v>
      </c>
      <c r="H101" s="30" t="n">
        <f aca="false">SUM(H91:H100)</f>
        <v>21</v>
      </c>
      <c r="I101" s="1"/>
      <c r="J101" s="1"/>
      <c r="K101" s="1"/>
      <c r="L101" s="1"/>
      <c r="M101" s="1"/>
    </row>
    <row r="102" customFormat="false" ht="15" hidden="false" customHeight="false" outlineLevel="0" collapsed="false">
      <c r="A102" s="1"/>
      <c r="B102" s="1"/>
      <c r="C102" s="1"/>
      <c r="D102" s="1"/>
      <c r="E102" s="1"/>
      <c r="F102" s="1"/>
      <c r="G102" s="1"/>
      <c r="H102" s="1"/>
      <c r="I102" s="1"/>
      <c r="J102" s="1"/>
      <c r="K102" s="1"/>
      <c r="L102" s="1"/>
      <c r="M102" s="1"/>
    </row>
    <row r="103" customFormat="false" ht="15" hidden="false" customHeight="false" outlineLevel="0" collapsed="false">
      <c r="A103" s="1"/>
      <c r="B103" s="1"/>
      <c r="C103" s="1"/>
      <c r="D103" s="1"/>
      <c r="E103" s="1"/>
      <c r="F103" s="1"/>
      <c r="G103" s="1"/>
      <c r="H103" s="1"/>
      <c r="I103" s="1"/>
      <c r="J103" s="1"/>
      <c r="K103" s="1"/>
      <c r="L103" s="1"/>
      <c r="M103" s="1"/>
    </row>
    <row r="104" customFormat="false" ht="15" hidden="false" customHeight="false" outlineLevel="0" collapsed="false">
      <c r="A104" s="1"/>
      <c r="B104" s="5" t="s">
        <v>249</v>
      </c>
      <c r="C104" s="1"/>
      <c r="D104" s="1"/>
      <c r="E104" s="1"/>
      <c r="F104" s="1"/>
      <c r="G104" s="1"/>
      <c r="H104" s="1"/>
      <c r="I104" s="1"/>
      <c r="J104" s="1"/>
      <c r="K104" s="1"/>
      <c r="L104" s="1"/>
      <c r="M104" s="1"/>
    </row>
    <row r="105" customFormat="false" ht="15" hidden="false" customHeight="false" outlineLevel="0" collapsed="false">
      <c r="A105" s="1"/>
      <c r="B105" s="25" t="s">
        <v>250</v>
      </c>
      <c r="C105" s="1"/>
      <c r="D105" s="1"/>
      <c r="E105" s="1"/>
      <c r="F105" s="1"/>
      <c r="G105" s="1"/>
      <c r="H105" s="1"/>
      <c r="I105" s="1"/>
      <c r="J105" s="1"/>
      <c r="K105" s="1"/>
      <c r="L105" s="1"/>
      <c r="M105" s="1"/>
    </row>
    <row r="106" customFormat="false" ht="43.5" hidden="false" customHeight="true" outlineLevel="0" collapsed="false">
      <c r="A106" s="1"/>
      <c r="B106" s="15" t="s">
        <v>203</v>
      </c>
      <c r="C106" s="26" t="s">
        <v>251</v>
      </c>
      <c r="D106" s="26" t="s">
        <v>252</v>
      </c>
      <c r="E106" s="26" t="s">
        <v>157</v>
      </c>
      <c r="F106" s="26" t="s">
        <v>253</v>
      </c>
      <c r="G106" s="26" t="s">
        <v>254</v>
      </c>
      <c r="H106" s="26" t="s">
        <v>255</v>
      </c>
      <c r="I106" s="26" t="s">
        <v>256</v>
      </c>
      <c r="J106" s="26" t="s">
        <v>257</v>
      </c>
      <c r="K106" s="26" t="s">
        <v>258</v>
      </c>
      <c r="L106" s="1"/>
      <c r="M106" s="1"/>
    </row>
    <row r="107" customFormat="false" ht="15" hidden="false" customHeight="false" outlineLevel="0" collapsed="false">
      <c r="A107" s="1"/>
      <c r="B107" s="27" t="s">
        <v>207</v>
      </c>
      <c r="C107" s="28" t="n">
        <f aca="false">COUNTIF('Year 1'!$AH$6:$AH$1005,C$106)</f>
        <v>1</v>
      </c>
      <c r="D107" s="28" t="n">
        <f aca="false">COUNTIF('Year 1'!$AH$6:$AH$1005,D$106)</f>
        <v>1</v>
      </c>
      <c r="E107" s="28" t="n">
        <f aca="false">COUNTIF('Year 1'!$AH$6:$AH$1005,E$106)</f>
        <v>2</v>
      </c>
      <c r="F107" s="28" t="n">
        <f aca="false">COUNTIF('Year 1'!$AH$6:$AH$1005,F$106)</f>
        <v>0</v>
      </c>
      <c r="G107" s="28" t="n">
        <f aca="false">COUNTIF('Year 1'!$AD$6:$AD$1005,"Y")</f>
        <v>1</v>
      </c>
      <c r="H107" s="28" t="n">
        <f aca="false">COUNTIF('Year 1'!$AE$6:$AE$1005,"Y")</f>
        <v>0</v>
      </c>
      <c r="I107" s="28" t="n">
        <f aca="false">COUNTIF('Year 1'!$AF$6:$AF$1005,"Y")</f>
        <v>0</v>
      </c>
      <c r="J107" s="28" t="n">
        <f aca="false">COUNTIF('Year 1'!$AC$6:$AC$1005,1)</f>
        <v>1</v>
      </c>
      <c r="K107" s="28" t="n">
        <f aca="false">COUNTIF('Year 1'!$E$6:$E$1005,"Y")</f>
        <v>1</v>
      </c>
      <c r="L107" s="1"/>
      <c r="M107" s="1"/>
    </row>
    <row r="108" customFormat="false" ht="15" hidden="false" customHeight="false" outlineLevel="0" collapsed="false">
      <c r="A108" s="1"/>
      <c r="B108" s="27" t="s">
        <v>208</v>
      </c>
      <c r="C108" s="28" t="n">
        <f aca="false">COUNTIF('Year 2'!$AH$6:$AH$1005,C$106)</f>
        <v>1</v>
      </c>
      <c r="D108" s="28" t="n">
        <f aca="false">COUNTIF('Year 2'!$AH$6:$AH$1005,D$106)</f>
        <v>0</v>
      </c>
      <c r="E108" s="28" t="n">
        <f aca="false">COUNTIF('Year 2'!$AH$6:$AH$1005,E$106)</f>
        <v>2</v>
      </c>
      <c r="F108" s="28" t="n">
        <f aca="false">COUNTIF('Year 2'!$AH$6:$AH$1005,F$106)</f>
        <v>1</v>
      </c>
      <c r="G108" s="28" t="n">
        <f aca="false">COUNTIF('Year 2'!$AD$6:$AD$1005,"Y")</f>
        <v>1</v>
      </c>
      <c r="H108" s="28" t="n">
        <f aca="false">COUNTIF('Year 2'!$AE$6:$AE$1005,"Y")</f>
        <v>1</v>
      </c>
      <c r="I108" s="28" t="n">
        <f aca="false">COUNTIF('Year 2'!$AF$6:$AF$1005,"Y")</f>
        <v>0</v>
      </c>
      <c r="J108" s="28" t="n">
        <f aca="false">COUNTIF('Year 2'!$AC$6:$AC$1005,1)</f>
        <v>0</v>
      </c>
      <c r="K108" s="28" t="n">
        <f aca="false">COUNTIF('Year 2'!$E$6:$E$1005,"Y")</f>
        <v>2</v>
      </c>
      <c r="L108" s="1"/>
      <c r="M108" s="1"/>
    </row>
    <row r="109" customFormat="false" ht="15" hidden="false" customHeight="false" outlineLevel="0" collapsed="false">
      <c r="A109" s="1"/>
      <c r="B109" s="27" t="s">
        <v>209</v>
      </c>
      <c r="C109" s="28" t="n">
        <f aca="false">COUNTIF('Year 3'!$AH$6:$AH$1005,C$106)</f>
        <v>1</v>
      </c>
      <c r="D109" s="28" t="n">
        <f aca="false">COUNTIF('Year 3'!$AH$6:$AH$1005,D$106)</f>
        <v>2</v>
      </c>
      <c r="E109" s="28" t="n">
        <f aca="false">COUNTIF('Year 3'!$AH$6:$AH$1005,E$106)</f>
        <v>1</v>
      </c>
      <c r="F109" s="28" t="n">
        <f aca="false">COUNTIF('Year 3'!$AH$6:$AH$1005,F$106)</f>
        <v>1</v>
      </c>
      <c r="G109" s="28" t="n">
        <f aca="false">COUNTIF('Year 3'!$AD$6:$AD$1005,"Y")</f>
        <v>1</v>
      </c>
      <c r="H109" s="28" t="n">
        <f aca="false">COUNTIF('Year 3'!$AE$6:$AE$1005,"Y")</f>
        <v>1</v>
      </c>
      <c r="I109" s="28" t="n">
        <f aca="false">COUNTIF('Year 3'!$AF$6:$AF$1005,"Y")</f>
        <v>0</v>
      </c>
      <c r="J109" s="28" t="n">
        <f aca="false">COUNTIF('Year 3'!$AC$6:$AC$1005,1)</f>
        <v>0</v>
      </c>
      <c r="K109" s="28" t="n">
        <f aca="false">COUNTIF('Year 3'!$E$6:$E$1005,"Y")</f>
        <v>6</v>
      </c>
      <c r="L109" s="1"/>
      <c r="M109" s="1"/>
    </row>
    <row r="110" customFormat="false" ht="15" hidden="false" customHeight="false" outlineLevel="0" collapsed="false">
      <c r="A110" s="1"/>
      <c r="B110" s="27" t="s">
        <v>210</v>
      </c>
      <c r="C110" s="28" t="n">
        <f aca="false">COUNTIF('Year 4'!$AH$6:$AH$1005,C$106)</f>
        <v>0</v>
      </c>
      <c r="D110" s="28" t="n">
        <f aca="false">COUNTIF('Year 4'!$AH$6:$AH$1005,D$106)</f>
        <v>3</v>
      </c>
      <c r="E110" s="28" t="n">
        <f aca="false">COUNTIF('Year 4'!$AH$6:$AH$1005,E$106)</f>
        <v>1</v>
      </c>
      <c r="F110" s="28" t="n">
        <f aca="false">COUNTIF('Year 4'!$AH$6:$AH$1005,F$106)</f>
        <v>0</v>
      </c>
      <c r="G110" s="28" t="n">
        <f aca="false">COUNTIF('Year 4'!$AD$6:$AD$1005,"Y")</f>
        <v>1</v>
      </c>
      <c r="H110" s="28" t="n">
        <f aca="false">COUNTIF('Year 4'!$AE$6:$AE$1005,"Y")</f>
        <v>1</v>
      </c>
      <c r="I110" s="28" t="n">
        <f aca="false">COUNTIF('Year 4'!$AF$6:$AF$1005,"Y")</f>
        <v>0</v>
      </c>
      <c r="J110" s="28" t="n">
        <f aca="false">COUNTIF('Year 4'!$AC$6:$AC$1005,1)</f>
        <v>0</v>
      </c>
      <c r="K110" s="28" t="n">
        <f aca="false">COUNTIF('Year 4'!$E$6:$E$1005,"Y")</f>
        <v>2</v>
      </c>
      <c r="L110" s="1"/>
      <c r="M110" s="1"/>
    </row>
    <row r="111" customFormat="false" ht="15" hidden="false" customHeight="false" outlineLevel="0" collapsed="false">
      <c r="A111" s="1"/>
      <c r="B111" s="27" t="s">
        <v>211</v>
      </c>
      <c r="C111" s="28" t="n">
        <f aca="false">COUNTIF('Year 5'!$AH$6:$AH$1005,C$106)</f>
        <v>0</v>
      </c>
      <c r="D111" s="28" t="n">
        <f aca="false">COUNTIF('Year 5'!$AH$6:$AH$1005,D$106)</f>
        <v>3</v>
      </c>
      <c r="E111" s="28" t="n">
        <f aca="false">COUNTIF('Year 5'!$AH$6:$AH$1005,E$106)</f>
        <v>1</v>
      </c>
      <c r="F111" s="28" t="n">
        <f aca="false">COUNTIF('Year 5'!$AH$6:$AH$1005,F$106)</f>
        <v>0</v>
      </c>
      <c r="G111" s="28" t="n">
        <f aca="false">COUNTIF('Year 5'!$AD$6:$AD$1005,"Y")</f>
        <v>0</v>
      </c>
      <c r="H111" s="28" t="n">
        <f aca="false">COUNTIF('Year 5'!$AE$6:$AE$1005,"Y")</f>
        <v>1</v>
      </c>
      <c r="I111" s="28" t="n">
        <f aca="false">COUNTIF('Year 5'!$AF$6:$AF$1005,"Y")</f>
        <v>0</v>
      </c>
      <c r="J111" s="28" t="n">
        <f aca="false">COUNTIF('Year 5'!$AC$6:$AC$1005,1)</f>
        <v>0</v>
      </c>
      <c r="K111" s="28" t="n">
        <f aca="false">COUNTIF('Year 5'!$E$6:$E$1005,"Y")</f>
        <v>0</v>
      </c>
      <c r="L111" s="1"/>
      <c r="M111" s="1"/>
    </row>
    <row r="112" customFormat="false" ht="15" hidden="false" customHeight="false" outlineLevel="0" collapsed="false">
      <c r="A112" s="1"/>
      <c r="B112" s="27" t="s">
        <v>212</v>
      </c>
      <c r="C112" s="28" t="n">
        <f aca="false">COUNTIF('Year 6'!$AH$6:$AH$1005,C$106)</f>
        <v>0</v>
      </c>
      <c r="D112" s="28" t="n">
        <f aca="false">COUNTIF('Year 6'!$AH$6:$AH$1005,D$106)</f>
        <v>2</v>
      </c>
      <c r="E112" s="28" t="n">
        <f aca="false">COUNTIF('Year 6'!$AH$6:$AH$1005,E$106)</f>
        <v>1</v>
      </c>
      <c r="F112" s="28" t="n">
        <f aca="false">COUNTIF('Year 6'!$AH$6:$AH$1005,F$106)</f>
        <v>1</v>
      </c>
      <c r="G112" s="28" t="n">
        <f aca="false">COUNTIF('Year 6'!$AD$6:$AD$1005,"Y")</f>
        <v>1</v>
      </c>
      <c r="H112" s="28" t="n">
        <f aca="false">COUNTIF('Year 6'!$AE$6:$AE$1005,"Y")</f>
        <v>3</v>
      </c>
      <c r="I112" s="28" t="n">
        <f aca="false">COUNTIF('Year 6'!$AF$6:$AF$1005,"Y")</f>
        <v>1</v>
      </c>
      <c r="J112" s="28" t="n">
        <f aca="false">COUNTIF('Year 6'!$AC$6:$AC$1005,1)</f>
        <v>1</v>
      </c>
      <c r="K112" s="28" t="n">
        <f aca="false">COUNTIF('Year 6'!$E$6:$E$1005,"Y")</f>
        <v>3</v>
      </c>
      <c r="L112" s="1"/>
      <c r="M112" s="1"/>
    </row>
    <row r="113" customFormat="false" ht="15" hidden="false" customHeight="false" outlineLevel="0" collapsed="false">
      <c r="A113" s="1"/>
      <c r="B113" s="27" t="s">
        <v>213</v>
      </c>
      <c r="C113" s="28" t="n">
        <f aca="false">COUNTIF('Year 7'!$AH$6:$AH$1005,C$106)</f>
        <v>0</v>
      </c>
      <c r="D113" s="28" t="n">
        <f aca="false">COUNTIF('Year 7'!$AH$6:$AH$1005,D$106)</f>
        <v>2</v>
      </c>
      <c r="E113" s="28" t="n">
        <f aca="false">COUNTIF('Year 7'!$AH$6:$AH$1005,E$106)</f>
        <v>1</v>
      </c>
      <c r="F113" s="28" t="n">
        <f aca="false">COUNTIF('Year 7'!$AH$6:$AH$1005,F$106)</f>
        <v>0</v>
      </c>
      <c r="G113" s="28" t="n">
        <f aca="false">COUNTIF('Year 7'!$AD$6:$AD$1005,"Y")</f>
        <v>0</v>
      </c>
      <c r="H113" s="28" t="n">
        <f aca="false">COUNTIF('Year 7'!$AE$6:$AE$1005,"Y")</f>
        <v>0</v>
      </c>
      <c r="I113" s="28" t="n">
        <f aca="false">COUNTIF('Year 7'!$AF$6:$AF$1005,"Y")</f>
        <v>0</v>
      </c>
      <c r="J113" s="28" t="n">
        <f aca="false">COUNTIF('Year 7'!$AC$6:$AC$1005,1)</f>
        <v>1</v>
      </c>
      <c r="K113" s="28" t="n">
        <f aca="false">COUNTIF('Year 7'!$E$6:$E$1005,"Y")</f>
        <v>3</v>
      </c>
      <c r="L113" s="1"/>
      <c r="M113" s="1"/>
    </row>
    <row r="114" customFormat="false" ht="15" hidden="false" customHeight="false" outlineLevel="0" collapsed="false">
      <c r="A114" s="1"/>
      <c r="B114" s="27" t="s">
        <v>214</v>
      </c>
      <c r="C114" s="28" t="n">
        <f aca="false">COUNTIF('Year 8'!$AH$6:$AH$1005,C$106)</f>
        <v>0</v>
      </c>
      <c r="D114" s="28" t="n">
        <f aca="false">COUNTIF('Year 8'!$AH$6:$AH$1005,D$106)</f>
        <v>2</v>
      </c>
      <c r="E114" s="28" t="n">
        <f aca="false">COUNTIF('Year 8'!$AH$6:$AH$1005,E$106)</f>
        <v>3</v>
      </c>
      <c r="F114" s="28" t="n">
        <f aca="false">COUNTIF('Year 8'!$AH$6:$AH$1005,F$106)</f>
        <v>0</v>
      </c>
      <c r="G114" s="28" t="n">
        <f aca="false">COUNTIF('Year 8'!$AD$6:$AD$1005,"Y")</f>
        <v>2</v>
      </c>
      <c r="H114" s="28" t="n">
        <f aca="false">COUNTIF('Year 8'!$AE$6:$AE$1005,"Y")</f>
        <v>0</v>
      </c>
      <c r="I114" s="28" t="n">
        <f aca="false">COUNTIF('Year 8'!$AF$6:$AF$1005,"Y")</f>
        <v>0</v>
      </c>
      <c r="J114" s="28" t="n">
        <f aca="false">COUNTIF('Year 8'!$AC$6:$AC$1005,1)</f>
        <v>0</v>
      </c>
      <c r="K114" s="28" t="n">
        <f aca="false">COUNTIF('Year 8'!$E$6:$E$1005,"Y")</f>
        <v>3</v>
      </c>
      <c r="L114" s="1"/>
      <c r="M114" s="1"/>
    </row>
    <row r="115" customFormat="false" ht="15" hidden="false" customHeight="false" outlineLevel="0" collapsed="false">
      <c r="A115" s="1"/>
      <c r="B115" s="27" t="s">
        <v>215</v>
      </c>
      <c r="C115" s="28" t="n">
        <f aca="false">COUNTIF('Year 9'!$AH$6:$AH$1005,C$106)</f>
        <v>0</v>
      </c>
      <c r="D115" s="28" t="n">
        <f aca="false">COUNTIF('Year 9'!$AH$6:$AH$1005,D$106)</f>
        <v>2</v>
      </c>
      <c r="E115" s="28" t="n">
        <f aca="false">COUNTIF('Year 9'!$AH$6:$AH$1005,E$106)</f>
        <v>1</v>
      </c>
      <c r="F115" s="28" t="n">
        <f aca="false">COUNTIF('Year 9'!$AH$6:$AH$1005,F$106)</f>
        <v>1</v>
      </c>
      <c r="G115" s="28" t="n">
        <f aca="false">COUNTIF('Year 9'!$AD$6:$AD$1005,"Y")</f>
        <v>0</v>
      </c>
      <c r="H115" s="28" t="n">
        <f aca="false">COUNTIF('Year 9'!$AE$6:$AE$1005,"Y")</f>
        <v>1</v>
      </c>
      <c r="I115" s="28" t="n">
        <f aca="false">COUNTIF('Year 9'!$AF$6:$AF$1005,"Y")</f>
        <v>0</v>
      </c>
      <c r="J115" s="28" t="n">
        <f aca="false">COUNTIF('Year 9'!$AC$6:$AC$1005,1)</f>
        <v>1</v>
      </c>
      <c r="K115" s="28" t="n">
        <f aca="false">COUNTIF('Year 9'!$E$6:$E$1005,"Y")</f>
        <v>3</v>
      </c>
      <c r="L115" s="1"/>
      <c r="M115" s="1"/>
    </row>
    <row r="116" customFormat="false" ht="15" hidden="false" customHeight="false" outlineLevel="0" collapsed="false">
      <c r="A116" s="1"/>
      <c r="B116" s="27" t="s">
        <v>216</v>
      </c>
      <c r="C116" s="28" t="n">
        <f aca="false">COUNTIF('Year 10'!$AH$6:$AH$1005,C$106)</f>
        <v>0</v>
      </c>
      <c r="D116" s="28" t="n">
        <f aca="false">COUNTIF('Year 10'!$AH$6:$AH$1005,D$106)</f>
        <v>0</v>
      </c>
      <c r="E116" s="28" t="n">
        <f aca="false">COUNTIF('Year 10'!$AH$6:$AH$1005,E$106)</f>
        <v>1</v>
      </c>
      <c r="F116" s="28" t="n">
        <f aca="false">COUNTIF('Year 10'!$AH$6:$AH$1005,F$106)</f>
        <v>0</v>
      </c>
      <c r="G116" s="28" t="n">
        <f aca="false">COUNTIF('Year 10'!$AD$6:$AD$1005,"Y")</f>
        <v>0</v>
      </c>
      <c r="H116" s="28" t="n">
        <f aca="false">COUNTIF('Year 10'!$AE$6:$AE$1005,"Y")</f>
        <v>1</v>
      </c>
      <c r="I116" s="28" t="n">
        <f aca="false">COUNTIF('Year 10'!$AF$6:$AF$1005,"Y")</f>
        <v>0</v>
      </c>
      <c r="J116" s="28" t="n">
        <f aca="false">COUNTIF('Year 10'!$AC$6:$AC$1005,1)</f>
        <v>1</v>
      </c>
      <c r="K116" s="28" t="n">
        <f aca="false">COUNTIF('Year 10'!$E$6:$E$1005,"Y")</f>
        <v>4</v>
      </c>
      <c r="L116" s="1"/>
      <c r="M116" s="1"/>
    </row>
    <row r="117" customFormat="false" ht="15" hidden="false" customHeight="false" outlineLevel="0" collapsed="false">
      <c r="A117" s="1"/>
      <c r="B117" s="29" t="s">
        <v>217</v>
      </c>
      <c r="C117" s="30" t="n">
        <f aca="false">SUM(C107:C116)</f>
        <v>3</v>
      </c>
      <c r="D117" s="30" t="n">
        <f aca="false">SUM(D107:D116)</f>
        <v>17</v>
      </c>
      <c r="E117" s="30" t="n">
        <f aca="false">SUM(E107:E116)</f>
        <v>14</v>
      </c>
      <c r="F117" s="30" t="n">
        <f aca="false">SUM(F107:F116)</f>
        <v>4</v>
      </c>
      <c r="G117" s="30" t="n">
        <f aca="false">SUM(G107:G116)</f>
        <v>7</v>
      </c>
      <c r="H117" s="30" t="n">
        <f aca="false">SUM(H107:H116)</f>
        <v>9</v>
      </c>
      <c r="I117" s="30" t="n">
        <f aca="false">SUM(I107:I116)</f>
        <v>1</v>
      </c>
      <c r="J117" s="30" t="n">
        <f aca="false">SUM(J107:J116)</f>
        <v>5</v>
      </c>
      <c r="K117" s="30" t="n">
        <f aca="false">SUM(K107:K116)</f>
        <v>27</v>
      </c>
      <c r="L117" s="1"/>
      <c r="M117" s="1"/>
    </row>
    <row r="118" customFormat="false" ht="15" hidden="false" customHeight="false" outlineLevel="0" collapsed="false">
      <c r="A118" s="1"/>
      <c r="B118" s="1"/>
      <c r="C118" s="1"/>
      <c r="D118" s="1"/>
      <c r="E118" s="1"/>
      <c r="F118" s="1"/>
      <c r="G118" s="1"/>
      <c r="H118" s="1"/>
      <c r="I118" s="1"/>
      <c r="J118" s="1"/>
      <c r="K118" s="1"/>
      <c r="L118" s="1"/>
      <c r="M118" s="1"/>
    </row>
    <row r="119" customFormat="false" ht="15" hidden="false" customHeight="false" outlineLevel="0" collapsed="false">
      <c r="A119" s="1"/>
      <c r="B119" s="1"/>
      <c r="C119" s="1"/>
      <c r="D119" s="1"/>
      <c r="E119" s="1"/>
      <c r="F119" s="1"/>
      <c r="G119" s="1"/>
      <c r="H119" s="1"/>
      <c r="I119" s="1"/>
      <c r="J119" s="1"/>
      <c r="K119" s="1"/>
      <c r="L119" s="1"/>
      <c r="M119" s="1"/>
    </row>
    <row r="120" customFormat="false" ht="15" hidden="false" customHeight="false" outlineLevel="0" collapsed="false">
      <c r="A120" s="1"/>
      <c r="B120" s="35" t="s">
        <v>259</v>
      </c>
      <c r="C120" s="1"/>
      <c r="D120" s="1"/>
      <c r="E120" s="1"/>
      <c r="F120" s="1"/>
      <c r="G120" s="1"/>
      <c r="H120" s="1"/>
      <c r="I120" s="1"/>
      <c r="J120" s="1"/>
      <c r="K120" s="1"/>
      <c r="L120" s="1"/>
      <c r="M120" s="1"/>
    </row>
    <row r="121" customFormat="false" ht="15" hidden="false" customHeight="false" outlineLevel="0" collapsed="false">
      <c r="A121" s="1"/>
      <c r="B121" s="36" t="s">
        <v>260</v>
      </c>
      <c r="C121" s="1"/>
      <c r="D121" s="1"/>
      <c r="E121" s="1"/>
      <c r="F121" s="1"/>
      <c r="G121" s="1"/>
      <c r="H121" s="1"/>
      <c r="I121" s="1"/>
      <c r="J121" s="1"/>
      <c r="K121" s="1"/>
      <c r="L121" s="1"/>
      <c r="M121" s="1"/>
    </row>
    <row r="122" customFormat="false" ht="15" hidden="false" customHeight="false" outlineLevel="0" collapsed="false">
      <c r="A122" s="1"/>
      <c r="B122" s="36" t="s">
        <v>261</v>
      </c>
      <c r="C122" s="1"/>
      <c r="D122" s="1"/>
      <c r="E122" s="1"/>
      <c r="F122" s="1"/>
      <c r="G122" s="1"/>
      <c r="H122" s="1"/>
      <c r="I122" s="1"/>
      <c r="J122" s="1"/>
      <c r="K122" s="1"/>
      <c r="L122" s="1"/>
      <c r="M122" s="1"/>
    </row>
    <row r="123" customFormat="false" ht="15" hidden="false" customHeight="false" outlineLevel="0" collapsed="false">
      <c r="A123" s="1"/>
      <c r="B123" s="36" t="s">
        <v>262</v>
      </c>
      <c r="C123" s="1"/>
      <c r="D123" s="1"/>
      <c r="E123" s="1"/>
      <c r="F123" s="1"/>
      <c r="G123" s="1"/>
      <c r="H123" s="1"/>
      <c r="I123" s="1"/>
      <c r="J123" s="1"/>
      <c r="K123" s="1"/>
      <c r="L123" s="1"/>
      <c r="M123" s="1"/>
    </row>
    <row r="124" customFormat="false" ht="15" hidden="false" customHeight="false" outlineLevel="0" collapsed="false">
      <c r="A124" s="1"/>
      <c r="B124" s="36" t="s">
        <v>263</v>
      </c>
      <c r="C124" s="1"/>
      <c r="D124" s="1"/>
      <c r="E124" s="1"/>
      <c r="F124" s="1"/>
      <c r="G124" s="1"/>
      <c r="H124" s="1"/>
      <c r="I124" s="1"/>
      <c r="J124" s="1"/>
      <c r="K124" s="1"/>
      <c r="L124" s="1"/>
      <c r="M124" s="1"/>
    </row>
    <row r="125" customFormat="false" ht="15" hidden="false" customHeight="false" outlineLevel="0" collapsed="false">
      <c r="A125" s="1"/>
      <c r="B125" s="36" t="s">
        <v>264</v>
      </c>
      <c r="C125" s="1"/>
      <c r="D125" s="1"/>
      <c r="E125" s="1"/>
      <c r="F125" s="1"/>
      <c r="G125" s="1"/>
      <c r="H125" s="1"/>
      <c r="I125" s="1"/>
      <c r="J125" s="1"/>
      <c r="K125" s="1"/>
      <c r="L125" s="1"/>
      <c r="M125" s="1"/>
    </row>
  </sheetData>
  <mergeCells count="24">
    <mergeCell ref="B5:D5"/>
    <mergeCell ref="E5:G5"/>
    <mergeCell ref="H5:J5"/>
    <mergeCell ref="K5:M5"/>
    <mergeCell ref="B6:D6"/>
    <mergeCell ref="E6:G6"/>
    <mergeCell ref="H6:J6"/>
    <mergeCell ref="K6:M6"/>
    <mergeCell ref="B7:D7"/>
    <mergeCell ref="E7:G7"/>
    <mergeCell ref="H7:J7"/>
    <mergeCell ref="K7:M7"/>
    <mergeCell ref="B9:D9"/>
    <mergeCell ref="E9:G9"/>
    <mergeCell ref="H9:J9"/>
    <mergeCell ref="K9:M9"/>
    <mergeCell ref="B10:D10"/>
    <mergeCell ref="E10:G10"/>
    <mergeCell ref="H10:J10"/>
    <mergeCell ref="K10:M10"/>
    <mergeCell ref="B11:D11"/>
    <mergeCell ref="E11:G11"/>
    <mergeCell ref="H11:J11"/>
    <mergeCell ref="K11:M1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rowBreaks count="2" manualBreakCount="2">
    <brk id="43" man="true" max="16383" min="0"/>
    <brk id="75" man="true" max="16383" min="0"/>
  </rowBreaks>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H1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5"/>
    <col collapsed="false" customWidth="true" hidden="false" outlineLevel="0" max="12" min="3" style="0" width="12.5"/>
  </cols>
  <sheetData>
    <row r="1" customFormat="false" ht="22.05" hidden="false" customHeight="false" outlineLevel="0" collapsed="false">
      <c r="A1" s="1"/>
      <c r="B1" s="2" t="s">
        <v>265</v>
      </c>
      <c r="C1" s="1"/>
      <c r="D1" s="1"/>
      <c r="E1" s="1"/>
      <c r="F1" s="1"/>
      <c r="G1" s="1"/>
      <c r="H1" s="1"/>
    </row>
    <row r="2" customFormat="false" ht="15" hidden="false" customHeight="false" outlineLevel="0" collapsed="false">
      <c r="A2" s="1"/>
      <c r="B2" s="18" t="s">
        <v>266</v>
      </c>
      <c r="C2" s="1"/>
      <c r="D2" s="1"/>
      <c r="E2" s="1"/>
      <c r="F2" s="1"/>
      <c r="G2" s="1"/>
      <c r="H2" s="1"/>
    </row>
    <row r="3" customFormat="false" ht="15" hidden="false" customHeight="false" outlineLevel="0" collapsed="false">
      <c r="A3" s="1"/>
      <c r="B3" s="19" t="s">
        <v>192</v>
      </c>
      <c r="C3" s="1"/>
      <c r="D3" s="1"/>
      <c r="E3" s="1"/>
      <c r="F3" s="1"/>
      <c r="G3" s="1"/>
      <c r="H3" s="1"/>
    </row>
    <row r="4" customFormat="false" ht="15" hidden="false" customHeight="false" outlineLevel="0" collapsed="false">
      <c r="A4" s="1"/>
      <c r="B4" s="1"/>
      <c r="C4" s="1"/>
      <c r="D4" s="1"/>
      <c r="E4" s="1"/>
      <c r="F4" s="1"/>
      <c r="G4" s="1"/>
      <c r="H4" s="1"/>
    </row>
    <row r="5" customFormat="false" ht="15" hidden="false" customHeight="false" outlineLevel="0" collapsed="false">
      <c r="A5" s="1"/>
      <c r="B5" s="5" t="s">
        <v>267</v>
      </c>
      <c r="C5" s="1"/>
      <c r="D5" s="1"/>
      <c r="E5" s="1"/>
      <c r="F5" s="1"/>
      <c r="G5" s="1"/>
      <c r="H5" s="1"/>
    </row>
    <row r="6" customFormat="false" ht="31.5" hidden="false" customHeight="true" outlineLevel="0" collapsed="false">
      <c r="A6" s="1"/>
      <c r="B6" s="15" t="s">
        <v>203</v>
      </c>
      <c r="C6" s="26" t="s">
        <v>268</v>
      </c>
      <c r="D6" s="26" t="s">
        <v>269</v>
      </c>
      <c r="E6" s="26" t="s">
        <v>270</v>
      </c>
      <c r="F6" s="26" t="s">
        <v>271</v>
      </c>
      <c r="G6" s="26" t="s">
        <v>272</v>
      </c>
      <c r="H6" s="26" t="s">
        <v>273</v>
      </c>
    </row>
    <row r="7" customFormat="false" ht="15" hidden="false" customHeight="false" outlineLevel="0" collapsed="false">
      <c r="A7" s="1"/>
      <c r="B7" s="27" t="s">
        <v>207</v>
      </c>
      <c r="C7" s="31" t="n">
        <f aca="false">IFERROR((COUNTIF('Year 1'!$L$6:$L$1005,"D")+COUNTIF('Year 1'!$L$6:$L$1005,"E"))/COUNTA('Year 1'!$L$6:$L$1005),"")</f>
        <v>0</v>
      </c>
      <c r="D7" s="31" t="n">
        <f aca="false">IFERROR((COUNTIF('Year 1'!$M$6:$M$1005,"D")+COUNTIF('Year 1'!$M$6:$M$1005,"E"))/COUNTA('Year 1'!$M$6:$M$1005),"")</f>
        <v>0.2</v>
      </c>
      <c r="E7" s="31" t="n">
        <f aca="false">IFERROR((COUNTIF('Year 1'!$P$6:$P$1005,"D")+COUNTIF('Year 1'!$P$6:$P$1005,"E"))/COUNTA('Year 1'!$P$6:$P$1005),"")</f>
        <v>0</v>
      </c>
      <c r="F7" s="31" t="n">
        <f aca="false">IFERROR((COUNTIF('Year 1'!$S$6:$S$1005,"D")+COUNTIF('Year 1'!$S$6:$S$1005,"E"))/COUNTA('Year 1'!$S$6:$S$1005),"")</f>
        <v>1</v>
      </c>
      <c r="G7" s="31" t="n">
        <f aca="false">IFERROR((COUNTIF('Year 1'!$U$6:$U$1005,"D")+COUNTIF('Year 1'!$U$6:$U$1005,"E"))/COUNTA('Year 1'!$U$6:$U$1005),"")</f>
        <v>0</v>
      </c>
      <c r="H7" s="31" t="n">
        <f aca="false">IFERROR((COUNTIF('Year 1'!$V$6:$V$1005,"D")+COUNTIF('Year 1'!$V$6:$V$1005,"E"))/COUNTA('Year 1'!$V$6:$V$1005),"")</f>
        <v>0</v>
      </c>
    </row>
    <row r="8" customFormat="false" ht="15" hidden="false" customHeight="false" outlineLevel="0" collapsed="false">
      <c r="A8" s="1"/>
      <c r="B8" s="27" t="s">
        <v>208</v>
      </c>
      <c r="C8" s="31" t="n">
        <f aca="false">IFERROR((COUNTIF('Year 2'!$L$6:$L$1005,"D")+COUNTIF('Year 2'!$L$6:$L$1005,"E"))/COUNTA('Year 2'!$L$6:$L$1005),"")</f>
        <v>0.6</v>
      </c>
      <c r="D8" s="31" t="n">
        <f aca="false">IFERROR((COUNTIF('Year 2'!$M$6:$M$1005,"D")+COUNTIF('Year 2'!$M$6:$M$1005,"E"))/COUNTA('Year 2'!$M$6:$M$1005),"")</f>
        <v>0.4</v>
      </c>
      <c r="E8" s="31" t="n">
        <f aca="false">IFERROR((COUNTIF('Year 2'!$P$6:$P$1005,"D")+COUNTIF('Year 2'!$P$6:$P$1005,"E"))/COUNTA('Year 2'!$P$6:$P$1005),"")</f>
        <v>0.2</v>
      </c>
      <c r="F8" s="31" t="n">
        <f aca="false">IFERROR((COUNTIF('Year 2'!$S$6:$S$1005,"D")+COUNTIF('Year 2'!$S$6:$S$1005,"E"))/COUNTA('Year 2'!$S$6:$S$1005),"")</f>
        <v>0.8</v>
      </c>
      <c r="G8" s="31" t="n">
        <f aca="false">IFERROR((COUNTIF('Year 2'!$U$6:$U$1005,"D")+COUNTIF('Year 2'!$U$6:$U$1005,"E"))/COUNTA('Year 2'!$U$6:$U$1005),"")</f>
        <v>0.2</v>
      </c>
      <c r="H8" s="31" t="n">
        <f aca="false">IFERROR((COUNTIF('Year 2'!$V$6:$V$1005,"D")+COUNTIF('Year 2'!$V$6:$V$1005,"E"))/COUNTA('Year 2'!$V$6:$V$1005),"")</f>
        <v>0.2</v>
      </c>
    </row>
    <row r="9" customFormat="false" ht="15" hidden="false" customHeight="false" outlineLevel="0" collapsed="false">
      <c r="A9" s="1"/>
      <c r="B9" s="27" t="s">
        <v>209</v>
      </c>
      <c r="C9" s="31" t="n">
        <f aca="false">IFERROR((COUNTIF('Year 3'!$L$6:$L$1005,"D")+COUNTIF('Year 3'!$L$6:$L$1005,"E"))/COUNTA('Year 3'!$L$6:$L$1005),"")</f>
        <v>0.285714285714286</v>
      </c>
      <c r="D9" s="31" t="n">
        <f aca="false">IFERROR((COUNTIF('Year 3'!$M$6:$M$1005,"D")+COUNTIF('Year 3'!$M$6:$M$1005,"E"))/COUNTA('Year 3'!$M$6:$M$1005),"")</f>
        <v>0.142857142857143</v>
      </c>
      <c r="E9" s="31" t="n">
        <f aca="false">IFERROR((COUNTIF('Year 3'!$P$6:$P$1005,"D")+COUNTIF('Year 3'!$P$6:$P$1005,"E"))/COUNTA('Year 3'!$P$6:$P$1005),"")</f>
        <v>0.285714285714286</v>
      </c>
      <c r="F9" s="31" t="n">
        <f aca="false">IFERROR((COUNTIF('Year 3'!$S$6:$S$1005,"D")+COUNTIF('Year 3'!$S$6:$S$1005,"E"))/COUNTA('Year 3'!$S$6:$S$1005),"")</f>
        <v>0.428571428571429</v>
      </c>
      <c r="G9" s="31" t="n">
        <f aca="false">IFERROR((COUNTIF('Year 3'!$U$6:$U$1005,"D")+COUNTIF('Year 3'!$U$6:$U$1005,"E"))/COUNTA('Year 3'!$U$6:$U$1005),"")</f>
        <v>0.285714285714286</v>
      </c>
      <c r="H9" s="31" t="n">
        <f aca="false">IFERROR((COUNTIF('Year 3'!$V$6:$V$1005,"D")+COUNTIF('Year 3'!$V$6:$V$1005,"E"))/COUNTA('Year 3'!$V$6:$V$1005),"")</f>
        <v>0.285714285714286</v>
      </c>
    </row>
    <row r="10" customFormat="false" ht="15" hidden="false" customHeight="false" outlineLevel="0" collapsed="false">
      <c r="A10" s="1"/>
      <c r="B10" s="27" t="s">
        <v>210</v>
      </c>
      <c r="C10" s="31" t="n">
        <f aca="false">IFERROR((COUNTIF('Year 4'!$L$6:$L$1005,"D")+COUNTIF('Year 4'!$L$6:$L$1005,"E"))/COUNTA('Year 4'!$L$6:$L$1005),"")</f>
        <v>0.166666666666667</v>
      </c>
      <c r="D10" s="31" t="n">
        <f aca="false">IFERROR((COUNTIF('Year 4'!$M$6:$M$1005,"D")+COUNTIF('Year 4'!$M$6:$M$1005,"E"))/COUNTA('Year 4'!$M$6:$M$1005),"")</f>
        <v>0.166666666666667</v>
      </c>
      <c r="E10" s="31" t="n">
        <f aca="false">IFERROR((COUNTIF('Year 4'!$P$6:$P$1005,"D")+COUNTIF('Year 4'!$P$6:$P$1005,"E"))/COUNTA('Year 4'!$P$6:$P$1005),"")</f>
        <v>0</v>
      </c>
      <c r="F10" s="31" t="n">
        <f aca="false">IFERROR((COUNTIF('Year 4'!$S$6:$S$1005,"D")+COUNTIF('Year 4'!$S$6:$S$1005,"E"))/COUNTA('Year 4'!$S$6:$S$1005),"")</f>
        <v>0.333333333333333</v>
      </c>
      <c r="G10" s="31" t="n">
        <f aca="false">IFERROR((COUNTIF('Year 4'!$U$6:$U$1005,"D")+COUNTIF('Year 4'!$U$6:$U$1005,"E"))/COUNTA('Year 4'!$U$6:$U$1005),"")</f>
        <v>0</v>
      </c>
      <c r="H10" s="31" t="n">
        <f aca="false">IFERROR((COUNTIF('Year 4'!$V$6:$V$1005,"D")+COUNTIF('Year 4'!$V$6:$V$1005,"E"))/COUNTA('Year 4'!$V$6:$V$1005),"")</f>
        <v>0</v>
      </c>
    </row>
    <row r="11" customFormat="false" ht="15" hidden="false" customHeight="false" outlineLevel="0" collapsed="false">
      <c r="A11" s="1"/>
      <c r="B11" s="27" t="s">
        <v>211</v>
      </c>
      <c r="C11" s="31" t="n">
        <f aca="false">IFERROR((COUNTIF('Year 5'!$L$6:$L$1005,"D")+COUNTIF('Year 5'!$L$6:$L$1005,"E"))/COUNTA('Year 5'!$L$6:$L$1005),"")</f>
        <v>0</v>
      </c>
      <c r="D11" s="31" t="n">
        <f aca="false">IFERROR((COUNTIF('Year 5'!$M$6:$M$1005,"D")+COUNTIF('Year 5'!$M$6:$M$1005,"E"))/COUNTA('Year 5'!$M$6:$M$1005),"")</f>
        <v>0</v>
      </c>
      <c r="E11" s="31" t="n">
        <f aca="false">IFERROR((COUNTIF('Year 5'!$P$6:$P$1005,"D")+COUNTIF('Year 5'!$P$6:$P$1005,"E"))/COUNTA('Year 5'!$P$6:$P$1005),"")</f>
        <v>0.142857142857143</v>
      </c>
      <c r="F11" s="31" t="n">
        <f aca="false">IFERROR((COUNTIF('Year 5'!$S$6:$S$1005,"D")+COUNTIF('Year 5'!$S$6:$S$1005,"E"))/COUNTA('Year 5'!$S$6:$S$1005),"")</f>
        <v>0.285714285714286</v>
      </c>
      <c r="G11" s="31" t="n">
        <f aca="false">IFERROR((COUNTIF('Year 5'!$U$6:$U$1005,"D")+COUNTIF('Year 5'!$U$6:$U$1005,"E"))/COUNTA('Year 5'!$U$6:$U$1005),"")</f>
        <v>0.142857142857143</v>
      </c>
      <c r="H11" s="31" t="n">
        <f aca="false">IFERROR((COUNTIF('Year 5'!$V$6:$V$1005,"D")+COUNTIF('Year 5'!$V$6:$V$1005,"E"))/COUNTA('Year 5'!$V$6:$V$1005),"")</f>
        <v>0</v>
      </c>
    </row>
    <row r="12" customFormat="false" ht="15" hidden="false" customHeight="false" outlineLevel="0" collapsed="false">
      <c r="A12" s="1"/>
      <c r="B12" s="27" t="s">
        <v>212</v>
      </c>
      <c r="C12" s="31" t="n">
        <f aca="false">IFERROR((COUNTIF('Year 6'!$L$6:$L$1005,"D")+COUNTIF('Year 6'!$L$6:$L$1005,"E"))/COUNTA('Year 6'!$L$6:$L$1005),"")</f>
        <v>0.142857142857143</v>
      </c>
      <c r="D12" s="31" t="n">
        <f aca="false">IFERROR((COUNTIF('Year 6'!$M$6:$M$1005,"D")+COUNTIF('Year 6'!$M$6:$M$1005,"E"))/COUNTA('Year 6'!$M$6:$M$1005),"")</f>
        <v>0.142857142857143</v>
      </c>
      <c r="E12" s="31" t="n">
        <f aca="false">IFERROR((COUNTIF('Year 6'!$P$6:$P$1005,"D")+COUNTIF('Year 6'!$P$6:$P$1005,"E"))/COUNTA('Year 6'!$P$6:$P$1005),"")</f>
        <v>0.142857142857143</v>
      </c>
      <c r="F12" s="31" t="n">
        <f aca="false">IFERROR((COUNTIF('Year 6'!$S$6:$S$1005,"D")+COUNTIF('Year 6'!$S$6:$S$1005,"E"))/COUNTA('Year 6'!$S$6:$S$1005),"")</f>
        <v>0.714285714285714</v>
      </c>
      <c r="G12" s="31" t="n">
        <f aca="false">IFERROR((COUNTIF('Year 6'!$U$6:$U$1005,"D")+COUNTIF('Year 6'!$U$6:$U$1005,"E"))/COUNTA('Year 6'!$U$6:$U$1005),"")</f>
        <v>0.142857142857143</v>
      </c>
      <c r="H12" s="31" t="n">
        <f aca="false">IFERROR((COUNTIF('Year 6'!$V$6:$V$1005,"D")+COUNTIF('Year 6'!$V$6:$V$1005,"E"))/COUNTA('Year 6'!$V$6:$V$1005),"")</f>
        <v>0.142857142857143</v>
      </c>
    </row>
    <row r="13" customFormat="false" ht="15" hidden="false" customHeight="false" outlineLevel="0" collapsed="false">
      <c r="A13" s="1"/>
      <c r="B13" s="27" t="s">
        <v>213</v>
      </c>
      <c r="C13" s="31" t="n">
        <f aca="false">IFERROR((COUNTIF('Year 7'!$L$6:$L$1005,"D")+COUNTIF('Year 7'!$L$6:$L$1005,"E"))/COUNTA('Year 7'!$L$6:$L$1005),"")</f>
        <v>0.166666666666667</v>
      </c>
      <c r="D13" s="31" t="n">
        <f aca="false">IFERROR((COUNTIF('Year 7'!$M$6:$M$1005,"D")+COUNTIF('Year 7'!$M$6:$M$1005,"E"))/COUNTA('Year 7'!$M$6:$M$1005),"")</f>
        <v>0</v>
      </c>
      <c r="E13" s="31" t="n">
        <f aca="false">IFERROR((COUNTIF('Year 7'!$P$6:$P$1005,"D")+COUNTIF('Year 7'!$P$6:$P$1005,"E"))/COUNTA('Year 7'!$P$6:$P$1005),"")</f>
        <v>0.166666666666667</v>
      </c>
      <c r="F13" s="31" t="n">
        <f aca="false">IFERROR((COUNTIF('Year 7'!$S$6:$S$1005,"D")+COUNTIF('Year 7'!$S$6:$S$1005,"E"))/COUNTA('Year 7'!$S$6:$S$1005),"")</f>
        <v>0.833333333333333</v>
      </c>
      <c r="G13" s="31" t="n">
        <f aca="false">IFERROR((COUNTIF('Year 7'!$U$6:$U$1005,"D")+COUNTIF('Year 7'!$U$6:$U$1005,"E"))/COUNTA('Year 7'!$U$6:$U$1005),"")</f>
        <v>0</v>
      </c>
      <c r="H13" s="31" t="n">
        <f aca="false">IFERROR((COUNTIF('Year 7'!$V$6:$V$1005,"D")+COUNTIF('Year 7'!$V$6:$V$1005,"E"))/COUNTA('Year 7'!$V$6:$V$1005),"")</f>
        <v>0</v>
      </c>
    </row>
    <row r="14" customFormat="false" ht="15" hidden="false" customHeight="false" outlineLevel="0" collapsed="false">
      <c r="A14" s="1"/>
      <c r="B14" s="27" t="s">
        <v>214</v>
      </c>
      <c r="C14" s="31" t="n">
        <f aca="false">IFERROR((COUNTIF('Year 8'!$L$6:$L$1005,"D")+COUNTIF('Year 8'!$L$6:$L$1005,"E"))/COUNTA('Year 8'!$L$6:$L$1005),"")</f>
        <v>0</v>
      </c>
      <c r="D14" s="31" t="n">
        <f aca="false">IFERROR((COUNTIF('Year 8'!$M$6:$M$1005,"D")+COUNTIF('Year 8'!$M$6:$M$1005,"E"))/COUNTA('Year 8'!$M$6:$M$1005),"")</f>
        <v>0</v>
      </c>
      <c r="E14" s="31" t="n">
        <f aca="false">IFERROR((COUNTIF('Year 8'!$P$6:$P$1005,"D")+COUNTIF('Year 8'!$P$6:$P$1005,"E"))/COUNTA('Year 8'!$P$6:$P$1005),"")</f>
        <v>0.333333333333333</v>
      </c>
      <c r="F14" s="31" t="n">
        <f aca="false">IFERROR((COUNTIF('Year 8'!$S$6:$S$1005,"D")+COUNTIF('Year 8'!$S$6:$S$1005,"E"))/COUNTA('Year 8'!$S$6:$S$1005),"")</f>
        <v>0.666666666666667</v>
      </c>
      <c r="G14" s="31" t="n">
        <f aca="false">IFERROR((COUNTIF('Year 8'!$U$6:$U$1005,"D")+COUNTIF('Year 8'!$U$6:$U$1005,"E"))/COUNTA('Year 8'!$U$6:$U$1005),"")</f>
        <v>0</v>
      </c>
      <c r="H14" s="31" t="n">
        <f aca="false">IFERROR((COUNTIF('Year 8'!$V$6:$V$1005,"D")+COUNTIF('Year 8'!$V$6:$V$1005,"E"))/COUNTA('Year 8'!$V$6:$V$1005),"")</f>
        <v>0</v>
      </c>
    </row>
    <row r="15" customFormat="false" ht="15" hidden="false" customHeight="false" outlineLevel="0" collapsed="false">
      <c r="A15" s="1"/>
      <c r="B15" s="27" t="s">
        <v>215</v>
      </c>
      <c r="C15" s="31" t="n">
        <f aca="false">IFERROR((COUNTIF('Year 9'!$L$6:$L$1005,"D")+COUNTIF('Year 9'!$L$6:$L$1005,"E"))/COUNTA('Year 9'!$L$6:$L$1005),"")</f>
        <v>0.333333333333333</v>
      </c>
      <c r="D15" s="31" t="n">
        <f aca="false">IFERROR((COUNTIF('Year 9'!$M$6:$M$1005,"D")+COUNTIF('Year 9'!$M$6:$M$1005,"E"))/COUNTA('Year 9'!$M$6:$M$1005),"")</f>
        <v>0.333333333333333</v>
      </c>
      <c r="E15" s="31" t="n">
        <f aca="false">IFERROR((COUNTIF('Year 9'!$P$6:$P$1005,"D")+COUNTIF('Year 9'!$P$6:$P$1005,"E"))/COUNTA('Year 9'!$P$6:$P$1005),"")</f>
        <v>0.333333333333333</v>
      </c>
      <c r="F15" s="31" t="n">
        <f aca="false">IFERROR((COUNTIF('Year 9'!$S$6:$S$1005,"D")+COUNTIF('Year 9'!$S$6:$S$1005,"E"))/COUNTA('Year 9'!$S$6:$S$1005),"")</f>
        <v>0.833333333333333</v>
      </c>
      <c r="G15" s="31" t="n">
        <f aca="false">IFERROR((COUNTIF('Year 9'!$U$6:$U$1005,"D")+COUNTIF('Year 9'!$U$6:$U$1005,"E"))/COUNTA('Year 9'!$U$6:$U$1005),"")</f>
        <v>0.333333333333333</v>
      </c>
      <c r="H15" s="31" t="n">
        <f aca="false">IFERROR((COUNTIF('Year 9'!$V$6:$V$1005,"D")+COUNTIF('Year 9'!$V$6:$V$1005,"E"))/COUNTA('Year 9'!$V$6:$V$1005),"")</f>
        <v>0.333333333333333</v>
      </c>
    </row>
    <row r="16" customFormat="false" ht="15" hidden="false" customHeight="false" outlineLevel="0" collapsed="false">
      <c r="A16" s="1"/>
      <c r="B16" s="27" t="s">
        <v>216</v>
      </c>
      <c r="C16" s="31" t="n">
        <f aca="false">IFERROR((COUNTIF('Year 10'!$L$6:$L$1005,"D")+COUNTIF('Year 10'!$L$6:$L$1005,"E"))/COUNTA('Year 10'!$L$6:$L$1005),"")</f>
        <v>0.2</v>
      </c>
      <c r="D16" s="31" t="n">
        <f aca="false">IFERROR((COUNTIF('Year 10'!$M$6:$M$1005,"D")+COUNTIF('Year 10'!$M$6:$M$1005,"E"))/COUNTA('Year 10'!$M$6:$M$1005),"")</f>
        <v>0</v>
      </c>
      <c r="E16" s="31" t="n">
        <f aca="false">IFERROR((COUNTIF('Year 10'!$P$6:$P$1005,"D")+COUNTIF('Year 10'!$P$6:$P$1005,"E"))/COUNTA('Year 10'!$P$6:$P$1005),"")</f>
        <v>0.2</v>
      </c>
      <c r="F16" s="31" t="n">
        <f aca="false">IFERROR((COUNTIF('Year 10'!$S$6:$S$1005,"D")+COUNTIF('Year 10'!$S$6:$S$1005,"E"))/COUNTA('Year 10'!$S$6:$S$1005),"")</f>
        <v>0.8</v>
      </c>
      <c r="G16" s="31" t="n">
        <f aca="false">IFERROR((COUNTIF('Year 10'!$U$6:$U$1005,"D")+COUNTIF('Year 10'!$U$6:$U$1005,"E"))/COUNTA('Year 10'!$U$6:$U$1005),"")</f>
        <v>0.2</v>
      </c>
      <c r="H16" s="31" t="n">
        <f aca="false">IFERROR((COUNTIF('Year 10'!$V$6:$V$1005,"D")+COUNTIF('Year 10'!$V$6:$V$1005,"E"))/COUNTA('Year 10'!$V$6:$V$1005),"")</f>
        <v>0.2</v>
      </c>
    </row>
    <row r="17" customFormat="false" ht="15" hidden="false" customHeight="false" outlineLevel="0" collapsed="false">
      <c r="A17" s="1"/>
      <c r="B17" s="29" t="s">
        <v>217</v>
      </c>
      <c r="C17" s="32" t="n">
        <f aca="false">IFERROR((COUNTIF('Year 1'!$L$6:$L$1005,"D")+COUNTIF('Year 1'!$L$6:$L$1005,"E")+COUNTIF('Year 2'!$L$6:$L$1005,"D")+COUNTIF('Year 2'!$L$6:$L$1005,"E")+COUNTIF('Year 3'!$L$6:$L$1005,"D")+COUNTIF('Year 3'!$L$6:$L$1005,"E")+COUNTIF('Year 4'!$L$6:$L$1005,"D")+COUNTIF('Year 4'!$L$6:$L$1005,"E")+COUNTIF('Year 5'!$L$6:$L$1005,"D")+COUNTIF('Year 5'!$L$6:$L$1005,"E")+COUNTIF('Year 6'!$L$6:$L$1005,"D")+COUNTIF('Year 6'!$L$6:$L$1005,"E")+COUNTIF('Year 7'!$L$6:$L$1005,"D")+COUNTIF('Year 7'!$L$6:$L$1005,"E")+COUNTIF('Year 8'!$L$6:$L$1005,"D")+COUNTIF('Year 8'!$L$6:$L$1005,"E")+COUNTIF('Year 9'!$L$6:$L$1005,"D")+COUNTIF('Year 9'!$L$6:$L$1005,"E")+COUNTIF('Year 10'!$L$6:$L$1005,"D")+COUNTIF('Year 10'!$L$6:$L$1005,"E"))/(COUNTA('Year 1'!$L$6:$L$1005)+COUNTA('Year 2'!$L$6:$L$1005)+COUNTA('Year 3'!$L$6:$L$1005)+COUNTA('Year 4'!$L$6:$L$1005)+COUNTA('Year 5'!$L$6:$L$1005)+COUNTA('Year 6'!$L$6:$L$1005)+COUNTA('Year 7'!$L$6:$L$1005)+COUNTA('Year 8'!$L$6:$L$1005)+COUNTA('Year 9'!$L$6:$L$1005)+COUNTA('Year 10'!$L$6:$L$1005)),"")</f>
        <v>0.183333333333333</v>
      </c>
      <c r="D17" s="32" t="n">
        <f aca="false">IFERROR((COUNTIF('Year 1'!$M$6:$M$1005,"D")+COUNTIF('Year 1'!$M$6:$M$1005,"E")+COUNTIF('Year 2'!$M$6:$M$1005,"D")+COUNTIF('Year 2'!$M$6:$M$1005,"E")+COUNTIF('Year 3'!$M$6:$M$1005,"D")+COUNTIF('Year 3'!$M$6:$M$1005,"E")+COUNTIF('Year 4'!$M$6:$M$1005,"D")+COUNTIF('Year 4'!$M$6:$M$1005,"E")+COUNTIF('Year 5'!$M$6:$M$1005,"D")+COUNTIF('Year 5'!$M$6:$M$1005,"E")+COUNTIF('Year 6'!$M$6:$M$1005,"D")+COUNTIF('Year 6'!$M$6:$M$1005,"E")+COUNTIF('Year 7'!$M$6:$M$1005,"D")+COUNTIF('Year 7'!$M$6:$M$1005,"E")+COUNTIF('Year 8'!$M$6:$M$1005,"D")+COUNTIF('Year 8'!$M$6:$M$1005,"E")+COUNTIF('Year 9'!$M$6:$M$1005,"D")+COUNTIF('Year 9'!$M$6:$M$1005,"E")+COUNTIF('Year 10'!$M$6:$M$1005,"D")+COUNTIF('Year 10'!$M$6:$M$1005,"E"))/(COUNTA('Year 1'!$M$6:$M$1005)+COUNTA('Year 2'!$M$6:$M$1005)+COUNTA('Year 3'!$M$6:$M$1005)+COUNTA('Year 4'!$M$6:$M$1005)+COUNTA('Year 5'!$M$6:$M$1005)+COUNTA('Year 6'!$M$6:$M$1005)+COUNTA('Year 7'!$M$6:$M$1005)+COUNTA('Year 8'!$M$6:$M$1005)+COUNTA('Year 9'!$M$6:$M$1005)+COUNTA('Year 10'!$M$6:$M$1005)),"")</f>
        <v>0.135593220338983</v>
      </c>
      <c r="E17" s="32" t="n">
        <f aca="false">IFERROR((COUNTIF('Year 1'!$P$6:$P$1005,"D")+COUNTIF('Year 1'!$P$6:$P$1005,"E")+COUNTIF('Year 2'!$P$6:$P$1005,"D")+COUNTIF('Year 2'!$P$6:$P$1005,"E")+COUNTIF('Year 3'!$P$6:$P$1005,"D")+COUNTIF('Year 3'!$P$6:$P$1005,"E")+COUNTIF('Year 4'!$P$6:$P$1005,"D")+COUNTIF('Year 4'!$P$6:$P$1005,"E")+COUNTIF('Year 5'!$P$6:$P$1005,"D")+COUNTIF('Year 5'!$P$6:$P$1005,"E")+COUNTIF('Year 6'!$P$6:$P$1005,"D")+COUNTIF('Year 6'!$P$6:$P$1005,"E")+COUNTIF('Year 7'!$P$6:$P$1005,"D")+COUNTIF('Year 7'!$P$6:$P$1005,"E")+COUNTIF('Year 8'!$P$6:$P$1005,"D")+COUNTIF('Year 8'!$P$6:$P$1005,"E")+COUNTIF('Year 9'!$P$6:$P$1005,"D")+COUNTIF('Year 9'!$P$6:$P$1005,"E")+COUNTIF('Year 10'!$P$6:$P$1005,"D")+COUNTIF('Year 10'!$P$6:$P$1005,"E"))/(COUNTA('Year 1'!$P$6:$P$1005)+COUNTA('Year 2'!$P$6:$P$1005)+COUNTA('Year 3'!$P$6:$P$1005)+COUNTA('Year 4'!$P$6:$P$1005)+COUNTA('Year 5'!$P$6:$P$1005)+COUNTA('Year 6'!$P$6:$P$1005)+COUNTA('Year 7'!$P$6:$P$1005)+COUNTA('Year 8'!$P$6:$P$1005)+COUNTA('Year 9'!$P$6:$P$1005)+COUNTA('Year 10'!$P$6:$P$1005)),"")</f>
        <v>0.183333333333333</v>
      </c>
      <c r="F17" s="32" t="n">
        <f aca="false">IFERROR((COUNTIF('Year 1'!$S$6:$S$1005,"D")+COUNTIF('Year 1'!$S$6:$S$1005,"E")+COUNTIF('Year 2'!$S$6:$S$1005,"D")+COUNTIF('Year 2'!$S$6:$S$1005,"E")+COUNTIF('Year 3'!$S$6:$S$1005,"D")+COUNTIF('Year 3'!$S$6:$S$1005,"E")+COUNTIF('Year 4'!$S$6:$S$1005,"D")+COUNTIF('Year 4'!$S$6:$S$1005,"E")+COUNTIF('Year 5'!$S$6:$S$1005,"D")+COUNTIF('Year 5'!$S$6:$S$1005,"E")+COUNTIF('Year 6'!$S$6:$S$1005,"D")+COUNTIF('Year 6'!$S$6:$S$1005,"E")+COUNTIF('Year 7'!$S$6:$S$1005,"D")+COUNTIF('Year 7'!$S$6:$S$1005,"E")+COUNTIF('Year 8'!$S$6:$S$1005,"D")+COUNTIF('Year 8'!$S$6:$S$1005,"E")+COUNTIF('Year 9'!$S$6:$S$1005,"D")+COUNTIF('Year 9'!$S$6:$S$1005,"E")+COUNTIF('Year 10'!$S$6:$S$1005,"D")+COUNTIF('Year 10'!$S$6:$S$1005,"E"))/(COUNTA('Year 1'!$S$6:$S$1005)+COUNTA('Year 2'!$S$6:$S$1005)+COUNTA('Year 3'!$S$6:$S$1005)+COUNTA('Year 4'!$S$6:$S$1005)+COUNTA('Year 5'!$S$6:$S$1005)+COUNTA('Year 6'!$S$6:$S$1005)+COUNTA('Year 7'!$S$6:$S$1005)+COUNTA('Year 8'!$S$6:$S$1005)+COUNTA('Year 9'!$S$6:$S$1005)+COUNTA('Year 10'!$S$6:$S$1005)),"")</f>
        <v>0.65</v>
      </c>
      <c r="G17" s="32" t="n">
        <f aca="false">IFERROR((COUNTIF('Year 1'!$U$6:$U$1005,"D")+COUNTIF('Year 1'!$U$6:$U$1005,"E")+COUNTIF('Year 2'!$U$6:$U$1005,"D")+COUNTIF('Year 2'!$U$6:$U$1005,"E")+COUNTIF('Year 3'!$U$6:$U$1005,"D")+COUNTIF('Year 3'!$U$6:$U$1005,"E")+COUNTIF('Year 4'!$U$6:$U$1005,"D")+COUNTIF('Year 4'!$U$6:$U$1005,"E")+COUNTIF('Year 5'!$U$6:$U$1005,"D")+COUNTIF('Year 5'!$U$6:$U$1005,"E")+COUNTIF('Year 6'!$U$6:$U$1005,"D")+COUNTIF('Year 6'!$U$6:$U$1005,"E")+COUNTIF('Year 7'!$U$6:$U$1005,"D")+COUNTIF('Year 7'!$U$6:$U$1005,"E")+COUNTIF('Year 8'!$U$6:$U$1005,"D")+COUNTIF('Year 8'!$U$6:$U$1005,"E")+COUNTIF('Year 9'!$U$6:$U$1005,"D")+COUNTIF('Year 9'!$U$6:$U$1005,"E")+COUNTIF('Year 10'!$U$6:$U$1005,"D")+COUNTIF('Year 10'!$U$6:$U$1005,"E"))/(COUNTA('Year 1'!$U$6:$U$1005)+COUNTA('Year 2'!$U$6:$U$1005)+COUNTA('Year 3'!$U$6:$U$1005)+COUNTA('Year 4'!$U$6:$U$1005)+COUNTA('Year 5'!$U$6:$U$1005)+COUNTA('Year 6'!$U$6:$U$1005)+COUNTA('Year 7'!$U$6:$U$1005)+COUNTA('Year 8'!$U$6:$U$1005)+COUNTA('Year 9'!$U$6:$U$1005)+COUNTA('Year 10'!$U$6:$U$1005)),"")</f>
        <v>0.133333333333333</v>
      </c>
      <c r="H17" s="32" t="n">
        <f aca="false">IFERROR((COUNTIF('Year 1'!$V$6:$V$1005,"D")+COUNTIF('Year 1'!$V$6:$V$1005,"E")+COUNTIF('Year 2'!$V$6:$V$1005,"D")+COUNTIF('Year 2'!$V$6:$V$1005,"E")+COUNTIF('Year 3'!$V$6:$V$1005,"D")+COUNTIF('Year 3'!$V$6:$V$1005,"E")+COUNTIF('Year 4'!$V$6:$V$1005,"D")+COUNTIF('Year 4'!$V$6:$V$1005,"E")+COUNTIF('Year 5'!$V$6:$V$1005,"D")+COUNTIF('Year 5'!$V$6:$V$1005,"E")+COUNTIF('Year 6'!$V$6:$V$1005,"D")+COUNTIF('Year 6'!$V$6:$V$1005,"E")+COUNTIF('Year 7'!$V$6:$V$1005,"D")+COUNTIF('Year 7'!$V$6:$V$1005,"E")+COUNTIF('Year 8'!$V$6:$V$1005,"D")+COUNTIF('Year 8'!$V$6:$V$1005,"E")+COUNTIF('Year 9'!$V$6:$V$1005,"D")+COUNTIF('Year 9'!$V$6:$V$1005,"E")+COUNTIF('Year 10'!$V$6:$V$1005,"D")+COUNTIF('Year 10'!$V$6:$V$1005,"E"))/(COUNTA('Year 1'!$V$6:$V$1005)+COUNTA('Year 2'!$V$6:$V$1005)+COUNTA('Year 3'!$V$6:$V$1005)+COUNTA('Year 4'!$V$6:$V$1005)+COUNTA('Year 5'!$V$6:$V$1005)+COUNTA('Year 6'!$V$6:$V$1005)+COUNTA('Year 7'!$V$6:$V$1005)+COUNTA('Year 8'!$V$6:$V$1005)+COUNTA('Year 9'!$V$6:$V$1005)+COUNTA('Year 10'!$V$6:$V$1005)),"")</f>
        <v>0.116666666666667</v>
      </c>
    </row>
    <row r="18" customFormat="false" ht="15" hidden="false" customHeight="false" outlineLevel="0" collapsed="false">
      <c r="A18" s="1"/>
      <c r="B18" s="1"/>
      <c r="C18" s="1"/>
      <c r="D18" s="1"/>
      <c r="E18" s="1"/>
      <c r="F18" s="1"/>
      <c r="G18" s="1"/>
      <c r="H18" s="1"/>
    </row>
    <row r="19" customFormat="false" ht="15" hidden="false" customHeight="false" outlineLevel="0" collapsed="false">
      <c r="A19" s="1"/>
      <c r="B19" s="5" t="s">
        <v>274</v>
      </c>
      <c r="C19" s="1"/>
      <c r="D19" s="1"/>
      <c r="E19" s="1"/>
      <c r="F19" s="1"/>
      <c r="G19" s="1"/>
      <c r="H19" s="1"/>
    </row>
    <row r="20" customFormat="false" ht="31.5" hidden="false" customHeight="true" outlineLevel="0" collapsed="false">
      <c r="A20" s="1"/>
      <c r="B20" s="15" t="s">
        <v>203</v>
      </c>
      <c r="C20" s="26" t="s">
        <v>268</v>
      </c>
      <c r="D20" s="26" t="s">
        <v>269</v>
      </c>
      <c r="E20" s="26" t="s">
        <v>270</v>
      </c>
      <c r="F20" s="26" t="s">
        <v>271</v>
      </c>
      <c r="G20" s="26" t="s">
        <v>272</v>
      </c>
      <c r="H20" s="26" t="s">
        <v>273</v>
      </c>
    </row>
    <row r="21" customFormat="false" ht="15" hidden="false" customHeight="false" outlineLevel="0" collapsed="false">
      <c r="A21" s="1"/>
      <c r="B21" s="27" t="s">
        <v>207</v>
      </c>
      <c r="C21" s="31" t="n">
        <f aca="false">IFERROR((COUNTIF('Year 1'!$L$6:$L$1005,"A")+COUNTIF('Year 1'!$L$6:$L$1005,"B"))/COUNTA('Year 1'!$L$6:$L$1005),"")</f>
        <v>0.6</v>
      </c>
      <c r="D21" s="31" t="n">
        <f aca="false">IFERROR((COUNTIF('Year 1'!$M$6:$M$1005,"A")+COUNTIF('Year 1'!$M$6:$M$1005,"B"))/COUNTA('Year 1'!$M$6:$M$1005),"")</f>
        <v>0.4</v>
      </c>
      <c r="E21" s="31" t="n">
        <f aca="false">IFERROR((COUNTIF('Year 1'!$P$6:$P$1005,"A")+COUNTIF('Year 1'!$P$6:$P$1005,"B"))/COUNTA('Year 1'!$P$6:$P$1005),"")</f>
        <v>0.4</v>
      </c>
      <c r="F21" s="31" t="n">
        <f aca="false">IFERROR((COUNTIF('Year 1'!$S$6:$S$1005,"A")+COUNTIF('Year 1'!$S$6:$S$1005,"B"))/COUNTA('Year 1'!$S$6:$S$1005),"")</f>
        <v>0</v>
      </c>
      <c r="G21" s="31" t="n">
        <f aca="false">IFERROR((COUNTIF('Year 1'!$U$6:$U$1005,"A")+COUNTIF('Year 1'!$U$6:$U$1005,"B"))/COUNTA('Year 1'!$U$6:$U$1005),"")</f>
        <v>0.4</v>
      </c>
      <c r="H21" s="31" t="n">
        <f aca="false">IFERROR((COUNTIF('Year 1'!$V$6:$V$1005,"A")+COUNTIF('Year 1'!$V$6:$V$1005,"B"))/COUNTA('Year 1'!$V$6:$V$1005),"")</f>
        <v>0.4</v>
      </c>
    </row>
    <row r="22" customFormat="false" ht="15" hidden="false" customHeight="false" outlineLevel="0" collapsed="false">
      <c r="A22" s="1"/>
      <c r="B22" s="27" t="s">
        <v>208</v>
      </c>
      <c r="C22" s="31" t="n">
        <f aca="false">IFERROR((COUNTIF('Year 2'!$L$6:$L$1005,"A")+COUNTIF('Year 2'!$L$6:$L$1005,"B"))/COUNTA('Year 2'!$L$6:$L$1005),"")</f>
        <v>0.2</v>
      </c>
      <c r="D22" s="31" t="n">
        <f aca="false">IFERROR((COUNTIF('Year 2'!$M$6:$M$1005,"A")+COUNTIF('Year 2'!$M$6:$M$1005,"B"))/COUNTA('Year 2'!$M$6:$M$1005),"")</f>
        <v>0.2</v>
      </c>
      <c r="E22" s="31" t="n">
        <f aca="false">IFERROR((COUNTIF('Year 2'!$P$6:$P$1005,"A")+COUNTIF('Year 2'!$P$6:$P$1005,"B"))/COUNTA('Year 2'!$P$6:$P$1005),"")</f>
        <v>0.4</v>
      </c>
      <c r="F22" s="31" t="n">
        <f aca="false">IFERROR((COUNTIF('Year 2'!$S$6:$S$1005,"A")+COUNTIF('Year 2'!$S$6:$S$1005,"B"))/COUNTA('Year 2'!$S$6:$S$1005),"")</f>
        <v>0</v>
      </c>
      <c r="G22" s="31" t="n">
        <f aca="false">IFERROR((COUNTIF('Year 2'!$U$6:$U$1005,"A")+COUNTIF('Year 2'!$U$6:$U$1005,"B"))/COUNTA('Year 2'!$U$6:$U$1005),"")</f>
        <v>0.2</v>
      </c>
      <c r="H22" s="31" t="n">
        <f aca="false">IFERROR((COUNTIF('Year 2'!$V$6:$V$1005,"A")+COUNTIF('Year 2'!$V$6:$V$1005,"B"))/COUNTA('Year 2'!$V$6:$V$1005),"")</f>
        <v>0.2</v>
      </c>
    </row>
    <row r="23" customFormat="false" ht="15" hidden="false" customHeight="false" outlineLevel="0" collapsed="false">
      <c r="A23" s="1"/>
      <c r="B23" s="27" t="s">
        <v>209</v>
      </c>
      <c r="C23" s="31" t="n">
        <f aca="false">IFERROR((COUNTIF('Year 3'!$L$6:$L$1005,"A")+COUNTIF('Year 3'!$L$6:$L$1005,"B"))/COUNTA('Year 3'!$L$6:$L$1005),"")</f>
        <v>0.714285714285714</v>
      </c>
      <c r="D23" s="31" t="n">
        <f aca="false">IFERROR((COUNTIF('Year 3'!$M$6:$M$1005,"A")+COUNTIF('Year 3'!$M$6:$M$1005,"B"))/COUNTA('Year 3'!$M$6:$M$1005),"")</f>
        <v>0.428571428571429</v>
      </c>
      <c r="E23" s="31" t="n">
        <f aca="false">IFERROR((COUNTIF('Year 3'!$P$6:$P$1005,"A")+COUNTIF('Year 3'!$P$6:$P$1005,"B"))/COUNTA('Year 3'!$P$6:$P$1005),"")</f>
        <v>0.571428571428571</v>
      </c>
      <c r="F23" s="31" t="n">
        <f aca="false">IFERROR((COUNTIF('Year 3'!$S$6:$S$1005,"A")+COUNTIF('Year 3'!$S$6:$S$1005,"B"))/COUNTA('Year 3'!$S$6:$S$1005),"")</f>
        <v>0.571428571428571</v>
      </c>
      <c r="G23" s="31" t="n">
        <f aca="false">IFERROR((COUNTIF('Year 3'!$U$6:$U$1005,"A")+COUNTIF('Year 3'!$U$6:$U$1005,"B"))/COUNTA('Year 3'!$U$6:$U$1005),"")</f>
        <v>0.428571428571429</v>
      </c>
      <c r="H23" s="31" t="n">
        <f aca="false">IFERROR((COUNTIF('Year 3'!$V$6:$V$1005,"A")+COUNTIF('Year 3'!$V$6:$V$1005,"B"))/COUNTA('Year 3'!$V$6:$V$1005),"")</f>
        <v>0.571428571428571</v>
      </c>
    </row>
    <row r="24" customFormat="false" ht="15" hidden="false" customHeight="false" outlineLevel="0" collapsed="false">
      <c r="A24" s="1"/>
      <c r="B24" s="27" t="s">
        <v>210</v>
      </c>
      <c r="C24" s="31" t="n">
        <f aca="false">IFERROR((COUNTIF('Year 4'!$L$6:$L$1005,"A")+COUNTIF('Year 4'!$L$6:$L$1005,"B"))/COUNTA('Year 4'!$L$6:$L$1005),"")</f>
        <v>0.5</v>
      </c>
      <c r="D24" s="31" t="n">
        <f aca="false">IFERROR((COUNTIF('Year 4'!$M$6:$M$1005,"A")+COUNTIF('Year 4'!$M$6:$M$1005,"B"))/COUNTA('Year 4'!$M$6:$M$1005),"")</f>
        <v>0.833333333333333</v>
      </c>
      <c r="E24" s="31" t="n">
        <f aca="false">IFERROR((COUNTIF('Year 4'!$P$6:$P$1005,"A")+COUNTIF('Year 4'!$P$6:$P$1005,"B"))/COUNTA('Year 4'!$P$6:$P$1005),"")</f>
        <v>0.666666666666667</v>
      </c>
      <c r="F24" s="31" t="n">
        <f aca="false">IFERROR((COUNTIF('Year 4'!$S$6:$S$1005,"A")+COUNTIF('Year 4'!$S$6:$S$1005,"B"))/COUNTA('Year 4'!$S$6:$S$1005),"")</f>
        <v>0.166666666666667</v>
      </c>
      <c r="G24" s="31" t="n">
        <f aca="false">IFERROR((COUNTIF('Year 4'!$U$6:$U$1005,"A")+COUNTIF('Year 4'!$U$6:$U$1005,"B"))/COUNTA('Year 4'!$U$6:$U$1005),"")</f>
        <v>0.5</v>
      </c>
      <c r="H24" s="31" t="n">
        <f aca="false">IFERROR((COUNTIF('Year 4'!$V$6:$V$1005,"A")+COUNTIF('Year 4'!$V$6:$V$1005,"B"))/COUNTA('Year 4'!$V$6:$V$1005),"")</f>
        <v>0.666666666666667</v>
      </c>
    </row>
    <row r="25" customFormat="false" ht="15" hidden="false" customHeight="false" outlineLevel="0" collapsed="false">
      <c r="A25" s="1"/>
      <c r="B25" s="27" t="s">
        <v>211</v>
      </c>
      <c r="C25" s="31" t="n">
        <f aca="false">IFERROR((COUNTIF('Year 5'!$L$6:$L$1005,"A")+COUNTIF('Year 5'!$L$6:$L$1005,"B"))/COUNTA('Year 5'!$L$6:$L$1005),"")</f>
        <v>0.857142857142857</v>
      </c>
      <c r="D25" s="31" t="n">
        <f aca="false">IFERROR((COUNTIF('Year 5'!$M$6:$M$1005,"A")+COUNTIF('Year 5'!$M$6:$M$1005,"B"))/COUNTA('Year 5'!$M$6:$M$1005),"")</f>
        <v>0.666666666666667</v>
      </c>
      <c r="E25" s="31" t="n">
        <f aca="false">IFERROR((COUNTIF('Year 5'!$P$6:$P$1005,"A")+COUNTIF('Year 5'!$P$6:$P$1005,"B"))/COUNTA('Year 5'!$P$6:$P$1005),"")</f>
        <v>0.571428571428571</v>
      </c>
      <c r="F25" s="31" t="n">
        <f aca="false">IFERROR((COUNTIF('Year 5'!$S$6:$S$1005,"A")+COUNTIF('Year 5'!$S$6:$S$1005,"B"))/COUNTA('Year 5'!$S$6:$S$1005),"")</f>
        <v>0.571428571428571</v>
      </c>
      <c r="G25" s="31" t="n">
        <f aca="false">IFERROR((COUNTIF('Year 5'!$U$6:$U$1005,"A")+COUNTIF('Year 5'!$U$6:$U$1005,"B"))/COUNTA('Year 5'!$U$6:$U$1005),"")</f>
        <v>0.428571428571429</v>
      </c>
      <c r="H25" s="31" t="n">
        <f aca="false">IFERROR((COUNTIF('Year 5'!$V$6:$V$1005,"A")+COUNTIF('Year 5'!$V$6:$V$1005,"B"))/COUNTA('Year 5'!$V$6:$V$1005),"")</f>
        <v>0.571428571428571</v>
      </c>
    </row>
    <row r="26" customFormat="false" ht="15" hidden="false" customHeight="false" outlineLevel="0" collapsed="false">
      <c r="A26" s="1"/>
      <c r="B26" s="27" t="s">
        <v>212</v>
      </c>
      <c r="C26" s="31" t="n">
        <f aca="false">IFERROR((COUNTIF('Year 6'!$L$6:$L$1005,"A")+COUNTIF('Year 6'!$L$6:$L$1005,"B"))/COUNTA('Year 6'!$L$6:$L$1005),"")</f>
        <v>0.571428571428571</v>
      </c>
      <c r="D26" s="31" t="n">
        <f aca="false">IFERROR((COUNTIF('Year 6'!$M$6:$M$1005,"A")+COUNTIF('Year 6'!$M$6:$M$1005,"B"))/COUNTA('Year 6'!$M$6:$M$1005),"")</f>
        <v>0.428571428571429</v>
      </c>
      <c r="E26" s="31" t="n">
        <f aca="false">IFERROR((COUNTIF('Year 6'!$P$6:$P$1005,"A")+COUNTIF('Year 6'!$P$6:$P$1005,"B"))/COUNTA('Year 6'!$P$6:$P$1005),"")</f>
        <v>0.428571428571429</v>
      </c>
      <c r="F26" s="31" t="n">
        <f aca="false">IFERROR((COUNTIF('Year 6'!$S$6:$S$1005,"A")+COUNTIF('Year 6'!$S$6:$S$1005,"B"))/COUNTA('Year 6'!$S$6:$S$1005),"")</f>
        <v>0</v>
      </c>
      <c r="G26" s="31" t="n">
        <f aca="false">IFERROR((COUNTIF('Year 6'!$U$6:$U$1005,"A")+COUNTIF('Year 6'!$U$6:$U$1005,"B"))/COUNTA('Year 6'!$U$6:$U$1005),"")</f>
        <v>0.571428571428571</v>
      </c>
      <c r="H26" s="31" t="n">
        <f aca="false">IFERROR((COUNTIF('Year 6'!$V$6:$V$1005,"A")+COUNTIF('Year 6'!$V$6:$V$1005,"B"))/COUNTA('Year 6'!$V$6:$V$1005),"")</f>
        <v>0.571428571428571</v>
      </c>
    </row>
    <row r="27" customFormat="false" ht="15" hidden="false" customHeight="false" outlineLevel="0" collapsed="false">
      <c r="A27" s="1"/>
      <c r="B27" s="27" t="s">
        <v>213</v>
      </c>
      <c r="C27" s="31" t="n">
        <f aca="false">IFERROR((COUNTIF('Year 7'!$L$6:$L$1005,"A")+COUNTIF('Year 7'!$L$6:$L$1005,"B"))/COUNTA('Year 7'!$L$6:$L$1005),"")</f>
        <v>0.333333333333333</v>
      </c>
      <c r="D27" s="31" t="n">
        <f aca="false">IFERROR((COUNTIF('Year 7'!$M$6:$M$1005,"A")+COUNTIF('Year 7'!$M$6:$M$1005,"B"))/COUNTA('Year 7'!$M$6:$M$1005),"")</f>
        <v>0.5</v>
      </c>
      <c r="E27" s="31" t="n">
        <f aca="false">IFERROR((COUNTIF('Year 7'!$P$6:$P$1005,"A")+COUNTIF('Year 7'!$P$6:$P$1005,"B"))/COUNTA('Year 7'!$P$6:$P$1005),"")</f>
        <v>0.666666666666667</v>
      </c>
      <c r="F27" s="31" t="n">
        <f aca="false">IFERROR((COUNTIF('Year 7'!$S$6:$S$1005,"A")+COUNTIF('Year 7'!$S$6:$S$1005,"B"))/COUNTA('Year 7'!$S$6:$S$1005),"")</f>
        <v>0.166666666666667</v>
      </c>
      <c r="G27" s="31" t="n">
        <f aca="false">IFERROR((COUNTIF('Year 7'!$U$6:$U$1005,"A")+COUNTIF('Year 7'!$U$6:$U$1005,"B"))/COUNTA('Year 7'!$U$6:$U$1005),"")</f>
        <v>0.5</v>
      </c>
      <c r="H27" s="31" t="n">
        <f aca="false">IFERROR((COUNTIF('Year 7'!$V$6:$V$1005,"A")+COUNTIF('Year 7'!$V$6:$V$1005,"B"))/COUNTA('Year 7'!$V$6:$V$1005),"")</f>
        <v>0.5</v>
      </c>
    </row>
    <row r="28" customFormat="false" ht="15" hidden="false" customHeight="false" outlineLevel="0" collapsed="false">
      <c r="A28" s="1"/>
      <c r="B28" s="27" t="s">
        <v>214</v>
      </c>
      <c r="C28" s="31" t="n">
        <f aca="false">IFERROR((COUNTIF('Year 8'!$L$6:$L$1005,"A")+COUNTIF('Year 8'!$L$6:$L$1005,"B"))/COUNTA('Year 8'!$L$6:$L$1005),"")</f>
        <v>0.5</v>
      </c>
      <c r="D28" s="31" t="n">
        <f aca="false">IFERROR((COUNTIF('Year 8'!$M$6:$M$1005,"A")+COUNTIF('Year 8'!$M$6:$M$1005,"B"))/COUNTA('Year 8'!$M$6:$M$1005),"")</f>
        <v>0.5</v>
      </c>
      <c r="E28" s="31" t="n">
        <f aca="false">IFERROR((COUNTIF('Year 8'!$P$6:$P$1005,"A")+COUNTIF('Year 8'!$P$6:$P$1005,"B"))/COUNTA('Year 8'!$P$6:$P$1005),"")</f>
        <v>0.5</v>
      </c>
      <c r="F28" s="31" t="n">
        <f aca="false">IFERROR((COUNTIF('Year 8'!$S$6:$S$1005,"A")+COUNTIF('Year 8'!$S$6:$S$1005,"B"))/COUNTA('Year 8'!$S$6:$S$1005),"")</f>
        <v>0.166666666666667</v>
      </c>
      <c r="G28" s="31" t="n">
        <f aca="false">IFERROR((COUNTIF('Year 8'!$U$6:$U$1005,"A")+COUNTIF('Year 8'!$U$6:$U$1005,"B"))/COUNTA('Year 8'!$U$6:$U$1005),"")</f>
        <v>0.333333333333333</v>
      </c>
      <c r="H28" s="31" t="n">
        <f aca="false">IFERROR((COUNTIF('Year 8'!$V$6:$V$1005,"A")+COUNTIF('Year 8'!$V$6:$V$1005,"B"))/COUNTA('Year 8'!$V$6:$V$1005),"")</f>
        <v>0.5</v>
      </c>
    </row>
    <row r="29" customFormat="false" ht="15" hidden="false" customHeight="false" outlineLevel="0" collapsed="false">
      <c r="A29" s="1"/>
      <c r="B29" s="27" t="s">
        <v>215</v>
      </c>
      <c r="C29" s="31" t="n">
        <f aca="false">IFERROR((COUNTIF('Year 9'!$L$6:$L$1005,"A")+COUNTIF('Year 9'!$L$6:$L$1005,"B"))/COUNTA('Year 9'!$L$6:$L$1005),"")</f>
        <v>0.333333333333333</v>
      </c>
      <c r="D29" s="31" t="n">
        <f aca="false">IFERROR((COUNTIF('Year 9'!$M$6:$M$1005,"A")+COUNTIF('Year 9'!$M$6:$M$1005,"B"))/COUNTA('Year 9'!$M$6:$M$1005),"")</f>
        <v>0.166666666666667</v>
      </c>
      <c r="E29" s="31" t="n">
        <f aca="false">IFERROR((COUNTIF('Year 9'!$P$6:$P$1005,"A")+COUNTIF('Year 9'!$P$6:$P$1005,"B"))/COUNTA('Year 9'!$P$6:$P$1005),"")</f>
        <v>0.5</v>
      </c>
      <c r="F29" s="31" t="n">
        <f aca="false">IFERROR((COUNTIF('Year 9'!$S$6:$S$1005,"A")+COUNTIF('Year 9'!$S$6:$S$1005,"B"))/COUNTA('Year 9'!$S$6:$S$1005),"")</f>
        <v>0</v>
      </c>
      <c r="G29" s="31" t="n">
        <f aca="false">IFERROR((COUNTIF('Year 9'!$U$6:$U$1005,"A")+COUNTIF('Year 9'!$U$6:$U$1005,"B"))/COUNTA('Year 9'!$U$6:$U$1005),"")</f>
        <v>0.333333333333333</v>
      </c>
      <c r="H29" s="31" t="n">
        <f aca="false">IFERROR((COUNTIF('Year 9'!$V$6:$V$1005,"A")+COUNTIF('Year 9'!$V$6:$V$1005,"B"))/COUNTA('Year 9'!$V$6:$V$1005),"")</f>
        <v>0.333333333333333</v>
      </c>
    </row>
    <row r="30" customFormat="false" ht="15" hidden="false" customHeight="false" outlineLevel="0" collapsed="false">
      <c r="A30" s="1"/>
      <c r="B30" s="27" t="s">
        <v>216</v>
      </c>
      <c r="C30" s="31" t="n">
        <f aca="false">IFERROR((COUNTIF('Year 10'!$L$6:$L$1005,"A")+COUNTIF('Year 10'!$L$6:$L$1005,"B"))/COUNTA('Year 10'!$L$6:$L$1005),"")</f>
        <v>0.4</v>
      </c>
      <c r="D30" s="31" t="n">
        <f aca="false">IFERROR((COUNTIF('Year 10'!$M$6:$M$1005,"A")+COUNTIF('Year 10'!$M$6:$M$1005,"B"))/COUNTA('Year 10'!$M$6:$M$1005),"")</f>
        <v>0.4</v>
      </c>
      <c r="E30" s="31" t="n">
        <f aca="false">IFERROR((COUNTIF('Year 10'!$P$6:$P$1005,"A")+COUNTIF('Year 10'!$P$6:$P$1005,"B"))/COUNTA('Year 10'!$P$6:$P$1005),"")</f>
        <v>0.2</v>
      </c>
      <c r="F30" s="31" t="n">
        <f aca="false">IFERROR((COUNTIF('Year 10'!$S$6:$S$1005,"A")+COUNTIF('Year 10'!$S$6:$S$1005,"B"))/COUNTA('Year 10'!$S$6:$S$1005),"")</f>
        <v>0.2</v>
      </c>
      <c r="G30" s="31" t="n">
        <f aca="false">IFERROR((COUNTIF('Year 10'!$U$6:$U$1005,"A")+COUNTIF('Year 10'!$U$6:$U$1005,"B"))/COUNTA('Year 10'!$U$6:$U$1005),"")</f>
        <v>0.4</v>
      </c>
      <c r="H30" s="31" t="n">
        <f aca="false">IFERROR((COUNTIF('Year 10'!$V$6:$V$1005,"A")+COUNTIF('Year 10'!$V$6:$V$1005,"B"))/COUNTA('Year 10'!$V$6:$V$1005),"")</f>
        <v>0.4</v>
      </c>
    </row>
    <row r="31" customFormat="false" ht="15" hidden="false" customHeight="false" outlineLevel="0" collapsed="false">
      <c r="A31" s="1"/>
      <c r="B31" s="29" t="s">
        <v>217</v>
      </c>
      <c r="C31" s="32" t="n">
        <f aca="false">IFERROR((COUNTIF('Year 1'!$L$6:$L$1005,"A")+COUNTIF('Year 1'!$L$6:$L$1005,"B")+COUNTIF('Year 2'!$L$6:$L$1005,"A")+COUNTIF('Year 2'!$L$6:$L$1005,"B")+COUNTIF('Year 3'!$L$6:$L$1005,"A")+COUNTIF('Year 3'!$L$6:$L$1005,"B")+COUNTIF('Year 4'!$L$6:$L$1005,"A")+COUNTIF('Year 4'!$L$6:$L$1005,"B")+COUNTIF('Year 5'!$L$6:$L$1005,"A")+COUNTIF('Year 5'!$L$6:$L$1005,"B")+COUNTIF('Year 6'!$L$6:$L$1005,"A")+COUNTIF('Year 6'!$L$6:$L$1005,"B")+COUNTIF('Year 7'!$L$6:$L$1005,"A")+COUNTIF('Year 7'!$L$6:$L$1005,"B")+COUNTIF('Year 8'!$L$6:$L$1005,"A")+COUNTIF('Year 8'!$L$6:$L$1005,"B")+COUNTIF('Year 9'!$L$6:$L$1005,"A")+COUNTIF('Year 9'!$L$6:$L$1005,"B")+COUNTIF('Year 10'!$L$6:$L$1005,"A")+COUNTIF('Year 10'!$L$6:$L$1005,"B"))/(COUNTA('Year 1'!$L$6:$L$1005)+COUNTA('Year 2'!$L$6:$L$1005)+COUNTA('Year 3'!$L$6:$L$1005)+COUNTA('Year 4'!$L$6:$L$1005)+COUNTA('Year 5'!$L$6:$L$1005)+COUNTA('Year 6'!$L$6:$L$1005)+COUNTA('Year 7'!$L$6:$L$1005)+COUNTA('Year 8'!$L$6:$L$1005)+COUNTA('Year 9'!$L$6:$L$1005)+COUNTA('Year 10'!$L$6:$L$1005)),"")</f>
        <v>0.516666666666667</v>
      </c>
      <c r="D31" s="32" t="n">
        <f aca="false">IFERROR((COUNTIF('Year 1'!$M$6:$M$1005,"A")+COUNTIF('Year 1'!$M$6:$M$1005,"B")+COUNTIF('Year 2'!$M$6:$M$1005,"A")+COUNTIF('Year 2'!$M$6:$M$1005,"B")+COUNTIF('Year 3'!$M$6:$M$1005,"A")+COUNTIF('Year 3'!$M$6:$M$1005,"B")+COUNTIF('Year 4'!$M$6:$M$1005,"A")+COUNTIF('Year 4'!$M$6:$M$1005,"B")+COUNTIF('Year 5'!$M$6:$M$1005,"A")+COUNTIF('Year 5'!$M$6:$M$1005,"B")+COUNTIF('Year 6'!$M$6:$M$1005,"A")+COUNTIF('Year 6'!$M$6:$M$1005,"B")+COUNTIF('Year 7'!$M$6:$M$1005,"A")+COUNTIF('Year 7'!$M$6:$M$1005,"B")+COUNTIF('Year 8'!$M$6:$M$1005,"A")+COUNTIF('Year 8'!$M$6:$M$1005,"B")+COUNTIF('Year 9'!$M$6:$M$1005,"A")+COUNTIF('Year 9'!$M$6:$M$1005,"B")+COUNTIF('Year 10'!$M$6:$M$1005,"A")+COUNTIF('Year 10'!$M$6:$M$1005,"B"))/(COUNTA('Year 1'!$M$6:$M$1005)+COUNTA('Year 2'!$M$6:$M$1005)+COUNTA('Year 3'!$M$6:$M$1005)+COUNTA('Year 4'!$M$6:$M$1005)+COUNTA('Year 5'!$M$6:$M$1005)+COUNTA('Year 6'!$M$6:$M$1005)+COUNTA('Year 7'!$M$6:$M$1005)+COUNTA('Year 8'!$M$6:$M$1005)+COUNTA('Year 9'!$M$6:$M$1005)+COUNTA('Year 10'!$M$6:$M$1005)),"")</f>
        <v>0.457627118644068</v>
      </c>
      <c r="E31" s="32" t="n">
        <f aca="false">IFERROR((COUNTIF('Year 1'!$P$6:$P$1005,"A")+COUNTIF('Year 1'!$P$6:$P$1005,"B")+COUNTIF('Year 2'!$P$6:$P$1005,"A")+COUNTIF('Year 2'!$P$6:$P$1005,"B")+COUNTIF('Year 3'!$P$6:$P$1005,"A")+COUNTIF('Year 3'!$P$6:$P$1005,"B")+COUNTIF('Year 4'!$P$6:$P$1005,"A")+COUNTIF('Year 4'!$P$6:$P$1005,"B")+COUNTIF('Year 5'!$P$6:$P$1005,"A")+COUNTIF('Year 5'!$P$6:$P$1005,"B")+COUNTIF('Year 6'!$P$6:$P$1005,"A")+COUNTIF('Year 6'!$P$6:$P$1005,"B")+COUNTIF('Year 7'!$P$6:$P$1005,"A")+COUNTIF('Year 7'!$P$6:$P$1005,"B")+COUNTIF('Year 8'!$P$6:$P$1005,"A")+COUNTIF('Year 8'!$P$6:$P$1005,"B")+COUNTIF('Year 9'!$P$6:$P$1005,"A")+COUNTIF('Year 9'!$P$6:$P$1005,"B")+COUNTIF('Year 10'!$P$6:$P$1005,"A")+COUNTIF('Year 10'!$P$6:$P$1005,"B"))/(COUNTA('Year 1'!$P$6:$P$1005)+COUNTA('Year 2'!$P$6:$P$1005)+COUNTA('Year 3'!$P$6:$P$1005)+COUNTA('Year 4'!$P$6:$P$1005)+COUNTA('Year 5'!$P$6:$P$1005)+COUNTA('Year 6'!$P$6:$P$1005)+COUNTA('Year 7'!$P$6:$P$1005)+COUNTA('Year 8'!$P$6:$P$1005)+COUNTA('Year 9'!$P$6:$P$1005)+COUNTA('Year 10'!$P$6:$P$1005)),"")</f>
        <v>0.5</v>
      </c>
      <c r="F31" s="32" t="n">
        <f aca="false">IFERROR((COUNTIF('Year 1'!$S$6:$S$1005,"A")+COUNTIF('Year 1'!$S$6:$S$1005,"B")+COUNTIF('Year 2'!$S$6:$S$1005,"A")+COUNTIF('Year 2'!$S$6:$S$1005,"B")+COUNTIF('Year 3'!$S$6:$S$1005,"A")+COUNTIF('Year 3'!$S$6:$S$1005,"B")+COUNTIF('Year 4'!$S$6:$S$1005,"A")+COUNTIF('Year 4'!$S$6:$S$1005,"B")+COUNTIF('Year 5'!$S$6:$S$1005,"A")+COUNTIF('Year 5'!$S$6:$S$1005,"B")+COUNTIF('Year 6'!$S$6:$S$1005,"A")+COUNTIF('Year 6'!$S$6:$S$1005,"B")+COUNTIF('Year 7'!$S$6:$S$1005,"A")+COUNTIF('Year 7'!$S$6:$S$1005,"B")+COUNTIF('Year 8'!$S$6:$S$1005,"A")+COUNTIF('Year 8'!$S$6:$S$1005,"B")+COUNTIF('Year 9'!$S$6:$S$1005,"A")+COUNTIF('Year 9'!$S$6:$S$1005,"B")+COUNTIF('Year 10'!$S$6:$S$1005,"A")+COUNTIF('Year 10'!$S$6:$S$1005,"B"))/(COUNTA('Year 1'!$S$6:$S$1005)+COUNTA('Year 2'!$S$6:$S$1005)+COUNTA('Year 3'!$S$6:$S$1005)+COUNTA('Year 4'!$S$6:$S$1005)+COUNTA('Year 5'!$S$6:$S$1005)+COUNTA('Year 6'!$S$6:$S$1005)+COUNTA('Year 7'!$S$6:$S$1005)+COUNTA('Year 8'!$S$6:$S$1005)+COUNTA('Year 9'!$S$6:$S$1005)+COUNTA('Year 10'!$S$6:$S$1005)),"")</f>
        <v>0.2</v>
      </c>
      <c r="G31" s="32" t="n">
        <f aca="false">IFERROR((COUNTIF('Year 1'!$U$6:$U$1005,"A")+COUNTIF('Year 1'!$U$6:$U$1005,"B")+COUNTIF('Year 2'!$U$6:$U$1005,"A")+COUNTIF('Year 2'!$U$6:$U$1005,"B")+COUNTIF('Year 3'!$U$6:$U$1005,"A")+COUNTIF('Year 3'!$U$6:$U$1005,"B")+COUNTIF('Year 4'!$U$6:$U$1005,"A")+COUNTIF('Year 4'!$U$6:$U$1005,"B")+COUNTIF('Year 5'!$U$6:$U$1005,"A")+COUNTIF('Year 5'!$U$6:$U$1005,"B")+COUNTIF('Year 6'!$U$6:$U$1005,"A")+COUNTIF('Year 6'!$U$6:$U$1005,"B")+COUNTIF('Year 7'!$U$6:$U$1005,"A")+COUNTIF('Year 7'!$U$6:$U$1005,"B")+COUNTIF('Year 8'!$U$6:$U$1005,"A")+COUNTIF('Year 8'!$U$6:$U$1005,"B")+COUNTIF('Year 9'!$U$6:$U$1005,"A")+COUNTIF('Year 9'!$U$6:$U$1005,"B")+COUNTIF('Year 10'!$U$6:$U$1005,"A")+COUNTIF('Year 10'!$U$6:$U$1005,"B"))/(COUNTA('Year 1'!$U$6:$U$1005)+COUNTA('Year 2'!$U$6:$U$1005)+COUNTA('Year 3'!$U$6:$U$1005)+COUNTA('Year 4'!$U$6:$U$1005)+COUNTA('Year 5'!$U$6:$U$1005)+COUNTA('Year 6'!$U$6:$U$1005)+COUNTA('Year 7'!$U$6:$U$1005)+COUNTA('Year 8'!$U$6:$U$1005)+COUNTA('Year 9'!$U$6:$U$1005)+COUNTA('Year 10'!$U$6:$U$1005)),"")</f>
        <v>0.416666666666667</v>
      </c>
      <c r="H31" s="32" t="n">
        <f aca="false">IFERROR((COUNTIF('Year 1'!$V$6:$V$1005,"A")+COUNTIF('Year 1'!$V$6:$V$1005,"B")+COUNTIF('Year 2'!$V$6:$V$1005,"A")+COUNTIF('Year 2'!$V$6:$V$1005,"B")+COUNTIF('Year 3'!$V$6:$V$1005,"A")+COUNTIF('Year 3'!$V$6:$V$1005,"B")+COUNTIF('Year 4'!$V$6:$V$1005,"A")+COUNTIF('Year 4'!$V$6:$V$1005,"B")+COUNTIF('Year 5'!$V$6:$V$1005,"A")+COUNTIF('Year 5'!$V$6:$V$1005,"B")+COUNTIF('Year 6'!$V$6:$V$1005,"A")+COUNTIF('Year 6'!$V$6:$V$1005,"B")+COUNTIF('Year 7'!$V$6:$V$1005,"A")+COUNTIF('Year 7'!$V$6:$V$1005,"B")+COUNTIF('Year 8'!$V$6:$V$1005,"A")+COUNTIF('Year 8'!$V$6:$V$1005,"B")+COUNTIF('Year 9'!$V$6:$V$1005,"A")+COUNTIF('Year 9'!$V$6:$V$1005,"B")+COUNTIF('Year 10'!$V$6:$V$1005,"A")+COUNTIF('Year 10'!$V$6:$V$1005,"B"))/(COUNTA('Year 1'!$V$6:$V$1005)+COUNTA('Year 2'!$V$6:$V$1005)+COUNTA('Year 3'!$V$6:$V$1005)+COUNTA('Year 4'!$V$6:$V$1005)+COUNTA('Year 5'!$V$6:$V$1005)+COUNTA('Year 6'!$V$6:$V$1005)+COUNTA('Year 7'!$V$6:$V$1005)+COUNTA('Year 8'!$V$6:$V$1005)+COUNTA('Year 9'!$V$6:$V$1005)+COUNTA('Year 10'!$V$6:$V$1005)),"")</f>
        <v>0.483333333333333</v>
      </c>
    </row>
    <row r="32" customFormat="false" ht="15" hidden="false" customHeight="false" outlineLevel="0" collapsed="false">
      <c r="A32" s="1"/>
      <c r="B32" s="1"/>
      <c r="C32" s="1"/>
      <c r="D32" s="1"/>
      <c r="E32" s="1"/>
      <c r="F32" s="1"/>
      <c r="G32" s="1"/>
      <c r="H32" s="1"/>
    </row>
    <row r="33" customFormat="false" ht="15" hidden="false" customHeight="false" outlineLevel="0" collapsed="false">
      <c r="A33" s="1"/>
      <c r="B33" s="5" t="s">
        <v>275</v>
      </c>
      <c r="C33" s="1"/>
      <c r="D33" s="1"/>
      <c r="E33" s="1"/>
      <c r="F33" s="1"/>
      <c r="G33" s="1"/>
      <c r="H33" s="1"/>
    </row>
    <row r="34" customFormat="false" ht="24" hidden="false" customHeight="true" outlineLevel="0" collapsed="false">
      <c r="A34" s="1"/>
      <c r="B34" s="15" t="s">
        <v>203</v>
      </c>
      <c r="C34" s="26" t="s">
        <v>268</v>
      </c>
      <c r="D34" s="26" t="s">
        <v>276</v>
      </c>
      <c r="E34" s="26" t="s">
        <v>272</v>
      </c>
      <c r="F34" s="26" t="s">
        <v>277</v>
      </c>
      <c r="G34" s="26" t="s">
        <v>278</v>
      </c>
      <c r="H34" s="1"/>
    </row>
    <row r="35" customFormat="false" ht="15" hidden="false" customHeight="false" outlineLevel="0" collapsed="false">
      <c r="A35" s="1"/>
      <c r="B35" s="27" t="s">
        <v>207</v>
      </c>
      <c r="C35" s="31" t="n">
        <f aca="false">IFERROR(AVERAGE('Year 1'!$K$6:$K$1005)/'Year 1'!$K$3,"")</f>
        <v>0.38</v>
      </c>
      <c r="D35" s="37" t="s">
        <v>279</v>
      </c>
      <c r="E35" s="31" t="n">
        <f aca="false">IFERROR(AVERAGE('Year 1'!$T$6:$T$1005)/'Year 1'!$T$3,"")</f>
        <v>0.4</v>
      </c>
      <c r="F35" s="31" t="n">
        <f aca="false">IFERROR(AVERAGE('Year 1'!$W$6:$W$1005)/'Year 1'!$W$3,"")</f>
        <v>0.506666666666667</v>
      </c>
      <c r="G35" s="37" t="s">
        <v>279</v>
      </c>
      <c r="H35" s="1"/>
    </row>
    <row r="36" customFormat="false" ht="15" hidden="false" customHeight="false" outlineLevel="0" collapsed="false">
      <c r="A36" s="1"/>
      <c r="B36" s="27" t="s">
        <v>208</v>
      </c>
      <c r="C36" s="31" t="n">
        <f aca="false">IFERROR(AVERAGE('Year 2'!$K$6:$K$1005)/'Year 2'!$K$3,"")</f>
        <v>0.58</v>
      </c>
      <c r="D36" s="37" t="s">
        <v>279</v>
      </c>
      <c r="E36" s="31" t="n">
        <f aca="false">IFERROR(AVERAGE('Year 2'!$T$6:$T$1005)/'Year 2'!$T$3,"")</f>
        <v>0.5125</v>
      </c>
      <c r="F36" s="31" t="n">
        <f aca="false">IFERROR(AVERAGE('Year 2'!$W$6:$W$1005)/'Year 2'!$W$3,"")</f>
        <v>0.57</v>
      </c>
      <c r="G36" s="37" t="s">
        <v>279</v>
      </c>
      <c r="H36" s="1"/>
    </row>
    <row r="37" customFormat="false" ht="15" hidden="false" customHeight="false" outlineLevel="0" collapsed="false">
      <c r="A37" s="1"/>
      <c r="B37" s="27" t="s">
        <v>209</v>
      </c>
      <c r="C37" s="31" t="n">
        <f aca="false">IFERROR(AVERAGE('Year 3'!$K$6:$K$1005)/'Year 3'!$K$3,"")</f>
        <v>0.428571428571429</v>
      </c>
      <c r="D37" s="37" t="s">
        <v>279</v>
      </c>
      <c r="E37" s="31" t="n">
        <f aca="false">IFERROR(AVERAGE('Year 3'!$T$6:$T$1005)/'Year 3'!$T$3,"")</f>
        <v>0.517857142857143</v>
      </c>
      <c r="F37" s="31" t="n">
        <f aca="false">IFERROR(AVERAGE('Year 3'!$W$6:$W$1005)/'Year 3'!$W$3,"")</f>
        <v>0.571428571428571</v>
      </c>
      <c r="G37" s="37" t="s">
        <v>279</v>
      </c>
      <c r="H37" s="1"/>
    </row>
    <row r="38" customFormat="false" ht="15" hidden="false" customHeight="false" outlineLevel="0" collapsed="false">
      <c r="A38" s="1"/>
      <c r="B38" s="27" t="s">
        <v>210</v>
      </c>
      <c r="C38" s="31" t="n">
        <f aca="false">IFERROR(AVERAGE('Year 4'!$K$6:$K$1005)/'Year 4'!$K$3,"")</f>
        <v>0.4375</v>
      </c>
      <c r="D38" s="31" t="n">
        <f aca="false">IFERROR(AVERAGE('Year 4'!$O$6:$O$1005)/'Year 4'!$O$3,"")</f>
        <v>0.381944444444444</v>
      </c>
      <c r="E38" s="31" t="n">
        <f aca="false">IFERROR(AVERAGE('Year 4'!$T$6:$T$1005)/'Year 4'!$T$3,"")</f>
        <v>0.416666666666667</v>
      </c>
      <c r="F38" s="31" t="n">
        <f aca="false">IFERROR(AVERAGE('Year 4'!$W$6:$W$1005)/'Year 4'!$W$3,"")</f>
        <v>0.493333333333333</v>
      </c>
      <c r="G38" s="37" t="s">
        <v>279</v>
      </c>
      <c r="H38" s="1"/>
    </row>
    <row r="39" customFormat="false" ht="15" hidden="false" customHeight="false" outlineLevel="0" collapsed="false">
      <c r="A39" s="1"/>
      <c r="B39" s="27" t="s">
        <v>211</v>
      </c>
      <c r="C39" s="31" t="n">
        <f aca="false">IFERROR(AVERAGE('Year 5'!$K$6:$K$1005)/'Year 5'!$K$3,"")</f>
        <v>0.339285714285714</v>
      </c>
      <c r="D39" s="31" t="n">
        <f aca="false">IFERROR(AVERAGE('Year 5'!$O$6:$O$1005)/'Year 5'!$O$3,"")</f>
        <v>0.404761904761905</v>
      </c>
      <c r="E39" s="31" t="n">
        <f aca="false">IFERROR(AVERAGE('Year 5'!$T$6:$T$1005)/'Year 5'!$T$3,"")</f>
        <v>0.428571428571429</v>
      </c>
      <c r="F39" s="31" t="n">
        <f aca="false">IFERROR(AVERAGE('Year 5'!$W$6:$W$1005)/'Year 5'!$W$3,"")</f>
        <v>0.548571428571429</v>
      </c>
      <c r="G39" s="31" t="n">
        <f aca="false">IFERROR(AVERAGE('Year 5'!$AA$6:$AA$1005)/'Year 5'!$AA$3,"")</f>
        <v>0.471428571428571</v>
      </c>
      <c r="H39" s="1"/>
    </row>
    <row r="40" customFormat="false" ht="15" hidden="false" customHeight="false" outlineLevel="0" collapsed="false">
      <c r="A40" s="1"/>
      <c r="B40" s="27" t="s">
        <v>212</v>
      </c>
      <c r="C40" s="31" t="n">
        <f aca="false">IFERROR(AVERAGE('Year 6'!$K$6:$K$1005)/'Year 6'!$K$3,"")</f>
        <v>0.446428571428571</v>
      </c>
      <c r="D40" s="31" t="n">
        <f aca="false">IFERROR(AVERAGE('Year 6'!$O$6:$O$1005)/'Year 6'!$O$3,"")</f>
        <v>0.452380952380952</v>
      </c>
      <c r="E40" s="31" t="n">
        <f aca="false">IFERROR(AVERAGE('Year 6'!$T$6:$T$1005)/'Year 6'!$T$3,"")</f>
        <v>0.482142857142857</v>
      </c>
      <c r="F40" s="31" t="n">
        <f aca="false">IFERROR(AVERAGE('Year 6'!$W$6:$W$1005)/'Year 6'!$W$3,"")</f>
        <v>0.468571428571429</v>
      </c>
      <c r="G40" s="31" t="n">
        <f aca="false">IFERROR(AVERAGE('Year 6'!$AA$6:$AA$1005)/'Year 6'!$AA$3,"")</f>
        <v>0.514285714285714</v>
      </c>
      <c r="H40" s="1"/>
    </row>
    <row r="41" customFormat="false" ht="15" hidden="false" customHeight="false" outlineLevel="0" collapsed="false">
      <c r="A41" s="1"/>
      <c r="B41" s="27" t="s">
        <v>213</v>
      </c>
      <c r="C41" s="31" t="n">
        <f aca="false">IFERROR(AVERAGE('Year 7'!$K$6:$K$1005)/'Year 7'!$K$3,"")</f>
        <v>0.427083333333333</v>
      </c>
      <c r="D41" s="31" t="n">
        <f aca="false">IFERROR(AVERAGE('Year 7'!$O$6:$O$1005)/'Year 7'!$O$3,"")</f>
        <v>0.427083333333333</v>
      </c>
      <c r="E41" s="31" t="n">
        <f aca="false">IFERROR(AVERAGE('Year 7'!$T$6:$T$1005)/'Year 7'!$T$3,"")</f>
        <v>0.46875</v>
      </c>
      <c r="F41" s="31" t="n">
        <f aca="false">IFERROR(AVERAGE('Year 7'!$W$6:$W$1005)/'Year 7'!$W$3,"")</f>
        <v>0.522222222222222</v>
      </c>
      <c r="G41" s="31" t="n">
        <f aca="false">IFERROR(AVERAGE('Year 7'!$AA$6:$AA$1005)/'Year 7'!$AA$3,"")</f>
        <v>0.483333333333333</v>
      </c>
      <c r="H41" s="1"/>
    </row>
    <row r="42" customFormat="false" ht="15" hidden="false" customHeight="false" outlineLevel="0" collapsed="false">
      <c r="A42" s="1"/>
      <c r="B42" s="27" t="s">
        <v>214</v>
      </c>
      <c r="C42" s="31" t="n">
        <f aca="false">IFERROR(AVERAGE('Year 8'!$K$6:$K$1005)/'Year 8'!$K$3,"")</f>
        <v>0.427083333333333</v>
      </c>
      <c r="D42" s="31" t="n">
        <f aca="false">IFERROR(AVERAGE('Year 8'!$O$6:$O$1005)/'Year 8'!$O$3,"")</f>
        <v>0.40625</v>
      </c>
      <c r="E42" s="31" t="n">
        <f aca="false">IFERROR(AVERAGE('Year 8'!$T$6:$T$1005)/'Year 8'!$T$3,"")</f>
        <v>0.489583333333333</v>
      </c>
      <c r="F42" s="31" t="n">
        <f aca="false">IFERROR(AVERAGE('Year 8'!$W$6:$W$1005)/'Year 8'!$W$3,"")</f>
        <v>0.516666666666667</v>
      </c>
      <c r="G42" s="31" t="n">
        <f aca="false">IFERROR(AVERAGE('Year 8'!$AA$6:$AA$1005)/'Year 8'!$AA$3,"")</f>
        <v>0.466666666666667</v>
      </c>
      <c r="H42" s="1"/>
    </row>
    <row r="43" customFormat="false" ht="15" hidden="false" customHeight="false" outlineLevel="0" collapsed="false">
      <c r="A43" s="1"/>
      <c r="B43" s="27" t="s">
        <v>215</v>
      </c>
      <c r="C43" s="31" t="n">
        <f aca="false">IFERROR(AVERAGE('Year 9'!$K$6:$K$1005)/'Year 9'!$K$3,"")</f>
        <v>0.604166666666667</v>
      </c>
      <c r="D43" s="31" t="n">
        <f aca="false">IFERROR(AVERAGE('Year 9'!$O$6:$O$1005)/'Year 9'!$O$3,"")</f>
        <v>0.552083333333333</v>
      </c>
      <c r="E43" s="31" t="n">
        <f aca="false">IFERROR(AVERAGE('Year 9'!$T$6:$T$1005)/'Year 9'!$T$3,"")</f>
        <v>0.552083333333333</v>
      </c>
      <c r="F43" s="31" t="n">
        <f aca="false">IFERROR(AVERAGE('Year 9'!$W$6:$W$1005)/'Year 9'!$W$3,"")</f>
        <v>0.627777777777778</v>
      </c>
      <c r="G43" s="31" t="n">
        <f aca="false">IFERROR(AVERAGE('Year 9'!$AA$6:$AA$1005)/'Year 9'!$AA$3,"")</f>
        <v>0.583333333333333</v>
      </c>
      <c r="H43" s="1"/>
    </row>
    <row r="44" customFormat="false" ht="15" hidden="false" customHeight="false" outlineLevel="0" collapsed="false">
      <c r="A44" s="1"/>
      <c r="B44" s="27" t="s">
        <v>216</v>
      </c>
      <c r="C44" s="31" t="n">
        <f aca="false">IFERROR(AVERAGE('Year 10'!$K$6:$K$1005)/'Year 10'!$K$3,"")</f>
        <v>0.5125</v>
      </c>
      <c r="D44" s="31" t="n">
        <f aca="false">IFERROR(AVERAGE('Year 10'!$O$6:$O$1005)/'Year 10'!$O$3,"")</f>
        <v>0.5125</v>
      </c>
      <c r="E44" s="31" t="n">
        <f aca="false">IFERROR(AVERAGE('Year 10'!$T$6:$T$1005)/'Year 10'!$T$3,"")</f>
        <v>0.5625</v>
      </c>
      <c r="F44" s="31" t="n">
        <f aca="false">IFERROR(AVERAGE('Year 10'!$W$6:$W$1005)/'Year 10'!$W$3,"")</f>
        <v>0.54</v>
      </c>
      <c r="G44" s="31" t="n">
        <f aca="false">IFERROR(AVERAGE('Year 10'!$AA$6:$AA$1005)/'Year 10'!$AA$3,"")</f>
        <v>0.44</v>
      </c>
      <c r="H44" s="1"/>
    </row>
    <row r="45" customFormat="false" ht="15" hidden="false" customHeight="false" outlineLevel="0" collapsed="false">
      <c r="A45" s="1"/>
      <c r="B45" s="1"/>
      <c r="C45" s="1"/>
      <c r="D45" s="1"/>
      <c r="E45" s="1"/>
      <c r="F45" s="1"/>
      <c r="G45" s="1"/>
      <c r="H45" s="1"/>
    </row>
    <row r="46" customFormat="false" ht="15" hidden="false" customHeight="false" outlineLevel="0" collapsed="false">
      <c r="A46" s="1"/>
      <c r="B46" s="1"/>
      <c r="C46" s="1"/>
      <c r="D46" s="1"/>
      <c r="E46" s="1"/>
      <c r="F46" s="1"/>
      <c r="G46" s="1"/>
      <c r="H46" s="1"/>
    </row>
    <row r="47" customFormat="false" ht="15" hidden="false" customHeight="false" outlineLevel="0" collapsed="false">
      <c r="A47" s="1"/>
      <c r="B47" s="5" t="s">
        <v>280</v>
      </c>
      <c r="C47" s="1"/>
      <c r="D47" s="1"/>
      <c r="E47" s="1"/>
      <c r="F47" s="1"/>
      <c r="G47" s="1"/>
      <c r="H47" s="1"/>
    </row>
    <row r="48" customFormat="false" ht="19.5" hidden="false" customHeight="true" outlineLevel="0" collapsed="false">
      <c r="A48" s="1"/>
      <c r="B48" s="15" t="s">
        <v>203</v>
      </c>
      <c r="C48" s="26" t="s">
        <v>220</v>
      </c>
      <c r="D48" s="26" t="s">
        <v>221</v>
      </c>
      <c r="E48" s="26" t="s">
        <v>92</v>
      </c>
      <c r="F48" s="26" t="s">
        <v>118</v>
      </c>
      <c r="G48" s="26" t="s">
        <v>222</v>
      </c>
      <c r="H48" s="26" t="s">
        <v>223</v>
      </c>
    </row>
    <row r="49" customFormat="false" ht="15" hidden="false" customHeight="false" outlineLevel="0" collapsed="false">
      <c r="A49" s="1"/>
      <c r="B49" s="27" t="s">
        <v>207</v>
      </c>
      <c r="C49" s="28" t="n">
        <f aca="false">COUNTIF('Year 1'!$L$6:$L$1005,C$48)</f>
        <v>1</v>
      </c>
      <c r="D49" s="28" t="n">
        <f aca="false">COUNTIF('Year 1'!$L$6:$L$1005,D$48)</f>
        <v>2</v>
      </c>
      <c r="E49" s="28" t="n">
        <f aca="false">COUNTIF('Year 1'!$L$6:$L$1005,E$48)</f>
        <v>2</v>
      </c>
      <c r="F49" s="28" t="n">
        <f aca="false">COUNTIF('Year 1'!$L$6:$L$1005,F$48)</f>
        <v>0</v>
      </c>
      <c r="G49" s="28" t="n">
        <f aca="false">COUNTIF('Year 1'!$L$6:$L$1005,G$48)</f>
        <v>0</v>
      </c>
      <c r="H49" s="28" t="n">
        <f aca="false">SUM(C49:G49)</f>
        <v>5</v>
      </c>
    </row>
    <row r="50" customFormat="false" ht="15" hidden="false" customHeight="false" outlineLevel="0" collapsed="false">
      <c r="A50" s="1"/>
      <c r="B50" s="27" t="s">
        <v>208</v>
      </c>
      <c r="C50" s="28" t="n">
        <f aca="false">COUNTIF('Year 2'!$L$6:$L$1005,C$48)</f>
        <v>0</v>
      </c>
      <c r="D50" s="28" t="n">
        <f aca="false">COUNTIF('Year 2'!$L$6:$L$1005,D$48)</f>
        <v>1</v>
      </c>
      <c r="E50" s="28" t="n">
        <f aca="false">COUNTIF('Year 2'!$L$6:$L$1005,E$48)</f>
        <v>1</v>
      </c>
      <c r="F50" s="28" t="n">
        <f aca="false">COUNTIF('Year 2'!$L$6:$L$1005,F$48)</f>
        <v>3</v>
      </c>
      <c r="G50" s="28" t="n">
        <f aca="false">COUNTIF('Year 2'!$L$6:$L$1005,G$48)</f>
        <v>0</v>
      </c>
      <c r="H50" s="28" t="n">
        <f aca="false">SUM(C50:G50)</f>
        <v>5</v>
      </c>
    </row>
    <row r="51" customFormat="false" ht="15" hidden="false" customHeight="false" outlineLevel="0" collapsed="false">
      <c r="A51" s="1"/>
      <c r="B51" s="27" t="s">
        <v>209</v>
      </c>
      <c r="C51" s="28" t="n">
        <f aca="false">COUNTIF('Year 3'!$L$6:$L$1005,C$48)</f>
        <v>2</v>
      </c>
      <c r="D51" s="28" t="n">
        <f aca="false">COUNTIF('Year 3'!$L$6:$L$1005,D$48)</f>
        <v>3</v>
      </c>
      <c r="E51" s="28" t="n">
        <f aca="false">COUNTIF('Year 3'!$L$6:$L$1005,E$48)</f>
        <v>0</v>
      </c>
      <c r="F51" s="28" t="n">
        <f aca="false">COUNTIF('Year 3'!$L$6:$L$1005,F$48)</f>
        <v>2</v>
      </c>
      <c r="G51" s="28" t="n">
        <f aca="false">COUNTIF('Year 3'!$L$6:$L$1005,G$48)</f>
        <v>0</v>
      </c>
      <c r="H51" s="28" t="n">
        <f aca="false">SUM(C51:G51)</f>
        <v>7</v>
      </c>
    </row>
    <row r="52" customFormat="false" ht="15" hidden="false" customHeight="false" outlineLevel="0" collapsed="false">
      <c r="A52" s="1"/>
      <c r="B52" s="27" t="s">
        <v>210</v>
      </c>
      <c r="C52" s="28" t="n">
        <f aca="false">COUNTIF('Year 4'!$L$6:$L$1005,C$48)</f>
        <v>0</v>
      </c>
      <c r="D52" s="28" t="n">
        <f aca="false">COUNTIF('Year 4'!$L$6:$L$1005,D$48)</f>
        <v>3</v>
      </c>
      <c r="E52" s="28" t="n">
        <f aca="false">COUNTIF('Year 4'!$L$6:$L$1005,E$48)</f>
        <v>2</v>
      </c>
      <c r="F52" s="28" t="n">
        <f aca="false">COUNTIF('Year 4'!$L$6:$L$1005,F$48)</f>
        <v>1</v>
      </c>
      <c r="G52" s="28" t="n">
        <f aca="false">COUNTIF('Year 4'!$L$6:$L$1005,G$48)</f>
        <v>0</v>
      </c>
      <c r="H52" s="28" t="n">
        <f aca="false">SUM(C52:G52)</f>
        <v>6</v>
      </c>
    </row>
    <row r="53" customFormat="false" ht="15" hidden="false" customHeight="false" outlineLevel="0" collapsed="false">
      <c r="A53" s="1"/>
      <c r="B53" s="27" t="s">
        <v>211</v>
      </c>
      <c r="C53" s="28" t="n">
        <f aca="false">COUNTIF('Year 5'!$L$6:$L$1005,C$48)</f>
        <v>1</v>
      </c>
      <c r="D53" s="28" t="n">
        <f aca="false">COUNTIF('Year 5'!$L$6:$L$1005,D$48)</f>
        <v>5</v>
      </c>
      <c r="E53" s="28" t="n">
        <f aca="false">COUNTIF('Year 5'!$L$6:$L$1005,E$48)</f>
        <v>1</v>
      </c>
      <c r="F53" s="28" t="n">
        <f aca="false">COUNTIF('Year 5'!$L$6:$L$1005,F$48)</f>
        <v>0</v>
      </c>
      <c r="G53" s="28" t="n">
        <f aca="false">COUNTIF('Year 5'!$L$6:$L$1005,G$48)</f>
        <v>0</v>
      </c>
      <c r="H53" s="28" t="n">
        <f aca="false">SUM(C53:G53)</f>
        <v>7</v>
      </c>
    </row>
    <row r="54" customFormat="false" ht="15" hidden="false" customHeight="false" outlineLevel="0" collapsed="false">
      <c r="A54" s="1"/>
      <c r="B54" s="27" t="s">
        <v>212</v>
      </c>
      <c r="C54" s="28" t="n">
        <f aca="false">COUNTIF('Year 6'!$L$6:$L$1005,C$48)</f>
        <v>0</v>
      </c>
      <c r="D54" s="28" t="n">
        <f aca="false">COUNTIF('Year 6'!$L$6:$L$1005,D$48)</f>
        <v>4</v>
      </c>
      <c r="E54" s="28" t="n">
        <f aca="false">COUNTIF('Year 6'!$L$6:$L$1005,E$48)</f>
        <v>2</v>
      </c>
      <c r="F54" s="28" t="n">
        <f aca="false">COUNTIF('Year 6'!$L$6:$L$1005,F$48)</f>
        <v>1</v>
      </c>
      <c r="G54" s="28" t="n">
        <f aca="false">COUNTIF('Year 6'!$L$6:$L$1005,G$48)</f>
        <v>0</v>
      </c>
      <c r="H54" s="28" t="n">
        <f aca="false">SUM(C54:G54)</f>
        <v>7</v>
      </c>
    </row>
    <row r="55" customFormat="false" ht="15" hidden="false" customHeight="false" outlineLevel="0" collapsed="false">
      <c r="A55" s="1"/>
      <c r="B55" s="27" t="s">
        <v>213</v>
      </c>
      <c r="C55" s="28" t="n">
        <f aca="false">COUNTIF('Year 7'!$L$6:$L$1005,C$48)</f>
        <v>1</v>
      </c>
      <c r="D55" s="28" t="n">
        <f aca="false">COUNTIF('Year 7'!$L$6:$L$1005,D$48)</f>
        <v>1</v>
      </c>
      <c r="E55" s="28" t="n">
        <f aca="false">COUNTIF('Year 7'!$L$6:$L$1005,E$48)</f>
        <v>3</v>
      </c>
      <c r="F55" s="28" t="n">
        <f aca="false">COUNTIF('Year 7'!$L$6:$L$1005,F$48)</f>
        <v>1</v>
      </c>
      <c r="G55" s="28" t="n">
        <f aca="false">COUNTIF('Year 7'!$L$6:$L$1005,G$48)</f>
        <v>0</v>
      </c>
      <c r="H55" s="28" t="n">
        <f aca="false">SUM(C55:G55)</f>
        <v>6</v>
      </c>
    </row>
    <row r="56" customFormat="false" ht="15" hidden="false" customHeight="false" outlineLevel="0" collapsed="false">
      <c r="A56" s="1"/>
      <c r="B56" s="27" t="s">
        <v>214</v>
      </c>
      <c r="C56" s="28" t="n">
        <f aca="false">COUNTIF('Year 8'!$L$6:$L$1005,C$48)</f>
        <v>0</v>
      </c>
      <c r="D56" s="28" t="n">
        <f aca="false">COUNTIF('Year 8'!$L$6:$L$1005,D$48)</f>
        <v>3</v>
      </c>
      <c r="E56" s="28" t="n">
        <f aca="false">COUNTIF('Year 8'!$L$6:$L$1005,E$48)</f>
        <v>3</v>
      </c>
      <c r="F56" s="28" t="n">
        <f aca="false">COUNTIF('Year 8'!$L$6:$L$1005,F$48)</f>
        <v>0</v>
      </c>
      <c r="G56" s="28" t="n">
        <f aca="false">COUNTIF('Year 8'!$L$6:$L$1005,G$48)</f>
        <v>0</v>
      </c>
      <c r="H56" s="28" t="n">
        <f aca="false">SUM(C56:G56)</f>
        <v>6</v>
      </c>
    </row>
    <row r="57" customFormat="false" ht="15" hidden="false" customHeight="false" outlineLevel="0" collapsed="false">
      <c r="A57" s="1"/>
      <c r="B57" s="27" t="s">
        <v>215</v>
      </c>
      <c r="C57" s="28" t="n">
        <f aca="false">COUNTIF('Year 9'!$L$6:$L$1005,C$48)</f>
        <v>0</v>
      </c>
      <c r="D57" s="28" t="n">
        <f aca="false">COUNTIF('Year 9'!$L$6:$L$1005,D$48)</f>
        <v>2</v>
      </c>
      <c r="E57" s="28" t="n">
        <f aca="false">COUNTIF('Year 9'!$L$6:$L$1005,E$48)</f>
        <v>2</v>
      </c>
      <c r="F57" s="28" t="n">
        <f aca="false">COUNTIF('Year 9'!$L$6:$L$1005,F$48)</f>
        <v>1</v>
      </c>
      <c r="G57" s="28" t="n">
        <f aca="false">COUNTIF('Year 9'!$L$6:$L$1005,G$48)</f>
        <v>1</v>
      </c>
      <c r="H57" s="28" t="n">
        <f aca="false">SUM(C57:G57)</f>
        <v>6</v>
      </c>
    </row>
    <row r="58" customFormat="false" ht="15" hidden="false" customHeight="false" outlineLevel="0" collapsed="false">
      <c r="A58" s="1"/>
      <c r="B58" s="27" t="s">
        <v>216</v>
      </c>
      <c r="C58" s="28" t="n">
        <f aca="false">COUNTIF('Year 10'!$L$6:$L$1005,C$48)</f>
        <v>1</v>
      </c>
      <c r="D58" s="28" t="n">
        <f aca="false">COUNTIF('Year 10'!$L$6:$L$1005,D$48)</f>
        <v>1</v>
      </c>
      <c r="E58" s="28" t="n">
        <f aca="false">COUNTIF('Year 10'!$L$6:$L$1005,E$48)</f>
        <v>2</v>
      </c>
      <c r="F58" s="28" t="n">
        <f aca="false">COUNTIF('Year 10'!$L$6:$L$1005,F$48)</f>
        <v>1</v>
      </c>
      <c r="G58" s="28" t="n">
        <f aca="false">COUNTIF('Year 10'!$L$6:$L$1005,G$48)</f>
        <v>0</v>
      </c>
      <c r="H58" s="28" t="n">
        <f aca="false">SUM(C58:G58)</f>
        <v>5</v>
      </c>
    </row>
    <row r="59" customFormat="false" ht="15" hidden="false" customHeight="false" outlineLevel="0" collapsed="false">
      <c r="A59" s="1"/>
      <c r="B59" s="29" t="s">
        <v>217</v>
      </c>
      <c r="C59" s="30" t="n">
        <f aca="false">SUM(C49:C58)</f>
        <v>6</v>
      </c>
      <c r="D59" s="30" t="n">
        <f aca="false">SUM(D49:D58)</f>
        <v>25</v>
      </c>
      <c r="E59" s="30" t="n">
        <f aca="false">SUM(E49:E58)</f>
        <v>18</v>
      </c>
      <c r="F59" s="30" t="n">
        <f aca="false">SUM(F49:F58)</f>
        <v>10</v>
      </c>
      <c r="G59" s="30" t="n">
        <f aca="false">SUM(G49:G58)</f>
        <v>1</v>
      </c>
      <c r="H59" s="30" t="n">
        <f aca="false">SUM(H49:H58)</f>
        <v>60</v>
      </c>
    </row>
    <row r="60" customFormat="false" ht="15" hidden="false" customHeight="false" outlineLevel="0" collapsed="false">
      <c r="A60" s="1"/>
      <c r="B60" s="1"/>
      <c r="C60" s="1"/>
      <c r="D60" s="1"/>
      <c r="E60" s="1"/>
      <c r="F60" s="1"/>
      <c r="G60" s="1"/>
      <c r="H60" s="1"/>
    </row>
    <row r="61" customFormat="false" ht="15" hidden="false" customHeight="false" outlineLevel="0" collapsed="false">
      <c r="A61" s="1"/>
      <c r="B61" s="1"/>
      <c r="C61" s="1"/>
      <c r="D61" s="1"/>
      <c r="E61" s="1"/>
      <c r="F61" s="1"/>
      <c r="G61" s="1"/>
      <c r="H61" s="1"/>
    </row>
    <row r="62" customFormat="false" ht="15" hidden="false" customHeight="false" outlineLevel="0" collapsed="false">
      <c r="A62" s="1"/>
      <c r="B62" s="5" t="s">
        <v>281</v>
      </c>
      <c r="C62" s="1"/>
      <c r="D62" s="1"/>
      <c r="E62" s="1"/>
      <c r="F62" s="1"/>
      <c r="G62" s="1"/>
      <c r="H62" s="1"/>
    </row>
    <row r="63" customFormat="false" ht="19.5" hidden="false" customHeight="true" outlineLevel="0" collapsed="false">
      <c r="A63" s="1"/>
      <c r="B63" s="15" t="s">
        <v>203</v>
      </c>
      <c r="C63" s="26" t="s">
        <v>220</v>
      </c>
      <c r="D63" s="26" t="s">
        <v>221</v>
      </c>
      <c r="E63" s="26" t="s">
        <v>92</v>
      </c>
      <c r="F63" s="26" t="s">
        <v>118</v>
      </c>
      <c r="G63" s="26" t="s">
        <v>222</v>
      </c>
      <c r="H63" s="26" t="s">
        <v>223</v>
      </c>
    </row>
    <row r="64" customFormat="false" ht="15" hidden="false" customHeight="false" outlineLevel="0" collapsed="false">
      <c r="A64" s="1"/>
      <c r="B64" s="27" t="s">
        <v>207</v>
      </c>
      <c r="C64" s="28" t="n">
        <f aca="false">COUNTIF('Year 1'!$M$6:$M$1005,C$63)</f>
        <v>1</v>
      </c>
      <c r="D64" s="28" t="n">
        <f aca="false">COUNTIF('Year 1'!$M$6:$M$1005,D$63)</f>
        <v>1</v>
      </c>
      <c r="E64" s="28" t="n">
        <f aca="false">COUNTIF('Year 1'!$M$6:$M$1005,E$63)</f>
        <v>2</v>
      </c>
      <c r="F64" s="28" t="n">
        <f aca="false">COUNTIF('Year 1'!$M$6:$M$1005,F$63)</f>
        <v>1</v>
      </c>
      <c r="G64" s="28" t="n">
        <f aca="false">COUNTIF('Year 1'!$M$6:$M$1005,G$63)</f>
        <v>0</v>
      </c>
      <c r="H64" s="28" t="n">
        <f aca="false">SUM(C64:G64)</f>
        <v>5</v>
      </c>
    </row>
    <row r="65" customFormat="false" ht="15" hidden="false" customHeight="false" outlineLevel="0" collapsed="false">
      <c r="A65" s="1"/>
      <c r="B65" s="27" t="s">
        <v>208</v>
      </c>
      <c r="C65" s="28" t="n">
        <f aca="false">COUNTIF('Year 2'!$M$6:$M$1005,C$63)</f>
        <v>1</v>
      </c>
      <c r="D65" s="28" t="n">
        <f aca="false">COUNTIF('Year 2'!$M$6:$M$1005,D$63)</f>
        <v>0</v>
      </c>
      <c r="E65" s="28" t="n">
        <f aca="false">COUNTIF('Year 2'!$M$6:$M$1005,E$63)</f>
        <v>2</v>
      </c>
      <c r="F65" s="28" t="n">
        <f aca="false">COUNTIF('Year 2'!$M$6:$M$1005,F$63)</f>
        <v>2</v>
      </c>
      <c r="G65" s="28" t="n">
        <f aca="false">COUNTIF('Year 2'!$M$6:$M$1005,G$63)</f>
        <v>0</v>
      </c>
      <c r="H65" s="28" t="n">
        <f aca="false">SUM(C65:G65)</f>
        <v>5</v>
      </c>
    </row>
    <row r="66" customFormat="false" ht="15" hidden="false" customHeight="false" outlineLevel="0" collapsed="false">
      <c r="A66" s="1"/>
      <c r="B66" s="27" t="s">
        <v>209</v>
      </c>
      <c r="C66" s="28" t="n">
        <f aca="false">COUNTIF('Year 3'!$M$6:$M$1005,C$63)</f>
        <v>2</v>
      </c>
      <c r="D66" s="28" t="n">
        <f aca="false">COUNTIF('Year 3'!$M$6:$M$1005,D$63)</f>
        <v>1</v>
      </c>
      <c r="E66" s="28" t="n">
        <f aca="false">COUNTIF('Year 3'!$M$6:$M$1005,E$63)</f>
        <v>3</v>
      </c>
      <c r="F66" s="28" t="n">
        <f aca="false">COUNTIF('Year 3'!$M$6:$M$1005,F$63)</f>
        <v>1</v>
      </c>
      <c r="G66" s="28" t="n">
        <f aca="false">COUNTIF('Year 3'!$M$6:$M$1005,G$63)</f>
        <v>0</v>
      </c>
      <c r="H66" s="28" t="n">
        <f aca="false">SUM(C66:G66)</f>
        <v>7</v>
      </c>
    </row>
    <row r="67" customFormat="false" ht="15" hidden="false" customHeight="false" outlineLevel="0" collapsed="false">
      <c r="A67" s="1"/>
      <c r="B67" s="27" t="s">
        <v>210</v>
      </c>
      <c r="C67" s="28" t="n">
        <f aca="false">COUNTIF('Year 4'!$M$6:$M$1005,C$63)</f>
        <v>0</v>
      </c>
      <c r="D67" s="28" t="n">
        <f aca="false">COUNTIF('Year 4'!$M$6:$M$1005,D$63)</f>
        <v>5</v>
      </c>
      <c r="E67" s="28" t="n">
        <f aca="false">COUNTIF('Year 4'!$M$6:$M$1005,E$63)</f>
        <v>0</v>
      </c>
      <c r="F67" s="28" t="n">
        <f aca="false">COUNTIF('Year 4'!$M$6:$M$1005,F$63)</f>
        <v>1</v>
      </c>
      <c r="G67" s="28" t="n">
        <f aca="false">COUNTIF('Year 4'!$M$6:$M$1005,G$63)</f>
        <v>0</v>
      </c>
      <c r="H67" s="28" t="n">
        <f aca="false">SUM(C67:G67)</f>
        <v>6</v>
      </c>
    </row>
    <row r="68" customFormat="false" ht="15" hidden="false" customHeight="false" outlineLevel="0" collapsed="false">
      <c r="A68" s="1"/>
      <c r="B68" s="27" t="s">
        <v>211</v>
      </c>
      <c r="C68" s="28" t="n">
        <f aca="false">COUNTIF('Year 5'!$M$6:$M$1005,C$63)</f>
        <v>1</v>
      </c>
      <c r="D68" s="28" t="n">
        <f aca="false">COUNTIF('Year 5'!$M$6:$M$1005,D$63)</f>
        <v>3</v>
      </c>
      <c r="E68" s="28" t="n">
        <f aca="false">COUNTIF('Year 5'!$M$6:$M$1005,E$63)</f>
        <v>2</v>
      </c>
      <c r="F68" s="28" t="n">
        <f aca="false">COUNTIF('Year 5'!$M$6:$M$1005,F$63)</f>
        <v>0</v>
      </c>
      <c r="G68" s="28" t="n">
        <f aca="false">COUNTIF('Year 5'!$M$6:$M$1005,G$63)</f>
        <v>0</v>
      </c>
      <c r="H68" s="28" t="n">
        <f aca="false">SUM(C68:G68)</f>
        <v>6</v>
      </c>
    </row>
    <row r="69" customFormat="false" ht="15" hidden="false" customHeight="false" outlineLevel="0" collapsed="false">
      <c r="A69" s="1"/>
      <c r="B69" s="27" t="s">
        <v>212</v>
      </c>
      <c r="C69" s="28" t="n">
        <f aca="false">COUNTIF('Year 6'!$M$6:$M$1005,C$63)</f>
        <v>1</v>
      </c>
      <c r="D69" s="28" t="n">
        <f aca="false">COUNTIF('Year 6'!$M$6:$M$1005,D$63)</f>
        <v>2</v>
      </c>
      <c r="E69" s="28" t="n">
        <f aca="false">COUNTIF('Year 6'!$M$6:$M$1005,E$63)</f>
        <v>3</v>
      </c>
      <c r="F69" s="28" t="n">
        <f aca="false">COUNTIF('Year 6'!$M$6:$M$1005,F$63)</f>
        <v>1</v>
      </c>
      <c r="G69" s="28" t="n">
        <f aca="false">COUNTIF('Year 6'!$M$6:$M$1005,G$63)</f>
        <v>0</v>
      </c>
      <c r="H69" s="28" t="n">
        <f aca="false">SUM(C69:G69)</f>
        <v>7</v>
      </c>
    </row>
    <row r="70" customFormat="false" ht="15" hidden="false" customHeight="false" outlineLevel="0" collapsed="false">
      <c r="A70" s="1"/>
      <c r="B70" s="27" t="s">
        <v>213</v>
      </c>
      <c r="C70" s="28" t="n">
        <f aca="false">COUNTIF('Year 7'!$M$6:$M$1005,C$63)</f>
        <v>1</v>
      </c>
      <c r="D70" s="28" t="n">
        <f aca="false">COUNTIF('Year 7'!$M$6:$M$1005,D$63)</f>
        <v>2</v>
      </c>
      <c r="E70" s="28" t="n">
        <f aca="false">COUNTIF('Year 7'!$M$6:$M$1005,E$63)</f>
        <v>3</v>
      </c>
      <c r="F70" s="28" t="n">
        <f aca="false">COUNTIF('Year 7'!$M$6:$M$1005,F$63)</f>
        <v>0</v>
      </c>
      <c r="G70" s="28" t="n">
        <f aca="false">COUNTIF('Year 7'!$M$6:$M$1005,G$63)</f>
        <v>0</v>
      </c>
      <c r="H70" s="28" t="n">
        <f aca="false">SUM(C70:G70)</f>
        <v>6</v>
      </c>
    </row>
    <row r="71" customFormat="false" ht="15" hidden="false" customHeight="false" outlineLevel="0" collapsed="false">
      <c r="A71" s="1"/>
      <c r="B71" s="27" t="s">
        <v>214</v>
      </c>
      <c r="C71" s="28" t="n">
        <f aca="false">COUNTIF('Year 8'!$M$6:$M$1005,C$63)</f>
        <v>1</v>
      </c>
      <c r="D71" s="28" t="n">
        <f aca="false">COUNTIF('Year 8'!$M$6:$M$1005,D$63)</f>
        <v>2</v>
      </c>
      <c r="E71" s="28" t="n">
        <f aca="false">COUNTIF('Year 8'!$M$6:$M$1005,E$63)</f>
        <v>3</v>
      </c>
      <c r="F71" s="28" t="n">
        <f aca="false">COUNTIF('Year 8'!$M$6:$M$1005,F$63)</f>
        <v>0</v>
      </c>
      <c r="G71" s="28" t="n">
        <f aca="false">COUNTIF('Year 8'!$M$6:$M$1005,G$63)</f>
        <v>0</v>
      </c>
      <c r="H71" s="28" t="n">
        <f aca="false">SUM(C71:G71)</f>
        <v>6</v>
      </c>
    </row>
    <row r="72" customFormat="false" ht="15" hidden="false" customHeight="false" outlineLevel="0" collapsed="false">
      <c r="A72" s="1"/>
      <c r="B72" s="27" t="s">
        <v>215</v>
      </c>
      <c r="C72" s="28" t="n">
        <f aca="false">COUNTIF('Year 9'!$M$6:$M$1005,C$63)</f>
        <v>0</v>
      </c>
      <c r="D72" s="28" t="n">
        <f aca="false">COUNTIF('Year 9'!$M$6:$M$1005,D$63)</f>
        <v>1</v>
      </c>
      <c r="E72" s="28" t="n">
        <f aca="false">COUNTIF('Year 9'!$M$6:$M$1005,E$63)</f>
        <v>3</v>
      </c>
      <c r="F72" s="28" t="n">
        <f aca="false">COUNTIF('Year 9'!$M$6:$M$1005,F$63)</f>
        <v>0</v>
      </c>
      <c r="G72" s="28" t="n">
        <f aca="false">COUNTIF('Year 9'!$M$6:$M$1005,G$63)</f>
        <v>2</v>
      </c>
      <c r="H72" s="28" t="n">
        <f aca="false">SUM(C72:G72)</f>
        <v>6</v>
      </c>
    </row>
    <row r="73" customFormat="false" ht="15" hidden="false" customHeight="false" outlineLevel="0" collapsed="false">
      <c r="A73" s="1"/>
      <c r="B73" s="27" t="s">
        <v>216</v>
      </c>
      <c r="C73" s="28" t="n">
        <f aca="false">COUNTIF('Year 10'!$M$6:$M$1005,C$63)</f>
        <v>1</v>
      </c>
      <c r="D73" s="28" t="n">
        <f aca="false">COUNTIF('Year 10'!$M$6:$M$1005,D$63)</f>
        <v>1</v>
      </c>
      <c r="E73" s="28" t="n">
        <f aca="false">COUNTIF('Year 10'!$M$6:$M$1005,E$63)</f>
        <v>3</v>
      </c>
      <c r="F73" s="28" t="n">
        <f aca="false">COUNTIF('Year 10'!$M$6:$M$1005,F$63)</f>
        <v>0</v>
      </c>
      <c r="G73" s="28" t="n">
        <f aca="false">COUNTIF('Year 10'!$M$6:$M$1005,G$63)</f>
        <v>0</v>
      </c>
      <c r="H73" s="28" t="n">
        <f aca="false">SUM(C73:G73)</f>
        <v>5</v>
      </c>
    </row>
    <row r="74" customFormat="false" ht="15" hidden="false" customHeight="false" outlineLevel="0" collapsed="false">
      <c r="A74" s="1"/>
      <c r="B74" s="29" t="s">
        <v>217</v>
      </c>
      <c r="C74" s="30" t="n">
        <f aca="false">SUM(C64:C73)</f>
        <v>9</v>
      </c>
      <c r="D74" s="30" t="n">
        <f aca="false">SUM(D64:D73)</f>
        <v>18</v>
      </c>
      <c r="E74" s="30" t="n">
        <f aca="false">SUM(E64:E73)</f>
        <v>24</v>
      </c>
      <c r="F74" s="30" t="n">
        <f aca="false">SUM(F64:F73)</f>
        <v>6</v>
      </c>
      <c r="G74" s="30" t="n">
        <f aca="false">SUM(G64:G73)</f>
        <v>2</v>
      </c>
      <c r="H74" s="30" t="n">
        <f aca="false">SUM(H64:H73)</f>
        <v>59</v>
      </c>
    </row>
    <row r="75" customFormat="false" ht="15" hidden="false" customHeight="false" outlineLevel="0" collapsed="false">
      <c r="A75" s="1"/>
      <c r="B75" s="1"/>
      <c r="C75" s="1"/>
      <c r="D75" s="1"/>
      <c r="E75" s="1"/>
      <c r="F75" s="1"/>
      <c r="G75" s="1"/>
      <c r="H75" s="1"/>
    </row>
    <row r="76" customFormat="false" ht="15" hidden="false" customHeight="false" outlineLevel="0" collapsed="false">
      <c r="A76" s="1"/>
      <c r="B76" s="1"/>
      <c r="C76" s="1"/>
      <c r="D76" s="1"/>
      <c r="E76" s="1"/>
      <c r="F76" s="1"/>
      <c r="G76" s="1"/>
      <c r="H76" s="1"/>
    </row>
    <row r="77" customFormat="false" ht="15" hidden="false" customHeight="false" outlineLevel="0" collapsed="false">
      <c r="A77" s="1"/>
      <c r="B77" s="5" t="s">
        <v>282</v>
      </c>
      <c r="C77" s="1"/>
      <c r="D77" s="1"/>
      <c r="E77" s="1"/>
      <c r="F77" s="1"/>
      <c r="G77" s="1"/>
      <c r="H77" s="1"/>
    </row>
    <row r="78" customFormat="false" ht="19.5" hidden="false" customHeight="true" outlineLevel="0" collapsed="false">
      <c r="A78" s="1"/>
      <c r="B78" s="15" t="s">
        <v>203</v>
      </c>
      <c r="C78" s="26" t="s">
        <v>220</v>
      </c>
      <c r="D78" s="26" t="s">
        <v>221</v>
      </c>
      <c r="E78" s="26" t="s">
        <v>92</v>
      </c>
      <c r="F78" s="26" t="s">
        <v>118</v>
      </c>
      <c r="G78" s="26" t="s">
        <v>222</v>
      </c>
      <c r="H78" s="26" t="s">
        <v>223</v>
      </c>
    </row>
    <row r="79" customFormat="false" ht="15" hidden="false" customHeight="false" outlineLevel="0" collapsed="false">
      <c r="A79" s="1"/>
      <c r="B79" s="27" t="s">
        <v>207</v>
      </c>
      <c r="C79" s="28" t="n">
        <f aca="false">COUNTIF('Year 1'!$P$6:$P$1005,C$78)</f>
        <v>1</v>
      </c>
      <c r="D79" s="28" t="n">
        <f aca="false">COUNTIF('Year 1'!$P$6:$P$1005,D$78)</f>
        <v>1</v>
      </c>
      <c r="E79" s="28" t="n">
        <f aca="false">COUNTIF('Year 1'!$P$6:$P$1005,E$78)</f>
        <v>3</v>
      </c>
      <c r="F79" s="28" t="n">
        <f aca="false">COUNTIF('Year 1'!$P$6:$P$1005,F$78)</f>
        <v>0</v>
      </c>
      <c r="G79" s="28" t="n">
        <f aca="false">COUNTIF('Year 1'!$P$6:$P$1005,G$78)</f>
        <v>0</v>
      </c>
      <c r="H79" s="28" t="n">
        <f aca="false">SUM(C79:G79)</f>
        <v>5</v>
      </c>
    </row>
    <row r="80" customFormat="false" ht="15" hidden="false" customHeight="false" outlineLevel="0" collapsed="false">
      <c r="A80" s="1"/>
      <c r="B80" s="27" t="s">
        <v>208</v>
      </c>
      <c r="C80" s="28" t="n">
        <f aca="false">COUNTIF('Year 2'!$P$6:$P$1005,C$78)</f>
        <v>1</v>
      </c>
      <c r="D80" s="28" t="n">
        <f aca="false">COUNTIF('Year 2'!$P$6:$P$1005,D$78)</f>
        <v>1</v>
      </c>
      <c r="E80" s="28" t="n">
        <f aca="false">COUNTIF('Year 2'!$P$6:$P$1005,E$78)</f>
        <v>2</v>
      </c>
      <c r="F80" s="28" t="n">
        <f aca="false">COUNTIF('Year 2'!$P$6:$P$1005,F$78)</f>
        <v>1</v>
      </c>
      <c r="G80" s="28" t="n">
        <f aca="false">COUNTIF('Year 2'!$P$6:$P$1005,G$78)</f>
        <v>0</v>
      </c>
      <c r="H80" s="28" t="n">
        <f aca="false">SUM(C80:G80)</f>
        <v>5</v>
      </c>
    </row>
    <row r="81" customFormat="false" ht="15" hidden="false" customHeight="false" outlineLevel="0" collapsed="false">
      <c r="A81" s="1"/>
      <c r="B81" s="27" t="s">
        <v>209</v>
      </c>
      <c r="C81" s="28" t="n">
        <f aca="false">COUNTIF('Year 3'!$P$6:$P$1005,C$78)</f>
        <v>3</v>
      </c>
      <c r="D81" s="28" t="n">
        <f aca="false">COUNTIF('Year 3'!$P$6:$P$1005,D$78)</f>
        <v>1</v>
      </c>
      <c r="E81" s="28" t="n">
        <f aca="false">COUNTIF('Year 3'!$P$6:$P$1005,E$78)</f>
        <v>1</v>
      </c>
      <c r="F81" s="28" t="n">
        <f aca="false">COUNTIF('Year 3'!$P$6:$P$1005,F$78)</f>
        <v>2</v>
      </c>
      <c r="G81" s="28" t="n">
        <f aca="false">COUNTIF('Year 3'!$P$6:$P$1005,G$78)</f>
        <v>0</v>
      </c>
      <c r="H81" s="28" t="n">
        <f aca="false">SUM(C81:G81)</f>
        <v>7</v>
      </c>
    </row>
    <row r="82" customFormat="false" ht="15" hidden="false" customHeight="false" outlineLevel="0" collapsed="false">
      <c r="A82" s="1"/>
      <c r="B82" s="27" t="s">
        <v>210</v>
      </c>
      <c r="C82" s="28" t="n">
        <f aca="false">COUNTIF('Year 4'!$P$6:$P$1005,C$78)</f>
        <v>1</v>
      </c>
      <c r="D82" s="28" t="n">
        <f aca="false">COUNTIF('Year 4'!$P$6:$P$1005,D$78)</f>
        <v>3</v>
      </c>
      <c r="E82" s="28" t="n">
        <f aca="false">COUNTIF('Year 4'!$P$6:$P$1005,E$78)</f>
        <v>2</v>
      </c>
      <c r="F82" s="28" t="n">
        <f aca="false">COUNTIF('Year 4'!$P$6:$P$1005,F$78)</f>
        <v>0</v>
      </c>
      <c r="G82" s="28" t="n">
        <f aca="false">COUNTIF('Year 4'!$P$6:$P$1005,G$78)</f>
        <v>0</v>
      </c>
      <c r="H82" s="28" t="n">
        <f aca="false">SUM(C82:G82)</f>
        <v>6</v>
      </c>
    </row>
    <row r="83" customFormat="false" ht="15" hidden="false" customHeight="false" outlineLevel="0" collapsed="false">
      <c r="A83" s="1"/>
      <c r="B83" s="27" t="s">
        <v>211</v>
      </c>
      <c r="C83" s="28" t="n">
        <f aca="false">COUNTIF('Year 5'!$P$6:$P$1005,C$78)</f>
        <v>1</v>
      </c>
      <c r="D83" s="28" t="n">
        <f aca="false">COUNTIF('Year 5'!$P$6:$P$1005,D$78)</f>
        <v>3</v>
      </c>
      <c r="E83" s="28" t="n">
        <f aca="false">COUNTIF('Year 5'!$P$6:$P$1005,E$78)</f>
        <v>2</v>
      </c>
      <c r="F83" s="28" t="n">
        <f aca="false">COUNTIF('Year 5'!$P$6:$P$1005,F$78)</f>
        <v>1</v>
      </c>
      <c r="G83" s="28" t="n">
        <f aca="false">COUNTIF('Year 5'!$P$6:$P$1005,G$78)</f>
        <v>0</v>
      </c>
      <c r="H83" s="28" t="n">
        <f aca="false">SUM(C83:G83)</f>
        <v>7</v>
      </c>
    </row>
    <row r="84" customFormat="false" ht="15" hidden="false" customHeight="false" outlineLevel="0" collapsed="false">
      <c r="A84" s="1"/>
      <c r="B84" s="27" t="s">
        <v>212</v>
      </c>
      <c r="C84" s="28" t="n">
        <f aca="false">COUNTIF('Year 6'!$P$6:$P$1005,C$78)</f>
        <v>0</v>
      </c>
      <c r="D84" s="28" t="n">
        <f aca="false">COUNTIF('Year 6'!$P$6:$P$1005,D$78)</f>
        <v>3</v>
      </c>
      <c r="E84" s="28" t="n">
        <f aca="false">COUNTIF('Year 6'!$P$6:$P$1005,E$78)</f>
        <v>3</v>
      </c>
      <c r="F84" s="28" t="n">
        <f aca="false">COUNTIF('Year 6'!$P$6:$P$1005,F$78)</f>
        <v>1</v>
      </c>
      <c r="G84" s="28" t="n">
        <f aca="false">COUNTIF('Year 6'!$P$6:$P$1005,G$78)</f>
        <v>0</v>
      </c>
      <c r="H84" s="28" t="n">
        <f aca="false">SUM(C84:G84)</f>
        <v>7</v>
      </c>
    </row>
    <row r="85" customFormat="false" ht="15" hidden="false" customHeight="false" outlineLevel="0" collapsed="false">
      <c r="A85" s="1"/>
      <c r="B85" s="27" t="s">
        <v>213</v>
      </c>
      <c r="C85" s="28" t="n">
        <f aca="false">COUNTIF('Year 7'!$P$6:$P$1005,C$78)</f>
        <v>1</v>
      </c>
      <c r="D85" s="28" t="n">
        <f aca="false">COUNTIF('Year 7'!$P$6:$P$1005,D$78)</f>
        <v>3</v>
      </c>
      <c r="E85" s="28" t="n">
        <f aca="false">COUNTIF('Year 7'!$P$6:$P$1005,E$78)</f>
        <v>1</v>
      </c>
      <c r="F85" s="28" t="n">
        <f aca="false">COUNTIF('Year 7'!$P$6:$P$1005,F$78)</f>
        <v>1</v>
      </c>
      <c r="G85" s="28" t="n">
        <f aca="false">COUNTIF('Year 7'!$P$6:$P$1005,G$78)</f>
        <v>0</v>
      </c>
      <c r="H85" s="28" t="n">
        <f aca="false">SUM(C85:G85)</f>
        <v>6</v>
      </c>
    </row>
    <row r="86" customFormat="false" ht="15" hidden="false" customHeight="false" outlineLevel="0" collapsed="false">
      <c r="A86" s="1"/>
      <c r="B86" s="27" t="s">
        <v>214</v>
      </c>
      <c r="C86" s="28" t="n">
        <f aca="false">COUNTIF('Year 8'!$P$6:$P$1005,C$78)</f>
        <v>2</v>
      </c>
      <c r="D86" s="28" t="n">
        <f aca="false">COUNTIF('Year 8'!$P$6:$P$1005,D$78)</f>
        <v>1</v>
      </c>
      <c r="E86" s="28" t="n">
        <f aca="false">COUNTIF('Year 8'!$P$6:$P$1005,E$78)</f>
        <v>1</v>
      </c>
      <c r="F86" s="28" t="n">
        <f aca="false">COUNTIF('Year 8'!$P$6:$P$1005,F$78)</f>
        <v>2</v>
      </c>
      <c r="G86" s="28" t="n">
        <f aca="false">COUNTIF('Year 8'!$P$6:$P$1005,G$78)</f>
        <v>0</v>
      </c>
      <c r="H86" s="28" t="n">
        <f aca="false">SUM(C86:G86)</f>
        <v>6</v>
      </c>
    </row>
    <row r="87" customFormat="false" ht="15" hidden="false" customHeight="false" outlineLevel="0" collapsed="false">
      <c r="A87" s="1"/>
      <c r="B87" s="27" t="s">
        <v>215</v>
      </c>
      <c r="C87" s="28" t="n">
        <f aca="false">COUNTIF('Year 9'!$P$6:$P$1005,C$78)</f>
        <v>0</v>
      </c>
      <c r="D87" s="28" t="n">
        <f aca="false">COUNTIF('Year 9'!$P$6:$P$1005,D$78)</f>
        <v>3</v>
      </c>
      <c r="E87" s="28" t="n">
        <f aca="false">COUNTIF('Year 9'!$P$6:$P$1005,E$78)</f>
        <v>1</v>
      </c>
      <c r="F87" s="28" t="n">
        <f aca="false">COUNTIF('Year 9'!$P$6:$P$1005,F$78)</f>
        <v>2</v>
      </c>
      <c r="G87" s="28" t="n">
        <f aca="false">COUNTIF('Year 9'!$P$6:$P$1005,G$78)</f>
        <v>0</v>
      </c>
      <c r="H87" s="28" t="n">
        <f aca="false">SUM(C87:G87)</f>
        <v>6</v>
      </c>
    </row>
    <row r="88" customFormat="false" ht="15" hidden="false" customHeight="false" outlineLevel="0" collapsed="false">
      <c r="A88" s="1"/>
      <c r="B88" s="27" t="s">
        <v>216</v>
      </c>
      <c r="C88" s="28" t="n">
        <f aca="false">COUNTIF('Year 10'!$P$6:$P$1005,C$78)</f>
        <v>0</v>
      </c>
      <c r="D88" s="28" t="n">
        <f aca="false">COUNTIF('Year 10'!$P$6:$P$1005,D$78)</f>
        <v>1</v>
      </c>
      <c r="E88" s="28" t="n">
        <f aca="false">COUNTIF('Year 10'!$P$6:$P$1005,E$78)</f>
        <v>3</v>
      </c>
      <c r="F88" s="28" t="n">
        <f aca="false">COUNTIF('Year 10'!$P$6:$P$1005,F$78)</f>
        <v>1</v>
      </c>
      <c r="G88" s="28" t="n">
        <f aca="false">COUNTIF('Year 10'!$P$6:$P$1005,G$78)</f>
        <v>0</v>
      </c>
      <c r="H88" s="28" t="n">
        <f aca="false">SUM(C88:G88)</f>
        <v>5</v>
      </c>
    </row>
    <row r="89" customFormat="false" ht="15" hidden="false" customHeight="false" outlineLevel="0" collapsed="false">
      <c r="A89" s="1"/>
      <c r="B89" s="29" t="s">
        <v>217</v>
      </c>
      <c r="C89" s="30" t="n">
        <f aca="false">SUM(C79:C88)</f>
        <v>10</v>
      </c>
      <c r="D89" s="30" t="n">
        <f aca="false">SUM(D79:D88)</f>
        <v>20</v>
      </c>
      <c r="E89" s="30" t="n">
        <f aca="false">SUM(E79:E88)</f>
        <v>19</v>
      </c>
      <c r="F89" s="30" t="n">
        <f aca="false">SUM(F79:F88)</f>
        <v>11</v>
      </c>
      <c r="G89" s="30" t="n">
        <f aca="false">SUM(G79:G88)</f>
        <v>0</v>
      </c>
      <c r="H89" s="30" t="n">
        <f aca="false">SUM(H79:H88)</f>
        <v>60</v>
      </c>
    </row>
    <row r="90" customFormat="false" ht="15" hidden="false" customHeight="false" outlineLevel="0" collapsed="false">
      <c r="A90" s="1"/>
      <c r="B90" s="1"/>
      <c r="C90" s="1"/>
      <c r="D90" s="1"/>
      <c r="E90" s="1"/>
      <c r="F90" s="1"/>
      <c r="G90" s="1"/>
      <c r="H90" s="1"/>
    </row>
    <row r="91" customFormat="false" ht="15" hidden="false" customHeight="false" outlineLevel="0" collapsed="false">
      <c r="A91" s="1"/>
      <c r="B91" s="1"/>
      <c r="C91" s="1"/>
      <c r="D91" s="1"/>
      <c r="E91" s="1"/>
      <c r="F91" s="1"/>
      <c r="G91" s="1"/>
      <c r="H91" s="1"/>
    </row>
    <row r="92" customFormat="false" ht="15" hidden="false" customHeight="false" outlineLevel="0" collapsed="false">
      <c r="A92" s="1"/>
      <c r="B92" s="5" t="s">
        <v>283</v>
      </c>
      <c r="C92" s="1"/>
      <c r="D92" s="1"/>
      <c r="E92" s="1"/>
      <c r="F92" s="1"/>
      <c r="G92" s="1"/>
      <c r="H92" s="1"/>
    </row>
    <row r="93" customFormat="false" ht="19.5" hidden="false" customHeight="true" outlineLevel="0" collapsed="false">
      <c r="A93" s="1"/>
      <c r="B93" s="15" t="s">
        <v>203</v>
      </c>
      <c r="C93" s="26" t="s">
        <v>220</v>
      </c>
      <c r="D93" s="26" t="s">
        <v>221</v>
      </c>
      <c r="E93" s="26" t="s">
        <v>92</v>
      </c>
      <c r="F93" s="26" t="s">
        <v>118</v>
      </c>
      <c r="G93" s="26" t="s">
        <v>222</v>
      </c>
      <c r="H93" s="26" t="s">
        <v>223</v>
      </c>
    </row>
    <row r="94" customFormat="false" ht="15" hidden="false" customHeight="false" outlineLevel="0" collapsed="false">
      <c r="A94" s="1"/>
      <c r="B94" s="27" t="s">
        <v>207</v>
      </c>
      <c r="C94" s="28" t="n">
        <f aca="false">COUNTIF('Year 1'!$S$6:$S$1005,C$93)</f>
        <v>0</v>
      </c>
      <c r="D94" s="28" t="n">
        <f aca="false">COUNTIF('Year 1'!$S$6:$S$1005,D$93)</f>
        <v>0</v>
      </c>
      <c r="E94" s="28" t="n">
        <f aca="false">COUNTIF('Year 1'!$S$6:$S$1005,E$93)</f>
        <v>0</v>
      </c>
      <c r="F94" s="28" t="n">
        <f aca="false">COUNTIF('Year 1'!$S$6:$S$1005,F$93)</f>
        <v>1</v>
      </c>
      <c r="G94" s="28" t="n">
        <f aca="false">COUNTIF('Year 1'!$S$6:$S$1005,G$93)</f>
        <v>4</v>
      </c>
      <c r="H94" s="28" t="n">
        <f aca="false">SUM(C94:G94)</f>
        <v>5</v>
      </c>
    </row>
    <row r="95" customFormat="false" ht="15" hidden="false" customHeight="false" outlineLevel="0" collapsed="false">
      <c r="A95" s="1"/>
      <c r="B95" s="27" t="s">
        <v>208</v>
      </c>
      <c r="C95" s="28" t="n">
        <f aca="false">COUNTIF('Year 2'!$S$6:$S$1005,C$93)</f>
        <v>0</v>
      </c>
      <c r="D95" s="28" t="n">
        <f aca="false">COUNTIF('Year 2'!$S$6:$S$1005,D$93)</f>
        <v>0</v>
      </c>
      <c r="E95" s="28" t="n">
        <f aca="false">COUNTIF('Year 2'!$S$6:$S$1005,E$93)</f>
        <v>1</v>
      </c>
      <c r="F95" s="28" t="n">
        <f aca="false">COUNTIF('Year 2'!$S$6:$S$1005,F$93)</f>
        <v>1</v>
      </c>
      <c r="G95" s="28" t="n">
        <f aca="false">COUNTIF('Year 2'!$S$6:$S$1005,G$93)</f>
        <v>3</v>
      </c>
      <c r="H95" s="28" t="n">
        <f aca="false">SUM(C95:G95)</f>
        <v>5</v>
      </c>
    </row>
    <row r="96" customFormat="false" ht="15" hidden="false" customHeight="false" outlineLevel="0" collapsed="false">
      <c r="A96" s="1"/>
      <c r="B96" s="27" t="s">
        <v>209</v>
      </c>
      <c r="C96" s="28" t="n">
        <f aca="false">COUNTIF('Year 3'!$S$6:$S$1005,C$93)</f>
        <v>0</v>
      </c>
      <c r="D96" s="28" t="n">
        <f aca="false">COUNTIF('Year 3'!$S$6:$S$1005,D$93)</f>
        <v>4</v>
      </c>
      <c r="E96" s="28" t="n">
        <f aca="false">COUNTIF('Year 3'!$S$6:$S$1005,E$93)</f>
        <v>0</v>
      </c>
      <c r="F96" s="28" t="n">
        <f aca="false">COUNTIF('Year 3'!$S$6:$S$1005,F$93)</f>
        <v>0</v>
      </c>
      <c r="G96" s="28" t="n">
        <f aca="false">COUNTIF('Year 3'!$S$6:$S$1005,G$93)</f>
        <v>3</v>
      </c>
      <c r="H96" s="28" t="n">
        <f aca="false">SUM(C96:G96)</f>
        <v>7</v>
      </c>
    </row>
    <row r="97" customFormat="false" ht="15" hidden="false" customHeight="false" outlineLevel="0" collapsed="false">
      <c r="A97" s="1"/>
      <c r="B97" s="27" t="s">
        <v>210</v>
      </c>
      <c r="C97" s="28" t="n">
        <f aca="false">COUNTIF('Year 4'!$S$6:$S$1005,C$93)</f>
        <v>0</v>
      </c>
      <c r="D97" s="28" t="n">
        <f aca="false">COUNTIF('Year 4'!$S$6:$S$1005,D$93)</f>
        <v>1</v>
      </c>
      <c r="E97" s="28" t="n">
        <f aca="false">COUNTIF('Year 4'!$S$6:$S$1005,E$93)</f>
        <v>3</v>
      </c>
      <c r="F97" s="28" t="n">
        <f aca="false">COUNTIF('Year 4'!$S$6:$S$1005,F$93)</f>
        <v>1</v>
      </c>
      <c r="G97" s="28" t="n">
        <f aca="false">COUNTIF('Year 4'!$S$6:$S$1005,G$93)</f>
        <v>1</v>
      </c>
      <c r="H97" s="28" t="n">
        <f aca="false">SUM(C97:G97)</f>
        <v>6</v>
      </c>
    </row>
    <row r="98" customFormat="false" ht="15" hidden="false" customHeight="false" outlineLevel="0" collapsed="false">
      <c r="A98" s="1"/>
      <c r="B98" s="27" t="s">
        <v>211</v>
      </c>
      <c r="C98" s="28" t="n">
        <f aca="false">COUNTIF('Year 5'!$S$6:$S$1005,C$93)</f>
        <v>1</v>
      </c>
      <c r="D98" s="28" t="n">
        <f aca="false">COUNTIF('Year 5'!$S$6:$S$1005,D$93)</f>
        <v>3</v>
      </c>
      <c r="E98" s="28" t="n">
        <f aca="false">COUNTIF('Year 5'!$S$6:$S$1005,E$93)</f>
        <v>1</v>
      </c>
      <c r="F98" s="28" t="n">
        <f aca="false">COUNTIF('Year 5'!$S$6:$S$1005,F$93)</f>
        <v>0</v>
      </c>
      <c r="G98" s="28" t="n">
        <f aca="false">COUNTIF('Year 5'!$S$6:$S$1005,G$93)</f>
        <v>2</v>
      </c>
      <c r="H98" s="28" t="n">
        <f aca="false">SUM(C98:G98)</f>
        <v>7</v>
      </c>
    </row>
    <row r="99" customFormat="false" ht="15" hidden="false" customHeight="false" outlineLevel="0" collapsed="false">
      <c r="A99" s="1"/>
      <c r="B99" s="27" t="s">
        <v>212</v>
      </c>
      <c r="C99" s="28" t="n">
        <f aca="false">COUNTIF('Year 6'!$S$6:$S$1005,C$93)</f>
        <v>0</v>
      </c>
      <c r="D99" s="28" t="n">
        <f aca="false">COUNTIF('Year 6'!$S$6:$S$1005,D$93)</f>
        <v>0</v>
      </c>
      <c r="E99" s="28" t="n">
        <f aca="false">COUNTIF('Year 6'!$S$6:$S$1005,E$93)</f>
        <v>2</v>
      </c>
      <c r="F99" s="28" t="n">
        <f aca="false">COUNTIF('Year 6'!$S$6:$S$1005,F$93)</f>
        <v>1</v>
      </c>
      <c r="G99" s="28" t="n">
        <f aca="false">COUNTIF('Year 6'!$S$6:$S$1005,G$93)</f>
        <v>4</v>
      </c>
      <c r="H99" s="28" t="n">
        <f aca="false">SUM(C99:G99)</f>
        <v>7</v>
      </c>
    </row>
    <row r="100" customFormat="false" ht="15" hidden="false" customHeight="false" outlineLevel="0" collapsed="false">
      <c r="A100" s="1"/>
      <c r="B100" s="27" t="s">
        <v>213</v>
      </c>
      <c r="C100" s="28" t="n">
        <f aca="false">COUNTIF('Year 7'!$S$6:$S$1005,C$93)</f>
        <v>1</v>
      </c>
      <c r="D100" s="28" t="n">
        <f aca="false">COUNTIF('Year 7'!$S$6:$S$1005,D$93)</f>
        <v>0</v>
      </c>
      <c r="E100" s="28" t="n">
        <f aca="false">COUNTIF('Year 7'!$S$6:$S$1005,E$93)</f>
        <v>0</v>
      </c>
      <c r="F100" s="28" t="n">
        <f aca="false">COUNTIF('Year 7'!$S$6:$S$1005,F$93)</f>
        <v>0</v>
      </c>
      <c r="G100" s="28" t="n">
        <f aca="false">COUNTIF('Year 7'!$S$6:$S$1005,G$93)</f>
        <v>5</v>
      </c>
      <c r="H100" s="28" t="n">
        <f aca="false">SUM(C100:G100)</f>
        <v>6</v>
      </c>
    </row>
    <row r="101" customFormat="false" ht="15" hidden="false" customHeight="false" outlineLevel="0" collapsed="false">
      <c r="A101" s="1"/>
      <c r="B101" s="27" t="s">
        <v>214</v>
      </c>
      <c r="C101" s="28" t="n">
        <f aca="false">COUNTIF('Year 8'!$S$6:$S$1005,C$93)</f>
        <v>0</v>
      </c>
      <c r="D101" s="28" t="n">
        <f aca="false">COUNTIF('Year 8'!$S$6:$S$1005,D$93)</f>
        <v>1</v>
      </c>
      <c r="E101" s="28" t="n">
        <f aca="false">COUNTIF('Year 8'!$S$6:$S$1005,E$93)</f>
        <v>1</v>
      </c>
      <c r="F101" s="28" t="n">
        <f aca="false">COUNTIF('Year 8'!$S$6:$S$1005,F$93)</f>
        <v>0</v>
      </c>
      <c r="G101" s="28" t="n">
        <f aca="false">COUNTIF('Year 8'!$S$6:$S$1005,G$93)</f>
        <v>4</v>
      </c>
      <c r="H101" s="28" t="n">
        <f aca="false">SUM(C101:G101)</f>
        <v>6</v>
      </c>
    </row>
    <row r="102" customFormat="false" ht="15" hidden="false" customHeight="false" outlineLevel="0" collapsed="false">
      <c r="A102" s="1"/>
      <c r="B102" s="27" t="s">
        <v>215</v>
      </c>
      <c r="C102" s="28" t="n">
        <f aca="false">COUNTIF('Year 9'!$S$6:$S$1005,C$93)</f>
        <v>0</v>
      </c>
      <c r="D102" s="28" t="n">
        <f aca="false">COUNTIF('Year 9'!$S$6:$S$1005,D$93)</f>
        <v>0</v>
      </c>
      <c r="E102" s="28" t="n">
        <f aca="false">COUNTIF('Year 9'!$S$6:$S$1005,E$93)</f>
        <v>1</v>
      </c>
      <c r="F102" s="28" t="n">
        <f aca="false">COUNTIF('Year 9'!$S$6:$S$1005,F$93)</f>
        <v>1</v>
      </c>
      <c r="G102" s="28" t="n">
        <f aca="false">COUNTIF('Year 9'!$S$6:$S$1005,G$93)</f>
        <v>4</v>
      </c>
      <c r="H102" s="28" t="n">
        <f aca="false">SUM(C102:G102)</f>
        <v>6</v>
      </c>
    </row>
    <row r="103" customFormat="false" ht="15" hidden="false" customHeight="false" outlineLevel="0" collapsed="false">
      <c r="A103" s="1"/>
      <c r="B103" s="27" t="s">
        <v>216</v>
      </c>
      <c r="C103" s="28" t="n">
        <f aca="false">COUNTIF('Year 10'!$S$6:$S$1005,C$93)</f>
        <v>0</v>
      </c>
      <c r="D103" s="28" t="n">
        <f aca="false">COUNTIF('Year 10'!$S$6:$S$1005,D$93)</f>
        <v>1</v>
      </c>
      <c r="E103" s="28" t="n">
        <f aca="false">COUNTIF('Year 10'!$S$6:$S$1005,E$93)</f>
        <v>0</v>
      </c>
      <c r="F103" s="28" t="n">
        <f aca="false">COUNTIF('Year 10'!$S$6:$S$1005,F$93)</f>
        <v>0</v>
      </c>
      <c r="G103" s="28" t="n">
        <f aca="false">COUNTIF('Year 10'!$S$6:$S$1005,G$93)</f>
        <v>4</v>
      </c>
      <c r="H103" s="28" t="n">
        <f aca="false">SUM(C103:G103)</f>
        <v>5</v>
      </c>
    </row>
    <row r="104" customFormat="false" ht="15" hidden="false" customHeight="false" outlineLevel="0" collapsed="false">
      <c r="A104" s="1"/>
      <c r="B104" s="29" t="s">
        <v>217</v>
      </c>
      <c r="C104" s="30" t="n">
        <f aca="false">SUM(C94:C103)</f>
        <v>2</v>
      </c>
      <c r="D104" s="30" t="n">
        <f aca="false">SUM(D94:D103)</f>
        <v>10</v>
      </c>
      <c r="E104" s="30" t="n">
        <f aca="false">SUM(E94:E103)</f>
        <v>9</v>
      </c>
      <c r="F104" s="30" t="n">
        <f aca="false">SUM(F94:F103)</f>
        <v>5</v>
      </c>
      <c r="G104" s="30" t="n">
        <f aca="false">SUM(G94:G103)</f>
        <v>34</v>
      </c>
      <c r="H104" s="30" t="n">
        <f aca="false">SUM(H94:H103)</f>
        <v>60</v>
      </c>
    </row>
    <row r="105" customFormat="false" ht="15" hidden="false" customHeight="false" outlineLevel="0" collapsed="false">
      <c r="A105" s="1"/>
      <c r="B105" s="1"/>
      <c r="C105" s="1"/>
      <c r="D105" s="1"/>
      <c r="E105" s="1"/>
      <c r="F105" s="1"/>
      <c r="G105" s="1"/>
      <c r="H105" s="1"/>
    </row>
    <row r="106" customFormat="false" ht="15" hidden="false" customHeight="false" outlineLevel="0" collapsed="false">
      <c r="A106" s="1"/>
      <c r="B106" s="1"/>
      <c r="C106" s="1"/>
      <c r="D106" s="1"/>
      <c r="E106" s="1"/>
      <c r="F106" s="1"/>
      <c r="G106" s="1"/>
      <c r="H106" s="1"/>
    </row>
    <row r="107" customFormat="false" ht="15" hidden="false" customHeight="false" outlineLevel="0" collapsed="false">
      <c r="A107" s="1"/>
      <c r="B107" s="5" t="s">
        <v>284</v>
      </c>
      <c r="C107" s="1"/>
      <c r="D107" s="1"/>
      <c r="E107" s="1"/>
      <c r="F107" s="1"/>
      <c r="G107" s="1"/>
      <c r="H107" s="1"/>
    </row>
    <row r="108" customFormat="false" ht="19.5" hidden="false" customHeight="true" outlineLevel="0" collapsed="false">
      <c r="A108" s="1"/>
      <c r="B108" s="15" t="s">
        <v>203</v>
      </c>
      <c r="C108" s="26" t="s">
        <v>220</v>
      </c>
      <c r="D108" s="26" t="s">
        <v>221</v>
      </c>
      <c r="E108" s="26" t="s">
        <v>92</v>
      </c>
      <c r="F108" s="26" t="s">
        <v>118</v>
      </c>
      <c r="G108" s="26" t="s">
        <v>222</v>
      </c>
      <c r="H108" s="26" t="s">
        <v>223</v>
      </c>
    </row>
    <row r="109" customFormat="false" ht="15" hidden="false" customHeight="false" outlineLevel="0" collapsed="false">
      <c r="A109" s="1"/>
      <c r="B109" s="27" t="s">
        <v>207</v>
      </c>
      <c r="C109" s="28" t="n">
        <f aca="false">COUNTIF('Year 1'!$U$6:$U$1005,C$108)</f>
        <v>2</v>
      </c>
      <c r="D109" s="28" t="n">
        <f aca="false">COUNTIF('Year 1'!$U$6:$U$1005,D$108)</f>
        <v>0</v>
      </c>
      <c r="E109" s="28" t="n">
        <f aca="false">COUNTIF('Year 1'!$U$6:$U$1005,E$108)</f>
        <v>3</v>
      </c>
      <c r="F109" s="28" t="n">
        <f aca="false">COUNTIF('Year 1'!$U$6:$U$1005,F$108)</f>
        <v>0</v>
      </c>
      <c r="G109" s="28" t="n">
        <f aca="false">COUNTIF('Year 1'!$U$6:$U$1005,G$108)</f>
        <v>0</v>
      </c>
      <c r="H109" s="28" t="n">
        <f aca="false">SUM(C109:G109)</f>
        <v>5</v>
      </c>
    </row>
    <row r="110" customFormat="false" ht="15" hidden="false" customHeight="false" outlineLevel="0" collapsed="false">
      <c r="A110" s="1"/>
      <c r="B110" s="27" t="s">
        <v>208</v>
      </c>
      <c r="C110" s="28" t="n">
        <f aca="false">COUNTIF('Year 2'!$U$6:$U$1005,C$108)</f>
        <v>1</v>
      </c>
      <c r="D110" s="28" t="n">
        <f aca="false">COUNTIF('Year 2'!$U$6:$U$1005,D$108)</f>
        <v>0</v>
      </c>
      <c r="E110" s="28" t="n">
        <f aca="false">COUNTIF('Year 2'!$U$6:$U$1005,E$108)</f>
        <v>3</v>
      </c>
      <c r="F110" s="28" t="n">
        <f aca="false">COUNTIF('Year 2'!$U$6:$U$1005,F$108)</f>
        <v>1</v>
      </c>
      <c r="G110" s="28" t="n">
        <f aca="false">COUNTIF('Year 2'!$U$6:$U$1005,G$108)</f>
        <v>0</v>
      </c>
      <c r="H110" s="28" t="n">
        <f aca="false">SUM(C110:G110)</f>
        <v>5</v>
      </c>
    </row>
    <row r="111" customFormat="false" ht="15" hidden="false" customHeight="false" outlineLevel="0" collapsed="false">
      <c r="A111" s="1"/>
      <c r="B111" s="27" t="s">
        <v>209</v>
      </c>
      <c r="C111" s="28" t="n">
        <f aca="false">COUNTIF('Year 3'!$U$6:$U$1005,C$108)</f>
        <v>0</v>
      </c>
      <c r="D111" s="28" t="n">
        <f aca="false">COUNTIF('Year 3'!$U$6:$U$1005,D$108)</f>
        <v>3</v>
      </c>
      <c r="E111" s="28" t="n">
        <f aca="false">COUNTIF('Year 3'!$U$6:$U$1005,E$108)</f>
        <v>2</v>
      </c>
      <c r="F111" s="28" t="n">
        <f aca="false">COUNTIF('Year 3'!$U$6:$U$1005,F$108)</f>
        <v>2</v>
      </c>
      <c r="G111" s="28" t="n">
        <f aca="false">COUNTIF('Year 3'!$U$6:$U$1005,G$108)</f>
        <v>0</v>
      </c>
      <c r="H111" s="28" t="n">
        <f aca="false">SUM(C111:G111)</f>
        <v>7</v>
      </c>
    </row>
    <row r="112" customFormat="false" ht="15" hidden="false" customHeight="false" outlineLevel="0" collapsed="false">
      <c r="A112" s="1"/>
      <c r="B112" s="27" t="s">
        <v>210</v>
      </c>
      <c r="C112" s="28" t="n">
        <f aca="false">COUNTIF('Year 4'!$U$6:$U$1005,C$108)</f>
        <v>0</v>
      </c>
      <c r="D112" s="28" t="n">
        <f aca="false">COUNTIF('Year 4'!$U$6:$U$1005,D$108)</f>
        <v>3</v>
      </c>
      <c r="E112" s="28" t="n">
        <f aca="false">COUNTIF('Year 4'!$U$6:$U$1005,E$108)</f>
        <v>3</v>
      </c>
      <c r="F112" s="28" t="n">
        <f aca="false">COUNTIF('Year 4'!$U$6:$U$1005,F$108)</f>
        <v>0</v>
      </c>
      <c r="G112" s="28" t="n">
        <f aca="false">COUNTIF('Year 4'!$U$6:$U$1005,G$108)</f>
        <v>0</v>
      </c>
      <c r="H112" s="28" t="n">
        <f aca="false">SUM(C112:G112)</f>
        <v>6</v>
      </c>
    </row>
    <row r="113" customFormat="false" ht="15" hidden="false" customHeight="false" outlineLevel="0" collapsed="false">
      <c r="A113" s="1"/>
      <c r="B113" s="27" t="s">
        <v>211</v>
      </c>
      <c r="C113" s="28" t="n">
        <f aca="false">COUNTIF('Year 5'!$U$6:$U$1005,C$108)</f>
        <v>2</v>
      </c>
      <c r="D113" s="28" t="n">
        <f aca="false">COUNTIF('Year 5'!$U$6:$U$1005,D$108)</f>
        <v>1</v>
      </c>
      <c r="E113" s="28" t="n">
        <f aca="false">COUNTIF('Year 5'!$U$6:$U$1005,E$108)</f>
        <v>3</v>
      </c>
      <c r="F113" s="28" t="n">
        <f aca="false">COUNTIF('Year 5'!$U$6:$U$1005,F$108)</f>
        <v>1</v>
      </c>
      <c r="G113" s="28" t="n">
        <f aca="false">COUNTIF('Year 5'!$U$6:$U$1005,G$108)</f>
        <v>0</v>
      </c>
      <c r="H113" s="28" t="n">
        <f aca="false">SUM(C113:G113)</f>
        <v>7</v>
      </c>
    </row>
    <row r="114" customFormat="false" ht="15" hidden="false" customHeight="false" outlineLevel="0" collapsed="false">
      <c r="A114" s="1"/>
      <c r="B114" s="27" t="s">
        <v>212</v>
      </c>
      <c r="C114" s="28" t="n">
        <f aca="false">COUNTIF('Year 6'!$U$6:$U$1005,C$108)</f>
        <v>0</v>
      </c>
      <c r="D114" s="28" t="n">
        <f aca="false">COUNTIF('Year 6'!$U$6:$U$1005,D$108)</f>
        <v>4</v>
      </c>
      <c r="E114" s="28" t="n">
        <f aca="false">COUNTIF('Year 6'!$U$6:$U$1005,E$108)</f>
        <v>2</v>
      </c>
      <c r="F114" s="28" t="n">
        <f aca="false">COUNTIF('Year 6'!$U$6:$U$1005,F$108)</f>
        <v>1</v>
      </c>
      <c r="G114" s="28" t="n">
        <f aca="false">COUNTIF('Year 6'!$U$6:$U$1005,G$108)</f>
        <v>0</v>
      </c>
      <c r="H114" s="28" t="n">
        <f aca="false">SUM(C114:G114)</f>
        <v>7</v>
      </c>
    </row>
    <row r="115" customFormat="false" ht="15" hidden="false" customHeight="false" outlineLevel="0" collapsed="false">
      <c r="A115" s="1"/>
      <c r="B115" s="27" t="s">
        <v>213</v>
      </c>
      <c r="C115" s="28" t="n">
        <f aca="false">COUNTIF('Year 7'!$U$6:$U$1005,C$108)</f>
        <v>1</v>
      </c>
      <c r="D115" s="28" t="n">
        <f aca="false">COUNTIF('Year 7'!$U$6:$U$1005,D$108)</f>
        <v>2</v>
      </c>
      <c r="E115" s="28" t="n">
        <f aca="false">COUNTIF('Year 7'!$U$6:$U$1005,E$108)</f>
        <v>3</v>
      </c>
      <c r="F115" s="28" t="n">
        <f aca="false">COUNTIF('Year 7'!$U$6:$U$1005,F$108)</f>
        <v>0</v>
      </c>
      <c r="G115" s="28" t="n">
        <f aca="false">COUNTIF('Year 7'!$U$6:$U$1005,G$108)</f>
        <v>0</v>
      </c>
      <c r="H115" s="28" t="n">
        <f aca="false">SUM(C115:G115)</f>
        <v>6</v>
      </c>
    </row>
    <row r="116" customFormat="false" ht="15" hidden="false" customHeight="false" outlineLevel="0" collapsed="false">
      <c r="A116" s="1"/>
      <c r="B116" s="27" t="s">
        <v>214</v>
      </c>
      <c r="C116" s="28" t="n">
        <f aca="false">COUNTIF('Year 8'!$U$6:$U$1005,C$108)</f>
        <v>0</v>
      </c>
      <c r="D116" s="28" t="n">
        <f aca="false">COUNTIF('Year 8'!$U$6:$U$1005,D$108)</f>
        <v>2</v>
      </c>
      <c r="E116" s="28" t="n">
        <f aca="false">COUNTIF('Year 8'!$U$6:$U$1005,E$108)</f>
        <v>4</v>
      </c>
      <c r="F116" s="28" t="n">
        <f aca="false">COUNTIF('Year 8'!$U$6:$U$1005,F$108)</f>
        <v>0</v>
      </c>
      <c r="G116" s="28" t="n">
        <f aca="false">COUNTIF('Year 8'!$U$6:$U$1005,G$108)</f>
        <v>0</v>
      </c>
      <c r="H116" s="28" t="n">
        <f aca="false">SUM(C116:G116)</f>
        <v>6</v>
      </c>
    </row>
    <row r="117" customFormat="false" ht="15" hidden="false" customHeight="false" outlineLevel="0" collapsed="false">
      <c r="A117" s="1"/>
      <c r="B117" s="27" t="s">
        <v>215</v>
      </c>
      <c r="C117" s="28" t="n">
        <f aca="false">COUNTIF('Year 9'!$U$6:$U$1005,C$108)</f>
        <v>0</v>
      </c>
      <c r="D117" s="28" t="n">
        <f aca="false">COUNTIF('Year 9'!$U$6:$U$1005,D$108)</f>
        <v>2</v>
      </c>
      <c r="E117" s="28" t="n">
        <f aca="false">COUNTIF('Year 9'!$U$6:$U$1005,E$108)</f>
        <v>2</v>
      </c>
      <c r="F117" s="28" t="n">
        <f aca="false">COUNTIF('Year 9'!$U$6:$U$1005,F$108)</f>
        <v>2</v>
      </c>
      <c r="G117" s="28" t="n">
        <f aca="false">COUNTIF('Year 9'!$U$6:$U$1005,G$108)</f>
        <v>0</v>
      </c>
      <c r="H117" s="28" t="n">
        <f aca="false">SUM(C117:G117)</f>
        <v>6</v>
      </c>
    </row>
    <row r="118" customFormat="false" ht="15" hidden="false" customHeight="false" outlineLevel="0" collapsed="false">
      <c r="A118" s="1"/>
      <c r="B118" s="27" t="s">
        <v>216</v>
      </c>
      <c r="C118" s="28" t="n">
        <f aca="false">COUNTIF('Year 10'!$U$6:$U$1005,C$108)</f>
        <v>0</v>
      </c>
      <c r="D118" s="28" t="n">
        <f aca="false">COUNTIF('Year 10'!$U$6:$U$1005,D$108)</f>
        <v>2</v>
      </c>
      <c r="E118" s="28" t="n">
        <f aca="false">COUNTIF('Year 10'!$U$6:$U$1005,E$108)</f>
        <v>2</v>
      </c>
      <c r="F118" s="28" t="n">
        <f aca="false">COUNTIF('Year 10'!$U$6:$U$1005,F$108)</f>
        <v>0</v>
      </c>
      <c r="G118" s="28" t="n">
        <f aca="false">COUNTIF('Year 10'!$U$6:$U$1005,G$108)</f>
        <v>1</v>
      </c>
      <c r="H118" s="28" t="n">
        <f aca="false">SUM(C118:G118)</f>
        <v>5</v>
      </c>
    </row>
    <row r="119" customFormat="false" ht="15" hidden="false" customHeight="false" outlineLevel="0" collapsed="false">
      <c r="A119" s="1"/>
      <c r="B119" s="29" t="s">
        <v>217</v>
      </c>
      <c r="C119" s="30" t="n">
        <f aca="false">SUM(C109:C118)</f>
        <v>6</v>
      </c>
      <c r="D119" s="30" t="n">
        <f aca="false">SUM(D109:D118)</f>
        <v>19</v>
      </c>
      <c r="E119" s="30" t="n">
        <f aca="false">SUM(E109:E118)</f>
        <v>27</v>
      </c>
      <c r="F119" s="30" t="n">
        <f aca="false">SUM(F109:F118)</f>
        <v>7</v>
      </c>
      <c r="G119" s="30" t="n">
        <f aca="false">SUM(G109:G118)</f>
        <v>1</v>
      </c>
      <c r="H119" s="30" t="n">
        <f aca="false">SUM(H109:H118)</f>
        <v>60</v>
      </c>
    </row>
  </sheetData>
  <conditionalFormatting sqref="C7:H16">
    <cfRule type="colorScale" priority="2">
      <colorScale>
        <cfvo type="num" val="0"/>
        <cfvo type="num" val="1"/>
        <color rgb="FFFFFFFF"/>
        <color rgb="FF63BE7B"/>
      </colorScale>
    </cfRule>
  </conditionalFormatting>
  <conditionalFormatting sqref="C21:H30">
    <cfRule type="colorScale" priority="3">
      <colorScale>
        <cfvo type="num" val="0"/>
        <cfvo type="num" val="1"/>
        <color rgb="FFFFFFFF"/>
        <color rgb="FFF4A582"/>
      </colorScale>
    </cfRule>
  </conditionalFormatting>
  <conditionalFormatting sqref="C35:G44">
    <cfRule type="colorScale" priority="4">
      <colorScale>
        <cfvo type="num" val="0"/>
        <cfvo type="num" val="1"/>
        <color rgb="FFFFFFFF"/>
        <color rgb="FF9DC3E6"/>
      </colorScale>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78D6"/>
    <pageSetUpPr fitToPage="true"/>
  </sheetPr>
  <dimension ref="A1:AP3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4"/>
    <col collapsed="false" customWidth="true" hidden="false" outlineLevel="0" max="3" min="3" style="0" width="12"/>
    <col collapsed="false" customWidth="true" hidden="false" outlineLevel="0" max="4" min="4" style="0" width="24"/>
    <col collapsed="false" customWidth="true" hidden="false" outlineLevel="0" max="5" min="5" style="0" width="9"/>
    <col collapsed="false" customWidth="true" hidden="false" outlineLevel="0" max="7" min="6" style="0" width="12"/>
    <col collapsed="false" customWidth="true" hidden="false" outlineLevel="0" max="8" min="8" style="0" width="10"/>
    <col collapsed="false" customWidth="true" hidden="false" outlineLevel="0" max="9" min="9" style="0" width="9"/>
    <col collapsed="false" customWidth="true" hidden="false" outlineLevel="0" max="10" min="10" style="0" width="18"/>
    <col collapsed="false" customWidth="true" hidden="false" outlineLevel="0" max="13" min="11" style="0" width="9"/>
    <col collapsed="false" customWidth="true" hidden="false" outlineLevel="0" max="14" min="14" style="0" width="17"/>
    <col collapsed="false" customWidth="true" hidden="false" outlineLevel="0" max="15" min="15" style="0" width="10"/>
    <col collapsed="false" customWidth="true" hidden="false" outlineLevel="0" max="16" min="16" style="0" width="9"/>
    <col collapsed="false" customWidth="true" hidden="false" outlineLevel="0" max="17" min="17" style="0" width="10"/>
    <col collapsed="false" customWidth="true" hidden="false" outlineLevel="0" max="18" min="18" style="0" width="11"/>
    <col collapsed="false" customWidth="true" hidden="false" outlineLevel="0" max="19" min="19" style="0" width="10"/>
    <col collapsed="false" customWidth="true" hidden="false" outlineLevel="0" max="24" min="20" style="0" width="9"/>
    <col collapsed="false" customWidth="true" hidden="false" outlineLevel="0" max="25" min="25" style="0" width="10"/>
    <col collapsed="false" customWidth="true" hidden="false" outlineLevel="0" max="26" min="26" style="0" width="11"/>
    <col collapsed="false" customWidth="true" hidden="false" outlineLevel="0" max="28" min="27" style="0" width="9"/>
    <col collapsed="false" customWidth="true" hidden="false" outlineLevel="0" max="29" min="29" style="0" width="11"/>
    <col collapsed="false" customWidth="true" hidden="false" outlineLevel="0" max="31" min="30" style="0" width="10"/>
    <col collapsed="false" customWidth="true" hidden="false" outlineLevel="0" max="32" min="32" style="0" width="11"/>
    <col collapsed="false" customWidth="true" hidden="false" outlineLevel="0" max="33" min="33" style="0" width="32"/>
    <col collapsed="false" customWidth="true" hidden="false" outlineLevel="0" max="34" min="34" style="0" width="28"/>
    <col collapsed="false" customWidth="true" hidden="false" outlineLevel="0" max="37" min="35" style="0" width="12"/>
    <col collapsed="false" customWidth="true" hidden="false" outlineLevel="0" max="38" min="38" style="0" width="36"/>
    <col collapsed="false" customWidth="true" hidden="false" outlineLevel="0" max="39" min="39" style="0" width="11"/>
    <col collapsed="false" customWidth="true" hidden="false" outlineLevel="0" max="41" min="40" style="0" width="12"/>
    <col collapsed="false" customWidth="true" hidden="false" outlineLevel="0" max="42" min="42" style="0" width="26"/>
  </cols>
  <sheetData>
    <row r="1" customFormat="false" ht="17.35" hidden="false" customHeight="false" outlineLevel="0" collapsed="false">
      <c r="A1" s="38" t="s">
        <v>285</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row>
    <row r="2" customFormat="false" ht="15" hidden="false" customHeight="false" outlineLevel="0" collapsed="false">
      <c r="A2" s="18" t="s">
        <v>286</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row>
    <row r="3" customFormat="false" ht="15" hidden="false" customHeight="false" outlineLevel="0" collapsed="false">
      <c r="A3" s="1"/>
      <c r="B3" s="39" t="s">
        <v>287</v>
      </c>
      <c r="C3" s="1"/>
      <c r="D3" s="1"/>
      <c r="E3" s="1"/>
      <c r="F3" s="1"/>
      <c r="G3" s="1"/>
      <c r="H3" s="1"/>
      <c r="I3" s="1"/>
      <c r="J3" s="1"/>
      <c r="K3" s="40" t="n">
        <v>10</v>
      </c>
      <c r="L3" s="1"/>
      <c r="M3" s="1"/>
      <c r="N3" s="1"/>
      <c r="O3" s="41" t="s">
        <v>288</v>
      </c>
      <c r="P3" s="1"/>
      <c r="Q3" s="40" t="n">
        <v>72</v>
      </c>
      <c r="R3" s="1"/>
      <c r="S3" s="1"/>
      <c r="T3" s="40" t="n">
        <v>16</v>
      </c>
      <c r="U3" s="1"/>
      <c r="V3" s="1"/>
      <c r="W3" s="40" t="n">
        <v>15</v>
      </c>
      <c r="X3" s="1"/>
      <c r="Y3" s="40" t="n">
        <v>3</v>
      </c>
      <c r="Z3" s="1"/>
      <c r="AA3" s="41" t="s">
        <v>288</v>
      </c>
      <c r="AB3" s="41" t="s">
        <v>288</v>
      </c>
      <c r="AC3" s="1"/>
      <c r="AD3" s="1"/>
      <c r="AE3" s="1"/>
      <c r="AF3" s="1"/>
      <c r="AG3" s="1"/>
      <c r="AH3" s="1"/>
      <c r="AI3" s="1"/>
      <c r="AJ3" s="1"/>
      <c r="AK3" s="1"/>
      <c r="AL3" s="1"/>
      <c r="AM3" s="1"/>
      <c r="AN3" s="1"/>
      <c r="AO3" s="1"/>
      <c r="AP3" s="1"/>
    </row>
    <row r="4" customFormat="false" ht="19.5" hidden="false" customHeight="true" outlineLevel="0" collapsed="false">
      <c r="A4" s="42" t="s">
        <v>289</v>
      </c>
      <c r="B4" s="42"/>
      <c r="C4" s="42"/>
      <c r="D4" s="42"/>
      <c r="E4" s="42"/>
      <c r="F4" s="42" t="s">
        <v>290</v>
      </c>
      <c r="G4" s="42"/>
      <c r="H4" s="42"/>
      <c r="I4" s="42"/>
      <c r="J4" s="42"/>
      <c r="K4" s="42" t="s">
        <v>291</v>
      </c>
      <c r="L4" s="42"/>
      <c r="M4" s="42"/>
      <c r="N4" s="42"/>
      <c r="O4" s="42"/>
      <c r="P4" s="42"/>
      <c r="Q4" s="42"/>
      <c r="R4" s="42"/>
      <c r="S4" s="42"/>
      <c r="T4" s="42"/>
      <c r="U4" s="42"/>
      <c r="V4" s="42"/>
      <c r="W4" s="42" t="s">
        <v>292</v>
      </c>
      <c r="X4" s="42"/>
      <c r="Y4" s="42"/>
      <c r="Z4" s="42"/>
      <c r="AA4" s="42"/>
      <c r="AB4" s="42"/>
      <c r="AC4" s="42" t="s">
        <v>293</v>
      </c>
      <c r="AD4" s="42"/>
      <c r="AE4" s="42"/>
      <c r="AF4" s="42"/>
      <c r="AG4" s="42" t="s">
        <v>294</v>
      </c>
      <c r="AH4" s="42"/>
      <c r="AI4" s="42"/>
      <c r="AJ4" s="42"/>
      <c r="AK4" s="42"/>
      <c r="AL4" s="42"/>
      <c r="AM4" s="43" t="s">
        <v>295</v>
      </c>
      <c r="AN4" s="43"/>
      <c r="AO4" s="43"/>
      <c r="AP4" s="43"/>
    </row>
    <row r="5" customFormat="false" ht="61.5" hidden="false" customHeight="true" outlineLevel="0" collapsed="false">
      <c r="A5" s="44" t="s">
        <v>55</v>
      </c>
      <c r="B5" s="44" t="s">
        <v>59</v>
      </c>
      <c r="C5" s="44" t="s">
        <v>62</v>
      </c>
      <c r="D5" s="44" t="s">
        <v>65</v>
      </c>
      <c r="E5" s="44" t="s">
        <v>68</v>
      </c>
      <c r="F5" s="44" t="s">
        <v>72</v>
      </c>
      <c r="G5" s="44" t="s">
        <v>76</v>
      </c>
      <c r="H5" s="44" t="s">
        <v>79</v>
      </c>
      <c r="I5" s="44" t="s">
        <v>83</v>
      </c>
      <c r="J5" s="44" t="s">
        <v>86</v>
      </c>
      <c r="K5" s="44" t="s">
        <v>88</v>
      </c>
      <c r="L5" s="44" t="s">
        <v>91</v>
      </c>
      <c r="M5" s="44" t="s">
        <v>95</v>
      </c>
      <c r="N5" s="44" t="s">
        <v>98</v>
      </c>
      <c r="O5" s="45" t="s">
        <v>102</v>
      </c>
      <c r="P5" s="44" t="s">
        <v>106</v>
      </c>
      <c r="Q5" s="44" t="s">
        <v>109</v>
      </c>
      <c r="R5" s="44" t="s">
        <v>113</v>
      </c>
      <c r="S5" s="44" t="s">
        <v>117</v>
      </c>
      <c r="T5" s="44" t="s">
        <v>120</v>
      </c>
      <c r="U5" s="44" t="s">
        <v>123</v>
      </c>
      <c r="V5" s="44" t="s">
        <v>125</v>
      </c>
      <c r="W5" s="44" t="s">
        <v>127</v>
      </c>
      <c r="X5" s="44" t="s">
        <v>130</v>
      </c>
      <c r="Y5" s="44" t="s">
        <v>134</v>
      </c>
      <c r="Z5" s="44" t="s">
        <v>136</v>
      </c>
      <c r="AA5" s="45" t="s">
        <v>139</v>
      </c>
      <c r="AB5" s="45" t="s">
        <v>141</v>
      </c>
      <c r="AC5" s="44" t="s">
        <v>143</v>
      </c>
      <c r="AD5" s="44" t="s">
        <v>146</v>
      </c>
      <c r="AE5" s="44" t="s">
        <v>149</v>
      </c>
      <c r="AF5" s="44" t="s">
        <v>151</v>
      </c>
      <c r="AG5" s="44" t="s">
        <v>48</v>
      </c>
      <c r="AH5" s="44" t="s">
        <v>156</v>
      </c>
      <c r="AI5" s="44" t="s">
        <v>160</v>
      </c>
      <c r="AJ5" s="44" t="s">
        <v>164</v>
      </c>
      <c r="AK5" s="44" t="s">
        <v>167</v>
      </c>
      <c r="AL5" s="44" t="s">
        <v>170</v>
      </c>
      <c r="AM5" s="44" t="s">
        <v>173</v>
      </c>
      <c r="AN5" s="44" t="s">
        <v>176</v>
      </c>
      <c r="AO5" s="44" t="s">
        <v>179</v>
      </c>
      <c r="AP5" s="44" t="s">
        <v>181</v>
      </c>
    </row>
    <row r="6" customFormat="false" ht="15" hidden="false" customHeight="false" outlineLevel="0" collapsed="false">
      <c r="A6" s="7" t="s">
        <v>296</v>
      </c>
      <c r="B6" s="7" t="s">
        <v>297</v>
      </c>
      <c r="C6" s="46" t="n">
        <v>44221</v>
      </c>
      <c r="D6" s="7" t="s">
        <v>298</v>
      </c>
      <c r="E6" s="47" t="s">
        <v>69</v>
      </c>
      <c r="F6" s="46" t="n">
        <v>46276</v>
      </c>
      <c r="G6" s="46" t="n">
        <v>46310</v>
      </c>
      <c r="H6" s="7" t="s">
        <v>299</v>
      </c>
      <c r="I6" s="7" t="s">
        <v>84</v>
      </c>
      <c r="J6" s="47" t="s">
        <v>37</v>
      </c>
      <c r="K6" s="47" t="n">
        <v>3</v>
      </c>
      <c r="L6" s="47" t="s">
        <v>221</v>
      </c>
      <c r="M6" s="47" t="s">
        <v>221</v>
      </c>
      <c r="N6" s="47" t="s">
        <v>300</v>
      </c>
      <c r="O6" s="10"/>
      <c r="P6" s="47" t="s">
        <v>221</v>
      </c>
      <c r="Q6" s="47" t="n">
        <v>0</v>
      </c>
      <c r="R6" s="48" t="str">
        <f aca="false">IF(Q6="","",IF(Q6=0,"below 5:00",IF(Q6&gt;=66,"16:00 or above",INT((60+2*Q6)/12)&amp;":"&amp;TEXT(MOD(60+2*Q6,12),"00"))))</f>
        <v>below 5:00</v>
      </c>
      <c r="S6" s="47" t="s">
        <v>118</v>
      </c>
      <c r="T6" s="47" t="n">
        <v>4</v>
      </c>
      <c r="U6" s="47" t="s">
        <v>220</v>
      </c>
      <c r="V6" s="47" t="s">
        <v>221</v>
      </c>
      <c r="W6" s="47" t="n">
        <v>7</v>
      </c>
      <c r="X6" s="47" t="n">
        <v>2</v>
      </c>
      <c r="Y6" s="47" t="n">
        <v>1</v>
      </c>
      <c r="Z6" s="47"/>
      <c r="AA6" s="10"/>
      <c r="AB6" s="10"/>
      <c r="AC6" s="47" t="n">
        <v>2</v>
      </c>
      <c r="AD6" s="47"/>
      <c r="AE6" s="47"/>
      <c r="AF6" s="47"/>
      <c r="AG6" s="47" t="s">
        <v>153</v>
      </c>
      <c r="AH6" s="47" t="s">
        <v>252</v>
      </c>
      <c r="AI6" s="46" t="n">
        <v>46314</v>
      </c>
      <c r="AJ6" s="46" t="n">
        <v>46316</v>
      </c>
      <c r="AK6" s="46" t="n">
        <v>46316</v>
      </c>
      <c r="AL6" s="7"/>
      <c r="AM6" s="49" t="n">
        <f aca="false">IF(OR(C6="",G6=""),"",IFERROR(DATEDIF(C6,G6,"m"),""))</f>
        <v>68</v>
      </c>
      <c r="AN6" s="49" t="n">
        <f aca="false">IF(OR(Q6="",AM6=""),"",60+2*Q6-AM6)</f>
        <v>-8</v>
      </c>
      <c r="AO6" s="49" t="n">
        <f aca="false">IF(OR(G6="",AJ6=""),"",AJ6-G6)</f>
        <v>6</v>
      </c>
      <c r="AP6" s="50" t="str">
        <f aca="false">IF(AND(A6="",B6=""),"",IF(J6="","Status needed",IF(OR(J6="Applied",J6="Visit booked",J6="Withdrawn"),"OK",IF(G6="","Date assessed needed",IF(C6="","Date of birth needed",IF(COUNTA(L6,M6,P6,U6,V6,X6)&lt;6,"Band missing",IF(AND(OR(J6="Decision confirmed",J6="Family told",J6="Enrolled"),AG6=""),"Recommendation needed",IF(AND(OR(J6="Family told",J6="Enrolled"),AJ6=""),"Date family told needed","OK"))))))))</f>
        <v>OK</v>
      </c>
    </row>
    <row r="7" customFormat="false" ht="15" hidden="false" customHeight="false" outlineLevel="0" collapsed="false">
      <c r="A7" s="7" t="s">
        <v>301</v>
      </c>
      <c r="B7" s="7" t="s">
        <v>302</v>
      </c>
      <c r="C7" s="46" t="n">
        <v>44150</v>
      </c>
      <c r="D7" s="7" t="s">
        <v>303</v>
      </c>
      <c r="E7" s="47" t="s">
        <v>69</v>
      </c>
      <c r="F7" s="46" t="n">
        <v>46263</v>
      </c>
      <c r="G7" s="46" t="n">
        <v>46276</v>
      </c>
      <c r="H7" s="7" t="s">
        <v>299</v>
      </c>
      <c r="I7" s="7" t="s">
        <v>84</v>
      </c>
      <c r="J7" s="47" t="s">
        <v>33</v>
      </c>
      <c r="K7" s="47" t="n">
        <v>5</v>
      </c>
      <c r="L7" s="47" t="s">
        <v>92</v>
      </c>
      <c r="M7" s="47" t="s">
        <v>92</v>
      </c>
      <c r="N7" s="47" t="s">
        <v>304</v>
      </c>
      <c r="O7" s="10"/>
      <c r="P7" s="47" t="s">
        <v>92</v>
      </c>
      <c r="Q7" s="47" t="n">
        <v>11</v>
      </c>
      <c r="R7" s="48" t="str">
        <f aca="false">IF(Q7="","",IF(Q7=0,"below 5:00",IF(Q7&gt;=66,"16:00 or above",INT((60+2*Q7)/12)&amp;":"&amp;TEXT(MOD(60+2*Q7,12),"00"))))</f>
        <v>6:10</v>
      </c>
      <c r="S7" s="47" t="s">
        <v>222</v>
      </c>
      <c r="T7" s="47" t="n">
        <v>9</v>
      </c>
      <c r="U7" s="47" t="s">
        <v>92</v>
      </c>
      <c r="V7" s="47" t="s">
        <v>92</v>
      </c>
      <c r="W7" s="47" t="n">
        <v>11</v>
      </c>
      <c r="X7" s="47" t="n">
        <v>3</v>
      </c>
      <c r="Y7" s="47" t="n">
        <v>2</v>
      </c>
      <c r="Z7" s="47"/>
      <c r="AA7" s="10"/>
      <c r="AB7" s="10"/>
      <c r="AC7" s="47" t="n">
        <v>2</v>
      </c>
      <c r="AD7" s="47"/>
      <c r="AE7" s="47"/>
      <c r="AF7" s="47"/>
      <c r="AG7" s="47" t="s">
        <v>153</v>
      </c>
      <c r="AH7" s="47" t="s">
        <v>157</v>
      </c>
      <c r="AI7" s="46" t="n">
        <v>46282</v>
      </c>
      <c r="AJ7" s="46"/>
      <c r="AK7" s="46"/>
      <c r="AL7" s="7"/>
      <c r="AM7" s="49" t="n">
        <f aca="false">IF(OR(C7="",G7=""),"",IFERROR(DATEDIF(C7,G7,"m"),""))</f>
        <v>69</v>
      </c>
      <c r="AN7" s="49" t="n">
        <f aca="false">IF(OR(Q7="",AM7=""),"",60+2*Q7-AM7)</f>
        <v>13</v>
      </c>
      <c r="AO7" s="49" t="str">
        <f aca="false">IF(OR(G7="",AJ7=""),"",AJ7-G7)</f>
        <v/>
      </c>
      <c r="AP7" s="50" t="str">
        <f aca="false">IF(AND(A7="",B7=""),"",IF(J7="","Status needed",IF(OR(J7="Applied",J7="Visit booked",J7="Withdrawn"),"OK",IF(G7="","Date assessed needed",IF(C7="","Date of birth needed",IF(COUNTA(L7,M7,P7,U7,V7,X7)&lt;6,"Band missing",IF(AND(OR(J7="Decision confirmed",J7="Family told",J7="Enrolled"),AG7=""),"Recommendation needed",IF(AND(OR(J7="Family told",J7="Enrolled"),AJ7=""),"Date family told needed","OK"))))))))</f>
        <v>OK</v>
      </c>
    </row>
    <row r="8" customFormat="false" ht="15" hidden="false" customHeight="false" outlineLevel="0" collapsed="false">
      <c r="A8" s="7" t="s">
        <v>305</v>
      </c>
      <c r="B8" s="7" t="s">
        <v>306</v>
      </c>
      <c r="C8" s="46" t="n">
        <v>44350</v>
      </c>
      <c r="D8" s="7" t="s">
        <v>307</v>
      </c>
      <c r="E8" s="47" t="s">
        <v>69</v>
      </c>
      <c r="F8" s="46" t="n">
        <v>46273</v>
      </c>
      <c r="G8" s="46" t="n">
        <v>46307</v>
      </c>
      <c r="H8" s="7" t="s">
        <v>299</v>
      </c>
      <c r="I8" s="7" t="s">
        <v>84</v>
      </c>
      <c r="J8" s="47" t="s">
        <v>37</v>
      </c>
      <c r="K8" s="47" t="n">
        <v>2</v>
      </c>
      <c r="L8" s="47" t="s">
        <v>220</v>
      </c>
      <c r="M8" s="47" t="s">
        <v>220</v>
      </c>
      <c r="N8" s="47" t="s">
        <v>308</v>
      </c>
      <c r="O8" s="10"/>
      <c r="P8" s="47" t="s">
        <v>220</v>
      </c>
      <c r="Q8" s="47" t="n">
        <v>0</v>
      </c>
      <c r="R8" s="48" t="str">
        <f aca="false">IF(Q8="","",IF(Q8=0,"below 5:00",IF(Q8&gt;=66,"16:00 or above",INT((60+2*Q8)/12)&amp;":"&amp;TEXT(MOD(60+2*Q8,12),"00"))))</f>
        <v>below 5:00</v>
      </c>
      <c r="S8" s="47" t="s">
        <v>222</v>
      </c>
      <c r="T8" s="47" t="n">
        <v>3</v>
      </c>
      <c r="U8" s="47" t="s">
        <v>220</v>
      </c>
      <c r="V8" s="47" t="s">
        <v>220</v>
      </c>
      <c r="W8" s="47" t="n">
        <v>9</v>
      </c>
      <c r="X8" s="47" t="n">
        <v>3</v>
      </c>
      <c r="Y8" s="47" t="n">
        <v>2</v>
      </c>
      <c r="Z8" s="47"/>
      <c r="AA8" s="10"/>
      <c r="AB8" s="10"/>
      <c r="AC8" s="47" t="n">
        <v>2</v>
      </c>
      <c r="AD8" s="47"/>
      <c r="AE8" s="47"/>
      <c r="AF8" s="47"/>
      <c r="AG8" s="47" t="s">
        <v>153</v>
      </c>
      <c r="AH8" s="47" t="s">
        <v>251</v>
      </c>
      <c r="AI8" s="46" t="n">
        <v>46312</v>
      </c>
      <c r="AJ8" s="46" t="n">
        <v>46314</v>
      </c>
      <c r="AK8" s="46" t="n">
        <v>46314</v>
      </c>
      <c r="AL8" s="7"/>
      <c r="AM8" s="49" t="n">
        <f aca="false">IF(OR(C8="",G8=""),"",IFERROR(DATEDIF(C8,G8,"m"),""))</f>
        <v>64</v>
      </c>
      <c r="AN8" s="49" t="n">
        <f aca="false">IF(OR(Q8="",AM8=""),"",60+2*Q8-AM8)</f>
        <v>-4</v>
      </c>
      <c r="AO8" s="49" t="n">
        <f aca="false">IF(OR(G8="",AJ8=""),"",AJ8-G8)</f>
        <v>7</v>
      </c>
      <c r="AP8" s="50" t="str">
        <f aca="false">IF(AND(A8="",B8=""),"",IF(J8="","Status needed",IF(OR(J8="Applied",J8="Visit booked",J8="Withdrawn"),"OK",IF(G8="","Date assessed needed",IF(C8="","Date of birth needed",IF(COUNTA(L8,M8,P8,U8,V8,X8)&lt;6,"Band missing",IF(AND(OR(J8="Decision confirmed",J8="Family told",J8="Enrolled"),AG8=""),"Recommendation needed",IF(AND(OR(J8="Family told",J8="Enrolled"),AJ8=""),"Date family told needed","OK"))))))))</f>
        <v>OK</v>
      </c>
    </row>
    <row r="9" customFormat="false" ht="15" hidden="false" customHeight="false" outlineLevel="0" collapsed="false">
      <c r="A9" s="7" t="s">
        <v>309</v>
      </c>
      <c r="B9" s="7" t="s">
        <v>310</v>
      </c>
      <c r="C9" s="46" t="n">
        <v>44190</v>
      </c>
      <c r="D9" s="7" t="s">
        <v>303</v>
      </c>
      <c r="E9" s="47" t="s">
        <v>311</v>
      </c>
      <c r="F9" s="46" t="n">
        <v>46270</v>
      </c>
      <c r="G9" s="46" t="n">
        <v>46297</v>
      </c>
      <c r="H9" s="7" t="s">
        <v>299</v>
      </c>
      <c r="I9" s="7" t="s">
        <v>84</v>
      </c>
      <c r="J9" s="47" t="s">
        <v>35</v>
      </c>
      <c r="K9" s="47" t="n">
        <v>5</v>
      </c>
      <c r="L9" s="47" t="s">
        <v>92</v>
      </c>
      <c r="M9" s="47" t="s">
        <v>118</v>
      </c>
      <c r="N9" s="47" t="s">
        <v>304</v>
      </c>
      <c r="O9" s="10"/>
      <c r="P9" s="47" t="s">
        <v>92</v>
      </c>
      <c r="Q9" s="47" t="n">
        <v>17</v>
      </c>
      <c r="R9" s="48" t="str">
        <f aca="false">IF(Q9="","",IF(Q9=0,"below 5:00",IF(Q9&gt;=66,"16:00 or above",INT((60+2*Q9)/12)&amp;":"&amp;TEXT(MOD(60+2*Q9,12),"00"))))</f>
        <v>7:10</v>
      </c>
      <c r="S9" s="47" t="s">
        <v>222</v>
      </c>
      <c r="T9" s="47" t="n">
        <v>7</v>
      </c>
      <c r="U9" s="47" t="s">
        <v>92</v>
      </c>
      <c r="V9" s="47" t="s">
        <v>92</v>
      </c>
      <c r="W9" s="47" t="n">
        <v>7</v>
      </c>
      <c r="X9" s="47" t="n">
        <v>2</v>
      </c>
      <c r="Y9" s="47" t="n">
        <v>2</v>
      </c>
      <c r="Z9" s="47"/>
      <c r="AA9" s="10"/>
      <c r="AB9" s="10"/>
      <c r="AC9" s="47" t="n">
        <v>3</v>
      </c>
      <c r="AD9" s="47" t="s">
        <v>311</v>
      </c>
      <c r="AE9" s="47"/>
      <c r="AF9" s="47"/>
      <c r="AG9" s="47" t="s">
        <v>153</v>
      </c>
      <c r="AH9" s="47" t="s">
        <v>157</v>
      </c>
      <c r="AI9" s="46" t="n">
        <v>46302</v>
      </c>
      <c r="AJ9" s="46" t="n">
        <v>46306</v>
      </c>
      <c r="AK9" s="46" t="n">
        <v>46306</v>
      </c>
      <c r="AL9" s="7"/>
      <c r="AM9" s="49" t="n">
        <f aca="false">IF(OR(C9="",G9=""),"",IFERROR(DATEDIF(C9,G9,"m"),""))</f>
        <v>69</v>
      </c>
      <c r="AN9" s="49" t="n">
        <f aca="false">IF(OR(Q9="",AM9=""),"",60+2*Q9-AM9)</f>
        <v>25</v>
      </c>
      <c r="AO9" s="49" t="n">
        <f aca="false">IF(OR(G9="",AJ9=""),"",AJ9-G9)</f>
        <v>9</v>
      </c>
      <c r="AP9" s="50" t="str">
        <f aca="false">IF(AND(A9="",B9=""),"",IF(J9="","Status needed",IF(OR(J9="Applied",J9="Visit booked",J9="Withdrawn"),"OK",IF(G9="","Date assessed needed",IF(C9="","Date of birth needed",IF(COUNTA(L9,M9,P9,U9,V9,X9)&lt;6,"Band missing",IF(AND(OR(J9="Decision confirmed",J9="Family told",J9="Enrolled"),AG9=""),"Recommendation needed",IF(AND(OR(J9="Family told",J9="Enrolled"),AJ9=""),"Date family told needed","OK"))))))))</f>
        <v>OK</v>
      </c>
    </row>
    <row r="10" customFormat="false" ht="15" hidden="false" customHeight="false" outlineLevel="0" collapsed="false">
      <c r="A10" s="7" t="s">
        <v>312</v>
      </c>
      <c r="B10" s="7" t="s">
        <v>313</v>
      </c>
      <c r="C10" s="46" t="n">
        <v>44202</v>
      </c>
      <c r="D10" s="7" t="s">
        <v>307</v>
      </c>
      <c r="E10" s="47" t="s">
        <v>69</v>
      </c>
      <c r="F10" s="46" t="n">
        <v>46297</v>
      </c>
      <c r="G10" s="46" t="n">
        <v>46307</v>
      </c>
      <c r="H10" s="7" t="s">
        <v>314</v>
      </c>
      <c r="I10" s="7" t="s">
        <v>84</v>
      </c>
      <c r="J10" s="47" t="s">
        <v>35</v>
      </c>
      <c r="K10" s="47" t="n">
        <v>4</v>
      </c>
      <c r="L10" s="47" t="s">
        <v>221</v>
      </c>
      <c r="M10" s="47" t="s">
        <v>92</v>
      </c>
      <c r="N10" s="47" t="s">
        <v>304</v>
      </c>
      <c r="O10" s="10"/>
      <c r="P10" s="47" t="s">
        <v>92</v>
      </c>
      <c r="Q10" s="47" t="n">
        <v>6</v>
      </c>
      <c r="R10" s="48" t="str">
        <f aca="false">IF(Q10="","",IF(Q10=0,"below 5:00",IF(Q10&gt;=66,"16:00 or above",INT((60+2*Q10)/12)&amp;":"&amp;TEXT(MOD(60+2*Q10,12),"00"))))</f>
        <v>6:00</v>
      </c>
      <c r="S10" s="47" t="s">
        <v>222</v>
      </c>
      <c r="T10" s="47" t="n">
        <v>9</v>
      </c>
      <c r="U10" s="47" t="s">
        <v>92</v>
      </c>
      <c r="V10" s="47" t="s">
        <v>92</v>
      </c>
      <c r="W10" s="47" t="n">
        <v>4</v>
      </c>
      <c r="X10" s="47" t="n">
        <v>1</v>
      </c>
      <c r="Y10" s="47" t="n">
        <v>0</v>
      </c>
      <c r="Z10" s="47"/>
      <c r="AA10" s="10"/>
      <c r="AB10" s="10"/>
      <c r="AC10" s="47" t="n">
        <v>1</v>
      </c>
      <c r="AD10" s="47"/>
      <c r="AE10" s="47"/>
      <c r="AF10" s="47"/>
      <c r="AG10" s="47" t="s">
        <v>231</v>
      </c>
      <c r="AH10" s="47"/>
      <c r="AI10" s="46" t="n">
        <v>46312</v>
      </c>
      <c r="AJ10" s="46" t="n">
        <v>46315</v>
      </c>
      <c r="AK10" s="46" t="n">
        <v>46315</v>
      </c>
      <c r="AL10" s="7" t="s">
        <v>315</v>
      </c>
      <c r="AM10" s="49" t="n">
        <f aca="false">IF(OR(C10="",G10=""),"",IFERROR(DATEDIF(C10,G10,"m"),""))</f>
        <v>69</v>
      </c>
      <c r="AN10" s="49" t="n">
        <f aca="false">IF(OR(Q10="",AM10=""),"",60+2*Q10-AM10)</f>
        <v>3</v>
      </c>
      <c r="AO10" s="49" t="n">
        <f aca="false">IF(OR(G10="",AJ10=""),"",AJ10-G10)</f>
        <v>8</v>
      </c>
      <c r="AP10" s="50" t="str">
        <f aca="false">IF(AND(A10="",B10=""),"",IF(J10="","Status needed",IF(OR(J10="Applied",J10="Visit booked",J10="Withdrawn"),"OK",IF(G10="","Date assessed needed",IF(C10="","Date of birth needed",IF(COUNTA(L10,M10,P10,U10,V10,X10)&lt;6,"Band missing",IF(AND(OR(J10="Decision confirmed",J10="Family told",J10="Enrolled"),AG10=""),"Recommendation needed",IF(AND(OR(J10="Family told",J10="Enrolled"),AJ10=""),"Date family told needed","OK"))))))))</f>
        <v>OK</v>
      </c>
    </row>
    <row r="11" customFormat="false" ht="15" hidden="false" customHeight="false" outlineLevel="0" collapsed="false">
      <c r="A11" s="7" t="s">
        <v>316</v>
      </c>
      <c r="B11" s="7" t="s">
        <v>317</v>
      </c>
      <c r="C11" s="46" t="n">
        <v>44104</v>
      </c>
      <c r="D11" s="7" t="s">
        <v>298</v>
      </c>
      <c r="E11" s="47" t="s">
        <v>69</v>
      </c>
      <c r="F11" s="46" t="n">
        <v>46294</v>
      </c>
      <c r="G11" s="46"/>
      <c r="H11" s="7"/>
      <c r="I11" s="7" t="s">
        <v>84</v>
      </c>
      <c r="J11" s="47" t="s">
        <v>27</v>
      </c>
      <c r="K11" s="47"/>
      <c r="L11" s="47"/>
      <c r="M11" s="47"/>
      <c r="N11" s="47"/>
      <c r="O11" s="10"/>
      <c r="P11" s="47"/>
      <c r="Q11" s="47"/>
      <c r="R11" s="48" t="str">
        <f aca="false">IF(Q11="","",IF(Q11=0,"below 5:00",IF(Q11&gt;=66,"16:00 or above",INT((60+2*Q11)/12)&amp;":"&amp;TEXT(MOD(60+2*Q11,12),"00"))))</f>
        <v/>
      </c>
      <c r="S11" s="47"/>
      <c r="T11" s="47"/>
      <c r="U11" s="47"/>
      <c r="V11" s="47"/>
      <c r="W11" s="47"/>
      <c r="X11" s="47"/>
      <c r="Y11" s="47"/>
      <c r="Z11" s="47"/>
      <c r="AA11" s="10"/>
      <c r="AB11" s="10"/>
      <c r="AC11" s="47"/>
      <c r="AD11" s="47"/>
      <c r="AE11" s="47"/>
      <c r="AF11" s="47"/>
      <c r="AG11" s="47"/>
      <c r="AH11" s="47"/>
      <c r="AI11" s="46"/>
      <c r="AJ11" s="46"/>
      <c r="AK11" s="46"/>
      <c r="AL11" s="7"/>
      <c r="AM11" s="49" t="str">
        <f aca="false">IF(OR(C11="",G11=""),"",IFERROR(DATEDIF(C11,G11,"m"),""))</f>
        <v/>
      </c>
      <c r="AN11" s="49" t="str">
        <f aca="false">IF(OR(Q11="",AM11=""),"",60+2*Q11-AM11)</f>
        <v/>
      </c>
      <c r="AO11" s="49" t="str">
        <f aca="false">IF(OR(G11="",AJ11=""),"",AJ11-G11)</f>
        <v/>
      </c>
      <c r="AP11" s="50" t="str">
        <f aca="false">IF(AND(A11="",B11=""),"",IF(J11="","Status needed",IF(OR(J11="Applied",J11="Visit booked",J11="Withdrawn"),"OK",IF(G11="","Date assessed needed",IF(C11="","Date of birth needed",IF(COUNTA(L11,M11,P11,U11,V11,X11)&lt;6,"Band missing",IF(AND(OR(J11="Decision confirmed",J11="Family told",J11="Enrolled"),AG11=""),"Recommendation needed",IF(AND(OR(J11="Family told",J11="Enrolled"),AJ11=""),"Date family told needed","OK"))))))))</f>
        <v>OK</v>
      </c>
    </row>
    <row r="12" customFormat="false" ht="15" hidden="false" customHeight="false" outlineLevel="0" collapsed="false">
      <c r="A12" s="7"/>
      <c r="B12" s="7"/>
      <c r="C12" s="46"/>
      <c r="D12" s="7"/>
      <c r="E12" s="47"/>
      <c r="F12" s="46"/>
      <c r="G12" s="46"/>
      <c r="H12" s="7"/>
      <c r="I12" s="7"/>
      <c r="J12" s="47"/>
      <c r="K12" s="47"/>
      <c r="L12" s="47"/>
      <c r="M12" s="47"/>
      <c r="N12" s="47"/>
      <c r="O12" s="10"/>
      <c r="P12" s="47"/>
      <c r="Q12" s="47"/>
      <c r="R12" s="48" t="str">
        <f aca="false">IF(Q12="","",IF(Q12=0,"below 5:00",IF(Q12&gt;=66,"16:00 or above",INT((60+2*Q12)/12)&amp;":"&amp;TEXT(MOD(60+2*Q12,12),"00"))))</f>
        <v/>
      </c>
      <c r="S12" s="47"/>
      <c r="T12" s="47"/>
      <c r="U12" s="47"/>
      <c r="V12" s="47"/>
      <c r="W12" s="47"/>
      <c r="X12" s="47"/>
      <c r="Y12" s="47"/>
      <c r="Z12" s="47"/>
      <c r="AA12" s="10"/>
      <c r="AB12" s="10"/>
      <c r="AC12" s="47"/>
      <c r="AD12" s="47"/>
      <c r="AE12" s="47"/>
      <c r="AF12" s="47"/>
      <c r="AG12" s="47"/>
      <c r="AH12" s="47"/>
      <c r="AI12" s="46"/>
      <c r="AJ12" s="46"/>
      <c r="AK12" s="46"/>
      <c r="AL12" s="7"/>
      <c r="AM12" s="49" t="str">
        <f aca="false">IF(OR(C12="",G12=""),"",IFERROR(DATEDIF(C12,G12,"m"),""))</f>
        <v/>
      </c>
      <c r="AN12" s="49" t="str">
        <f aca="false">IF(OR(Q12="",AM12=""),"",60+2*Q12-AM12)</f>
        <v/>
      </c>
      <c r="AO12" s="49" t="str">
        <f aca="false">IF(OR(G12="",AJ12=""),"",AJ12-G12)</f>
        <v/>
      </c>
      <c r="AP12" s="50" t="str">
        <f aca="false">IF(AND(A12="",B12=""),"",IF(J12="","Status needed",IF(OR(J12="Applied",J12="Visit booked",J12="Withdrawn"),"OK",IF(G12="","Date assessed needed",IF(C12="","Date of birth needed",IF(COUNTA(L12,M12,P12,U12,V12,X12)&lt;6,"Band missing",IF(AND(OR(J12="Decision confirmed",J12="Family told",J12="Enrolled"),AG12=""),"Recommendation needed",IF(AND(OR(J12="Family told",J12="Enrolled"),AJ12=""),"Date family told needed","OK"))))))))</f>
        <v/>
      </c>
    </row>
    <row r="13" customFormat="false" ht="15" hidden="false" customHeight="false" outlineLevel="0" collapsed="false">
      <c r="A13" s="7"/>
      <c r="B13" s="7"/>
      <c r="C13" s="46"/>
      <c r="D13" s="7"/>
      <c r="E13" s="47"/>
      <c r="F13" s="46"/>
      <c r="G13" s="46"/>
      <c r="H13" s="7"/>
      <c r="I13" s="7"/>
      <c r="J13" s="47"/>
      <c r="K13" s="47"/>
      <c r="L13" s="47"/>
      <c r="M13" s="47"/>
      <c r="N13" s="47"/>
      <c r="O13" s="10"/>
      <c r="P13" s="47"/>
      <c r="Q13" s="47"/>
      <c r="R13" s="48" t="str">
        <f aca="false">IF(Q13="","",IF(Q13=0,"below 5:00",IF(Q13&gt;=66,"16:00 or above",INT((60+2*Q13)/12)&amp;":"&amp;TEXT(MOD(60+2*Q13,12),"00"))))</f>
        <v/>
      </c>
      <c r="S13" s="47"/>
      <c r="T13" s="47"/>
      <c r="U13" s="47"/>
      <c r="V13" s="47"/>
      <c r="W13" s="47"/>
      <c r="X13" s="47"/>
      <c r="Y13" s="47"/>
      <c r="Z13" s="47"/>
      <c r="AA13" s="10"/>
      <c r="AB13" s="10"/>
      <c r="AC13" s="47"/>
      <c r="AD13" s="47"/>
      <c r="AE13" s="47"/>
      <c r="AF13" s="47"/>
      <c r="AG13" s="47"/>
      <c r="AH13" s="47"/>
      <c r="AI13" s="46"/>
      <c r="AJ13" s="46"/>
      <c r="AK13" s="46"/>
      <c r="AL13" s="7"/>
      <c r="AM13" s="49" t="str">
        <f aca="false">IF(OR(C13="",G13=""),"",IFERROR(DATEDIF(C13,G13,"m"),""))</f>
        <v/>
      </c>
      <c r="AN13" s="49" t="str">
        <f aca="false">IF(OR(Q13="",AM13=""),"",60+2*Q13-AM13)</f>
        <v/>
      </c>
      <c r="AO13" s="49" t="str">
        <f aca="false">IF(OR(G13="",AJ13=""),"",AJ13-G13)</f>
        <v/>
      </c>
      <c r="AP13" s="50" t="str">
        <f aca="false">IF(AND(A13="",B13=""),"",IF(J13="","Status needed",IF(OR(J13="Applied",J13="Visit booked",J13="Withdrawn"),"OK",IF(G13="","Date assessed needed",IF(C13="","Date of birth needed",IF(COUNTA(L13,M13,P13,U13,V13,X13)&lt;6,"Band missing",IF(AND(OR(J13="Decision confirmed",J13="Family told",J13="Enrolled"),AG13=""),"Recommendation needed",IF(AND(OR(J13="Family told",J13="Enrolled"),AJ13=""),"Date family told needed","OK"))))))))</f>
        <v/>
      </c>
    </row>
    <row r="14" customFormat="false" ht="15" hidden="false" customHeight="false" outlineLevel="0" collapsed="false">
      <c r="A14" s="7"/>
      <c r="B14" s="7"/>
      <c r="C14" s="46"/>
      <c r="D14" s="7"/>
      <c r="E14" s="47"/>
      <c r="F14" s="46"/>
      <c r="G14" s="46"/>
      <c r="H14" s="7"/>
      <c r="I14" s="7"/>
      <c r="J14" s="47"/>
      <c r="K14" s="47"/>
      <c r="L14" s="47"/>
      <c r="M14" s="47"/>
      <c r="N14" s="47"/>
      <c r="O14" s="10"/>
      <c r="P14" s="47"/>
      <c r="Q14" s="47"/>
      <c r="R14" s="48" t="str">
        <f aca="false">IF(Q14="","",IF(Q14=0,"below 5:00",IF(Q14&gt;=66,"16:00 or above",INT((60+2*Q14)/12)&amp;":"&amp;TEXT(MOD(60+2*Q14,12),"00"))))</f>
        <v/>
      </c>
      <c r="S14" s="47"/>
      <c r="T14" s="47"/>
      <c r="U14" s="47"/>
      <c r="V14" s="47"/>
      <c r="W14" s="47"/>
      <c r="X14" s="47"/>
      <c r="Y14" s="47"/>
      <c r="Z14" s="47"/>
      <c r="AA14" s="10"/>
      <c r="AB14" s="10"/>
      <c r="AC14" s="47"/>
      <c r="AD14" s="47"/>
      <c r="AE14" s="47"/>
      <c r="AF14" s="47"/>
      <c r="AG14" s="47"/>
      <c r="AH14" s="47"/>
      <c r="AI14" s="46"/>
      <c r="AJ14" s="46"/>
      <c r="AK14" s="46"/>
      <c r="AL14" s="7"/>
      <c r="AM14" s="49" t="str">
        <f aca="false">IF(OR(C14="",G14=""),"",IFERROR(DATEDIF(C14,G14,"m"),""))</f>
        <v/>
      </c>
      <c r="AN14" s="49" t="str">
        <f aca="false">IF(OR(Q14="",AM14=""),"",60+2*Q14-AM14)</f>
        <v/>
      </c>
      <c r="AO14" s="49" t="str">
        <f aca="false">IF(OR(G14="",AJ14=""),"",AJ14-G14)</f>
        <v/>
      </c>
      <c r="AP14" s="50" t="str">
        <f aca="false">IF(AND(A14="",B14=""),"",IF(J14="","Status needed",IF(OR(J14="Applied",J14="Visit booked",J14="Withdrawn"),"OK",IF(G14="","Date assessed needed",IF(C14="","Date of birth needed",IF(COUNTA(L14,M14,P14,U14,V14,X14)&lt;6,"Band missing",IF(AND(OR(J14="Decision confirmed",J14="Family told",J14="Enrolled"),AG14=""),"Recommendation needed",IF(AND(OR(J14="Family told",J14="Enrolled"),AJ14=""),"Date family told needed","OK"))))))))</f>
        <v/>
      </c>
    </row>
    <row r="15" customFormat="false" ht="15" hidden="false" customHeight="false" outlineLevel="0" collapsed="false">
      <c r="A15" s="7"/>
      <c r="B15" s="7"/>
      <c r="C15" s="46"/>
      <c r="D15" s="7"/>
      <c r="E15" s="47"/>
      <c r="F15" s="46"/>
      <c r="G15" s="46"/>
      <c r="H15" s="7"/>
      <c r="I15" s="7"/>
      <c r="J15" s="47"/>
      <c r="K15" s="47"/>
      <c r="L15" s="47"/>
      <c r="M15" s="47"/>
      <c r="N15" s="47"/>
      <c r="O15" s="10"/>
      <c r="P15" s="47"/>
      <c r="Q15" s="47"/>
      <c r="R15" s="48" t="str">
        <f aca="false">IF(Q15="","",IF(Q15=0,"below 5:00",IF(Q15&gt;=66,"16:00 or above",INT((60+2*Q15)/12)&amp;":"&amp;TEXT(MOD(60+2*Q15,12),"00"))))</f>
        <v/>
      </c>
      <c r="S15" s="47"/>
      <c r="T15" s="47"/>
      <c r="U15" s="47"/>
      <c r="V15" s="47"/>
      <c r="W15" s="47"/>
      <c r="X15" s="47"/>
      <c r="Y15" s="47"/>
      <c r="Z15" s="47"/>
      <c r="AA15" s="10"/>
      <c r="AB15" s="10"/>
      <c r="AC15" s="47"/>
      <c r="AD15" s="47"/>
      <c r="AE15" s="47"/>
      <c r="AF15" s="47"/>
      <c r="AG15" s="47"/>
      <c r="AH15" s="47"/>
      <c r="AI15" s="46"/>
      <c r="AJ15" s="46"/>
      <c r="AK15" s="46"/>
      <c r="AL15" s="7"/>
      <c r="AM15" s="49" t="str">
        <f aca="false">IF(OR(C15="",G15=""),"",IFERROR(DATEDIF(C15,G15,"m"),""))</f>
        <v/>
      </c>
      <c r="AN15" s="49" t="str">
        <f aca="false">IF(OR(Q15="",AM15=""),"",60+2*Q15-AM15)</f>
        <v/>
      </c>
      <c r="AO15" s="49" t="str">
        <f aca="false">IF(OR(G15="",AJ15=""),"",AJ15-G15)</f>
        <v/>
      </c>
      <c r="AP15" s="50" t="str">
        <f aca="false">IF(AND(A15="",B15=""),"",IF(J15="","Status needed",IF(OR(J15="Applied",J15="Visit booked",J15="Withdrawn"),"OK",IF(G15="","Date assessed needed",IF(C15="","Date of birth needed",IF(COUNTA(L15,M15,P15,U15,V15,X15)&lt;6,"Band missing",IF(AND(OR(J15="Decision confirmed",J15="Family told",J15="Enrolled"),AG15=""),"Recommendation needed",IF(AND(OR(J15="Family told",J15="Enrolled"),AJ15=""),"Date family told needed","OK"))))))))</f>
        <v/>
      </c>
    </row>
    <row r="16" customFormat="false" ht="15" hidden="false" customHeight="false" outlineLevel="0" collapsed="false">
      <c r="A16" s="7"/>
      <c r="B16" s="7"/>
      <c r="C16" s="46"/>
      <c r="D16" s="7"/>
      <c r="E16" s="47"/>
      <c r="F16" s="46"/>
      <c r="G16" s="46"/>
      <c r="H16" s="7"/>
      <c r="I16" s="7"/>
      <c r="J16" s="47"/>
      <c r="K16" s="47"/>
      <c r="L16" s="47"/>
      <c r="M16" s="47"/>
      <c r="N16" s="47"/>
      <c r="O16" s="10"/>
      <c r="P16" s="47"/>
      <c r="Q16" s="47"/>
      <c r="R16" s="48" t="str">
        <f aca="false">IF(Q16="","",IF(Q16=0,"below 5:00",IF(Q16&gt;=66,"16:00 or above",INT((60+2*Q16)/12)&amp;":"&amp;TEXT(MOD(60+2*Q16,12),"00"))))</f>
        <v/>
      </c>
      <c r="S16" s="47"/>
      <c r="T16" s="47"/>
      <c r="U16" s="47"/>
      <c r="V16" s="47"/>
      <c r="W16" s="47"/>
      <c r="X16" s="47"/>
      <c r="Y16" s="47"/>
      <c r="Z16" s="47"/>
      <c r="AA16" s="10"/>
      <c r="AB16" s="10"/>
      <c r="AC16" s="47"/>
      <c r="AD16" s="47"/>
      <c r="AE16" s="47"/>
      <c r="AF16" s="47"/>
      <c r="AG16" s="47"/>
      <c r="AH16" s="47"/>
      <c r="AI16" s="46"/>
      <c r="AJ16" s="46"/>
      <c r="AK16" s="46"/>
      <c r="AL16" s="7"/>
      <c r="AM16" s="49" t="str">
        <f aca="false">IF(OR(C16="",G16=""),"",IFERROR(DATEDIF(C16,G16,"m"),""))</f>
        <v/>
      </c>
      <c r="AN16" s="49" t="str">
        <f aca="false">IF(OR(Q16="",AM16=""),"",60+2*Q16-AM16)</f>
        <v/>
      </c>
      <c r="AO16" s="49" t="str">
        <f aca="false">IF(OR(G16="",AJ16=""),"",AJ16-G16)</f>
        <v/>
      </c>
      <c r="AP16" s="50" t="str">
        <f aca="false">IF(AND(A16="",B16=""),"",IF(J16="","Status needed",IF(OR(J16="Applied",J16="Visit booked",J16="Withdrawn"),"OK",IF(G16="","Date assessed needed",IF(C16="","Date of birth needed",IF(COUNTA(L16,M16,P16,U16,V16,X16)&lt;6,"Band missing",IF(AND(OR(J16="Decision confirmed",J16="Family told",J16="Enrolled"),AG16=""),"Recommendation needed",IF(AND(OR(J16="Family told",J16="Enrolled"),AJ16=""),"Date family told needed","OK"))))))))</f>
        <v/>
      </c>
    </row>
    <row r="17" customFormat="false" ht="15" hidden="false" customHeight="false" outlineLevel="0" collapsed="false">
      <c r="A17" s="7"/>
      <c r="B17" s="7"/>
      <c r="C17" s="46"/>
      <c r="D17" s="7"/>
      <c r="E17" s="47"/>
      <c r="F17" s="46"/>
      <c r="G17" s="46"/>
      <c r="H17" s="7"/>
      <c r="I17" s="7"/>
      <c r="J17" s="47"/>
      <c r="K17" s="47"/>
      <c r="L17" s="47"/>
      <c r="M17" s="47"/>
      <c r="N17" s="47"/>
      <c r="O17" s="10"/>
      <c r="P17" s="47"/>
      <c r="Q17" s="47"/>
      <c r="R17" s="48" t="str">
        <f aca="false">IF(Q17="","",IF(Q17=0,"below 5:00",IF(Q17&gt;=66,"16:00 or above",INT((60+2*Q17)/12)&amp;":"&amp;TEXT(MOD(60+2*Q17,12),"00"))))</f>
        <v/>
      </c>
      <c r="S17" s="47"/>
      <c r="T17" s="47"/>
      <c r="U17" s="47"/>
      <c r="V17" s="47"/>
      <c r="W17" s="47"/>
      <c r="X17" s="47"/>
      <c r="Y17" s="47"/>
      <c r="Z17" s="47"/>
      <c r="AA17" s="10"/>
      <c r="AB17" s="10"/>
      <c r="AC17" s="47"/>
      <c r="AD17" s="47"/>
      <c r="AE17" s="47"/>
      <c r="AF17" s="47"/>
      <c r="AG17" s="47"/>
      <c r="AH17" s="47"/>
      <c r="AI17" s="46"/>
      <c r="AJ17" s="46"/>
      <c r="AK17" s="46"/>
      <c r="AL17" s="7"/>
      <c r="AM17" s="49" t="str">
        <f aca="false">IF(OR(C17="",G17=""),"",IFERROR(DATEDIF(C17,G17,"m"),""))</f>
        <v/>
      </c>
      <c r="AN17" s="49" t="str">
        <f aca="false">IF(OR(Q17="",AM17=""),"",60+2*Q17-AM17)</f>
        <v/>
      </c>
      <c r="AO17" s="49" t="str">
        <f aca="false">IF(OR(G17="",AJ17=""),"",AJ17-G17)</f>
        <v/>
      </c>
      <c r="AP17" s="50" t="str">
        <f aca="false">IF(AND(A17="",B17=""),"",IF(J17="","Status needed",IF(OR(J17="Applied",J17="Visit booked",J17="Withdrawn"),"OK",IF(G17="","Date assessed needed",IF(C17="","Date of birth needed",IF(COUNTA(L17,M17,P17,U17,V17,X17)&lt;6,"Band missing",IF(AND(OR(J17="Decision confirmed",J17="Family told",J17="Enrolled"),AG17=""),"Recommendation needed",IF(AND(OR(J17="Family told",J17="Enrolled"),AJ17=""),"Date family told needed","OK"))))))))</f>
        <v/>
      </c>
    </row>
    <row r="18" customFormat="false" ht="15" hidden="false" customHeight="false" outlineLevel="0" collapsed="false">
      <c r="A18" s="7"/>
      <c r="B18" s="7"/>
      <c r="C18" s="46"/>
      <c r="D18" s="7"/>
      <c r="E18" s="47"/>
      <c r="F18" s="46"/>
      <c r="G18" s="46"/>
      <c r="H18" s="7"/>
      <c r="I18" s="7"/>
      <c r="J18" s="47"/>
      <c r="K18" s="47"/>
      <c r="L18" s="47"/>
      <c r="M18" s="47"/>
      <c r="N18" s="47"/>
      <c r="O18" s="10"/>
      <c r="P18" s="47"/>
      <c r="Q18" s="47"/>
      <c r="R18" s="48" t="str">
        <f aca="false">IF(Q18="","",IF(Q18=0,"below 5:00",IF(Q18&gt;=66,"16:00 or above",INT((60+2*Q18)/12)&amp;":"&amp;TEXT(MOD(60+2*Q18,12),"00"))))</f>
        <v/>
      </c>
      <c r="S18" s="47"/>
      <c r="T18" s="47"/>
      <c r="U18" s="47"/>
      <c r="V18" s="47"/>
      <c r="W18" s="47"/>
      <c r="X18" s="47"/>
      <c r="Y18" s="47"/>
      <c r="Z18" s="47"/>
      <c r="AA18" s="10"/>
      <c r="AB18" s="10"/>
      <c r="AC18" s="47"/>
      <c r="AD18" s="47"/>
      <c r="AE18" s="47"/>
      <c r="AF18" s="47"/>
      <c r="AG18" s="47"/>
      <c r="AH18" s="47"/>
      <c r="AI18" s="46"/>
      <c r="AJ18" s="46"/>
      <c r="AK18" s="46"/>
      <c r="AL18" s="7"/>
      <c r="AM18" s="49" t="str">
        <f aca="false">IF(OR(C18="",G18=""),"",IFERROR(DATEDIF(C18,G18,"m"),""))</f>
        <v/>
      </c>
      <c r="AN18" s="49" t="str">
        <f aca="false">IF(OR(Q18="",AM18=""),"",60+2*Q18-AM18)</f>
        <v/>
      </c>
      <c r="AO18" s="49" t="str">
        <f aca="false">IF(OR(G18="",AJ18=""),"",AJ18-G18)</f>
        <v/>
      </c>
      <c r="AP18" s="50" t="str">
        <f aca="false">IF(AND(A18="",B18=""),"",IF(J18="","Status needed",IF(OR(J18="Applied",J18="Visit booked",J18="Withdrawn"),"OK",IF(G18="","Date assessed needed",IF(C18="","Date of birth needed",IF(COUNTA(L18,M18,P18,U18,V18,X18)&lt;6,"Band missing",IF(AND(OR(J18="Decision confirmed",J18="Family told",J18="Enrolled"),AG18=""),"Recommendation needed",IF(AND(OR(J18="Family told",J18="Enrolled"),AJ18=""),"Date family told needed","OK"))))))))</f>
        <v/>
      </c>
    </row>
    <row r="19" customFormat="false" ht="15" hidden="false" customHeight="false" outlineLevel="0" collapsed="false">
      <c r="A19" s="7"/>
      <c r="B19" s="7"/>
      <c r="C19" s="46"/>
      <c r="D19" s="7"/>
      <c r="E19" s="47"/>
      <c r="F19" s="46"/>
      <c r="G19" s="46"/>
      <c r="H19" s="7"/>
      <c r="I19" s="7"/>
      <c r="J19" s="47"/>
      <c r="K19" s="47"/>
      <c r="L19" s="47"/>
      <c r="M19" s="47"/>
      <c r="N19" s="47"/>
      <c r="O19" s="10"/>
      <c r="P19" s="47"/>
      <c r="Q19" s="47"/>
      <c r="R19" s="48" t="str">
        <f aca="false">IF(Q19="","",IF(Q19=0,"below 5:00",IF(Q19&gt;=66,"16:00 or above",INT((60+2*Q19)/12)&amp;":"&amp;TEXT(MOD(60+2*Q19,12),"00"))))</f>
        <v/>
      </c>
      <c r="S19" s="47"/>
      <c r="T19" s="47"/>
      <c r="U19" s="47"/>
      <c r="V19" s="47"/>
      <c r="W19" s="47"/>
      <c r="X19" s="47"/>
      <c r="Y19" s="47"/>
      <c r="Z19" s="47"/>
      <c r="AA19" s="10"/>
      <c r="AB19" s="10"/>
      <c r="AC19" s="47"/>
      <c r="AD19" s="47"/>
      <c r="AE19" s="47"/>
      <c r="AF19" s="47"/>
      <c r="AG19" s="47"/>
      <c r="AH19" s="47"/>
      <c r="AI19" s="46"/>
      <c r="AJ19" s="46"/>
      <c r="AK19" s="46"/>
      <c r="AL19" s="7"/>
      <c r="AM19" s="49" t="str">
        <f aca="false">IF(OR(C19="",G19=""),"",IFERROR(DATEDIF(C19,G19,"m"),""))</f>
        <v/>
      </c>
      <c r="AN19" s="49" t="str">
        <f aca="false">IF(OR(Q19="",AM19=""),"",60+2*Q19-AM19)</f>
        <v/>
      </c>
      <c r="AO19" s="49" t="str">
        <f aca="false">IF(OR(G19="",AJ19=""),"",AJ19-G19)</f>
        <v/>
      </c>
      <c r="AP19" s="50" t="str">
        <f aca="false">IF(AND(A19="",B19=""),"",IF(J19="","Status needed",IF(OR(J19="Applied",J19="Visit booked",J19="Withdrawn"),"OK",IF(G19="","Date assessed needed",IF(C19="","Date of birth needed",IF(COUNTA(L19,M19,P19,U19,V19,X19)&lt;6,"Band missing",IF(AND(OR(J19="Decision confirmed",J19="Family told",J19="Enrolled"),AG19=""),"Recommendation needed",IF(AND(OR(J19="Family told",J19="Enrolled"),AJ19=""),"Date family told needed","OK"))))))))</f>
        <v/>
      </c>
    </row>
    <row r="20" customFormat="false" ht="15" hidden="false" customHeight="false" outlineLevel="0" collapsed="false">
      <c r="A20" s="7"/>
      <c r="B20" s="7"/>
      <c r="C20" s="46"/>
      <c r="D20" s="7"/>
      <c r="E20" s="47"/>
      <c r="F20" s="46"/>
      <c r="G20" s="46"/>
      <c r="H20" s="7"/>
      <c r="I20" s="7"/>
      <c r="J20" s="47"/>
      <c r="K20" s="47"/>
      <c r="L20" s="47"/>
      <c r="M20" s="47"/>
      <c r="N20" s="47"/>
      <c r="O20" s="10"/>
      <c r="P20" s="47"/>
      <c r="Q20" s="47"/>
      <c r="R20" s="48" t="str">
        <f aca="false">IF(Q20="","",IF(Q20=0,"below 5:00",IF(Q20&gt;=66,"16:00 or above",INT((60+2*Q20)/12)&amp;":"&amp;TEXT(MOD(60+2*Q20,12),"00"))))</f>
        <v/>
      </c>
      <c r="S20" s="47"/>
      <c r="T20" s="47"/>
      <c r="U20" s="47"/>
      <c r="V20" s="47"/>
      <c r="W20" s="47"/>
      <c r="X20" s="47"/>
      <c r="Y20" s="47"/>
      <c r="Z20" s="47"/>
      <c r="AA20" s="10"/>
      <c r="AB20" s="10"/>
      <c r="AC20" s="47"/>
      <c r="AD20" s="47"/>
      <c r="AE20" s="47"/>
      <c r="AF20" s="47"/>
      <c r="AG20" s="47"/>
      <c r="AH20" s="47"/>
      <c r="AI20" s="46"/>
      <c r="AJ20" s="46"/>
      <c r="AK20" s="46"/>
      <c r="AL20" s="7"/>
      <c r="AM20" s="49" t="str">
        <f aca="false">IF(OR(C20="",G20=""),"",IFERROR(DATEDIF(C20,G20,"m"),""))</f>
        <v/>
      </c>
      <c r="AN20" s="49" t="str">
        <f aca="false">IF(OR(Q20="",AM20=""),"",60+2*Q20-AM20)</f>
        <v/>
      </c>
      <c r="AO20" s="49" t="str">
        <f aca="false">IF(OR(G20="",AJ20=""),"",AJ20-G20)</f>
        <v/>
      </c>
      <c r="AP20" s="50" t="str">
        <f aca="false">IF(AND(A20="",B20=""),"",IF(J20="","Status needed",IF(OR(J20="Applied",J20="Visit booked",J20="Withdrawn"),"OK",IF(G20="","Date assessed needed",IF(C20="","Date of birth needed",IF(COUNTA(L20,M20,P20,U20,V20,X20)&lt;6,"Band missing",IF(AND(OR(J20="Decision confirmed",J20="Family told",J20="Enrolled"),AG20=""),"Recommendation needed",IF(AND(OR(J20="Family told",J20="Enrolled"),AJ20=""),"Date family told needed","OK"))))))))</f>
        <v/>
      </c>
    </row>
    <row r="21" customFormat="false" ht="15" hidden="false" customHeight="false" outlineLevel="0" collapsed="false">
      <c r="A21" s="7"/>
      <c r="B21" s="7"/>
      <c r="C21" s="46"/>
      <c r="D21" s="7"/>
      <c r="E21" s="47"/>
      <c r="F21" s="46"/>
      <c r="G21" s="46"/>
      <c r="H21" s="7"/>
      <c r="I21" s="7"/>
      <c r="J21" s="47"/>
      <c r="K21" s="47"/>
      <c r="L21" s="47"/>
      <c r="M21" s="47"/>
      <c r="N21" s="47"/>
      <c r="O21" s="10"/>
      <c r="P21" s="47"/>
      <c r="Q21" s="47"/>
      <c r="R21" s="48" t="str">
        <f aca="false">IF(Q21="","",IF(Q21=0,"below 5:00",IF(Q21&gt;=66,"16:00 or above",INT((60+2*Q21)/12)&amp;":"&amp;TEXT(MOD(60+2*Q21,12),"00"))))</f>
        <v/>
      </c>
      <c r="S21" s="47"/>
      <c r="T21" s="47"/>
      <c r="U21" s="47"/>
      <c r="V21" s="47"/>
      <c r="W21" s="47"/>
      <c r="X21" s="47"/>
      <c r="Y21" s="47"/>
      <c r="Z21" s="47"/>
      <c r="AA21" s="10"/>
      <c r="AB21" s="10"/>
      <c r="AC21" s="47"/>
      <c r="AD21" s="47"/>
      <c r="AE21" s="47"/>
      <c r="AF21" s="47"/>
      <c r="AG21" s="47"/>
      <c r="AH21" s="47"/>
      <c r="AI21" s="46"/>
      <c r="AJ21" s="46"/>
      <c r="AK21" s="46"/>
      <c r="AL21" s="7"/>
      <c r="AM21" s="49" t="str">
        <f aca="false">IF(OR(C21="",G21=""),"",IFERROR(DATEDIF(C21,G21,"m"),""))</f>
        <v/>
      </c>
      <c r="AN21" s="49" t="str">
        <f aca="false">IF(OR(Q21="",AM21=""),"",60+2*Q21-AM21)</f>
        <v/>
      </c>
      <c r="AO21" s="49" t="str">
        <f aca="false">IF(OR(G21="",AJ21=""),"",AJ21-G21)</f>
        <v/>
      </c>
      <c r="AP21" s="50" t="str">
        <f aca="false">IF(AND(A21="",B21=""),"",IF(J21="","Status needed",IF(OR(J21="Applied",J21="Visit booked",J21="Withdrawn"),"OK",IF(G21="","Date assessed needed",IF(C21="","Date of birth needed",IF(COUNTA(L21,M21,P21,U21,V21,X21)&lt;6,"Band missing",IF(AND(OR(J21="Decision confirmed",J21="Family told",J21="Enrolled"),AG21=""),"Recommendation needed",IF(AND(OR(J21="Family told",J21="Enrolled"),AJ21=""),"Date family told needed","OK"))))))))</f>
        <v/>
      </c>
    </row>
    <row r="22" customFormat="false" ht="15" hidden="false" customHeight="false" outlineLevel="0" collapsed="false">
      <c r="A22" s="7"/>
      <c r="B22" s="7"/>
      <c r="C22" s="46"/>
      <c r="D22" s="7"/>
      <c r="E22" s="47"/>
      <c r="F22" s="46"/>
      <c r="G22" s="46"/>
      <c r="H22" s="7"/>
      <c r="I22" s="7"/>
      <c r="J22" s="47"/>
      <c r="K22" s="47"/>
      <c r="L22" s="47"/>
      <c r="M22" s="47"/>
      <c r="N22" s="47"/>
      <c r="O22" s="10"/>
      <c r="P22" s="47"/>
      <c r="Q22" s="47"/>
      <c r="R22" s="48" t="str">
        <f aca="false">IF(Q22="","",IF(Q22=0,"below 5:00",IF(Q22&gt;=66,"16:00 or above",INT((60+2*Q22)/12)&amp;":"&amp;TEXT(MOD(60+2*Q22,12),"00"))))</f>
        <v/>
      </c>
      <c r="S22" s="47"/>
      <c r="T22" s="47"/>
      <c r="U22" s="47"/>
      <c r="V22" s="47"/>
      <c r="W22" s="47"/>
      <c r="X22" s="47"/>
      <c r="Y22" s="47"/>
      <c r="Z22" s="47"/>
      <c r="AA22" s="10"/>
      <c r="AB22" s="10"/>
      <c r="AC22" s="47"/>
      <c r="AD22" s="47"/>
      <c r="AE22" s="47"/>
      <c r="AF22" s="47"/>
      <c r="AG22" s="47"/>
      <c r="AH22" s="47"/>
      <c r="AI22" s="46"/>
      <c r="AJ22" s="46"/>
      <c r="AK22" s="46"/>
      <c r="AL22" s="7"/>
      <c r="AM22" s="49" t="str">
        <f aca="false">IF(OR(C22="",G22=""),"",IFERROR(DATEDIF(C22,G22,"m"),""))</f>
        <v/>
      </c>
      <c r="AN22" s="49" t="str">
        <f aca="false">IF(OR(Q22="",AM22=""),"",60+2*Q22-AM22)</f>
        <v/>
      </c>
      <c r="AO22" s="49" t="str">
        <f aca="false">IF(OR(G22="",AJ22=""),"",AJ22-G22)</f>
        <v/>
      </c>
      <c r="AP22" s="50" t="str">
        <f aca="false">IF(AND(A22="",B22=""),"",IF(J22="","Status needed",IF(OR(J22="Applied",J22="Visit booked",J22="Withdrawn"),"OK",IF(G22="","Date assessed needed",IF(C22="","Date of birth needed",IF(COUNTA(L22,M22,P22,U22,V22,X22)&lt;6,"Band missing",IF(AND(OR(J22="Decision confirmed",J22="Family told",J22="Enrolled"),AG22=""),"Recommendation needed",IF(AND(OR(J22="Family told",J22="Enrolled"),AJ22=""),"Date family told needed","OK"))))))))</f>
        <v/>
      </c>
    </row>
    <row r="23" customFormat="false" ht="15" hidden="false" customHeight="false" outlineLevel="0" collapsed="false">
      <c r="A23" s="7"/>
      <c r="B23" s="7"/>
      <c r="C23" s="46"/>
      <c r="D23" s="7"/>
      <c r="E23" s="47"/>
      <c r="F23" s="46"/>
      <c r="G23" s="46"/>
      <c r="H23" s="7"/>
      <c r="I23" s="7"/>
      <c r="J23" s="47"/>
      <c r="K23" s="47"/>
      <c r="L23" s="47"/>
      <c r="M23" s="47"/>
      <c r="N23" s="47"/>
      <c r="O23" s="10"/>
      <c r="P23" s="47"/>
      <c r="Q23" s="47"/>
      <c r="R23" s="48" t="str">
        <f aca="false">IF(Q23="","",IF(Q23=0,"below 5:00",IF(Q23&gt;=66,"16:00 or above",INT((60+2*Q23)/12)&amp;":"&amp;TEXT(MOD(60+2*Q23,12),"00"))))</f>
        <v/>
      </c>
      <c r="S23" s="47"/>
      <c r="T23" s="47"/>
      <c r="U23" s="47"/>
      <c r="V23" s="47"/>
      <c r="W23" s="47"/>
      <c r="X23" s="47"/>
      <c r="Y23" s="47"/>
      <c r="Z23" s="47"/>
      <c r="AA23" s="10"/>
      <c r="AB23" s="10"/>
      <c r="AC23" s="47"/>
      <c r="AD23" s="47"/>
      <c r="AE23" s="47"/>
      <c r="AF23" s="47"/>
      <c r="AG23" s="47"/>
      <c r="AH23" s="47"/>
      <c r="AI23" s="46"/>
      <c r="AJ23" s="46"/>
      <c r="AK23" s="46"/>
      <c r="AL23" s="7"/>
      <c r="AM23" s="49" t="str">
        <f aca="false">IF(OR(C23="",G23=""),"",IFERROR(DATEDIF(C23,G23,"m"),""))</f>
        <v/>
      </c>
      <c r="AN23" s="49" t="str">
        <f aca="false">IF(OR(Q23="",AM23=""),"",60+2*Q23-AM23)</f>
        <v/>
      </c>
      <c r="AO23" s="49" t="str">
        <f aca="false">IF(OR(G23="",AJ23=""),"",AJ23-G23)</f>
        <v/>
      </c>
      <c r="AP23" s="50" t="str">
        <f aca="false">IF(AND(A23="",B23=""),"",IF(J23="","Status needed",IF(OR(J23="Applied",J23="Visit booked",J23="Withdrawn"),"OK",IF(G23="","Date assessed needed",IF(C23="","Date of birth needed",IF(COUNTA(L23,M23,P23,U23,V23,X23)&lt;6,"Band missing",IF(AND(OR(J23="Decision confirmed",J23="Family told",J23="Enrolled"),AG23=""),"Recommendation needed",IF(AND(OR(J23="Family told",J23="Enrolled"),AJ23=""),"Date family told needed","OK"))))))))</f>
        <v/>
      </c>
    </row>
    <row r="24" customFormat="false" ht="15" hidden="false" customHeight="false" outlineLevel="0" collapsed="false">
      <c r="A24" s="7"/>
      <c r="B24" s="7"/>
      <c r="C24" s="46"/>
      <c r="D24" s="7"/>
      <c r="E24" s="47"/>
      <c r="F24" s="46"/>
      <c r="G24" s="46"/>
      <c r="H24" s="7"/>
      <c r="I24" s="7"/>
      <c r="J24" s="47"/>
      <c r="K24" s="47"/>
      <c r="L24" s="47"/>
      <c r="M24" s="47"/>
      <c r="N24" s="47"/>
      <c r="O24" s="10"/>
      <c r="P24" s="47"/>
      <c r="Q24" s="47"/>
      <c r="R24" s="48" t="str">
        <f aca="false">IF(Q24="","",IF(Q24=0,"below 5:00",IF(Q24&gt;=66,"16:00 or above",INT((60+2*Q24)/12)&amp;":"&amp;TEXT(MOD(60+2*Q24,12),"00"))))</f>
        <v/>
      </c>
      <c r="S24" s="47"/>
      <c r="T24" s="47"/>
      <c r="U24" s="47"/>
      <c r="V24" s="47"/>
      <c r="W24" s="47"/>
      <c r="X24" s="47"/>
      <c r="Y24" s="47"/>
      <c r="Z24" s="47"/>
      <c r="AA24" s="10"/>
      <c r="AB24" s="10"/>
      <c r="AC24" s="47"/>
      <c r="AD24" s="47"/>
      <c r="AE24" s="47"/>
      <c r="AF24" s="47"/>
      <c r="AG24" s="47"/>
      <c r="AH24" s="47"/>
      <c r="AI24" s="46"/>
      <c r="AJ24" s="46"/>
      <c r="AK24" s="46"/>
      <c r="AL24" s="7"/>
      <c r="AM24" s="49" t="str">
        <f aca="false">IF(OR(C24="",G24=""),"",IFERROR(DATEDIF(C24,G24,"m"),""))</f>
        <v/>
      </c>
      <c r="AN24" s="49" t="str">
        <f aca="false">IF(OR(Q24="",AM24=""),"",60+2*Q24-AM24)</f>
        <v/>
      </c>
      <c r="AO24" s="49" t="str">
        <f aca="false">IF(OR(G24="",AJ24=""),"",AJ24-G24)</f>
        <v/>
      </c>
      <c r="AP24" s="50" t="str">
        <f aca="false">IF(AND(A24="",B24=""),"",IF(J24="","Status needed",IF(OR(J24="Applied",J24="Visit booked",J24="Withdrawn"),"OK",IF(G24="","Date assessed needed",IF(C24="","Date of birth needed",IF(COUNTA(L24,M24,P24,U24,V24,X24)&lt;6,"Band missing",IF(AND(OR(J24="Decision confirmed",J24="Family told",J24="Enrolled"),AG24=""),"Recommendation needed",IF(AND(OR(J24="Family told",J24="Enrolled"),AJ24=""),"Date family told needed","OK"))))))))</f>
        <v/>
      </c>
    </row>
    <row r="25" customFormat="false" ht="15" hidden="false" customHeight="false" outlineLevel="0" collapsed="false">
      <c r="A25" s="7"/>
      <c r="B25" s="7"/>
      <c r="C25" s="46"/>
      <c r="D25" s="7"/>
      <c r="E25" s="47"/>
      <c r="F25" s="46"/>
      <c r="G25" s="46"/>
      <c r="H25" s="7"/>
      <c r="I25" s="7"/>
      <c r="J25" s="47"/>
      <c r="K25" s="47"/>
      <c r="L25" s="47"/>
      <c r="M25" s="47"/>
      <c r="N25" s="47"/>
      <c r="O25" s="10"/>
      <c r="P25" s="47"/>
      <c r="Q25" s="47"/>
      <c r="R25" s="48" t="str">
        <f aca="false">IF(Q25="","",IF(Q25=0,"below 5:00",IF(Q25&gt;=66,"16:00 or above",INT((60+2*Q25)/12)&amp;":"&amp;TEXT(MOD(60+2*Q25,12),"00"))))</f>
        <v/>
      </c>
      <c r="S25" s="47"/>
      <c r="T25" s="47"/>
      <c r="U25" s="47"/>
      <c r="V25" s="47"/>
      <c r="W25" s="47"/>
      <c r="X25" s="47"/>
      <c r="Y25" s="47"/>
      <c r="Z25" s="47"/>
      <c r="AA25" s="10"/>
      <c r="AB25" s="10"/>
      <c r="AC25" s="47"/>
      <c r="AD25" s="47"/>
      <c r="AE25" s="47"/>
      <c r="AF25" s="47"/>
      <c r="AG25" s="47"/>
      <c r="AH25" s="47"/>
      <c r="AI25" s="46"/>
      <c r="AJ25" s="46"/>
      <c r="AK25" s="46"/>
      <c r="AL25" s="7"/>
      <c r="AM25" s="49" t="str">
        <f aca="false">IF(OR(C25="",G25=""),"",IFERROR(DATEDIF(C25,G25,"m"),""))</f>
        <v/>
      </c>
      <c r="AN25" s="49" t="str">
        <f aca="false">IF(OR(Q25="",AM25=""),"",60+2*Q25-AM25)</f>
        <v/>
      </c>
      <c r="AO25" s="49" t="str">
        <f aca="false">IF(OR(G25="",AJ25=""),"",AJ25-G25)</f>
        <v/>
      </c>
      <c r="AP25" s="50" t="str">
        <f aca="false">IF(AND(A25="",B25=""),"",IF(J25="","Status needed",IF(OR(J25="Applied",J25="Visit booked",J25="Withdrawn"),"OK",IF(G25="","Date assessed needed",IF(C25="","Date of birth needed",IF(COUNTA(L25,M25,P25,U25,V25,X25)&lt;6,"Band missing",IF(AND(OR(J25="Decision confirmed",J25="Family told",J25="Enrolled"),AG25=""),"Recommendation needed",IF(AND(OR(J25="Family told",J25="Enrolled"),AJ25=""),"Date family told needed","OK"))))))))</f>
        <v/>
      </c>
    </row>
    <row r="26" customFormat="false" ht="15" hidden="false" customHeight="false" outlineLevel="0" collapsed="false">
      <c r="A26" s="7"/>
      <c r="B26" s="7"/>
      <c r="C26" s="46"/>
      <c r="D26" s="7"/>
      <c r="E26" s="47"/>
      <c r="F26" s="46"/>
      <c r="G26" s="46"/>
      <c r="H26" s="7"/>
      <c r="I26" s="7"/>
      <c r="J26" s="47"/>
      <c r="K26" s="47"/>
      <c r="L26" s="47"/>
      <c r="M26" s="47"/>
      <c r="N26" s="47"/>
      <c r="O26" s="10"/>
      <c r="P26" s="47"/>
      <c r="Q26" s="47"/>
      <c r="R26" s="48" t="str">
        <f aca="false">IF(Q26="","",IF(Q26=0,"below 5:00",IF(Q26&gt;=66,"16:00 or above",INT((60+2*Q26)/12)&amp;":"&amp;TEXT(MOD(60+2*Q26,12),"00"))))</f>
        <v/>
      </c>
      <c r="S26" s="47"/>
      <c r="T26" s="47"/>
      <c r="U26" s="47"/>
      <c r="V26" s="47"/>
      <c r="W26" s="47"/>
      <c r="X26" s="47"/>
      <c r="Y26" s="47"/>
      <c r="Z26" s="47"/>
      <c r="AA26" s="10"/>
      <c r="AB26" s="10"/>
      <c r="AC26" s="47"/>
      <c r="AD26" s="47"/>
      <c r="AE26" s="47"/>
      <c r="AF26" s="47"/>
      <c r="AG26" s="47"/>
      <c r="AH26" s="47"/>
      <c r="AI26" s="46"/>
      <c r="AJ26" s="46"/>
      <c r="AK26" s="46"/>
      <c r="AL26" s="7"/>
      <c r="AM26" s="49" t="str">
        <f aca="false">IF(OR(C26="",G26=""),"",IFERROR(DATEDIF(C26,G26,"m"),""))</f>
        <v/>
      </c>
      <c r="AN26" s="49" t="str">
        <f aca="false">IF(OR(Q26="",AM26=""),"",60+2*Q26-AM26)</f>
        <v/>
      </c>
      <c r="AO26" s="49" t="str">
        <f aca="false">IF(OR(G26="",AJ26=""),"",AJ26-G26)</f>
        <v/>
      </c>
      <c r="AP26" s="50" t="str">
        <f aca="false">IF(AND(A26="",B26=""),"",IF(J26="","Status needed",IF(OR(J26="Applied",J26="Visit booked",J26="Withdrawn"),"OK",IF(G26="","Date assessed needed",IF(C26="","Date of birth needed",IF(COUNTA(L26,M26,P26,U26,V26,X26)&lt;6,"Band missing",IF(AND(OR(J26="Decision confirmed",J26="Family told",J26="Enrolled"),AG26=""),"Recommendation needed",IF(AND(OR(J26="Family told",J26="Enrolled"),AJ26=""),"Date family told needed","OK"))))))))</f>
        <v/>
      </c>
    </row>
    <row r="27" customFormat="false" ht="15" hidden="false" customHeight="false" outlineLevel="0" collapsed="false">
      <c r="A27" s="7"/>
      <c r="B27" s="7"/>
      <c r="C27" s="46"/>
      <c r="D27" s="7"/>
      <c r="E27" s="47"/>
      <c r="F27" s="46"/>
      <c r="G27" s="46"/>
      <c r="H27" s="7"/>
      <c r="I27" s="7"/>
      <c r="J27" s="47"/>
      <c r="K27" s="47"/>
      <c r="L27" s="47"/>
      <c r="M27" s="47"/>
      <c r="N27" s="47"/>
      <c r="O27" s="10"/>
      <c r="P27" s="47"/>
      <c r="Q27" s="47"/>
      <c r="R27" s="48" t="str">
        <f aca="false">IF(Q27="","",IF(Q27=0,"below 5:00",IF(Q27&gt;=66,"16:00 or above",INT((60+2*Q27)/12)&amp;":"&amp;TEXT(MOD(60+2*Q27,12),"00"))))</f>
        <v/>
      </c>
      <c r="S27" s="47"/>
      <c r="T27" s="47"/>
      <c r="U27" s="47"/>
      <c r="V27" s="47"/>
      <c r="W27" s="47"/>
      <c r="X27" s="47"/>
      <c r="Y27" s="47"/>
      <c r="Z27" s="47"/>
      <c r="AA27" s="10"/>
      <c r="AB27" s="10"/>
      <c r="AC27" s="47"/>
      <c r="AD27" s="47"/>
      <c r="AE27" s="47"/>
      <c r="AF27" s="47"/>
      <c r="AG27" s="47"/>
      <c r="AH27" s="47"/>
      <c r="AI27" s="46"/>
      <c r="AJ27" s="46"/>
      <c r="AK27" s="46"/>
      <c r="AL27" s="7"/>
      <c r="AM27" s="49" t="str">
        <f aca="false">IF(OR(C27="",G27=""),"",IFERROR(DATEDIF(C27,G27,"m"),""))</f>
        <v/>
      </c>
      <c r="AN27" s="49" t="str">
        <f aca="false">IF(OR(Q27="",AM27=""),"",60+2*Q27-AM27)</f>
        <v/>
      </c>
      <c r="AO27" s="49" t="str">
        <f aca="false">IF(OR(G27="",AJ27=""),"",AJ27-G27)</f>
        <v/>
      </c>
      <c r="AP27" s="50" t="str">
        <f aca="false">IF(AND(A27="",B27=""),"",IF(J27="","Status needed",IF(OR(J27="Applied",J27="Visit booked",J27="Withdrawn"),"OK",IF(G27="","Date assessed needed",IF(C27="","Date of birth needed",IF(COUNTA(L27,M27,P27,U27,V27,X27)&lt;6,"Band missing",IF(AND(OR(J27="Decision confirmed",J27="Family told",J27="Enrolled"),AG27=""),"Recommendation needed",IF(AND(OR(J27="Family told",J27="Enrolled"),AJ27=""),"Date family told needed","OK"))))))))</f>
        <v/>
      </c>
    </row>
    <row r="28" customFormat="false" ht="15" hidden="false" customHeight="false" outlineLevel="0" collapsed="false">
      <c r="A28" s="7"/>
      <c r="B28" s="7"/>
      <c r="C28" s="46"/>
      <c r="D28" s="7"/>
      <c r="E28" s="47"/>
      <c r="F28" s="46"/>
      <c r="G28" s="46"/>
      <c r="H28" s="7"/>
      <c r="I28" s="7"/>
      <c r="J28" s="47"/>
      <c r="K28" s="47"/>
      <c r="L28" s="47"/>
      <c r="M28" s="47"/>
      <c r="N28" s="47"/>
      <c r="O28" s="10"/>
      <c r="P28" s="47"/>
      <c r="Q28" s="47"/>
      <c r="R28" s="48" t="str">
        <f aca="false">IF(Q28="","",IF(Q28=0,"below 5:00",IF(Q28&gt;=66,"16:00 or above",INT((60+2*Q28)/12)&amp;":"&amp;TEXT(MOD(60+2*Q28,12),"00"))))</f>
        <v/>
      </c>
      <c r="S28" s="47"/>
      <c r="T28" s="47"/>
      <c r="U28" s="47"/>
      <c r="V28" s="47"/>
      <c r="W28" s="47"/>
      <c r="X28" s="47"/>
      <c r="Y28" s="47"/>
      <c r="Z28" s="47"/>
      <c r="AA28" s="10"/>
      <c r="AB28" s="10"/>
      <c r="AC28" s="47"/>
      <c r="AD28" s="47"/>
      <c r="AE28" s="47"/>
      <c r="AF28" s="47"/>
      <c r="AG28" s="47"/>
      <c r="AH28" s="47"/>
      <c r="AI28" s="46"/>
      <c r="AJ28" s="46"/>
      <c r="AK28" s="46"/>
      <c r="AL28" s="7"/>
      <c r="AM28" s="49" t="str">
        <f aca="false">IF(OR(C28="",G28=""),"",IFERROR(DATEDIF(C28,G28,"m"),""))</f>
        <v/>
      </c>
      <c r="AN28" s="49" t="str">
        <f aca="false">IF(OR(Q28="",AM28=""),"",60+2*Q28-AM28)</f>
        <v/>
      </c>
      <c r="AO28" s="49" t="str">
        <f aca="false">IF(OR(G28="",AJ28=""),"",AJ28-G28)</f>
        <v/>
      </c>
      <c r="AP28" s="50" t="str">
        <f aca="false">IF(AND(A28="",B28=""),"",IF(J28="","Status needed",IF(OR(J28="Applied",J28="Visit booked",J28="Withdrawn"),"OK",IF(G28="","Date assessed needed",IF(C28="","Date of birth needed",IF(COUNTA(L28,M28,P28,U28,V28,X28)&lt;6,"Band missing",IF(AND(OR(J28="Decision confirmed",J28="Family told",J28="Enrolled"),AG28=""),"Recommendation needed",IF(AND(OR(J28="Family told",J28="Enrolled"),AJ28=""),"Date family told needed","OK"))))))))</f>
        <v/>
      </c>
    </row>
    <row r="29" customFormat="false" ht="15" hidden="false" customHeight="false" outlineLevel="0" collapsed="false">
      <c r="A29" s="7"/>
      <c r="B29" s="7"/>
      <c r="C29" s="46"/>
      <c r="D29" s="7"/>
      <c r="E29" s="47"/>
      <c r="F29" s="46"/>
      <c r="G29" s="46"/>
      <c r="H29" s="7"/>
      <c r="I29" s="7"/>
      <c r="J29" s="47"/>
      <c r="K29" s="47"/>
      <c r="L29" s="47"/>
      <c r="M29" s="47"/>
      <c r="N29" s="47"/>
      <c r="O29" s="10"/>
      <c r="P29" s="47"/>
      <c r="Q29" s="47"/>
      <c r="R29" s="48" t="str">
        <f aca="false">IF(Q29="","",IF(Q29=0,"below 5:00",IF(Q29&gt;=66,"16:00 or above",INT((60+2*Q29)/12)&amp;":"&amp;TEXT(MOD(60+2*Q29,12),"00"))))</f>
        <v/>
      </c>
      <c r="S29" s="47"/>
      <c r="T29" s="47"/>
      <c r="U29" s="47"/>
      <c r="V29" s="47"/>
      <c r="W29" s="47"/>
      <c r="X29" s="47"/>
      <c r="Y29" s="47"/>
      <c r="Z29" s="47"/>
      <c r="AA29" s="10"/>
      <c r="AB29" s="10"/>
      <c r="AC29" s="47"/>
      <c r="AD29" s="47"/>
      <c r="AE29" s="47"/>
      <c r="AF29" s="47"/>
      <c r="AG29" s="47"/>
      <c r="AH29" s="47"/>
      <c r="AI29" s="46"/>
      <c r="AJ29" s="46"/>
      <c r="AK29" s="46"/>
      <c r="AL29" s="7"/>
      <c r="AM29" s="49" t="str">
        <f aca="false">IF(OR(C29="",G29=""),"",IFERROR(DATEDIF(C29,G29,"m"),""))</f>
        <v/>
      </c>
      <c r="AN29" s="49" t="str">
        <f aca="false">IF(OR(Q29="",AM29=""),"",60+2*Q29-AM29)</f>
        <v/>
      </c>
      <c r="AO29" s="49" t="str">
        <f aca="false">IF(OR(G29="",AJ29=""),"",AJ29-G29)</f>
        <v/>
      </c>
      <c r="AP29" s="50" t="str">
        <f aca="false">IF(AND(A29="",B29=""),"",IF(J29="","Status needed",IF(OR(J29="Applied",J29="Visit booked",J29="Withdrawn"),"OK",IF(G29="","Date assessed needed",IF(C29="","Date of birth needed",IF(COUNTA(L29,M29,P29,U29,V29,X29)&lt;6,"Band missing",IF(AND(OR(J29="Decision confirmed",J29="Family told",J29="Enrolled"),AG29=""),"Recommendation needed",IF(AND(OR(J29="Family told",J29="Enrolled"),AJ29=""),"Date family told needed","OK"))))))))</f>
        <v/>
      </c>
    </row>
    <row r="30" customFormat="false" ht="15" hidden="false" customHeight="false" outlineLevel="0" collapsed="false">
      <c r="A30" s="7"/>
      <c r="B30" s="7"/>
      <c r="C30" s="46"/>
      <c r="D30" s="7"/>
      <c r="E30" s="47"/>
      <c r="F30" s="46"/>
      <c r="G30" s="46"/>
      <c r="H30" s="7"/>
      <c r="I30" s="7"/>
      <c r="J30" s="47"/>
      <c r="K30" s="47"/>
      <c r="L30" s="47"/>
      <c r="M30" s="47"/>
      <c r="N30" s="47"/>
      <c r="O30" s="10"/>
      <c r="P30" s="47"/>
      <c r="Q30" s="47"/>
      <c r="R30" s="48" t="str">
        <f aca="false">IF(Q30="","",IF(Q30=0,"below 5:00",IF(Q30&gt;=66,"16:00 or above",INT((60+2*Q30)/12)&amp;":"&amp;TEXT(MOD(60+2*Q30,12),"00"))))</f>
        <v/>
      </c>
      <c r="S30" s="47"/>
      <c r="T30" s="47"/>
      <c r="U30" s="47"/>
      <c r="V30" s="47"/>
      <c r="W30" s="47"/>
      <c r="X30" s="47"/>
      <c r="Y30" s="47"/>
      <c r="Z30" s="47"/>
      <c r="AA30" s="10"/>
      <c r="AB30" s="10"/>
      <c r="AC30" s="47"/>
      <c r="AD30" s="47"/>
      <c r="AE30" s="47"/>
      <c r="AF30" s="47"/>
      <c r="AG30" s="47"/>
      <c r="AH30" s="47"/>
      <c r="AI30" s="46"/>
      <c r="AJ30" s="46"/>
      <c r="AK30" s="46"/>
      <c r="AL30" s="7"/>
      <c r="AM30" s="49" t="str">
        <f aca="false">IF(OR(C30="",G30=""),"",IFERROR(DATEDIF(C30,G30,"m"),""))</f>
        <v/>
      </c>
      <c r="AN30" s="49" t="str">
        <f aca="false">IF(OR(Q30="",AM30=""),"",60+2*Q30-AM30)</f>
        <v/>
      </c>
      <c r="AO30" s="49" t="str">
        <f aca="false">IF(OR(G30="",AJ30=""),"",AJ30-G30)</f>
        <v/>
      </c>
      <c r="AP30" s="50" t="str">
        <f aca="false">IF(AND(A30="",B30=""),"",IF(J30="","Status needed",IF(OR(J30="Applied",J30="Visit booked",J30="Withdrawn"),"OK",IF(G30="","Date assessed needed",IF(C30="","Date of birth needed",IF(COUNTA(L30,M30,P30,U30,V30,X30)&lt;6,"Band missing",IF(AND(OR(J30="Decision confirmed",J30="Family told",J30="Enrolled"),AG30=""),"Recommendation needed",IF(AND(OR(J30="Family told",J30="Enrolled"),AJ30=""),"Date family told needed","OK"))))))))</f>
        <v/>
      </c>
    </row>
    <row r="31" customFormat="false" ht="15" hidden="false" customHeight="false" outlineLevel="0" collapsed="false">
      <c r="A31" s="7"/>
      <c r="B31" s="7"/>
      <c r="C31" s="46"/>
      <c r="D31" s="7"/>
      <c r="E31" s="47"/>
      <c r="F31" s="46"/>
      <c r="G31" s="46"/>
      <c r="H31" s="7"/>
      <c r="I31" s="7"/>
      <c r="J31" s="47"/>
      <c r="K31" s="47"/>
      <c r="L31" s="47"/>
      <c r="M31" s="47"/>
      <c r="N31" s="47"/>
      <c r="O31" s="10"/>
      <c r="P31" s="47"/>
      <c r="Q31" s="47"/>
      <c r="R31" s="48" t="str">
        <f aca="false">IF(Q31="","",IF(Q31=0,"below 5:00",IF(Q31&gt;=66,"16:00 or above",INT((60+2*Q31)/12)&amp;":"&amp;TEXT(MOD(60+2*Q31,12),"00"))))</f>
        <v/>
      </c>
      <c r="S31" s="47"/>
      <c r="T31" s="47"/>
      <c r="U31" s="47"/>
      <c r="V31" s="47"/>
      <c r="W31" s="47"/>
      <c r="X31" s="47"/>
      <c r="Y31" s="47"/>
      <c r="Z31" s="47"/>
      <c r="AA31" s="10"/>
      <c r="AB31" s="10"/>
      <c r="AC31" s="47"/>
      <c r="AD31" s="47"/>
      <c r="AE31" s="47"/>
      <c r="AF31" s="47"/>
      <c r="AG31" s="47"/>
      <c r="AH31" s="47"/>
      <c r="AI31" s="46"/>
      <c r="AJ31" s="46"/>
      <c r="AK31" s="46"/>
      <c r="AL31" s="7"/>
      <c r="AM31" s="49" t="str">
        <f aca="false">IF(OR(C31="",G31=""),"",IFERROR(DATEDIF(C31,G31,"m"),""))</f>
        <v/>
      </c>
      <c r="AN31" s="49" t="str">
        <f aca="false">IF(OR(Q31="",AM31=""),"",60+2*Q31-AM31)</f>
        <v/>
      </c>
      <c r="AO31" s="49" t="str">
        <f aca="false">IF(OR(G31="",AJ31=""),"",AJ31-G31)</f>
        <v/>
      </c>
      <c r="AP31" s="50" t="str">
        <f aca="false">IF(AND(A31="",B31=""),"",IF(J31="","Status needed",IF(OR(J31="Applied",J31="Visit booked",J31="Withdrawn"),"OK",IF(G31="","Date assessed needed",IF(C31="","Date of birth needed",IF(COUNTA(L31,M31,P31,U31,V31,X31)&lt;6,"Band missing",IF(AND(OR(J31="Decision confirmed",J31="Family told",J31="Enrolled"),AG31=""),"Recommendation needed",IF(AND(OR(J31="Family told",J31="Enrolled"),AJ31=""),"Date family told needed","OK"))))))))</f>
        <v/>
      </c>
    </row>
    <row r="32" customFormat="false" ht="15" hidden="false" customHeight="false" outlineLevel="0" collapsed="false">
      <c r="A32" s="7"/>
      <c r="B32" s="7"/>
      <c r="C32" s="46"/>
      <c r="D32" s="7"/>
      <c r="E32" s="47"/>
      <c r="F32" s="46"/>
      <c r="G32" s="46"/>
      <c r="H32" s="7"/>
      <c r="I32" s="7"/>
      <c r="J32" s="47"/>
      <c r="K32" s="47"/>
      <c r="L32" s="47"/>
      <c r="M32" s="47"/>
      <c r="N32" s="47"/>
      <c r="O32" s="10"/>
      <c r="P32" s="47"/>
      <c r="Q32" s="47"/>
      <c r="R32" s="48" t="str">
        <f aca="false">IF(Q32="","",IF(Q32=0,"below 5:00",IF(Q32&gt;=66,"16:00 or above",INT((60+2*Q32)/12)&amp;":"&amp;TEXT(MOD(60+2*Q32,12),"00"))))</f>
        <v/>
      </c>
      <c r="S32" s="47"/>
      <c r="T32" s="47"/>
      <c r="U32" s="47"/>
      <c r="V32" s="47"/>
      <c r="W32" s="47"/>
      <c r="X32" s="47"/>
      <c r="Y32" s="47"/>
      <c r="Z32" s="47"/>
      <c r="AA32" s="10"/>
      <c r="AB32" s="10"/>
      <c r="AC32" s="47"/>
      <c r="AD32" s="47"/>
      <c r="AE32" s="47"/>
      <c r="AF32" s="47"/>
      <c r="AG32" s="47"/>
      <c r="AH32" s="47"/>
      <c r="AI32" s="46"/>
      <c r="AJ32" s="46"/>
      <c r="AK32" s="46"/>
      <c r="AL32" s="7"/>
      <c r="AM32" s="49" t="str">
        <f aca="false">IF(OR(C32="",G32=""),"",IFERROR(DATEDIF(C32,G32,"m"),""))</f>
        <v/>
      </c>
      <c r="AN32" s="49" t="str">
        <f aca="false">IF(OR(Q32="",AM32=""),"",60+2*Q32-AM32)</f>
        <v/>
      </c>
      <c r="AO32" s="49" t="str">
        <f aca="false">IF(OR(G32="",AJ32=""),"",AJ32-G32)</f>
        <v/>
      </c>
      <c r="AP32" s="50" t="str">
        <f aca="false">IF(AND(A32="",B32=""),"",IF(J32="","Status needed",IF(OR(J32="Applied",J32="Visit booked",J32="Withdrawn"),"OK",IF(G32="","Date assessed needed",IF(C32="","Date of birth needed",IF(COUNTA(L32,M32,P32,U32,V32,X32)&lt;6,"Band missing",IF(AND(OR(J32="Decision confirmed",J32="Family told",J32="Enrolled"),AG32=""),"Recommendation needed",IF(AND(OR(J32="Family told",J32="Enrolled"),AJ32=""),"Date family told needed","OK"))))))))</f>
        <v/>
      </c>
    </row>
    <row r="33" customFormat="false" ht="15" hidden="false" customHeight="false" outlineLevel="0" collapsed="false">
      <c r="A33" s="7"/>
      <c r="B33" s="7"/>
      <c r="C33" s="46"/>
      <c r="D33" s="7"/>
      <c r="E33" s="47"/>
      <c r="F33" s="46"/>
      <c r="G33" s="46"/>
      <c r="H33" s="7"/>
      <c r="I33" s="7"/>
      <c r="J33" s="47"/>
      <c r="K33" s="47"/>
      <c r="L33" s="47"/>
      <c r="M33" s="47"/>
      <c r="N33" s="47"/>
      <c r="O33" s="10"/>
      <c r="P33" s="47"/>
      <c r="Q33" s="47"/>
      <c r="R33" s="48" t="str">
        <f aca="false">IF(Q33="","",IF(Q33=0,"below 5:00",IF(Q33&gt;=66,"16:00 or above",INT((60+2*Q33)/12)&amp;":"&amp;TEXT(MOD(60+2*Q33,12),"00"))))</f>
        <v/>
      </c>
      <c r="S33" s="47"/>
      <c r="T33" s="47"/>
      <c r="U33" s="47"/>
      <c r="V33" s="47"/>
      <c r="W33" s="47"/>
      <c r="X33" s="47"/>
      <c r="Y33" s="47"/>
      <c r="Z33" s="47"/>
      <c r="AA33" s="10"/>
      <c r="AB33" s="10"/>
      <c r="AC33" s="47"/>
      <c r="AD33" s="47"/>
      <c r="AE33" s="47"/>
      <c r="AF33" s="47"/>
      <c r="AG33" s="47"/>
      <c r="AH33" s="47"/>
      <c r="AI33" s="46"/>
      <c r="AJ33" s="46"/>
      <c r="AK33" s="46"/>
      <c r="AL33" s="7"/>
      <c r="AM33" s="49" t="str">
        <f aca="false">IF(OR(C33="",G33=""),"",IFERROR(DATEDIF(C33,G33,"m"),""))</f>
        <v/>
      </c>
      <c r="AN33" s="49" t="str">
        <f aca="false">IF(OR(Q33="",AM33=""),"",60+2*Q33-AM33)</f>
        <v/>
      </c>
      <c r="AO33" s="49" t="str">
        <f aca="false">IF(OR(G33="",AJ33=""),"",AJ33-G33)</f>
        <v/>
      </c>
      <c r="AP33" s="50" t="str">
        <f aca="false">IF(AND(A33="",B33=""),"",IF(J33="","Status needed",IF(OR(J33="Applied",J33="Visit booked",J33="Withdrawn"),"OK",IF(G33="","Date assessed needed",IF(C33="","Date of birth needed",IF(COUNTA(L33,M33,P33,U33,V33,X33)&lt;6,"Band missing",IF(AND(OR(J33="Decision confirmed",J33="Family told",J33="Enrolled"),AG33=""),"Recommendation needed",IF(AND(OR(J33="Family told",J33="Enrolled"),AJ33=""),"Date family told needed","OK"))))))))</f>
        <v/>
      </c>
    </row>
    <row r="34" customFormat="false" ht="15" hidden="false" customHeight="false" outlineLevel="0" collapsed="false">
      <c r="A34" s="7"/>
      <c r="B34" s="7"/>
      <c r="C34" s="46"/>
      <c r="D34" s="7"/>
      <c r="E34" s="47"/>
      <c r="F34" s="46"/>
      <c r="G34" s="46"/>
      <c r="H34" s="7"/>
      <c r="I34" s="7"/>
      <c r="J34" s="47"/>
      <c r="K34" s="47"/>
      <c r="L34" s="47"/>
      <c r="M34" s="47"/>
      <c r="N34" s="47"/>
      <c r="O34" s="10"/>
      <c r="P34" s="47"/>
      <c r="Q34" s="47"/>
      <c r="R34" s="48" t="str">
        <f aca="false">IF(Q34="","",IF(Q34=0,"below 5:00",IF(Q34&gt;=66,"16:00 or above",INT((60+2*Q34)/12)&amp;":"&amp;TEXT(MOD(60+2*Q34,12),"00"))))</f>
        <v/>
      </c>
      <c r="S34" s="47"/>
      <c r="T34" s="47"/>
      <c r="U34" s="47"/>
      <c r="V34" s="47"/>
      <c r="W34" s="47"/>
      <c r="X34" s="47"/>
      <c r="Y34" s="47"/>
      <c r="Z34" s="47"/>
      <c r="AA34" s="10"/>
      <c r="AB34" s="10"/>
      <c r="AC34" s="47"/>
      <c r="AD34" s="47"/>
      <c r="AE34" s="47"/>
      <c r="AF34" s="47"/>
      <c r="AG34" s="47"/>
      <c r="AH34" s="47"/>
      <c r="AI34" s="46"/>
      <c r="AJ34" s="46"/>
      <c r="AK34" s="46"/>
      <c r="AL34" s="7"/>
      <c r="AM34" s="49" t="str">
        <f aca="false">IF(OR(C34="",G34=""),"",IFERROR(DATEDIF(C34,G34,"m"),""))</f>
        <v/>
      </c>
      <c r="AN34" s="49" t="str">
        <f aca="false">IF(OR(Q34="",AM34=""),"",60+2*Q34-AM34)</f>
        <v/>
      </c>
      <c r="AO34" s="49" t="str">
        <f aca="false">IF(OR(G34="",AJ34=""),"",AJ34-G34)</f>
        <v/>
      </c>
      <c r="AP34" s="50" t="str">
        <f aca="false">IF(AND(A34="",B34=""),"",IF(J34="","Status needed",IF(OR(J34="Applied",J34="Visit booked",J34="Withdrawn"),"OK",IF(G34="","Date assessed needed",IF(C34="","Date of birth needed",IF(COUNTA(L34,M34,P34,U34,V34,X34)&lt;6,"Band missing",IF(AND(OR(J34="Decision confirmed",J34="Family told",J34="Enrolled"),AG34=""),"Recommendation needed",IF(AND(OR(J34="Family told",J34="Enrolled"),AJ34=""),"Date family told needed","OK"))))))))</f>
        <v/>
      </c>
    </row>
    <row r="35" customFormat="false" ht="15" hidden="false" customHeight="false" outlineLevel="0" collapsed="false">
      <c r="A35" s="7"/>
      <c r="B35" s="7"/>
      <c r="C35" s="46"/>
      <c r="D35" s="7"/>
      <c r="E35" s="47"/>
      <c r="F35" s="46"/>
      <c r="G35" s="46"/>
      <c r="H35" s="7"/>
      <c r="I35" s="7"/>
      <c r="J35" s="47"/>
      <c r="K35" s="47"/>
      <c r="L35" s="47"/>
      <c r="M35" s="47"/>
      <c r="N35" s="47"/>
      <c r="O35" s="10"/>
      <c r="P35" s="47"/>
      <c r="Q35" s="47"/>
      <c r="R35" s="48" t="str">
        <f aca="false">IF(Q35="","",IF(Q35=0,"below 5:00",IF(Q35&gt;=66,"16:00 or above",INT((60+2*Q35)/12)&amp;":"&amp;TEXT(MOD(60+2*Q35,12),"00"))))</f>
        <v/>
      </c>
      <c r="S35" s="47"/>
      <c r="T35" s="47"/>
      <c r="U35" s="47"/>
      <c r="V35" s="47"/>
      <c r="W35" s="47"/>
      <c r="X35" s="47"/>
      <c r="Y35" s="47"/>
      <c r="Z35" s="47"/>
      <c r="AA35" s="10"/>
      <c r="AB35" s="10"/>
      <c r="AC35" s="47"/>
      <c r="AD35" s="47"/>
      <c r="AE35" s="47"/>
      <c r="AF35" s="47"/>
      <c r="AG35" s="47"/>
      <c r="AH35" s="47"/>
      <c r="AI35" s="46"/>
      <c r="AJ35" s="46"/>
      <c r="AK35" s="46"/>
      <c r="AL35" s="7"/>
      <c r="AM35" s="49" t="str">
        <f aca="false">IF(OR(C35="",G35=""),"",IFERROR(DATEDIF(C35,G35,"m"),""))</f>
        <v/>
      </c>
      <c r="AN35" s="49" t="str">
        <f aca="false">IF(OR(Q35="",AM35=""),"",60+2*Q35-AM35)</f>
        <v/>
      </c>
      <c r="AO35" s="49" t="str">
        <f aca="false">IF(OR(G35="",AJ35=""),"",AJ35-G35)</f>
        <v/>
      </c>
      <c r="AP35" s="50" t="str">
        <f aca="false">IF(AND(A35="",B35=""),"",IF(J35="","Status needed",IF(OR(J35="Applied",J35="Visit booked",J35="Withdrawn"),"OK",IF(G35="","Date assessed needed",IF(C35="","Date of birth needed",IF(COUNTA(L35,M35,P35,U35,V35,X35)&lt;6,"Band missing",IF(AND(OR(J35="Decision confirmed",J35="Family told",J35="Enrolled"),AG35=""),"Recommendation needed",IF(AND(OR(J35="Family told",J35="Enrolled"),AJ35=""),"Date family told needed","OK"))))))))</f>
        <v/>
      </c>
    </row>
    <row r="36" customFormat="false" ht="15" hidden="false" customHeight="false" outlineLevel="0" collapsed="false">
      <c r="A36" s="7"/>
      <c r="B36" s="7"/>
      <c r="C36" s="46"/>
      <c r="D36" s="7"/>
      <c r="E36" s="47"/>
      <c r="F36" s="46"/>
      <c r="G36" s="46"/>
      <c r="H36" s="7"/>
      <c r="I36" s="7"/>
      <c r="J36" s="47"/>
      <c r="K36" s="47"/>
      <c r="L36" s="47"/>
      <c r="M36" s="47"/>
      <c r="N36" s="47"/>
      <c r="O36" s="10"/>
      <c r="P36" s="47"/>
      <c r="Q36" s="47"/>
      <c r="R36" s="48" t="str">
        <f aca="false">IF(Q36="","",IF(Q36=0,"below 5:00",IF(Q36&gt;=66,"16:00 or above",INT((60+2*Q36)/12)&amp;":"&amp;TEXT(MOD(60+2*Q36,12),"00"))))</f>
        <v/>
      </c>
      <c r="S36" s="47"/>
      <c r="T36" s="47"/>
      <c r="U36" s="47"/>
      <c r="V36" s="47"/>
      <c r="W36" s="47"/>
      <c r="X36" s="47"/>
      <c r="Y36" s="47"/>
      <c r="Z36" s="47"/>
      <c r="AA36" s="10"/>
      <c r="AB36" s="10"/>
      <c r="AC36" s="47"/>
      <c r="AD36" s="47"/>
      <c r="AE36" s="47"/>
      <c r="AF36" s="47"/>
      <c r="AG36" s="47"/>
      <c r="AH36" s="47"/>
      <c r="AI36" s="46"/>
      <c r="AJ36" s="46"/>
      <c r="AK36" s="46"/>
      <c r="AL36" s="7"/>
      <c r="AM36" s="49" t="str">
        <f aca="false">IF(OR(C36="",G36=""),"",IFERROR(DATEDIF(C36,G36,"m"),""))</f>
        <v/>
      </c>
      <c r="AN36" s="49" t="str">
        <f aca="false">IF(OR(Q36="",AM36=""),"",60+2*Q36-AM36)</f>
        <v/>
      </c>
      <c r="AO36" s="49" t="str">
        <f aca="false">IF(OR(G36="",AJ36=""),"",AJ36-G36)</f>
        <v/>
      </c>
      <c r="AP36" s="50" t="str">
        <f aca="false">IF(AND(A36="",B36=""),"",IF(J36="","Status needed",IF(OR(J36="Applied",J36="Visit booked",J36="Withdrawn"),"OK",IF(G36="","Date assessed needed",IF(C36="","Date of birth needed",IF(COUNTA(L36,M36,P36,U36,V36,X36)&lt;6,"Band missing",IF(AND(OR(J36="Decision confirmed",J36="Family told",J36="Enrolled"),AG36=""),"Recommendation needed",IF(AND(OR(J36="Family told",J36="Enrolled"),AJ36=""),"Date family told needed","OK"))))))))</f>
        <v/>
      </c>
    </row>
    <row r="37" customFormat="false" ht="15" hidden="false" customHeight="false" outlineLevel="0" collapsed="false">
      <c r="A37" s="7"/>
      <c r="B37" s="7"/>
      <c r="C37" s="46"/>
      <c r="D37" s="7"/>
      <c r="E37" s="47"/>
      <c r="F37" s="46"/>
      <c r="G37" s="46"/>
      <c r="H37" s="7"/>
      <c r="I37" s="7"/>
      <c r="J37" s="47"/>
      <c r="K37" s="47"/>
      <c r="L37" s="47"/>
      <c r="M37" s="47"/>
      <c r="N37" s="47"/>
      <c r="O37" s="10"/>
      <c r="P37" s="47"/>
      <c r="Q37" s="47"/>
      <c r="R37" s="48" t="str">
        <f aca="false">IF(Q37="","",IF(Q37=0,"below 5:00",IF(Q37&gt;=66,"16:00 or above",INT((60+2*Q37)/12)&amp;":"&amp;TEXT(MOD(60+2*Q37,12),"00"))))</f>
        <v/>
      </c>
      <c r="S37" s="47"/>
      <c r="T37" s="47"/>
      <c r="U37" s="47"/>
      <c r="V37" s="47"/>
      <c r="W37" s="47"/>
      <c r="X37" s="47"/>
      <c r="Y37" s="47"/>
      <c r="Z37" s="47"/>
      <c r="AA37" s="10"/>
      <c r="AB37" s="10"/>
      <c r="AC37" s="47"/>
      <c r="AD37" s="47"/>
      <c r="AE37" s="47"/>
      <c r="AF37" s="47"/>
      <c r="AG37" s="47"/>
      <c r="AH37" s="47"/>
      <c r="AI37" s="46"/>
      <c r="AJ37" s="46"/>
      <c r="AK37" s="46"/>
      <c r="AL37" s="7"/>
      <c r="AM37" s="49" t="str">
        <f aca="false">IF(OR(C37="",G37=""),"",IFERROR(DATEDIF(C37,G37,"m"),""))</f>
        <v/>
      </c>
      <c r="AN37" s="49" t="str">
        <f aca="false">IF(OR(Q37="",AM37=""),"",60+2*Q37-AM37)</f>
        <v/>
      </c>
      <c r="AO37" s="49" t="str">
        <f aca="false">IF(OR(G37="",AJ37=""),"",AJ37-G37)</f>
        <v/>
      </c>
      <c r="AP37" s="50" t="str">
        <f aca="false">IF(AND(A37="",B37=""),"",IF(J37="","Status needed",IF(OR(J37="Applied",J37="Visit booked",J37="Withdrawn"),"OK",IF(G37="","Date assessed needed",IF(C37="","Date of birth needed",IF(COUNTA(L37,M37,P37,U37,V37,X37)&lt;6,"Band missing",IF(AND(OR(J37="Decision confirmed",J37="Family told",J37="Enrolled"),AG37=""),"Recommendation needed",IF(AND(OR(J37="Family told",J37="Enrolled"),AJ37=""),"Date family told needed","OK"))))))))</f>
        <v/>
      </c>
    </row>
    <row r="38" customFormat="false" ht="15" hidden="false" customHeight="false" outlineLevel="0" collapsed="false">
      <c r="A38" s="7"/>
      <c r="B38" s="7"/>
      <c r="C38" s="46"/>
      <c r="D38" s="7"/>
      <c r="E38" s="47"/>
      <c r="F38" s="46"/>
      <c r="G38" s="46"/>
      <c r="H38" s="7"/>
      <c r="I38" s="7"/>
      <c r="J38" s="47"/>
      <c r="K38" s="47"/>
      <c r="L38" s="47"/>
      <c r="M38" s="47"/>
      <c r="N38" s="47"/>
      <c r="O38" s="10"/>
      <c r="P38" s="47"/>
      <c r="Q38" s="47"/>
      <c r="R38" s="48" t="str">
        <f aca="false">IF(Q38="","",IF(Q38=0,"below 5:00",IF(Q38&gt;=66,"16:00 or above",INT((60+2*Q38)/12)&amp;":"&amp;TEXT(MOD(60+2*Q38,12),"00"))))</f>
        <v/>
      </c>
      <c r="S38" s="47"/>
      <c r="T38" s="47"/>
      <c r="U38" s="47"/>
      <c r="V38" s="47"/>
      <c r="W38" s="47"/>
      <c r="X38" s="47"/>
      <c r="Y38" s="47"/>
      <c r="Z38" s="47"/>
      <c r="AA38" s="10"/>
      <c r="AB38" s="10"/>
      <c r="AC38" s="47"/>
      <c r="AD38" s="47"/>
      <c r="AE38" s="47"/>
      <c r="AF38" s="47"/>
      <c r="AG38" s="47"/>
      <c r="AH38" s="47"/>
      <c r="AI38" s="46"/>
      <c r="AJ38" s="46"/>
      <c r="AK38" s="46"/>
      <c r="AL38" s="7"/>
      <c r="AM38" s="49" t="str">
        <f aca="false">IF(OR(C38="",G38=""),"",IFERROR(DATEDIF(C38,G38,"m"),""))</f>
        <v/>
      </c>
      <c r="AN38" s="49" t="str">
        <f aca="false">IF(OR(Q38="",AM38=""),"",60+2*Q38-AM38)</f>
        <v/>
      </c>
      <c r="AO38" s="49" t="str">
        <f aca="false">IF(OR(G38="",AJ38=""),"",AJ38-G38)</f>
        <v/>
      </c>
      <c r="AP38" s="50" t="str">
        <f aca="false">IF(AND(A38="",B38=""),"",IF(J38="","Status needed",IF(OR(J38="Applied",J38="Visit booked",J38="Withdrawn"),"OK",IF(G38="","Date assessed needed",IF(C38="","Date of birth needed",IF(COUNTA(L38,M38,P38,U38,V38,X38)&lt;6,"Band missing",IF(AND(OR(J38="Decision confirmed",J38="Family told",J38="Enrolled"),AG38=""),"Recommendation needed",IF(AND(OR(J38="Family told",J38="Enrolled"),AJ38=""),"Date family told needed","OK"))))))))</f>
        <v/>
      </c>
    </row>
    <row r="39" customFormat="false" ht="15" hidden="false" customHeight="false" outlineLevel="0" collapsed="false">
      <c r="A39" s="7"/>
      <c r="B39" s="7"/>
      <c r="C39" s="46"/>
      <c r="D39" s="7"/>
      <c r="E39" s="47"/>
      <c r="F39" s="46"/>
      <c r="G39" s="46"/>
      <c r="H39" s="7"/>
      <c r="I39" s="7"/>
      <c r="J39" s="47"/>
      <c r="K39" s="47"/>
      <c r="L39" s="47"/>
      <c r="M39" s="47"/>
      <c r="N39" s="47"/>
      <c r="O39" s="10"/>
      <c r="P39" s="47"/>
      <c r="Q39" s="47"/>
      <c r="R39" s="48" t="str">
        <f aca="false">IF(Q39="","",IF(Q39=0,"below 5:00",IF(Q39&gt;=66,"16:00 or above",INT((60+2*Q39)/12)&amp;":"&amp;TEXT(MOD(60+2*Q39,12),"00"))))</f>
        <v/>
      </c>
      <c r="S39" s="47"/>
      <c r="T39" s="47"/>
      <c r="U39" s="47"/>
      <c r="V39" s="47"/>
      <c r="W39" s="47"/>
      <c r="X39" s="47"/>
      <c r="Y39" s="47"/>
      <c r="Z39" s="47"/>
      <c r="AA39" s="10"/>
      <c r="AB39" s="10"/>
      <c r="AC39" s="47"/>
      <c r="AD39" s="47"/>
      <c r="AE39" s="47"/>
      <c r="AF39" s="47"/>
      <c r="AG39" s="47"/>
      <c r="AH39" s="47"/>
      <c r="AI39" s="46"/>
      <c r="AJ39" s="46"/>
      <c r="AK39" s="46"/>
      <c r="AL39" s="7"/>
      <c r="AM39" s="49" t="str">
        <f aca="false">IF(OR(C39="",G39=""),"",IFERROR(DATEDIF(C39,G39,"m"),""))</f>
        <v/>
      </c>
      <c r="AN39" s="49" t="str">
        <f aca="false">IF(OR(Q39="",AM39=""),"",60+2*Q39-AM39)</f>
        <v/>
      </c>
      <c r="AO39" s="49" t="str">
        <f aca="false">IF(OR(G39="",AJ39=""),"",AJ39-G39)</f>
        <v/>
      </c>
      <c r="AP39" s="50" t="str">
        <f aca="false">IF(AND(A39="",B39=""),"",IF(J39="","Status needed",IF(OR(J39="Applied",J39="Visit booked",J39="Withdrawn"),"OK",IF(G39="","Date assessed needed",IF(C39="","Date of birth needed",IF(COUNTA(L39,M39,P39,U39,V39,X39)&lt;6,"Band missing",IF(AND(OR(J39="Decision confirmed",J39="Family told",J39="Enrolled"),AG39=""),"Recommendation needed",IF(AND(OR(J39="Family told",J39="Enrolled"),AJ39=""),"Date family told needed","OK"))))))))</f>
        <v/>
      </c>
    </row>
    <row r="40" customFormat="false" ht="15" hidden="false" customHeight="false" outlineLevel="0" collapsed="false">
      <c r="A40" s="7"/>
      <c r="B40" s="7"/>
      <c r="C40" s="46"/>
      <c r="D40" s="7"/>
      <c r="E40" s="47"/>
      <c r="F40" s="46"/>
      <c r="G40" s="46"/>
      <c r="H40" s="7"/>
      <c r="I40" s="7"/>
      <c r="J40" s="47"/>
      <c r="K40" s="47"/>
      <c r="L40" s="47"/>
      <c r="M40" s="47"/>
      <c r="N40" s="47"/>
      <c r="O40" s="10"/>
      <c r="P40" s="47"/>
      <c r="Q40" s="47"/>
      <c r="R40" s="48" t="str">
        <f aca="false">IF(Q40="","",IF(Q40=0,"below 5:00",IF(Q40&gt;=66,"16:00 or above",INT((60+2*Q40)/12)&amp;":"&amp;TEXT(MOD(60+2*Q40,12),"00"))))</f>
        <v/>
      </c>
      <c r="S40" s="47"/>
      <c r="T40" s="47"/>
      <c r="U40" s="47"/>
      <c r="V40" s="47"/>
      <c r="W40" s="47"/>
      <c r="X40" s="47"/>
      <c r="Y40" s="47"/>
      <c r="Z40" s="47"/>
      <c r="AA40" s="10"/>
      <c r="AB40" s="10"/>
      <c r="AC40" s="47"/>
      <c r="AD40" s="47"/>
      <c r="AE40" s="47"/>
      <c r="AF40" s="47"/>
      <c r="AG40" s="47"/>
      <c r="AH40" s="47"/>
      <c r="AI40" s="46"/>
      <c r="AJ40" s="46"/>
      <c r="AK40" s="46"/>
      <c r="AL40" s="7"/>
      <c r="AM40" s="49" t="str">
        <f aca="false">IF(OR(C40="",G40=""),"",IFERROR(DATEDIF(C40,G40,"m"),""))</f>
        <v/>
      </c>
      <c r="AN40" s="49" t="str">
        <f aca="false">IF(OR(Q40="",AM40=""),"",60+2*Q40-AM40)</f>
        <v/>
      </c>
      <c r="AO40" s="49" t="str">
        <f aca="false">IF(OR(G40="",AJ40=""),"",AJ40-G40)</f>
        <v/>
      </c>
      <c r="AP40" s="50" t="str">
        <f aca="false">IF(AND(A40="",B40=""),"",IF(J40="","Status needed",IF(OR(J40="Applied",J40="Visit booked",J40="Withdrawn"),"OK",IF(G40="","Date assessed needed",IF(C40="","Date of birth needed",IF(COUNTA(L40,M40,P40,U40,V40,X40)&lt;6,"Band missing",IF(AND(OR(J40="Decision confirmed",J40="Family told",J40="Enrolled"),AG40=""),"Recommendation needed",IF(AND(OR(J40="Family told",J40="Enrolled"),AJ40=""),"Date family told needed","OK"))))))))</f>
        <v/>
      </c>
    </row>
    <row r="41" customFormat="false" ht="15" hidden="false" customHeight="false" outlineLevel="0" collapsed="false">
      <c r="A41" s="7"/>
      <c r="B41" s="7"/>
      <c r="C41" s="46"/>
      <c r="D41" s="7"/>
      <c r="E41" s="47"/>
      <c r="F41" s="46"/>
      <c r="G41" s="46"/>
      <c r="H41" s="7"/>
      <c r="I41" s="7"/>
      <c r="J41" s="47"/>
      <c r="K41" s="47"/>
      <c r="L41" s="47"/>
      <c r="M41" s="47"/>
      <c r="N41" s="47"/>
      <c r="O41" s="10"/>
      <c r="P41" s="47"/>
      <c r="Q41" s="47"/>
      <c r="R41" s="48" t="str">
        <f aca="false">IF(Q41="","",IF(Q41=0,"below 5:00",IF(Q41&gt;=66,"16:00 or above",INT((60+2*Q41)/12)&amp;":"&amp;TEXT(MOD(60+2*Q41,12),"00"))))</f>
        <v/>
      </c>
      <c r="S41" s="47"/>
      <c r="T41" s="47"/>
      <c r="U41" s="47"/>
      <c r="V41" s="47"/>
      <c r="W41" s="47"/>
      <c r="X41" s="47"/>
      <c r="Y41" s="47"/>
      <c r="Z41" s="47"/>
      <c r="AA41" s="10"/>
      <c r="AB41" s="10"/>
      <c r="AC41" s="47"/>
      <c r="AD41" s="47"/>
      <c r="AE41" s="47"/>
      <c r="AF41" s="47"/>
      <c r="AG41" s="47"/>
      <c r="AH41" s="47"/>
      <c r="AI41" s="46"/>
      <c r="AJ41" s="46"/>
      <c r="AK41" s="46"/>
      <c r="AL41" s="7"/>
      <c r="AM41" s="49" t="str">
        <f aca="false">IF(OR(C41="",G41=""),"",IFERROR(DATEDIF(C41,G41,"m"),""))</f>
        <v/>
      </c>
      <c r="AN41" s="49" t="str">
        <f aca="false">IF(OR(Q41="",AM41=""),"",60+2*Q41-AM41)</f>
        <v/>
      </c>
      <c r="AO41" s="49" t="str">
        <f aca="false">IF(OR(G41="",AJ41=""),"",AJ41-G41)</f>
        <v/>
      </c>
      <c r="AP41" s="50" t="str">
        <f aca="false">IF(AND(A41="",B41=""),"",IF(J41="","Status needed",IF(OR(J41="Applied",J41="Visit booked",J41="Withdrawn"),"OK",IF(G41="","Date assessed needed",IF(C41="","Date of birth needed",IF(COUNTA(L41,M41,P41,U41,V41,X41)&lt;6,"Band missing",IF(AND(OR(J41="Decision confirmed",J41="Family told",J41="Enrolled"),AG41=""),"Recommendation needed",IF(AND(OR(J41="Family told",J41="Enrolled"),AJ41=""),"Date family told needed","OK"))))))))</f>
        <v/>
      </c>
    </row>
    <row r="42" customFormat="false" ht="15" hidden="false" customHeight="false" outlineLevel="0" collapsed="false">
      <c r="A42" s="7"/>
      <c r="B42" s="7"/>
      <c r="C42" s="46"/>
      <c r="D42" s="7"/>
      <c r="E42" s="47"/>
      <c r="F42" s="46"/>
      <c r="G42" s="46"/>
      <c r="H42" s="7"/>
      <c r="I42" s="7"/>
      <c r="J42" s="47"/>
      <c r="K42" s="47"/>
      <c r="L42" s="47"/>
      <c r="M42" s="47"/>
      <c r="N42" s="47"/>
      <c r="O42" s="10"/>
      <c r="P42" s="47"/>
      <c r="Q42" s="47"/>
      <c r="R42" s="48" t="str">
        <f aca="false">IF(Q42="","",IF(Q42=0,"below 5:00",IF(Q42&gt;=66,"16:00 or above",INT((60+2*Q42)/12)&amp;":"&amp;TEXT(MOD(60+2*Q42,12),"00"))))</f>
        <v/>
      </c>
      <c r="S42" s="47"/>
      <c r="T42" s="47"/>
      <c r="U42" s="47"/>
      <c r="V42" s="47"/>
      <c r="W42" s="47"/>
      <c r="X42" s="47"/>
      <c r="Y42" s="47"/>
      <c r="Z42" s="47"/>
      <c r="AA42" s="10"/>
      <c r="AB42" s="10"/>
      <c r="AC42" s="47"/>
      <c r="AD42" s="47"/>
      <c r="AE42" s="47"/>
      <c r="AF42" s="47"/>
      <c r="AG42" s="47"/>
      <c r="AH42" s="47"/>
      <c r="AI42" s="46"/>
      <c r="AJ42" s="46"/>
      <c r="AK42" s="46"/>
      <c r="AL42" s="7"/>
      <c r="AM42" s="49" t="str">
        <f aca="false">IF(OR(C42="",G42=""),"",IFERROR(DATEDIF(C42,G42,"m"),""))</f>
        <v/>
      </c>
      <c r="AN42" s="49" t="str">
        <f aca="false">IF(OR(Q42="",AM42=""),"",60+2*Q42-AM42)</f>
        <v/>
      </c>
      <c r="AO42" s="49" t="str">
        <f aca="false">IF(OR(G42="",AJ42=""),"",AJ42-G42)</f>
        <v/>
      </c>
      <c r="AP42" s="50" t="str">
        <f aca="false">IF(AND(A42="",B42=""),"",IF(J42="","Status needed",IF(OR(J42="Applied",J42="Visit booked",J42="Withdrawn"),"OK",IF(G42="","Date assessed needed",IF(C42="","Date of birth needed",IF(COUNTA(L42,M42,P42,U42,V42,X42)&lt;6,"Band missing",IF(AND(OR(J42="Decision confirmed",J42="Family told",J42="Enrolled"),AG42=""),"Recommendation needed",IF(AND(OR(J42="Family told",J42="Enrolled"),AJ42=""),"Date family told needed","OK"))))))))</f>
        <v/>
      </c>
    </row>
    <row r="43" customFormat="false" ht="15" hidden="false" customHeight="false" outlineLevel="0" collapsed="false">
      <c r="A43" s="7"/>
      <c r="B43" s="7"/>
      <c r="C43" s="46"/>
      <c r="D43" s="7"/>
      <c r="E43" s="47"/>
      <c r="F43" s="46"/>
      <c r="G43" s="46"/>
      <c r="H43" s="7"/>
      <c r="I43" s="7"/>
      <c r="J43" s="47"/>
      <c r="K43" s="47"/>
      <c r="L43" s="47"/>
      <c r="M43" s="47"/>
      <c r="N43" s="47"/>
      <c r="O43" s="10"/>
      <c r="P43" s="47"/>
      <c r="Q43" s="47"/>
      <c r="R43" s="48" t="str">
        <f aca="false">IF(Q43="","",IF(Q43=0,"below 5:00",IF(Q43&gt;=66,"16:00 or above",INT((60+2*Q43)/12)&amp;":"&amp;TEXT(MOD(60+2*Q43,12),"00"))))</f>
        <v/>
      </c>
      <c r="S43" s="47"/>
      <c r="T43" s="47"/>
      <c r="U43" s="47"/>
      <c r="V43" s="47"/>
      <c r="W43" s="47"/>
      <c r="X43" s="47"/>
      <c r="Y43" s="47"/>
      <c r="Z43" s="47"/>
      <c r="AA43" s="10"/>
      <c r="AB43" s="10"/>
      <c r="AC43" s="47"/>
      <c r="AD43" s="47"/>
      <c r="AE43" s="47"/>
      <c r="AF43" s="47"/>
      <c r="AG43" s="47"/>
      <c r="AH43" s="47"/>
      <c r="AI43" s="46"/>
      <c r="AJ43" s="46"/>
      <c r="AK43" s="46"/>
      <c r="AL43" s="7"/>
      <c r="AM43" s="49" t="str">
        <f aca="false">IF(OR(C43="",G43=""),"",IFERROR(DATEDIF(C43,G43,"m"),""))</f>
        <v/>
      </c>
      <c r="AN43" s="49" t="str">
        <f aca="false">IF(OR(Q43="",AM43=""),"",60+2*Q43-AM43)</f>
        <v/>
      </c>
      <c r="AO43" s="49" t="str">
        <f aca="false">IF(OR(G43="",AJ43=""),"",AJ43-G43)</f>
        <v/>
      </c>
      <c r="AP43" s="50" t="str">
        <f aca="false">IF(AND(A43="",B43=""),"",IF(J43="","Status needed",IF(OR(J43="Applied",J43="Visit booked",J43="Withdrawn"),"OK",IF(G43="","Date assessed needed",IF(C43="","Date of birth needed",IF(COUNTA(L43,M43,P43,U43,V43,X43)&lt;6,"Band missing",IF(AND(OR(J43="Decision confirmed",J43="Family told",J43="Enrolled"),AG43=""),"Recommendation needed",IF(AND(OR(J43="Family told",J43="Enrolled"),AJ43=""),"Date family told needed","OK"))))))))</f>
        <v/>
      </c>
    </row>
    <row r="44" customFormat="false" ht="15" hidden="false" customHeight="false" outlineLevel="0" collapsed="false">
      <c r="A44" s="7"/>
      <c r="B44" s="7"/>
      <c r="C44" s="46"/>
      <c r="D44" s="7"/>
      <c r="E44" s="47"/>
      <c r="F44" s="46"/>
      <c r="G44" s="46"/>
      <c r="H44" s="7"/>
      <c r="I44" s="7"/>
      <c r="J44" s="47"/>
      <c r="K44" s="47"/>
      <c r="L44" s="47"/>
      <c r="M44" s="47"/>
      <c r="N44" s="47"/>
      <c r="O44" s="10"/>
      <c r="P44" s="47"/>
      <c r="Q44" s="47"/>
      <c r="R44" s="48" t="str">
        <f aca="false">IF(Q44="","",IF(Q44=0,"below 5:00",IF(Q44&gt;=66,"16:00 or above",INT((60+2*Q44)/12)&amp;":"&amp;TEXT(MOD(60+2*Q44,12),"00"))))</f>
        <v/>
      </c>
      <c r="S44" s="47"/>
      <c r="T44" s="47"/>
      <c r="U44" s="47"/>
      <c r="V44" s="47"/>
      <c r="W44" s="47"/>
      <c r="X44" s="47"/>
      <c r="Y44" s="47"/>
      <c r="Z44" s="47"/>
      <c r="AA44" s="10"/>
      <c r="AB44" s="10"/>
      <c r="AC44" s="47"/>
      <c r="AD44" s="47"/>
      <c r="AE44" s="47"/>
      <c r="AF44" s="47"/>
      <c r="AG44" s="47"/>
      <c r="AH44" s="47"/>
      <c r="AI44" s="46"/>
      <c r="AJ44" s="46"/>
      <c r="AK44" s="46"/>
      <c r="AL44" s="7"/>
      <c r="AM44" s="49" t="str">
        <f aca="false">IF(OR(C44="",G44=""),"",IFERROR(DATEDIF(C44,G44,"m"),""))</f>
        <v/>
      </c>
      <c r="AN44" s="49" t="str">
        <f aca="false">IF(OR(Q44="",AM44=""),"",60+2*Q44-AM44)</f>
        <v/>
      </c>
      <c r="AO44" s="49" t="str">
        <f aca="false">IF(OR(G44="",AJ44=""),"",AJ44-G44)</f>
        <v/>
      </c>
      <c r="AP44" s="50" t="str">
        <f aca="false">IF(AND(A44="",B44=""),"",IF(J44="","Status needed",IF(OR(J44="Applied",J44="Visit booked",J44="Withdrawn"),"OK",IF(G44="","Date assessed needed",IF(C44="","Date of birth needed",IF(COUNTA(L44,M44,P44,U44,V44,X44)&lt;6,"Band missing",IF(AND(OR(J44="Decision confirmed",J44="Family told",J44="Enrolled"),AG44=""),"Recommendation needed",IF(AND(OR(J44="Family told",J44="Enrolled"),AJ44=""),"Date family told needed","OK"))))))))</f>
        <v/>
      </c>
    </row>
    <row r="45" customFormat="false" ht="15" hidden="false" customHeight="false" outlineLevel="0" collapsed="false">
      <c r="A45" s="7"/>
      <c r="B45" s="7"/>
      <c r="C45" s="46"/>
      <c r="D45" s="7"/>
      <c r="E45" s="47"/>
      <c r="F45" s="46"/>
      <c r="G45" s="46"/>
      <c r="H45" s="7"/>
      <c r="I45" s="7"/>
      <c r="J45" s="47"/>
      <c r="K45" s="47"/>
      <c r="L45" s="47"/>
      <c r="M45" s="47"/>
      <c r="N45" s="47"/>
      <c r="O45" s="10"/>
      <c r="P45" s="47"/>
      <c r="Q45" s="47"/>
      <c r="R45" s="48" t="str">
        <f aca="false">IF(Q45="","",IF(Q45=0,"below 5:00",IF(Q45&gt;=66,"16:00 or above",INT((60+2*Q45)/12)&amp;":"&amp;TEXT(MOD(60+2*Q45,12),"00"))))</f>
        <v/>
      </c>
      <c r="S45" s="47"/>
      <c r="T45" s="47"/>
      <c r="U45" s="47"/>
      <c r="V45" s="47"/>
      <c r="W45" s="47"/>
      <c r="X45" s="47"/>
      <c r="Y45" s="47"/>
      <c r="Z45" s="47"/>
      <c r="AA45" s="10"/>
      <c r="AB45" s="10"/>
      <c r="AC45" s="47"/>
      <c r="AD45" s="47"/>
      <c r="AE45" s="47"/>
      <c r="AF45" s="47"/>
      <c r="AG45" s="47"/>
      <c r="AH45" s="47"/>
      <c r="AI45" s="46"/>
      <c r="AJ45" s="46"/>
      <c r="AK45" s="46"/>
      <c r="AL45" s="7"/>
      <c r="AM45" s="49" t="str">
        <f aca="false">IF(OR(C45="",G45=""),"",IFERROR(DATEDIF(C45,G45,"m"),""))</f>
        <v/>
      </c>
      <c r="AN45" s="49" t="str">
        <f aca="false">IF(OR(Q45="",AM45=""),"",60+2*Q45-AM45)</f>
        <v/>
      </c>
      <c r="AO45" s="49" t="str">
        <f aca="false">IF(OR(G45="",AJ45=""),"",AJ45-G45)</f>
        <v/>
      </c>
      <c r="AP45" s="50" t="str">
        <f aca="false">IF(AND(A45="",B45=""),"",IF(J45="","Status needed",IF(OR(J45="Applied",J45="Visit booked",J45="Withdrawn"),"OK",IF(G45="","Date assessed needed",IF(C45="","Date of birth needed",IF(COUNTA(L45,M45,P45,U45,V45,X45)&lt;6,"Band missing",IF(AND(OR(J45="Decision confirmed",J45="Family told",J45="Enrolled"),AG45=""),"Recommendation needed",IF(AND(OR(J45="Family told",J45="Enrolled"),AJ45=""),"Date family told needed","OK"))))))))</f>
        <v/>
      </c>
    </row>
    <row r="46" customFormat="false" ht="15" hidden="false" customHeight="false" outlineLevel="0" collapsed="false">
      <c r="A46" s="7"/>
      <c r="B46" s="7"/>
      <c r="C46" s="46"/>
      <c r="D46" s="7"/>
      <c r="E46" s="47"/>
      <c r="F46" s="46"/>
      <c r="G46" s="46"/>
      <c r="H46" s="7"/>
      <c r="I46" s="7"/>
      <c r="J46" s="47"/>
      <c r="K46" s="47"/>
      <c r="L46" s="47"/>
      <c r="M46" s="47"/>
      <c r="N46" s="47"/>
      <c r="O46" s="10"/>
      <c r="P46" s="47"/>
      <c r="Q46" s="47"/>
      <c r="R46" s="48" t="str">
        <f aca="false">IF(Q46="","",IF(Q46=0,"below 5:00",IF(Q46&gt;=66,"16:00 or above",INT((60+2*Q46)/12)&amp;":"&amp;TEXT(MOD(60+2*Q46,12),"00"))))</f>
        <v/>
      </c>
      <c r="S46" s="47"/>
      <c r="T46" s="47"/>
      <c r="U46" s="47"/>
      <c r="V46" s="47"/>
      <c r="W46" s="47"/>
      <c r="X46" s="47"/>
      <c r="Y46" s="47"/>
      <c r="Z46" s="47"/>
      <c r="AA46" s="10"/>
      <c r="AB46" s="10"/>
      <c r="AC46" s="47"/>
      <c r="AD46" s="47"/>
      <c r="AE46" s="47"/>
      <c r="AF46" s="47"/>
      <c r="AG46" s="47"/>
      <c r="AH46" s="47"/>
      <c r="AI46" s="46"/>
      <c r="AJ46" s="46"/>
      <c r="AK46" s="46"/>
      <c r="AL46" s="7"/>
      <c r="AM46" s="49" t="str">
        <f aca="false">IF(OR(C46="",G46=""),"",IFERROR(DATEDIF(C46,G46,"m"),""))</f>
        <v/>
      </c>
      <c r="AN46" s="49" t="str">
        <f aca="false">IF(OR(Q46="",AM46=""),"",60+2*Q46-AM46)</f>
        <v/>
      </c>
      <c r="AO46" s="49" t="str">
        <f aca="false">IF(OR(G46="",AJ46=""),"",AJ46-G46)</f>
        <v/>
      </c>
      <c r="AP46" s="50" t="str">
        <f aca="false">IF(AND(A46="",B46=""),"",IF(J46="","Status needed",IF(OR(J46="Applied",J46="Visit booked",J46="Withdrawn"),"OK",IF(G46="","Date assessed needed",IF(C46="","Date of birth needed",IF(COUNTA(L46,M46,P46,U46,V46,X46)&lt;6,"Band missing",IF(AND(OR(J46="Decision confirmed",J46="Family told",J46="Enrolled"),AG46=""),"Recommendation needed",IF(AND(OR(J46="Family told",J46="Enrolled"),AJ46=""),"Date family told needed","OK"))))))))</f>
        <v/>
      </c>
    </row>
    <row r="47" customFormat="false" ht="15" hidden="false" customHeight="false" outlineLevel="0" collapsed="false">
      <c r="A47" s="7"/>
      <c r="B47" s="7"/>
      <c r="C47" s="46"/>
      <c r="D47" s="7"/>
      <c r="E47" s="47"/>
      <c r="F47" s="46"/>
      <c r="G47" s="46"/>
      <c r="H47" s="7"/>
      <c r="I47" s="7"/>
      <c r="J47" s="47"/>
      <c r="K47" s="47"/>
      <c r="L47" s="47"/>
      <c r="M47" s="47"/>
      <c r="N47" s="47"/>
      <c r="O47" s="10"/>
      <c r="P47" s="47"/>
      <c r="Q47" s="47"/>
      <c r="R47" s="48" t="str">
        <f aca="false">IF(Q47="","",IF(Q47=0,"below 5:00",IF(Q47&gt;=66,"16:00 or above",INT((60+2*Q47)/12)&amp;":"&amp;TEXT(MOD(60+2*Q47,12),"00"))))</f>
        <v/>
      </c>
      <c r="S47" s="47"/>
      <c r="T47" s="47"/>
      <c r="U47" s="47"/>
      <c r="V47" s="47"/>
      <c r="W47" s="47"/>
      <c r="X47" s="47"/>
      <c r="Y47" s="47"/>
      <c r="Z47" s="47"/>
      <c r="AA47" s="10"/>
      <c r="AB47" s="10"/>
      <c r="AC47" s="47"/>
      <c r="AD47" s="47"/>
      <c r="AE47" s="47"/>
      <c r="AF47" s="47"/>
      <c r="AG47" s="47"/>
      <c r="AH47" s="47"/>
      <c r="AI47" s="46"/>
      <c r="AJ47" s="46"/>
      <c r="AK47" s="46"/>
      <c r="AL47" s="7"/>
      <c r="AM47" s="49" t="str">
        <f aca="false">IF(OR(C47="",G47=""),"",IFERROR(DATEDIF(C47,G47,"m"),""))</f>
        <v/>
      </c>
      <c r="AN47" s="49" t="str">
        <f aca="false">IF(OR(Q47="",AM47=""),"",60+2*Q47-AM47)</f>
        <v/>
      </c>
      <c r="AO47" s="49" t="str">
        <f aca="false">IF(OR(G47="",AJ47=""),"",AJ47-G47)</f>
        <v/>
      </c>
      <c r="AP47" s="50" t="str">
        <f aca="false">IF(AND(A47="",B47=""),"",IF(J47="","Status needed",IF(OR(J47="Applied",J47="Visit booked",J47="Withdrawn"),"OK",IF(G47="","Date assessed needed",IF(C47="","Date of birth needed",IF(COUNTA(L47,M47,P47,U47,V47,X47)&lt;6,"Band missing",IF(AND(OR(J47="Decision confirmed",J47="Family told",J47="Enrolled"),AG47=""),"Recommendation needed",IF(AND(OR(J47="Family told",J47="Enrolled"),AJ47=""),"Date family told needed","OK"))))))))</f>
        <v/>
      </c>
    </row>
    <row r="48" customFormat="false" ht="15" hidden="false" customHeight="false" outlineLevel="0" collapsed="false">
      <c r="A48" s="7"/>
      <c r="B48" s="7"/>
      <c r="C48" s="46"/>
      <c r="D48" s="7"/>
      <c r="E48" s="47"/>
      <c r="F48" s="46"/>
      <c r="G48" s="46"/>
      <c r="H48" s="7"/>
      <c r="I48" s="7"/>
      <c r="J48" s="47"/>
      <c r="K48" s="47"/>
      <c r="L48" s="47"/>
      <c r="M48" s="47"/>
      <c r="N48" s="47"/>
      <c r="O48" s="10"/>
      <c r="P48" s="47"/>
      <c r="Q48" s="47"/>
      <c r="R48" s="48" t="str">
        <f aca="false">IF(Q48="","",IF(Q48=0,"below 5:00",IF(Q48&gt;=66,"16:00 or above",INT((60+2*Q48)/12)&amp;":"&amp;TEXT(MOD(60+2*Q48,12),"00"))))</f>
        <v/>
      </c>
      <c r="S48" s="47"/>
      <c r="T48" s="47"/>
      <c r="U48" s="47"/>
      <c r="V48" s="47"/>
      <c r="W48" s="47"/>
      <c r="X48" s="47"/>
      <c r="Y48" s="47"/>
      <c r="Z48" s="47"/>
      <c r="AA48" s="10"/>
      <c r="AB48" s="10"/>
      <c r="AC48" s="47"/>
      <c r="AD48" s="47"/>
      <c r="AE48" s="47"/>
      <c r="AF48" s="47"/>
      <c r="AG48" s="47"/>
      <c r="AH48" s="47"/>
      <c r="AI48" s="46"/>
      <c r="AJ48" s="46"/>
      <c r="AK48" s="46"/>
      <c r="AL48" s="7"/>
      <c r="AM48" s="49" t="str">
        <f aca="false">IF(OR(C48="",G48=""),"",IFERROR(DATEDIF(C48,G48,"m"),""))</f>
        <v/>
      </c>
      <c r="AN48" s="49" t="str">
        <f aca="false">IF(OR(Q48="",AM48=""),"",60+2*Q48-AM48)</f>
        <v/>
      </c>
      <c r="AO48" s="49" t="str">
        <f aca="false">IF(OR(G48="",AJ48=""),"",AJ48-G48)</f>
        <v/>
      </c>
      <c r="AP48" s="50" t="str">
        <f aca="false">IF(AND(A48="",B48=""),"",IF(J48="","Status needed",IF(OR(J48="Applied",J48="Visit booked",J48="Withdrawn"),"OK",IF(G48="","Date assessed needed",IF(C48="","Date of birth needed",IF(COUNTA(L48,M48,P48,U48,V48,X48)&lt;6,"Band missing",IF(AND(OR(J48="Decision confirmed",J48="Family told",J48="Enrolled"),AG48=""),"Recommendation needed",IF(AND(OR(J48="Family told",J48="Enrolled"),AJ48=""),"Date family told needed","OK"))))))))</f>
        <v/>
      </c>
    </row>
    <row r="49" customFormat="false" ht="15" hidden="false" customHeight="false" outlineLevel="0" collapsed="false">
      <c r="A49" s="7"/>
      <c r="B49" s="7"/>
      <c r="C49" s="46"/>
      <c r="D49" s="7"/>
      <c r="E49" s="47"/>
      <c r="F49" s="46"/>
      <c r="G49" s="46"/>
      <c r="H49" s="7"/>
      <c r="I49" s="7"/>
      <c r="J49" s="47"/>
      <c r="K49" s="47"/>
      <c r="L49" s="47"/>
      <c r="M49" s="47"/>
      <c r="N49" s="47"/>
      <c r="O49" s="10"/>
      <c r="P49" s="47"/>
      <c r="Q49" s="47"/>
      <c r="R49" s="48" t="str">
        <f aca="false">IF(Q49="","",IF(Q49=0,"below 5:00",IF(Q49&gt;=66,"16:00 or above",INT((60+2*Q49)/12)&amp;":"&amp;TEXT(MOD(60+2*Q49,12),"00"))))</f>
        <v/>
      </c>
      <c r="S49" s="47"/>
      <c r="T49" s="47"/>
      <c r="U49" s="47"/>
      <c r="V49" s="47"/>
      <c r="W49" s="47"/>
      <c r="X49" s="47"/>
      <c r="Y49" s="47"/>
      <c r="Z49" s="47"/>
      <c r="AA49" s="10"/>
      <c r="AB49" s="10"/>
      <c r="AC49" s="47"/>
      <c r="AD49" s="47"/>
      <c r="AE49" s="47"/>
      <c r="AF49" s="47"/>
      <c r="AG49" s="47"/>
      <c r="AH49" s="47"/>
      <c r="AI49" s="46"/>
      <c r="AJ49" s="46"/>
      <c r="AK49" s="46"/>
      <c r="AL49" s="7"/>
      <c r="AM49" s="49" t="str">
        <f aca="false">IF(OR(C49="",G49=""),"",IFERROR(DATEDIF(C49,G49,"m"),""))</f>
        <v/>
      </c>
      <c r="AN49" s="49" t="str">
        <f aca="false">IF(OR(Q49="",AM49=""),"",60+2*Q49-AM49)</f>
        <v/>
      </c>
      <c r="AO49" s="49" t="str">
        <f aca="false">IF(OR(G49="",AJ49=""),"",AJ49-G49)</f>
        <v/>
      </c>
      <c r="AP49" s="50" t="str">
        <f aca="false">IF(AND(A49="",B49=""),"",IF(J49="","Status needed",IF(OR(J49="Applied",J49="Visit booked",J49="Withdrawn"),"OK",IF(G49="","Date assessed needed",IF(C49="","Date of birth needed",IF(COUNTA(L49,M49,P49,U49,V49,X49)&lt;6,"Band missing",IF(AND(OR(J49="Decision confirmed",J49="Family told",J49="Enrolled"),AG49=""),"Recommendation needed",IF(AND(OR(J49="Family told",J49="Enrolled"),AJ49=""),"Date family told needed","OK"))))))))</f>
        <v/>
      </c>
    </row>
    <row r="50" customFormat="false" ht="15" hidden="false" customHeight="false" outlineLevel="0" collapsed="false">
      <c r="A50" s="7"/>
      <c r="B50" s="7"/>
      <c r="C50" s="46"/>
      <c r="D50" s="7"/>
      <c r="E50" s="47"/>
      <c r="F50" s="46"/>
      <c r="G50" s="46"/>
      <c r="H50" s="7"/>
      <c r="I50" s="7"/>
      <c r="J50" s="47"/>
      <c r="K50" s="47"/>
      <c r="L50" s="47"/>
      <c r="M50" s="47"/>
      <c r="N50" s="47"/>
      <c r="O50" s="10"/>
      <c r="P50" s="47"/>
      <c r="Q50" s="47"/>
      <c r="R50" s="48" t="str">
        <f aca="false">IF(Q50="","",IF(Q50=0,"below 5:00",IF(Q50&gt;=66,"16:00 or above",INT((60+2*Q50)/12)&amp;":"&amp;TEXT(MOD(60+2*Q50,12),"00"))))</f>
        <v/>
      </c>
      <c r="S50" s="47"/>
      <c r="T50" s="47"/>
      <c r="U50" s="47"/>
      <c r="V50" s="47"/>
      <c r="W50" s="47"/>
      <c r="X50" s="47"/>
      <c r="Y50" s="47"/>
      <c r="Z50" s="47"/>
      <c r="AA50" s="10"/>
      <c r="AB50" s="10"/>
      <c r="AC50" s="47"/>
      <c r="AD50" s="47"/>
      <c r="AE50" s="47"/>
      <c r="AF50" s="47"/>
      <c r="AG50" s="47"/>
      <c r="AH50" s="47"/>
      <c r="AI50" s="46"/>
      <c r="AJ50" s="46"/>
      <c r="AK50" s="46"/>
      <c r="AL50" s="7"/>
      <c r="AM50" s="49" t="str">
        <f aca="false">IF(OR(C50="",G50=""),"",IFERROR(DATEDIF(C50,G50,"m"),""))</f>
        <v/>
      </c>
      <c r="AN50" s="49" t="str">
        <f aca="false">IF(OR(Q50="",AM50=""),"",60+2*Q50-AM50)</f>
        <v/>
      </c>
      <c r="AO50" s="49" t="str">
        <f aca="false">IF(OR(G50="",AJ50=""),"",AJ50-G50)</f>
        <v/>
      </c>
      <c r="AP50" s="50" t="str">
        <f aca="false">IF(AND(A50="",B50=""),"",IF(J50="","Status needed",IF(OR(J50="Applied",J50="Visit booked",J50="Withdrawn"),"OK",IF(G50="","Date assessed needed",IF(C50="","Date of birth needed",IF(COUNTA(L50,M50,P50,U50,V50,X50)&lt;6,"Band missing",IF(AND(OR(J50="Decision confirmed",J50="Family told",J50="Enrolled"),AG50=""),"Recommendation needed",IF(AND(OR(J50="Family told",J50="Enrolled"),AJ50=""),"Date family told needed","OK"))))))))</f>
        <v/>
      </c>
    </row>
    <row r="51" customFormat="false" ht="15" hidden="false" customHeight="false" outlineLevel="0" collapsed="false">
      <c r="A51" s="7"/>
      <c r="B51" s="7"/>
      <c r="C51" s="46"/>
      <c r="D51" s="7"/>
      <c r="E51" s="47"/>
      <c r="F51" s="46"/>
      <c r="G51" s="46"/>
      <c r="H51" s="7"/>
      <c r="I51" s="7"/>
      <c r="J51" s="47"/>
      <c r="K51" s="47"/>
      <c r="L51" s="47"/>
      <c r="M51" s="47"/>
      <c r="N51" s="47"/>
      <c r="O51" s="10"/>
      <c r="P51" s="47"/>
      <c r="Q51" s="47"/>
      <c r="R51" s="48" t="str">
        <f aca="false">IF(Q51="","",IF(Q51=0,"below 5:00",IF(Q51&gt;=66,"16:00 or above",INT((60+2*Q51)/12)&amp;":"&amp;TEXT(MOD(60+2*Q51,12),"00"))))</f>
        <v/>
      </c>
      <c r="S51" s="47"/>
      <c r="T51" s="47"/>
      <c r="U51" s="47"/>
      <c r="V51" s="47"/>
      <c r="W51" s="47"/>
      <c r="X51" s="47"/>
      <c r="Y51" s="47"/>
      <c r="Z51" s="47"/>
      <c r="AA51" s="10"/>
      <c r="AB51" s="10"/>
      <c r="AC51" s="47"/>
      <c r="AD51" s="47"/>
      <c r="AE51" s="47"/>
      <c r="AF51" s="47"/>
      <c r="AG51" s="47"/>
      <c r="AH51" s="47"/>
      <c r="AI51" s="46"/>
      <c r="AJ51" s="46"/>
      <c r="AK51" s="46"/>
      <c r="AL51" s="7"/>
      <c r="AM51" s="49" t="str">
        <f aca="false">IF(OR(C51="",G51=""),"",IFERROR(DATEDIF(C51,G51,"m"),""))</f>
        <v/>
      </c>
      <c r="AN51" s="49" t="str">
        <f aca="false">IF(OR(Q51="",AM51=""),"",60+2*Q51-AM51)</f>
        <v/>
      </c>
      <c r="AO51" s="49" t="str">
        <f aca="false">IF(OR(G51="",AJ51=""),"",AJ51-G51)</f>
        <v/>
      </c>
      <c r="AP51" s="50" t="str">
        <f aca="false">IF(AND(A51="",B51=""),"",IF(J51="","Status needed",IF(OR(J51="Applied",J51="Visit booked",J51="Withdrawn"),"OK",IF(G51="","Date assessed needed",IF(C51="","Date of birth needed",IF(COUNTA(L51,M51,P51,U51,V51,X51)&lt;6,"Band missing",IF(AND(OR(J51="Decision confirmed",J51="Family told",J51="Enrolled"),AG51=""),"Recommendation needed",IF(AND(OR(J51="Family told",J51="Enrolled"),AJ51=""),"Date family told needed","OK"))))))))</f>
        <v/>
      </c>
    </row>
    <row r="52" customFormat="false" ht="15" hidden="false" customHeight="false" outlineLevel="0" collapsed="false">
      <c r="A52" s="7"/>
      <c r="B52" s="7"/>
      <c r="C52" s="46"/>
      <c r="D52" s="7"/>
      <c r="E52" s="47"/>
      <c r="F52" s="46"/>
      <c r="G52" s="46"/>
      <c r="H52" s="7"/>
      <c r="I52" s="7"/>
      <c r="J52" s="47"/>
      <c r="K52" s="47"/>
      <c r="L52" s="47"/>
      <c r="M52" s="47"/>
      <c r="N52" s="47"/>
      <c r="O52" s="10"/>
      <c r="P52" s="47"/>
      <c r="Q52" s="47"/>
      <c r="R52" s="48" t="str">
        <f aca="false">IF(Q52="","",IF(Q52=0,"below 5:00",IF(Q52&gt;=66,"16:00 or above",INT((60+2*Q52)/12)&amp;":"&amp;TEXT(MOD(60+2*Q52,12),"00"))))</f>
        <v/>
      </c>
      <c r="S52" s="47"/>
      <c r="T52" s="47"/>
      <c r="U52" s="47"/>
      <c r="V52" s="47"/>
      <c r="W52" s="47"/>
      <c r="X52" s="47"/>
      <c r="Y52" s="47"/>
      <c r="Z52" s="47"/>
      <c r="AA52" s="10"/>
      <c r="AB52" s="10"/>
      <c r="AC52" s="47"/>
      <c r="AD52" s="47"/>
      <c r="AE52" s="47"/>
      <c r="AF52" s="47"/>
      <c r="AG52" s="47"/>
      <c r="AH52" s="47"/>
      <c r="AI52" s="46"/>
      <c r="AJ52" s="46"/>
      <c r="AK52" s="46"/>
      <c r="AL52" s="7"/>
      <c r="AM52" s="49" t="str">
        <f aca="false">IF(OR(C52="",G52=""),"",IFERROR(DATEDIF(C52,G52,"m"),""))</f>
        <v/>
      </c>
      <c r="AN52" s="49" t="str">
        <f aca="false">IF(OR(Q52="",AM52=""),"",60+2*Q52-AM52)</f>
        <v/>
      </c>
      <c r="AO52" s="49" t="str">
        <f aca="false">IF(OR(G52="",AJ52=""),"",AJ52-G52)</f>
        <v/>
      </c>
      <c r="AP52" s="50" t="str">
        <f aca="false">IF(AND(A52="",B52=""),"",IF(J52="","Status needed",IF(OR(J52="Applied",J52="Visit booked",J52="Withdrawn"),"OK",IF(G52="","Date assessed needed",IF(C52="","Date of birth needed",IF(COUNTA(L52,M52,P52,U52,V52,X52)&lt;6,"Band missing",IF(AND(OR(J52="Decision confirmed",J52="Family told",J52="Enrolled"),AG52=""),"Recommendation needed",IF(AND(OR(J52="Family told",J52="Enrolled"),AJ52=""),"Date family told needed","OK"))))))))</f>
        <v/>
      </c>
    </row>
    <row r="53" customFormat="false" ht="15" hidden="false" customHeight="false" outlineLevel="0" collapsed="false">
      <c r="A53" s="7"/>
      <c r="B53" s="7"/>
      <c r="C53" s="46"/>
      <c r="D53" s="7"/>
      <c r="E53" s="47"/>
      <c r="F53" s="46"/>
      <c r="G53" s="46"/>
      <c r="H53" s="7"/>
      <c r="I53" s="7"/>
      <c r="J53" s="47"/>
      <c r="K53" s="47"/>
      <c r="L53" s="47"/>
      <c r="M53" s="47"/>
      <c r="N53" s="47"/>
      <c r="O53" s="10"/>
      <c r="P53" s="47"/>
      <c r="Q53" s="47"/>
      <c r="R53" s="48" t="str">
        <f aca="false">IF(Q53="","",IF(Q53=0,"below 5:00",IF(Q53&gt;=66,"16:00 or above",INT((60+2*Q53)/12)&amp;":"&amp;TEXT(MOD(60+2*Q53,12),"00"))))</f>
        <v/>
      </c>
      <c r="S53" s="47"/>
      <c r="T53" s="47"/>
      <c r="U53" s="47"/>
      <c r="V53" s="47"/>
      <c r="W53" s="47"/>
      <c r="X53" s="47"/>
      <c r="Y53" s="47"/>
      <c r="Z53" s="47"/>
      <c r="AA53" s="10"/>
      <c r="AB53" s="10"/>
      <c r="AC53" s="47"/>
      <c r="AD53" s="47"/>
      <c r="AE53" s="47"/>
      <c r="AF53" s="47"/>
      <c r="AG53" s="47"/>
      <c r="AH53" s="47"/>
      <c r="AI53" s="46"/>
      <c r="AJ53" s="46"/>
      <c r="AK53" s="46"/>
      <c r="AL53" s="7"/>
      <c r="AM53" s="49" t="str">
        <f aca="false">IF(OR(C53="",G53=""),"",IFERROR(DATEDIF(C53,G53,"m"),""))</f>
        <v/>
      </c>
      <c r="AN53" s="49" t="str">
        <f aca="false">IF(OR(Q53="",AM53=""),"",60+2*Q53-AM53)</f>
        <v/>
      </c>
      <c r="AO53" s="49" t="str">
        <f aca="false">IF(OR(G53="",AJ53=""),"",AJ53-G53)</f>
        <v/>
      </c>
      <c r="AP53" s="50" t="str">
        <f aca="false">IF(AND(A53="",B53=""),"",IF(J53="","Status needed",IF(OR(J53="Applied",J53="Visit booked",J53="Withdrawn"),"OK",IF(G53="","Date assessed needed",IF(C53="","Date of birth needed",IF(COUNTA(L53,M53,P53,U53,V53,X53)&lt;6,"Band missing",IF(AND(OR(J53="Decision confirmed",J53="Family told",J53="Enrolled"),AG53=""),"Recommendation needed",IF(AND(OR(J53="Family told",J53="Enrolled"),AJ53=""),"Date family told needed","OK"))))))))</f>
        <v/>
      </c>
    </row>
    <row r="54" customFormat="false" ht="15" hidden="false" customHeight="false" outlineLevel="0" collapsed="false">
      <c r="A54" s="7"/>
      <c r="B54" s="7"/>
      <c r="C54" s="46"/>
      <c r="D54" s="7"/>
      <c r="E54" s="47"/>
      <c r="F54" s="46"/>
      <c r="G54" s="46"/>
      <c r="H54" s="7"/>
      <c r="I54" s="7"/>
      <c r="J54" s="47"/>
      <c r="K54" s="47"/>
      <c r="L54" s="47"/>
      <c r="M54" s="47"/>
      <c r="N54" s="47"/>
      <c r="O54" s="10"/>
      <c r="P54" s="47"/>
      <c r="Q54" s="47"/>
      <c r="R54" s="48" t="str">
        <f aca="false">IF(Q54="","",IF(Q54=0,"below 5:00",IF(Q54&gt;=66,"16:00 or above",INT((60+2*Q54)/12)&amp;":"&amp;TEXT(MOD(60+2*Q54,12),"00"))))</f>
        <v/>
      </c>
      <c r="S54" s="47"/>
      <c r="T54" s="47"/>
      <c r="U54" s="47"/>
      <c r="V54" s="47"/>
      <c r="W54" s="47"/>
      <c r="X54" s="47"/>
      <c r="Y54" s="47"/>
      <c r="Z54" s="47"/>
      <c r="AA54" s="10"/>
      <c r="AB54" s="10"/>
      <c r="AC54" s="47"/>
      <c r="AD54" s="47"/>
      <c r="AE54" s="47"/>
      <c r="AF54" s="47"/>
      <c r="AG54" s="47"/>
      <c r="AH54" s="47"/>
      <c r="AI54" s="46"/>
      <c r="AJ54" s="46"/>
      <c r="AK54" s="46"/>
      <c r="AL54" s="7"/>
      <c r="AM54" s="49" t="str">
        <f aca="false">IF(OR(C54="",G54=""),"",IFERROR(DATEDIF(C54,G54,"m"),""))</f>
        <v/>
      </c>
      <c r="AN54" s="49" t="str">
        <f aca="false">IF(OR(Q54="",AM54=""),"",60+2*Q54-AM54)</f>
        <v/>
      </c>
      <c r="AO54" s="49" t="str">
        <f aca="false">IF(OR(G54="",AJ54=""),"",AJ54-G54)</f>
        <v/>
      </c>
      <c r="AP54" s="50" t="str">
        <f aca="false">IF(AND(A54="",B54=""),"",IF(J54="","Status needed",IF(OR(J54="Applied",J54="Visit booked",J54="Withdrawn"),"OK",IF(G54="","Date assessed needed",IF(C54="","Date of birth needed",IF(COUNTA(L54,M54,P54,U54,V54,X54)&lt;6,"Band missing",IF(AND(OR(J54="Decision confirmed",J54="Family told",J54="Enrolled"),AG54=""),"Recommendation needed",IF(AND(OR(J54="Family told",J54="Enrolled"),AJ54=""),"Date family told needed","OK"))))))))</f>
        <v/>
      </c>
    </row>
    <row r="55" customFormat="false" ht="15" hidden="false" customHeight="false" outlineLevel="0" collapsed="false">
      <c r="A55" s="7"/>
      <c r="B55" s="7"/>
      <c r="C55" s="46"/>
      <c r="D55" s="7"/>
      <c r="E55" s="47"/>
      <c r="F55" s="46"/>
      <c r="G55" s="46"/>
      <c r="H55" s="7"/>
      <c r="I55" s="7"/>
      <c r="J55" s="47"/>
      <c r="K55" s="47"/>
      <c r="L55" s="47"/>
      <c r="M55" s="47"/>
      <c r="N55" s="47"/>
      <c r="O55" s="10"/>
      <c r="P55" s="47"/>
      <c r="Q55" s="47"/>
      <c r="R55" s="48" t="str">
        <f aca="false">IF(Q55="","",IF(Q55=0,"below 5:00",IF(Q55&gt;=66,"16:00 or above",INT((60+2*Q55)/12)&amp;":"&amp;TEXT(MOD(60+2*Q55,12),"00"))))</f>
        <v/>
      </c>
      <c r="S55" s="47"/>
      <c r="T55" s="47"/>
      <c r="U55" s="47"/>
      <c r="V55" s="47"/>
      <c r="W55" s="47"/>
      <c r="X55" s="47"/>
      <c r="Y55" s="47"/>
      <c r="Z55" s="47"/>
      <c r="AA55" s="10"/>
      <c r="AB55" s="10"/>
      <c r="AC55" s="47"/>
      <c r="AD55" s="47"/>
      <c r="AE55" s="47"/>
      <c r="AF55" s="47"/>
      <c r="AG55" s="47"/>
      <c r="AH55" s="47"/>
      <c r="AI55" s="46"/>
      <c r="AJ55" s="46"/>
      <c r="AK55" s="46"/>
      <c r="AL55" s="7"/>
      <c r="AM55" s="49" t="str">
        <f aca="false">IF(OR(C55="",G55=""),"",IFERROR(DATEDIF(C55,G55,"m"),""))</f>
        <v/>
      </c>
      <c r="AN55" s="49" t="str">
        <f aca="false">IF(OR(Q55="",AM55=""),"",60+2*Q55-AM55)</f>
        <v/>
      </c>
      <c r="AO55" s="49" t="str">
        <f aca="false">IF(OR(G55="",AJ55=""),"",AJ55-G55)</f>
        <v/>
      </c>
      <c r="AP55" s="50" t="str">
        <f aca="false">IF(AND(A55="",B55=""),"",IF(J55="","Status needed",IF(OR(J55="Applied",J55="Visit booked",J55="Withdrawn"),"OK",IF(G55="","Date assessed needed",IF(C55="","Date of birth needed",IF(COUNTA(L55,M55,P55,U55,V55,X55)&lt;6,"Band missing",IF(AND(OR(J55="Decision confirmed",J55="Family told",J55="Enrolled"),AG55=""),"Recommendation needed",IF(AND(OR(J55="Family told",J55="Enrolled"),AJ55=""),"Date family told needed","OK"))))))))</f>
        <v/>
      </c>
    </row>
    <row r="56" customFormat="false" ht="15" hidden="false" customHeight="false" outlineLevel="0" collapsed="false">
      <c r="A56" s="7"/>
      <c r="B56" s="7"/>
      <c r="C56" s="46"/>
      <c r="D56" s="7"/>
      <c r="E56" s="47"/>
      <c r="F56" s="46"/>
      <c r="G56" s="46"/>
      <c r="H56" s="7"/>
      <c r="I56" s="7"/>
      <c r="J56" s="47"/>
      <c r="K56" s="47"/>
      <c r="L56" s="47"/>
      <c r="M56" s="47"/>
      <c r="N56" s="47"/>
      <c r="O56" s="10"/>
      <c r="P56" s="47"/>
      <c r="Q56" s="47"/>
      <c r="R56" s="48" t="str">
        <f aca="false">IF(Q56="","",IF(Q56=0,"below 5:00",IF(Q56&gt;=66,"16:00 or above",INT((60+2*Q56)/12)&amp;":"&amp;TEXT(MOD(60+2*Q56,12),"00"))))</f>
        <v/>
      </c>
      <c r="S56" s="47"/>
      <c r="T56" s="47"/>
      <c r="U56" s="47"/>
      <c r="V56" s="47"/>
      <c r="W56" s="47"/>
      <c r="X56" s="47"/>
      <c r="Y56" s="47"/>
      <c r="Z56" s="47"/>
      <c r="AA56" s="10"/>
      <c r="AB56" s="10"/>
      <c r="AC56" s="47"/>
      <c r="AD56" s="47"/>
      <c r="AE56" s="47"/>
      <c r="AF56" s="47"/>
      <c r="AG56" s="47"/>
      <c r="AH56" s="47"/>
      <c r="AI56" s="46"/>
      <c r="AJ56" s="46"/>
      <c r="AK56" s="46"/>
      <c r="AL56" s="7"/>
      <c r="AM56" s="49" t="str">
        <f aca="false">IF(OR(C56="",G56=""),"",IFERROR(DATEDIF(C56,G56,"m"),""))</f>
        <v/>
      </c>
      <c r="AN56" s="49" t="str">
        <f aca="false">IF(OR(Q56="",AM56=""),"",60+2*Q56-AM56)</f>
        <v/>
      </c>
      <c r="AO56" s="49" t="str">
        <f aca="false">IF(OR(G56="",AJ56=""),"",AJ56-G56)</f>
        <v/>
      </c>
      <c r="AP56" s="50" t="str">
        <f aca="false">IF(AND(A56="",B56=""),"",IF(J56="","Status needed",IF(OR(J56="Applied",J56="Visit booked",J56="Withdrawn"),"OK",IF(G56="","Date assessed needed",IF(C56="","Date of birth needed",IF(COUNTA(L56,M56,P56,U56,V56,X56)&lt;6,"Band missing",IF(AND(OR(J56="Decision confirmed",J56="Family told",J56="Enrolled"),AG56=""),"Recommendation needed",IF(AND(OR(J56="Family told",J56="Enrolled"),AJ56=""),"Date family told needed","OK"))))))))</f>
        <v/>
      </c>
    </row>
    <row r="57" customFormat="false" ht="15" hidden="false" customHeight="false" outlineLevel="0" collapsed="false">
      <c r="A57" s="7"/>
      <c r="B57" s="7"/>
      <c r="C57" s="46"/>
      <c r="D57" s="7"/>
      <c r="E57" s="47"/>
      <c r="F57" s="46"/>
      <c r="G57" s="46"/>
      <c r="H57" s="7"/>
      <c r="I57" s="7"/>
      <c r="J57" s="47"/>
      <c r="K57" s="47"/>
      <c r="L57" s="47"/>
      <c r="M57" s="47"/>
      <c r="N57" s="47"/>
      <c r="O57" s="10"/>
      <c r="P57" s="47"/>
      <c r="Q57" s="47"/>
      <c r="R57" s="48" t="str">
        <f aca="false">IF(Q57="","",IF(Q57=0,"below 5:00",IF(Q57&gt;=66,"16:00 or above",INT((60+2*Q57)/12)&amp;":"&amp;TEXT(MOD(60+2*Q57,12),"00"))))</f>
        <v/>
      </c>
      <c r="S57" s="47"/>
      <c r="T57" s="47"/>
      <c r="U57" s="47"/>
      <c r="V57" s="47"/>
      <c r="W57" s="47"/>
      <c r="X57" s="47"/>
      <c r="Y57" s="47"/>
      <c r="Z57" s="47"/>
      <c r="AA57" s="10"/>
      <c r="AB57" s="10"/>
      <c r="AC57" s="47"/>
      <c r="AD57" s="47"/>
      <c r="AE57" s="47"/>
      <c r="AF57" s="47"/>
      <c r="AG57" s="47"/>
      <c r="AH57" s="47"/>
      <c r="AI57" s="46"/>
      <c r="AJ57" s="46"/>
      <c r="AK57" s="46"/>
      <c r="AL57" s="7"/>
      <c r="AM57" s="49" t="str">
        <f aca="false">IF(OR(C57="",G57=""),"",IFERROR(DATEDIF(C57,G57,"m"),""))</f>
        <v/>
      </c>
      <c r="AN57" s="49" t="str">
        <f aca="false">IF(OR(Q57="",AM57=""),"",60+2*Q57-AM57)</f>
        <v/>
      </c>
      <c r="AO57" s="49" t="str">
        <f aca="false">IF(OR(G57="",AJ57=""),"",AJ57-G57)</f>
        <v/>
      </c>
      <c r="AP57" s="50" t="str">
        <f aca="false">IF(AND(A57="",B57=""),"",IF(J57="","Status needed",IF(OR(J57="Applied",J57="Visit booked",J57="Withdrawn"),"OK",IF(G57="","Date assessed needed",IF(C57="","Date of birth needed",IF(COUNTA(L57,M57,P57,U57,V57,X57)&lt;6,"Band missing",IF(AND(OR(J57="Decision confirmed",J57="Family told",J57="Enrolled"),AG57=""),"Recommendation needed",IF(AND(OR(J57="Family told",J57="Enrolled"),AJ57=""),"Date family told needed","OK"))))))))</f>
        <v/>
      </c>
    </row>
    <row r="58" customFormat="false" ht="15" hidden="false" customHeight="false" outlineLevel="0" collapsed="false">
      <c r="A58" s="7"/>
      <c r="B58" s="7"/>
      <c r="C58" s="46"/>
      <c r="D58" s="7"/>
      <c r="E58" s="47"/>
      <c r="F58" s="46"/>
      <c r="G58" s="46"/>
      <c r="H58" s="7"/>
      <c r="I58" s="7"/>
      <c r="J58" s="47"/>
      <c r="K58" s="47"/>
      <c r="L58" s="47"/>
      <c r="M58" s="47"/>
      <c r="N58" s="47"/>
      <c r="O58" s="10"/>
      <c r="P58" s="47"/>
      <c r="Q58" s="47"/>
      <c r="R58" s="48" t="str">
        <f aca="false">IF(Q58="","",IF(Q58=0,"below 5:00",IF(Q58&gt;=66,"16:00 or above",INT((60+2*Q58)/12)&amp;":"&amp;TEXT(MOD(60+2*Q58,12),"00"))))</f>
        <v/>
      </c>
      <c r="S58" s="47"/>
      <c r="T58" s="47"/>
      <c r="U58" s="47"/>
      <c r="V58" s="47"/>
      <c r="W58" s="47"/>
      <c r="X58" s="47"/>
      <c r="Y58" s="47"/>
      <c r="Z58" s="47"/>
      <c r="AA58" s="10"/>
      <c r="AB58" s="10"/>
      <c r="AC58" s="47"/>
      <c r="AD58" s="47"/>
      <c r="AE58" s="47"/>
      <c r="AF58" s="47"/>
      <c r="AG58" s="47"/>
      <c r="AH58" s="47"/>
      <c r="AI58" s="46"/>
      <c r="AJ58" s="46"/>
      <c r="AK58" s="46"/>
      <c r="AL58" s="7"/>
      <c r="AM58" s="49" t="str">
        <f aca="false">IF(OR(C58="",G58=""),"",IFERROR(DATEDIF(C58,G58,"m"),""))</f>
        <v/>
      </c>
      <c r="AN58" s="49" t="str">
        <f aca="false">IF(OR(Q58="",AM58=""),"",60+2*Q58-AM58)</f>
        <v/>
      </c>
      <c r="AO58" s="49" t="str">
        <f aca="false">IF(OR(G58="",AJ58=""),"",AJ58-G58)</f>
        <v/>
      </c>
      <c r="AP58" s="50" t="str">
        <f aca="false">IF(AND(A58="",B58=""),"",IF(J58="","Status needed",IF(OR(J58="Applied",J58="Visit booked",J58="Withdrawn"),"OK",IF(G58="","Date assessed needed",IF(C58="","Date of birth needed",IF(COUNTA(L58,M58,P58,U58,V58,X58)&lt;6,"Band missing",IF(AND(OR(J58="Decision confirmed",J58="Family told",J58="Enrolled"),AG58=""),"Recommendation needed",IF(AND(OR(J58="Family told",J58="Enrolled"),AJ58=""),"Date family told needed","OK"))))))))</f>
        <v/>
      </c>
    </row>
    <row r="59" customFormat="false" ht="15" hidden="false" customHeight="false" outlineLevel="0" collapsed="false">
      <c r="A59" s="7"/>
      <c r="B59" s="7"/>
      <c r="C59" s="46"/>
      <c r="D59" s="7"/>
      <c r="E59" s="47"/>
      <c r="F59" s="46"/>
      <c r="G59" s="46"/>
      <c r="H59" s="7"/>
      <c r="I59" s="7"/>
      <c r="J59" s="47"/>
      <c r="K59" s="47"/>
      <c r="L59" s="47"/>
      <c r="M59" s="47"/>
      <c r="N59" s="47"/>
      <c r="O59" s="10"/>
      <c r="P59" s="47"/>
      <c r="Q59" s="47"/>
      <c r="R59" s="48" t="str">
        <f aca="false">IF(Q59="","",IF(Q59=0,"below 5:00",IF(Q59&gt;=66,"16:00 or above",INT((60+2*Q59)/12)&amp;":"&amp;TEXT(MOD(60+2*Q59,12),"00"))))</f>
        <v/>
      </c>
      <c r="S59" s="47"/>
      <c r="T59" s="47"/>
      <c r="U59" s="47"/>
      <c r="V59" s="47"/>
      <c r="W59" s="47"/>
      <c r="X59" s="47"/>
      <c r="Y59" s="47"/>
      <c r="Z59" s="47"/>
      <c r="AA59" s="10"/>
      <c r="AB59" s="10"/>
      <c r="AC59" s="47"/>
      <c r="AD59" s="47"/>
      <c r="AE59" s="47"/>
      <c r="AF59" s="47"/>
      <c r="AG59" s="47"/>
      <c r="AH59" s="47"/>
      <c r="AI59" s="46"/>
      <c r="AJ59" s="46"/>
      <c r="AK59" s="46"/>
      <c r="AL59" s="7"/>
      <c r="AM59" s="49" t="str">
        <f aca="false">IF(OR(C59="",G59=""),"",IFERROR(DATEDIF(C59,G59,"m"),""))</f>
        <v/>
      </c>
      <c r="AN59" s="49" t="str">
        <f aca="false">IF(OR(Q59="",AM59=""),"",60+2*Q59-AM59)</f>
        <v/>
      </c>
      <c r="AO59" s="49" t="str">
        <f aca="false">IF(OR(G59="",AJ59=""),"",AJ59-G59)</f>
        <v/>
      </c>
      <c r="AP59" s="50" t="str">
        <f aca="false">IF(AND(A59="",B59=""),"",IF(J59="","Status needed",IF(OR(J59="Applied",J59="Visit booked",J59="Withdrawn"),"OK",IF(G59="","Date assessed needed",IF(C59="","Date of birth needed",IF(COUNTA(L59,M59,P59,U59,V59,X59)&lt;6,"Band missing",IF(AND(OR(J59="Decision confirmed",J59="Family told",J59="Enrolled"),AG59=""),"Recommendation needed",IF(AND(OR(J59="Family told",J59="Enrolled"),AJ59=""),"Date family told needed","OK"))))))))</f>
        <v/>
      </c>
    </row>
    <row r="60" customFormat="false" ht="15" hidden="false" customHeight="false" outlineLevel="0" collapsed="false">
      <c r="A60" s="7"/>
      <c r="B60" s="7"/>
      <c r="C60" s="46"/>
      <c r="D60" s="7"/>
      <c r="E60" s="47"/>
      <c r="F60" s="46"/>
      <c r="G60" s="46"/>
      <c r="H60" s="7"/>
      <c r="I60" s="7"/>
      <c r="J60" s="47"/>
      <c r="K60" s="47"/>
      <c r="L60" s="47"/>
      <c r="M60" s="47"/>
      <c r="N60" s="47"/>
      <c r="O60" s="10"/>
      <c r="P60" s="47"/>
      <c r="Q60" s="47"/>
      <c r="R60" s="48" t="str">
        <f aca="false">IF(Q60="","",IF(Q60=0,"below 5:00",IF(Q60&gt;=66,"16:00 or above",INT((60+2*Q60)/12)&amp;":"&amp;TEXT(MOD(60+2*Q60,12),"00"))))</f>
        <v/>
      </c>
      <c r="S60" s="47"/>
      <c r="T60" s="47"/>
      <c r="U60" s="47"/>
      <c r="V60" s="47"/>
      <c r="W60" s="47"/>
      <c r="X60" s="47"/>
      <c r="Y60" s="47"/>
      <c r="Z60" s="47"/>
      <c r="AA60" s="10"/>
      <c r="AB60" s="10"/>
      <c r="AC60" s="47"/>
      <c r="AD60" s="47"/>
      <c r="AE60" s="47"/>
      <c r="AF60" s="47"/>
      <c r="AG60" s="47"/>
      <c r="AH60" s="47"/>
      <c r="AI60" s="46"/>
      <c r="AJ60" s="46"/>
      <c r="AK60" s="46"/>
      <c r="AL60" s="7"/>
      <c r="AM60" s="49" t="str">
        <f aca="false">IF(OR(C60="",G60=""),"",IFERROR(DATEDIF(C60,G60,"m"),""))</f>
        <v/>
      </c>
      <c r="AN60" s="49" t="str">
        <f aca="false">IF(OR(Q60="",AM60=""),"",60+2*Q60-AM60)</f>
        <v/>
      </c>
      <c r="AO60" s="49" t="str">
        <f aca="false">IF(OR(G60="",AJ60=""),"",AJ60-G60)</f>
        <v/>
      </c>
      <c r="AP60" s="50" t="str">
        <f aca="false">IF(AND(A60="",B60=""),"",IF(J60="","Status needed",IF(OR(J60="Applied",J60="Visit booked",J60="Withdrawn"),"OK",IF(G60="","Date assessed needed",IF(C60="","Date of birth needed",IF(COUNTA(L60,M60,P60,U60,V60,X60)&lt;6,"Band missing",IF(AND(OR(J60="Decision confirmed",J60="Family told",J60="Enrolled"),AG60=""),"Recommendation needed",IF(AND(OR(J60="Family told",J60="Enrolled"),AJ60=""),"Date family told needed","OK"))))))))</f>
        <v/>
      </c>
    </row>
    <row r="61" customFormat="false" ht="15" hidden="false" customHeight="false" outlineLevel="0" collapsed="false">
      <c r="A61" s="7"/>
      <c r="B61" s="7"/>
      <c r="C61" s="46"/>
      <c r="D61" s="7"/>
      <c r="E61" s="47"/>
      <c r="F61" s="46"/>
      <c r="G61" s="46"/>
      <c r="H61" s="7"/>
      <c r="I61" s="7"/>
      <c r="J61" s="47"/>
      <c r="K61" s="47"/>
      <c r="L61" s="47"/>
      <c r="M61" s="47"/>
      <c r="N61" s="47"/>
      <c r="O61" s="10"/>
      <c r="P61" s="47"/>
      <c r="Q61" s="47"/>
      <c r="R61" s="48" t="str">
        <f aca="false">IF(Q61="","",IF(Q61=0,"below 5:00",IF(Q61&gt;=66,"16:00 or above",INT((60+2*Q61)/12)&amp;":"&amp;TEXT(MOD(60+2*Q61,12),"00"))))</f>
        <v/>
      </c>
      <c r="S61" s="47"/>
      <c r="T61" s="47"/>
      <c r="U61" s="47"/>
      <c r="V61" s="47"/>
      <c r="W61" s="47"/>
      <c r="X61" s="47"/>
      <c r="Y61" s="47"/>
      <c r="Z61" s="47"/>
      <c r="AA61" s="10"/>
      <c r="AB61" s="10"/>
      <c r="AC61" s="47"/>
      <c r="AD61" s="47"/>
      <c r="AE61" s="47"/>
      <c r="AF61" s="47"/>
      <c r="AG61" s="47"/>
      <c r="AH61" s="47"/>
      <c r="AI61" s="46"/>
      <c r="AJ61" s="46"/>
      <c r="AK61" s="46"/>
      <c r="AL61" s="7"/>
      <c r="AM61" s="49" t="str">
        <f aca="false">IF(OR(C61="",G61=""),"",IFERROR(DATEDIF(C61,G61,"m"),""))</f>
        <v/>
      </c>
      <c r="AN61" s="49" t="str">
        <f aca="false">IF(OR(Q61="",AM61=""),"",60+2*Q61-AM61)</f>
        <v/>
      </c>
      <c r="AO61" s="49" t="str">
        <f aca="false">IF(OR(G61="",AJ61=""),"",AJ61-G61)</f>
        <v/>
      </c>
      <c r="AP61" s="50" t="str">
        <f aca="false">IF(AND(A61="",B61=""),"",IF(J61="","Status needed",IF(OR(J61="Applied",J61="Visit booked",J61="Withdrawn"),"OK",IF(G61="","Date assessed needed",IF(C61="","Date of birth needed",IF(COUNTA(L61,M61,P61,U61,V61,X61)&lt;6,"Band missing",IF(AND(OR(J61="Decision confirmed",J61="Family told",J61="Enrolled"),AG61=""),"Recommendation needed",IF(AND(OR(J61="Family told",J61="Enrolled"),AJ61=""),"Date family told needed","OK"))))))))</f>
        <v/>
      </c>
    </row>
    <row r="62" customFormat="false" ht="15" hidden="false" customHeight="false" outlineLevel="0" collapsed="false">
      <c r="A62" s="7"/>
      <c r="B62" s="7"/>
      <c r="C62" s="46"/>
      <c r="D62" s="7"/>
      <c r="E62" s="47"/>
      <c r="F62" s="46"/>
      <c r="G62" s="46"/>
      <c r="H62" s="7"/>
      <c r="I62" s="7"/>
      <c r="J62" s="47"/>
      <c r="K62" s="47"/>
      <c r="L62" s="47"/>
      <c r="M62" s="47"/>
      <c r="N62" s="47"/>
      <c r="O62" s="10"/>
      <c r="P62" s="47"/>
      <c r="Q62" s="47"/>
      <c r="R62" s="48" t="str">
        <f aca="false">IF(Q62="","",IF(Q62=0,"below 5:00",IF(Q62&gt;=66,"16:00 or above",INT((60+2*Q62)/12)&amp;":"&amp;TEXT(MOD(60+2*Q62,12),"00"))))</f>
        <v/>
      </c>
      <c r="S62" s="47"/>
      <c r="T62" s="47"/>
      <c r="U62" s="47"/>
      <c r="V62" s="47"/>
      <c r="W62" s="47"/>
      <c r="X62" s="47"/>
      <c r="Y62" s="47"/>
      <c r="Z62" s="47"/>
      <c r="AA62" s="10"/>
      <c r="AB62" s="10"/>
      <c r="AC62" s="47"/>
      <c r="AD62" s="47"/>
      <c r="AE62" s="47"/>
      <c r="AF62" s="47"/>
      <c r="AG62" s="47"/>
      <c r="AH62" s="47"/>
      <c r="AI62" s="46"/>
      <c r="AJ62" s="46"/>
      <c r="AK62" s="46"/>
      <c r="AL62" s="7"/>
      <c r="AM62" s="49" t="str">
        <f aca="false">IF(OR(C62="",G62=""),"",IFERROR(DATEDIF(C62,G62,"m"),""))</f>
        <v/>
      </c>
      <c r="AN62" s="49" t="str">
        <f aca="false">IF(OR(Q62="",AM62=""),"",60+2*Q62-AM62)</f>
        <v/>
      </c>
      <c r="AO62" s="49" t="str">
        <f aca="false">IF(OR(G62="",AJ62=""),"",AJ62-G62)</f>
        <v/>
      </c>
      <c r="AP62" s="50" t="str">
        <f aca="false">IF(AND(A62="",B62=""),"",IF(J62="","Status needed",IF(OR(J62="Applied",J62="Visit booked",J62="Withdrawn"),"OK",IF(G62="","Date assessed needed",IF(C62="","Date of birth needed",IF(COUNTA(L62,M62,P62,U62,V62,X62)&lt;6,"Band missing",IF(AND(OR(J62="Decision confirmed",J62="Family told",J62="Enrolled"),AG62=""),"Recommendation needed",IF(AND(OR(J62="Family told",J62="Enrolled"),AJ62=""),"Date family told needed","OK"))))))))</f>
        <v/>
      </c>
    </row>
    <row r="63" customFormat="false" ht="15" hidden="false" customHeight="false" outlineLevel="0" collapsed="false">
      <c r="A63" s="7"/>
      <c r="B63" s="7"/>
      <c r="C63" s="46"/>
      <c r="D63" s="7"/>
      <c r="E63" s="47"/>
      <c r="F63" s="46"/>
      <c r="G63" s="46"/>
      <c r="H63" s="7"/>
      <c r="I63" s="7"/>
      <c r="J63" s="47"/>
      <c r="K63" s="47"/>
      <c r="L63" s="47"/>
      <c r="M63" s="47"/>
      <c r="N63" s="47"/>
      <c r="O63" s="10"/>
      <c r="P63" s="47"/>
      <c r="Q63" s="47"/>
      <c r="R63" s="48" t="str">
        <f aca="false">IF(Q63="","",IF(Q63=0,"below 5:00",IF(Q63&gt;=66,"16:00 or above",INT((60+2*Q63)/12)&amp;":"&amp;TEXT(MOD(60+2*Q63,12),"00"))))</f>
        <v/>
      </c>
      <c r="S63" s="47"/>
      <c r="T63" s="47"/>
      <c r="U63" s="47"/>
      <c r="V63" s="47"/>
      <c r="W63" s="47"/>
      <c r="X63" s="47"/>
      <c r="Y63" s="47"/>
      <c r="Z63" s="47"/>
      <c r="AA63" s="10"/>
      <c r="AB63" s="10"/>
      <c r="AC63" s="47"/>
      <c r="AD63" s="47"/>
      <c r="AE63" s="47"/>
      <c r="AF63" s="47"/>
      <c r="AG63" s="47"/>
      <c r="AH63" s="47"/>
      <c r="AI63" s="46"/>
      <c r="AJ63" s="46"/>
      <c r="AK63" s="46"/>
      <c r="AL63" s="7"/>
      <c r="AM63" s="49" t="str">
        <f aca="false">IF(OR(C63="",G63=""),"",IFERROR(DATEDIF(C63,G63,"m"),""))</f>
        <v/>
      </c>
      <c r="AN63" s="49" t="str">
        <f aca="false">IF(OR(Q63="",AM63=""),"",60+2*Q63-AM63)</f>
        <v/>
      </c>
      <c r="AO63" s="49" t="str">
        <f aca="false">IF(OR(G63="",AJ63=""),"",AJ63-G63)</f>
        <v/>
      </c>
      <c r="AP63" s="50" t="str">
        <f aca="false">IF(AND(A63="",B63=""),"",IF(J63="","Status needed",IF(OR(J63="Applied",J63="Visit booked",J63="Withdrawn"),"OK",IF(G63="","Date assessed needed",IF(C63="","Date of birth needed",IF(COUNTA(L63,M63,P63,U63,V63,X63)&lt;6,"Band missing",IF(AND(OR(J63="Decision confirmed",J63="Family told",J63="Enrolled"),AG63=""),"Recommendation needed",IF(AND(OR(J63="Family told",J63="Enrolled"),AJ63=""),"Date family told needed","OK"))))))))</f>
        <v/>
      </c>
    </row>
    <row r="64" customFormat="false" ht="15" hidden="false" customHeight="false" outlineLevel="0" collapsed="false">
      <c r="A64" s="7"/>
      <c r="B64" s="7"/>
      <c r="C64" s="46"/>
      <c r="D64" s="7"/>
      <c r="E64" s="47"/>
      <c r="F64" s="46"/>
      <c r="G64" s="46"/>
      <c r="H64" s="7"/>
      <c r="I64" s="7"/>
      <c r="J64" s="47"/>
      <c r="K64" s="47"/>
      <c r="L64" s="47"/>
      <c r="M64" s="47"/>
      <c r="N64" s="47"/>
      <c r="O64" s="10"/>
      <c r="P64" s="47"/>
      <c r="Q64" s="47"/>
      <c r="R64" s="48" t="str">
        <f aca="false">IF(Q64="","",IF(Q64=0,"below 5:00",IF(Q64&gt;=66,"16:00 or above",INT((60+2*Q64)/12)&amp;":"&amp;TEXT(MOD(60+2*Q64,12),"00"))))</f>
        <v/>
      </c>
      <c r="S64" s="47"/>
      <c r="T64" s="47"/>
      <c r="U64" s="47"/>
      <c r="V64" s="47"/>
      <c r="W64" s="47"/>
      <c r="X64" s="47"/>
      <c r="Y64" s="47"/>
      <c r="Z64" s="47"/>
      <c r="AA64" s="10"/>
      <c r="AB64" s="10"/>
      <c r="AC64" s="47"/>
      <c r="AD64" s="47"/>
      <c r="AE64" s="47"/>
      <c r="AF64" s="47"/>
      <c r="AG64" s="47"/>
      <c r="AH64" s="47"/>
      <c r="AI64" s="46"/>
      <c r="AJ64" s="46"/>
      <c r="AK64" s="46"/>
      <c r="AL64" s="7"/>
      <c r="AM64" s="49" t="str">
        <f aca="false">IF(OR(C64="",G64=""),"",IFERROR(DATEDIF(C64,G64,"m"),""))</f>
        <v/>
      </c>
      <c r="AN64" s="49" t="str">
        <f aca="false">IF(OR(Q64="",AM64=""),"",60+2*Q64-AM64)</f>
        <v/>
      </c>
      <c r="AO64" s="49" t="str">
        <f aca="false">IF(OR(G64="",AJ64=""),"",AJ64-G64)</f>
        <v/>
      </c>
      <c r="AP64" s="50" t="str">
        <f aca="false">IF(AND(A64="",B64=""),"",IF(J64="","Status needed",IF(OR(J64="Applied",J64="Visit booked",J64="Withdrawn"),"OK",IF(G64="","Date assessed needed",IF(C64="","Date of birth needed",IF(COUNTA(L64,M64,P64,U64,V64,X64)&lt;6,"Band missing",IF(AND(OR(J64="Decision confirmed",J64="Family told",J64="Enrolled"),AG64=""),"Recommendation needed",IF(AND(OR(J64="Family told",J64="Enrolled"),AJ64=""),"Date family told needed","OK"))))))))</f>
        <v/>
      </c>
    </row>
    <row r="65" customFormat="false" ht="15" hidden="false" customHeight="false" outlineLevel="0" collapsed="false">
      <c r="A65" s="7"/>
      <c r="B65" s="7"/>
      <c r="C65" s="46"/>
      <c r="D65" s="7"/>
      <c r="E65" s="47"/>
      <c r="F65" s="46"/>
      <c r="G65" s="46"/>
      <c r="H65" s="7"/>
      <c r="I65" s="7"/>
      <c r="J65" s="47"/>
      <c r="K65" s="47"/>
      <c r="L65" s="47"/>
      <c r="M65" s="47"/>
      <c r="N65" s="47"/>
      <c r="O65" s="10"/>
      <c r="P65" s="47"/>
      <c r="Q65" s="47"/>
      <c r="R65" s="48" t="str">
        <f aca="false">IF(Q65="","",IF(Q65=0,"below 5:00",IF(Q65&gt;=66,"16:00 or above",INT((60+2*Q65)/12)&amp;":"&amp;TEXT(MOD(60+2*Q65,12),"00"))))</f>
        <v/>
      </c>
      <c r="S65" s="47"/>
      <c r="T65" s="47"/>
      <c r="U65" s="47"/>
      <c r="V65" s="47"/>
      <c r="W65" s="47"/>
      <c r="X65" s="47"/>
      <c r="Y65" s="47"/>
      <c r="Z65" s="47"/>
      <c r="AA65" s="10"/>
      <c r="AB65" s="10"/>
      <c r="AC65" s="47"/>
      <c r="AD65" s="47"/>
      <c r="AE65" s="47"/>
      <c r="AF65" s="47"/>
      <c r="AG65" s="47"/>
      <c r="AH65" s="47"/>
      <c r="AI65" s="46"/>
      <c r="AJ65" s="46"/>
      <c r="AK65" s="46"/>
      <c r="AL65" s="7"/>
      <c r="AM65" s="49" t="str">
        <f aca="false">IF(OR(C65="",G65=""),"",IFERROR(DATEDIF(C65,G65,"m"),""))</f>
        <v/>
      </c>
      <c r="AN65" s="49" t="str">
        <f aca="false">IF(OR(Q65="",AM65=""),"",60+2*Q65-AM65)</f>
        <v/>
      </c>
      <c r="AO65" s="49" t="str">
        <f aca="false">IF(OR(G65="",AJ65=""),"",AJ65-G65)</f>
        <v/>
      </c>
      <c r="AP65" s="50" t="str">
        <f aca="false">IF(AND(A65="",B65=""),"",IF(J65="","Status needed",IF(OR(J65="Applied",J65="Visit booked",J65="Withdrawn"),"OK",IF(G65="","Date assessed needed",IF(C65="","Date of birth needed",IF(COUNTA(L65,M65,P65,U65,V65,X65)&lt;6,"Band missing",IF(AND(OR(J65="Decision confirmed",J65="Family told",J65="Enrolled"),AG65=""),"Recommendation needed",IF(AND(OR(J65="Family told",J65="Enrolled"),AJ65=""),"Date family told needed","OK"))))))))</f>
        <v/>
      </c>
    </row>
    <row r="66" customFormat="false" ht="15" hidden="false" customHeight="false" outlineLevel="0" collapsed="false">
      <c r="A66" s="7"/>
      <c r="B66" s="7"/>
      <c r="C66" s="46"/>
      <c r="D66" s="7"/>
      <c r="E66" s="47"/>
      <c r="F66" s="46"/>
      <c r="G66" s="46"/>
      <c r="H66" s="7"/>
      <c r="I66" s="7"/>
      <c r="J66" s="47"/>
      <c r="K66" s="47"/>
      <c r="L66" s="47"/>
      <c r="M66" s="47"/>
      <c r="N66" s="47"/>
      <c r="O66" s="10"/>
      <c r="P66" s="47"/>
      <c r="Q66" s="47"/>
      <c r="R66" s="48" t="str">
        <f aca="false">IF(Q66="","",IF(Q66=0,"below 5:00",IF(Q66&gt;=66,"16:00 or above",INT((60+2*Q66)/12)&amp;":"&amp;TEXT(MOD(60+2*Q66,12),"00"))))</f>
        <v/>
      </c>
      <c r="S66" s="47"/>
      <c r="T66" s="47"/>
      <c r="U66" s="47"/>
      <c r="V66" s="47"/>
      <c r="W66" s="47"/>
      <c r="X66" s="47"/>
      <c r="Y66" s="47"/>
      <c r="Z66" s="47"/>
      <c r="AA66" s="10"/>
      <c r="AB66" s="10"/>
      <c r="AC66" s="47"/>
      <c r="AD66" s="47"/>
      <c r="AE66" s="47"/>
      <c r="AF66" s="47"/>
      <c r="AG66" s="47"/>
      <c r="AH66" s="47"/>
      <c r="AI66" s="46"/>
      <c r="AJ66" s="46"/>
      <c r="AK66" s="46"/>
      <c r="AL66" s="7"/>
      <c r="AM66" s="49" t="str">
        <f aca="false">IF(OR(C66="",G66=""),"",IFERROR(DATEDIF(C66,G66,"m"),""))</f>
        <v/>
      </c>
      <c r="AN66" s="49" t="str">
        <f aca="false">IF(OR(Q66="",AM66=""),"",60+2*Q66-AM66)</f>
        <v/>
      </c>
      <c r="AO66" s="49" t="str">
        <f aca="false">IF(OR(G66="",AJ66=""),"",AJ66-G66)</f>
        <v/>
      </c>
      <c r="AP66" s="50" t="str">
        <f aca="false">IF(AND(A66="",B66=""),"",IF(J66="","Status needed",IF(OR(J66="Applied",J66="Visit booked",J66="Withdrawn"),"OK",IF(G66="","Date assessed needed",IF(C66="","Date of birth needed",IF(COUNTA(L66,M66,P66,U66,V66,X66)&lt;6,"Band missing",IF(AND(OR(J66="Decision confirmed",J66="Family told",J66="Enrolled"),AG66=""),"Recommendation needed",IF(AND(OR(J66="Family told",J66="Enrolled"),AJ66=""),"Date family told needed","OK"))))))))</f>
        <v/>
      </c>
    </row>
    <row r="67" customFormat="false" ht="15" hidden="false" customHeight="false" outlineLevel="0" collapsed="false">
      <c r="A67" s="7"/>
      <c r="B67" s="7"/>
      <c r="C67" s="46"/>
      <c r="D67" s="7"/>
      <c r="E67" s="47"/>
      <c r="F67" s="46"/>
      <c r="G67" s="46"/>
      <c r="H67" s="7"/>
      <c r="I67" s="7"/>
      <c r="J67" s="47"/>
      <c r="K67" s="47"/>
      <c r="L67" s="47"/>
      <c r="M67" s="47"/>
      <c r="N67" s="47"/>
      <c r="O67" s="10"/>
      <c r="P67" s="47"/>
      <c r="Q67" s="47"/>
      <c r="R67" s="48" t="str">
        <f aca="false">IF(Q67="","",IF(Q67=0,"below 5:00",IF(Q67&gt;=66,"16:00 or above",INT((60+2*Q67)/12)&amp;":"&amp;TEXT(MOD(60+2*Q67,12),"00"))))</f>
        <v/>
      </c>
      <c r="S67" s="47"/>
      <c r="T67" s="47"/>
      <c r="U67" s="47"/>
      <c r="V67" s="47"/>
      <c r="W67" s="47"/>
      <c r="X67" s="47"/>
      <c r="Y67" s="47"/>
      <c r="Z67" s="47"/>
      <c r="AA67" s="10"/>
      <c r="AB67" s="10"/>
      <c r="AC67" s="47"/>
      <c r="AD67" s="47"/>
      <c r="AE67" s="47"/>
      <c r="AF67" s="47"/>
      <c r="AG67" s="47"/>
      <c r="AH67" s="47"/>
      <c r="AI67" s="46"/>
      <c r="AJ67" s="46"/>
      <c r="AK67" s="46"/>
      <c r="AL67" s="7"/>
      <c r="AM67" s="49" t="str">
        <f aca="false">IF(OR(C67="",G67=""),"",IFERROR(DATEDIF(C67,G67,"m"),""))</f>
        <v/>
      </c>
      <c r="AN67" s="49" t="str">
        <f aca="false">IF(OR(Q67="",AM67=""),"",60+2*Q67-AM67)</f>
        <v/>
      </c>
      <c r="AO67" s="49" t="str">
        <f aca="false">IF(OR(G67="",AJ67=""),"",AJ67-G67)</f>
        <v/>
      </c>
      <c r="AP67" s="50" t="str">
        <f aca="false">IF(AND(A67="",B67=""),"",IF(J67="","Status needed",IF(OR(J67="Applied",J67="Visit booked",J67="Withdrawn"),"OK",IF(G67="","Date assessed needed",IF(C67="","Date of birth needed",IF(COUNTA(L67,M67,P67,U67,V67,X67)&lt;6,"Band missing",IF(AND(OR(J67="Decision confirmed",J67="Family told",J67="Enrolled"),AG67=""),"Recommendation needed",IF(AND(OR(J67="Family told",J67="Enrolled"),AJ67=""),"Date family told needed","OK"))))))))</f>
        <v/>
      </c>
    </row>
    <row r="68" customFormat="false" ht="15" hidden="false" customHeight="false" outlineLevel="0" collapsed="false">
      <c r="A68" s="7"/>
      <c r="B68" s="7"/>
      <c r="C68" s="46"/>
      <c r="D68" s="7"/>
      <c r="E68" s="47"/>
      <c r="F68" s="46"/>
      <c r="G68" s="46"/>
      <c r="H68" s="7"/>
      <c r="I68" s="7"/>
      <c r="J68" s="47"/>
      <c r="K68" s="47"/>
      <c r="L68" s="47"/>
      <c r="M68" s="47"/>
      <c r="N68" s="47"/>
      <c r="O68" s="10"/>
      <c r="P68" s="47"/>
      <c r="Q68" s="47"/>
      <c r="R68" s="48" t="str">
        <f aca="false">IF(Q68="","",IF(Q68=0,"below 5:00",IF(Q68&gt;=66,"16:00 or above",INT((60+2*Q68)/12)&amp;":"&amp;TEXT(MOD(60+2*Q68,12),"00"))))</f>
        <v/>
      </c>
      <c r="S68" s="47"/>
      <c r="T68" s="47"/>
      <c r="U68" s="47"/>
      <c r="V68" s="47"/>
      <c r="W68" s="47"/>
      <c r="X68" s="47"/>
      <c r="Y68" s="47"/>
      <c r="Z68" s="47"/>
      <c r="AA68" s="10"/>
      <c r="AB68" s="10"/>
      <c r="AC68" s="47"/>
      <c r="AD68" s="47"/>
      <c r="AE68" s="47"/>
      <c r="AF68" s="47"/>
      <c r="AG68" s="47"/>
      <c r="AH68" s="47"/>
      <c r="AI68" s="46"/>
      <c r="AJ68" s="46"/>
      <c r="AK68" s="46"/>
      <c r="AL68" s="7"/>
      <c r="AM68" s="49" t="str">
        <f aca="false">IF(OR(C68="",G68=""),"",IFERROR(DATEDIF(C68,G68,"m"),""))</f>
        <v/>
      </c>
      <c r="AN68" s="49" t="str">
        <f aca="false">IF(OR(Q68="",AM68=""),"",60+2*Q68-AM68)</f>
        <v/>
      </c>
      <c r="AO68" s="49" t="str">
        <f aca="false">IF(OR(G68="",AJ68=""),"",AJ68-G68)</f>
        <v/>
      </c>
      <c r="AP68" s="50" t="str">
        <f aca="false">IF(AND(A68="",B68=""),"",IF(J68="","Status needed",IF(OR(J68="Applied",J68="Visit booked",J68="Withdrawn"),"OK",IF(G68="","Date assessed needed",IF(C68="","Date of birth needed",IF(COUNTA(L68,M68,P68,U68,V68,X68)&lt;6,"Band missing",IF(AND(OR(J68="Decision confirmed",J68="Family told",J68="Enrolled"),AG68=""),"Recommendation needed",IF(AND(OR(J68="Family told",J68="Enrolled"),AJ68=""),"Date family told needed","OK"))))))))</f>
        <v/>
      </c>
    </row>
    <row r="69" customFormat="false" ht="15" hidden="false" customHeight="false" outlineLevel="0" collapsed="false">
      <c r="A69" s="7"/>
      <c r="B69" s="7"/>
      <c r="C69" s="46"/>
      <c r="D69" s="7"/>
      <c r="E69" s="47"/>
      <c r="F69" s="46"/>
      <c r="G69" s="46"/>
      <c r="H69" s="7"/>
      <c r="I69" s="7"/>
      <c r="J69" s="47"/>
      <c r="K69" s="47"/>
      <c r="L69" s="47"/>
      <c r="M69" s="47"/>
      <c r="N69" s="47"/>
      <c r="O69" s="10"/>
      <c r="P69" s="47"/>
      <c r="Q69" s="47"/>
      <c r="R69" s="48" t="str">
        <f aca="false">IF(Q69="","",IF(Q69=0,"below 5:00",IF(Q69&gt;=66,"16:00 or above",INT((60+2*Q69)/12)&amp;":"&amp;TEXT(MOD(60+2*Q69,12),"00"))))</f>
        <v/>
      </c>
      <c r="S69" s="47"/>
      <c r="T69" s="47"/>
      <c r="U69" s="47"/>
      <c r="V69" s="47"/>
      <c r="W69" s="47"/>
      <c r="X69" s="47"/>
      <c r="Y69" s="47"/>
      <c r="Z69" s="47"/>
      <c r="AA69" s="10"/>
      <c r="AB69" s="10"/>
      <c r="AC69" s="47"/>
      <c r="AD69" s="47"/>
      <c r="AE69" s="47"/>
      <c r="AF69" s="47"/>
      <c r="AG69" s="47"/>
      <c r="AH69" s="47"/>
      <c r="AI69" s="46"/>
      <c r="AJ69" s="46"/>
      <c r="AK69" s="46"/>
      <c r="AL69" s="7"/>
      <c r="AM69" s="49" t="str">
        <f aca="false">IF(OR(C69="",G69=""),"",IFERROR(DATEDIF(C69,G69,"m"),""))</f>
        <v/>
      </c>
      <c r="AN69" s="49" t="str">
        <f aca="false">IF(OR(Q69="",AM69=""),"",60+2*Q69-AM69)</f>
        <v/>
      </c>
      <c r="AO69" s="49" t="str">
        <f aca="false">IF(OR(G69="",AJ69=""),"",AJ69-G69)</f>
        <v/>
      </c>
      <c r="AP69" s="50" t="str">
        <f aca="false">IF(AND(A69="",B69=""),"",IF(J69="","Status needed",IF(OR(J69="Applied",J69="Visit booked",J69="Withdrawn"),"OK",IF(G69="","Date assessed needed",IF(C69="","Date of birth needed",IF(COUNTA(L69,M69,P69,U69,V69,X69)&lt;6,"Band missing",IF(AND(OR(J69="Decision confirmed",J69="Family told",J69="Enrolled"),AG69=""),"Recommendation needed",IF(AND(OR(J69="Family told",J69="Enrolled"),AJ69=""),"Date family told needed","OK"))))))))</f>
        <v/>
      </c>
    </row>
    <row r="70" customFormat="false" ht="15" hidden="false" customHeight="false" outlineLevel="0" collapsed="false">
      <c r="A70" s="7"/>
      <c r="B70" s="7"/>
      <c r="C70" s="46"/>
      <c r="D70" s="7"/>
      <c r="E70" s="47"/>
      <c r="F70" s="46"/>
      <c r="G70" s="46"/>
      <c r="H70" s="7"/>
      <c r="I70" s="7"/>
      <c r="J70" s="47"/>
      <c r="K70" s="47"/>
      <c r="L70" s="47"/>
      <c r="M70" s="47"/>
      <c r="N70" s="47"/>
      <c r="O70" s="10"/>
      <c r="P70" s="47"/>
      <c r="Q70" s="47"/>
      <c r="R70" s="48" t="str">
        <f aca="false">IF(Q70="","",IF(Q70=0,"below 5:00",IF(Q70&gt;=66,"16:00 or above",INT((60+2*Q70)/12)&amp;":"&amp;TEXT(MOD(60+2*Q70,12),"00"))))</f>
        <v/>
      </c>
      <c r="S70" s="47"/>
      <c r="T70" s="47"/>
      <c r="U70" s="47"/>
      <c r="V70" s="47"/>
      <c r="W70" s="47"/>
      <c r="X70" s="47"/>
      <c r="Y70" s="47"/>
      <c r="Z70" s="47"/>
      <c r="AA70" s="10"/>
      <c r="AB70" s="10"/>
      <c r="AC70" s="47"/>
      <c r="AD70" s="47"/>
      <c r="AE70" s="47"/>
      <c r="AF70" s="47"/>
      <c r="AG70" s="47"/>
      <c r="AH70" s="47"/>
      <c r="AI70" s="46"/>
      <c r="AJ70" s="46"/>
      <c r="AK70" s="46"/>
      <c r="AL70" s="7"/>
      <c r="AM70" s="49" t="str">
        <f aca="false">IF(OR(C70="",G70=""),"",IFERROR(DATEDIF(C70,G70,"m"),""))</f>
        <v/>
      </c>
      <c r="AN70" s="49" t="str">
        <f aca="false">IF(OR(Q70="",AM70=""),"",60+2*Q70-AM70)</f>
        <v/>
      </c>
      <c r="AO70" s="49" t="str">
        <f aca="false">IF(OR(G70="",AJ70=""),"",AJ70-G70)</f>
        <v/>
      </c>
      <c r="AP70" s="50" t="str">
        <f aca="false">IF(AND(A70="",B70=""),"",IF(J70="","Status needed",IF(OR(J70="Applied",J70="Visit booked",J70="Withdrawn"),"OK",IF(G70="","Date assessed needed",IF(C70="","Date of birth needed",IF(COUNTA(L70,M70,P70,U70,V70,X70)&lt;6,"Band missing",IF(AND(OR(J70="Decision confirmed",J70="Family told",J70="Enrolled"),AG70=""),"Recommendation needed",IF(AND(OR(J70="Family told",J70="Enrolled"),AJ70=""),"Date family told needed","OK"))))))))</f>
        <v/>
      </c>
    </row>
    <row r="71" customFormat="false" ht="15" hidden="false" customHeight="false" outlineLevel="0" collapsed="false">
      <c r="A71" s="7"/>
      <c r="B71" s="7"/>
      <c r="C71" s="46"/>
      <c r="D71" s="7"/>
      <c r="E71" s="47"/>
      <c r="F71" s="46"/>
      <c r="G71" s="46"/>
      <c r="H71" s="7"/>
      <c r="I71" s="7"/>
      <c r="J71" s="47"/>
      <c r="K71" s="47"/>
      <c r="L71" s="47"/>
      <c r="M71" s="47"/>
      <c r="N71" s="47"/>
      <c r="O71" s="10"/>
      <c r="P71" s="47"/>
      <c r="Q71" s="47"/>
      <c r="R71" s="48" t="str">
        <f aca="false">IF(Q71="","",IF(Q71=0,"below 5:00",IF(Q71&gt;=66,"16:00 or above",INT((60+2*Q71)/12)&amp;":"&amp;TEXT(MOD(60+2*Q71,12),"00"))))</f>
        <v/>
      </c>
      <c r="S71" s="47"/>
      <c r="T71" s="47"/>
      <c r="U71" s="47"/>
      <c r="V71" s="47"/>
      <c r="W71" s="47"/>
      <c r="X71" s="47"/>
      <c r="Y71" s="47"/>
      <c r="Z71" s="47"/>
      <c r="AA71" s="10"/>
      <c r="AB71" s="10"/>
      <c r="AC71" s="47"/>
      <c r="AD71" s="47"/>
      <c r="AE71" s="47"/>
      <c r="AF71" s="47"/>
      <c r="AG71" s="47"/>
      <c r="AH71" s="47"/>
      <c r="AI71" s="46"/>
      <c r="AJ71" s="46"/>
      <c r="AK71" s="46"/>
      <c r="AL71" s="7"/>
      <c r="AM71" s="49" t="str">
        <f aca="false">IF(OR(C71="",G71=""),"",IFERROR(DATEDIF(C71,G71,"m"),""))</f>
        <v/>
      </c>
      <c r="AN71" s="49" t="str">
        <f aca="false">IF(OR(Q71="",AM71=""),"",60+2*Q71-AM71)</f>
        <v/>
      </c>
      <c r="AO71" s="49" t="str">
        <f aca="false">IF(OR(G71="",AJ71=""),"",AJ71-G71)</f>
        <v/>
      </c>
      <c r="AP71" s="50" t="str">
        <f aca="false">IF(AND(A71="",B71=""),"",IF(J71="","Status needed",IF(OR(J71="Applied",J71="Visit booked",J71="Withdrawn"),"OK",IF(G71="","Date assessed needed",IF(C71="","Date of birth needed",IF(COUNTA(L71,M71,P71,U71,V71,X71)&lt;6,"Band missing",IF(AND(OR(J71="Decision confirmed",J71="Family told",J71="Enrolled"),AG71=""),"Recommendation needed",IF(AND(OR(J71="Family told",J71="Enrolled"),AJ71=""),"Date family told needed","OK"))))))))</f>
        <v/>
      </c>
    </row>
    <row r="72" customFormat="false" ht="15" hidden="false" customHeight="false" outlineLevel="0" collapsed="false">
      <c r="A72" s="7"/>
      <c r="B72" s="7"/>
      <c r="C72" s="46"/>
      <c r="D72" s="7"/>
      <c r="E72" s="47"/>
      <c r="F72" s="46"/>
      <c r="G72" s="46"/>
      <c r="H72" s="7"/>
      <c r="I72" s="7"/>
      <c r="J72" s="47"/>
      <c r="K72" s="47"/>
      <c r="L72" s="47"/>
      <c r="M72" s="47"/>
      <c r="N72" s="47"/>
      <c r="O72" s="10"/>
      <c r="P72" s="47"/>
      <c r="Q72" s="47"/>
      <c r="R72" s="48" t="str">
        <f aca="false">IF(Q72="","",IF(Q72=0,"below 5:00",IF(Q72&gt;=66,"16:00 or above",INT((60+2*Q72)/12)&amp;":"&amp;TEXT(MOD(60+2*Q72,12),"00"))))</f>
        <v/>
      </c>
      <c r="S72" s="47"/>
      <c r="T72" s="47"/>
      <c r="U72" s="47"/>
      <c r="V72" s="47"/>
      <c r="W72" s="47"/>
      <c r="X72" s="47"/>
      <c r="Y72" s="47"/>
      <c r="Z72" s="47"/>
      <c r="AA72" s="10"/>
      <c r="AB72" s="10"/>
      <c r="AC72" s="47"/>
      <c r="AD72" s="47"/>
      <c r="AE72" s="47"/>
      <c r="AF72" s="47"/>
      <c r="AG72" s="47"/>
      <c r="AH72" s="47"/>
      <c r="AI72" s="46"/>
      <c r="AJ72" s="46"/>
      <c r="AK72" s="46"/>
      <c r="AL72" s="7"/>
      <c r="AM72" s="49" t="str">
        <f aca="false">IF(OR(C72="",G72=""),"",IFERROR(DATEDIF(C72,G72,"m"),""))</f>
        <v/>
      </c>
      <c r="AN72" s="49" t="str">
        <f aca="false">IF(OR(Q72="",AM72=""),"",60+2*Q72-AM72)</f>
        <v/>
      </c>
      <c r="AO72" s="49" t="str">
        <f aca="false">IF(OR(G72="",AJ72=""),"",AJ72-G72)</f>
        <v/>
      </c>
      <c r="AP72" s="50" t="str">
        <f aca="false">IF(AND(A72="",B72=""),"",IF(J72="","Status needed",IF(OR(J72="Applied",J72="Visit booked",J72="Withdrawn"),"OK",IF(G72="","Date assessed needed",IF(C72="","Date of birth needed",IF(COUNTA(L72,M72,P72,U72,V72,X72)&lt;6,"Band missing",IF(AND(OR(J72="Decision confirmed",J72="Family told",J72="Enrolled"),AG72=""),"Recommendation needed",IF(AND(OR(J72="Family told",J72="Enrolled"),AJ72=""),"Date family told needed","OK"))))))))</f>
        <v/>
      </c>
    </row>
    <row r="73" customFormat="false" ht="15" hidden="false" customHeight="false" outlineLevel="0" collapsed="false">
      <c r="A73" s="7"/>
      <c r="B73" s="7"/>
      <c r="C73" s="46"/>
      <c r="D73" s="7"/>
      <c r="E73" s="47"/>
      <c r="F73" s="46"/>
      <c r="G73" s="46"/>
      <c r="H73" s="7"/>
      <c r="I73" s="7"/>
      <c r="J73" s="47"/>
      <c r="K73" s="47"/>
      <c r="L73" s="47"/>
      <c r="M73" s="47"/>
      <c r="N73" s="47"/>
      <c r="O73" s="10"/>
      <c r="P73" s="47"/>
      <c r="Q73" s="47"/>
      <c r="R73" s="48" t="str">
        <f aca="false">IF(Q73="","",IF(Q73=0,"below 5:00",IF(Q73&gt;=66,"16:00 or above",INT((60+2*Q73)/12)&amp;":"&amp;TEXT(MOD(60+2*Q73,12),"00"))))</f>
        <v/>
      </c>
      <c r="S73" s="47"/>
      <c r="T73" s="47"/>
      <c r="U73" s="47"/>
      <c r="V73" s="47"/>
      <c r="W73" s="47"/>
      <c r="X73" s="47"/>
      <c r="Y73" s="47"/>
      <c r="Z73" s="47"/>
      <c r="AA73" s="10"/>
      <c r="AB73" s="10"/>
      <c r="AC73" s="47"/>
      <c r="AD73" s="47"/>
      <c r="AE73" s="47"/>
      <c r="AF73" s="47"/>
      <c r="AG73" s="47"/>
      <c r="AH73" s="47"/>
      <c r="AI73" s="46"/>
      <c r="AJ73" s="46"/>
      <c r="AK73" s="46"/>
      <c r="AL73" s="7"/>
      <c r="AM73" s="49" t="str">
        <f aca="false">IF(OR(C73="",G73=""),"",IFERROR(DATEDIF(C73,G73,"m"),""))</f>
        <v/>
      </c>
      <c r="AN73" s="49" t="str">
        <f aca="false">IF(OR(Q73="",AM73=""),"",60+2*Q73-AM73)</f>
        <v/>
      </c>
      <c r="AO73" s="49" t="str">
        <f aca="false">IF(OR(G73="",AJ73=""),"",AJ73-G73)</f>
        <v/>
      </c>
      <c r="AP73" s="50" t="str">
        <f aca="false">IF(AND(A73="",B73=""),"",IF(J73="","Status needed",IF(OR(J73="Applied",J73="Visit booked",J73="Withdrawn"),"OK",IF(G73="","Date assessed needed",IF(C73="","Date of birth needed",IF(COUNTA(L73,M73,P73,U73,V73,X73)&lt;6,"Band missing",IF(AND(OR(J73="Decision confirmed",J73="Family told",J73="Enrolled"),AG73=""),"Recommendation needed",IF(AND(OR(J73="Family told",J73="Enrolled"),AJ73=""),"Date family told needed","OK"))))))))</f>
        <v/>
      </c>
    </row>
    <row r="74" customFormat="false" ht="15" hidden="false" customHeight="false" outlineLevel="0" collapsed="false">
      <c r="A74" s="7"/>
      <c r="B74" s="7"/>
      <c r="C74" s="46"/>
      <c r="D74" s="7"/>
      <c r="E74" s="47"/>
      <c r="F74" s="46"/>
      <c r="G74" s="46"/>
      <c r="H74" s="7"/>
      <c r="I74" s="7"/>
      <c r="J74" s="47"/>
      <c r="K74" s="47"/>
      <c r="L74" s="47"/>
      <c r="M74" s="47"/>
      <c r="N74" s="47"/>
      <c r="O74" s="10"/>
      <c r="P74" s="47"/>
      <c r="Q74" s="47"/>
      <c r="R74" s="48" t="str">
        <f aca="false">IF(Q74="","",IF(Q74=0,"below 5:00",IF(Q74&gt;=66,"16:00 or above",INT((60+2*Q74)/12)&amp;":"&amp;TEXT(MOD(60+2*Q74,12),"00"))))</f>
        <v/>
      </c>
      <c r="S74" s="47"/>
      <c r="T74" s="47"/>
      <c r="U74" s="47"/>
      <c r="V74" s="47"/>
      <c r="W74" s="47"/>
      <c r="X74" s="47"/>
      <c r="Y74" s="47"/>
      <c r="Z74" s="47"/>
      <c r="AA74" s="10"/>
      <c r="AB74" s="10"/>
      <c r="AC74" s="47"/>
      <c r="AD74" s="47"/>
      <c r="AE74" s="47"/>
      <c r="AF74" s="47"/>
      <c r="AG74" s="47"/>
      <c r="AH74" s="47"/>
      <c r="AI74" s="46"/>
      <c r="AJ74" s="46"/>
      <c r="AK74" s="46"/>
      <c r="AL74" s="7"/>
      <c r="AM74" s="49" t="str">
        <f aca="false">IF(OR(C74="",G74=""),"",IFERROR(DATEDIF(C74,G74,"m"),""))</f>
        <v/>
      </c>
      <c r="AN74" s="49" t="str">
        <f aca="false">IF(OR(Q74="",AM74=""),"",60+2*Q74-AM74)</f>
        <v/>
      </c>
      <c r="AO74" s="49" t="str">
        <f aca="false">IF(OR(G74="",AJ74=""),"",AJ74-G74)</f>
        <v/>
      </c>
      <c r="AP74" s="50" t="str">
        <f aca="false">IF(AND(A74="",B74=""),"",IF(J74="","Status needed",IF(OR(J74="Applied",J74="Visit booked",J74="Withdrawn"),"OK",IF(G74="","Date assessed needed",IF(C74="","Date of birth needed",IF(COUNTA(L74,M74,P74,U74,V74,X74)&lt;6,"Band missing",IF(AND(OR(J74="Decision confirmed",J74="Family told",J74="Enrolled"),AG74=""),"Recommendation needed",IF(AND(OR(J74="Family told",J74="Enrolled"),AJ74=""),"Date family told needed","OK"))))))))</f>
        <v/>
      </c>
    </row>
    <row r="75" customFormat="false" ht="15" hidden="false" customHeight="false" outlineLevel="0" collapsed="false">
      <c r="A75" s="7"/>
      <c r="B75" s="7"/>
      <c r="C75" s="46"/>
      <c r="D75" s="7"/>
      <c r="E75" s="47"/>
      <c r="F75" s="46"/>
      <c r="G75" s="46"/>
      <c r="H75" s="7"/>
      <c r="I75" s="7"/>
      <c r="J75" s="47"/>
      <c r="K75" s="47"/>
      <c r="L75" s="47"/>
      <c r="M75" s="47"/>
      <c r="N75" s="47"/>
      <c r="O75" s="10"/>
      <c r="P75" s="47"/>
      <c r="Q75" s="47"/>
      <c r="R75" s="48" t="str">
        <f aca="false">IF(Q75="","",IF(Q75=0,"below 5:00",IF(Q75&gt;=66,"16:00 or above",INT((60+2*Q75)/12)&amp;":"&amp;TEXT(MOD(60+2*Q75,12),"00"))))</f>
        <v/>
      </c>
      <c r="S75" s="47"/>
      <c r="T75" s="47"/>
      <c r="U75" s="47"/>
      <c r="V75" s="47"/>
      <c r="W75" s="47"/>
      <c r="X75" s="47"/>
      <c r="Y75" s="47"/>
      <c r="Z75" s="47"/>
      <c r="AA75" s="10"/>
      <c r="AB75" s="10"/>
      <c r="AC75" s="47"/>
      <c r="AD75" s="47"/>
      <c r="AE75" s="47"/>
      <c r="AF75" s="47"/>
      <c r="AG75" s="47"/>
      <c r="AH75" s="47"/>
      <c r="AI75" s="46"/>
      <c r="AJ75" s="46"/>
      <c r="AK75" s="46"/>
      <c r="AL75" s="7"/>
      <c r="AM75" s="49" t="str">
        <f aca="false">IF(OR(C75="",G75=""),"",IFERROR(DATEDIF(C75,G75,"m"),""))</f>
        <v/>
      </c>
      <c r="AN75" s="49" t="str">
        <f aca="false">IF(OR(Q75="",AM75=""),"",60+2*Q75-AM75)</f>
        <v/>
      </c>
      <c r="AO75" s="49" t="str">
        <f aca="false">IF(OR(G75="",AJ75=""),"",AJ75-G75)</f>
        <v/>
      </c>
      <c r="AP75" s="50" t="str">
        <f aca="false">IF(AND(A75="",B75=""),"",IF(J75="","Status needed",IF(OR(J75="Applied",J75="Visit booked",J75="Withdrawn"),"OK",IF(G75="","Date assessed needed",IF(C75="","Date of birth needed",IF(COUNTA(L75,M75,P75,U75,V75,X75)&lt;6,"Band missing",IF(AND(OR(J75="Decision confirmed",J75="Family told",J75="Enrolled"),AG75=""),"Recommendation needed",IF(AND(OR(J75="Family told",J75="Enrolled"),AJ75=""),"Date family told needed","OK"))))))))</f>
        <v/>
      </c>
    </row>
    <row r="76" customFormat="false" ht="15" hidden="false" customHeight="false" outlineLevel="0" collapsed="false">
      <c r="A76" s="7"/>
      <c r="B76" s="7"/>
      <c r="C76" s="46"/>
      <c r="D76" s="7"/>
      <c r="E76" s="47"/>
      <c r="F76" s="46"/>
      <c r="G76" s="46"/>
      <c r="H76" s="7"/>
      <c r="I76" s="7"/>
      <c r="J76" s="47"/>
      <c r="K76" s="47"/>
      <c r="L76" s="47"/>
      <c r="M76" s="47"/>
      <c r="N76" s="47"/>
      <c r="O76" s="10"/>
      <c r="P76" s="47"/>
      <c r="Q76" s="47"/>
      <c r="R76" s="48" t="str">
        <f aca="false">IF(Q76="","",IF(Q76=0,"below 5:00",IF(Q76&gt;=66,"16:00 or above",INT((60+2*Q76)/12)&amp;":"&amp;TEXT(MOD(60+2*Q76,12),"00"))))</f>
        <v/>
      </c>
      <c r="S76" s="47"/>
      <c r="T76" s="47"/>
      <c r="U76" s="47"/>
      <c r="V76" s="47"/>
      <c r="W76" s="47"/>
      <c r="X76" s="47"/>
      <c r="Y76" s="47"/>
      <c r="Z76" s="47"/>
      <c r="AA76" s="10"/>
      <c r="AB76" s="10"/>
      <c r="AC76" s="47"/>
      <c r="AD76" s="47"/>
      <c r="AE76" s="47"/>
      <c r="AF76" s="47"/>
      <c r="AG76" s="47"/>
      <c r="AH76" s="47"/>
      <c r="AI76" s="46"/>
      <c r="AJ76" s="46"/>
      <c r="AK76" s="46"/>
      <c r="AL76" s="7"/>
      <c r="AM76" s="49" t="str">
        <f aca="false">IF(OR(C76="",G76=""),"",IFERROR(DATEDIF(C76,G76,"m"),""))</f>
        <v/>
      </c>
      <c r="AN76" s="49" t="str">
        <f aca="false">IF(OR(Q76="",AM76=""),"",60+2*Q76-AM76)</f>
        <v/>
      </c>
      <c r="AO76" s="49" t="str">
        <f aca="false">IF(OR(G76="",AJ76=""),"",AJ76-G76)</f>
        <v/>
      </c>
      <c r="AP76" s="50" t="str">
        <f aca="false">IF(AND(A76="",B76=""),"",IF(J76="","Status needed",IF(OR(J76="Applied",J76="Visit booked",J76="Withdrawn"),"OK",IF(G76="","Date assessed needed",IF(C76="","Date of birth needed",IF(COUNTA(L76,M76,P76,U76,V76,X76)&lt;6,"Band missing",IF(AND(OR(J76="Decision confirmed",J76="Family told",J76="Enrolled"),AG76=""),"Recommendation needed",IF(AND(OR(J76="Family told",J76="Enrolled"),AJ76=""),"Date family told needed","OK"))))))))</f>
        <v/>
      </c>
    </row>
    <row r="77" customFormat="false" ht="15" hidden="false" customHeight="false" outlineLevel="0" collapsed="false">
      <c r="A77" s="7"/>
      <c r="B77" s="7"/>
      <c r="C77" s="46"/>
      <c r="D77" s="7"/>
      <c r="E77" s="47"/>
      <c r="F77" s="46"/>
      <c r="G77" s="46"/>
      <c r="H77" s="7"/>
      <c r="I77" s="7"/>
      <c r="J77" s="47"/>
      <c r="K77" s="47"/>
      <c r="L77" s="47"/>
      <c r="M77" s="47"/>
      <c r="N77" s="47"/>
      <c r="O77" s="10"/>
      <c r="P77" s="47"/>
      <c r="Q77" s="47"/>
      <c r="R77" s="48" t="str">
        <f aca="false">IF(Q77="","",IF(Q77=0,"below 5:00",IF(Q77&gt;=66,"16:00 or above",INT((60+2*Q77)/12)&amp;":"&amp;TEXT(MOD(60+2*Q77,12),"00"))))</f>
        <v/>
      </c>
      <c r="S77" s="47"/>
      <c r="T77" s="47"/>
      <c r="U77" s="47"/>
      <c r="V77" s="47"/>
      <c r="W77" s="47"/>
      <c r="X77" s="47"/>
      <c r="Y77" s="47"/>
      <c r="Z77" s="47"/>
      <c r="AA77" s="10"/>
      <c r="AB77" s="10"/>
      <c r="AC77" s="47"/>
      <c r="AD77" s="47"/>
      <c r="AE77" s="47"/>
      <c r="AF77" s="47"/>
      <c r="AG77" s="47"/>
      <c r="AH77" s="47"/>
      <c r="AI77" s="46"/>
      <c r="AJ77" s="46"/>
      <c r="AK77" s="46"/>
      <c r="AL77" s="7"/>
      <c r="AM77" s="49" t="str">
        <f aca="false">IF(OR(C77="",G77=""),"",IFERROR(DATEDIF(C77,G77,"m"),""))</f>
        <v/>
      </c>
      <c r="AN77" s="49" t="str">
        <f aca="false">IF(OR(Q77="",AM77=""),"",60+2*Q77-AM77)</f>
        <v/>
      </c>
      <c r="AO77" s="49" t="str">
        <f aca="false">IF(OR(G77="",AJ77=""),"",AJ77-G77)</f>
        <v/>
      </c>
      <c r="AP77" s="50" t="str">
        <f aca="false">IF(AND(A77="",B77=""),"",IF(J77="","Status needed",IF(OR(J77="Applied",J77="Visit booked",J77="Withdrawn"),"OK",IF(G77="","Date assessed needed",IF(C77="","Date of birth needed",IF(COUNTA(L77,M77,P77,U77,V77,X77)&lt;6,"Band missing",IF(AND(OR(J77="Decision confirmed",J77="Family told",J77="Enrolled"),AG77=""),"Recommendation needed",IF(AND(OR(J77="Family told",J77="Enrolled"),AJ77=""),"Date family told needed","OK"))))))))</f>
        <v/>
      </c>
    </row>
    <row r="78" customFormat="false" ht="15" hidden="false" customHeight="false" outlineLevel="0" collapsed="false">
      <c r="A78" s="7"/>
      <c r="B78" s="7"/>
      <c r="C78" s="46"/>
      <c r="D78" s="7"/>
      <c r="E78" s="47"/>
      <c r="F78" s="46"/>
      <c r="G78" s="46"/>
      <c r="H78" s="7"/>
      <c r="I78" s="7"/>
      <c r="J78" s="47"/>
      <c r="K78" s="47"/>
      <c r="L78" s="47"/>
      <c r="M78" s="47"/>
      <c r="N78" s="47"/>
      <c r="O78" s="10"/>
      <c r="P78" s="47"/>
      <c r="Q78" s="47"/>
      <c r="R78" s="48" t="str">
        <f aca="false">IF(Q78="","",IF(Q78=0,"below 5:00",IF(Q78&gt;=66,"16:00 or above",INT((60+2*Q78)/12)&amp;":"&amp;TEXT(MOD(60+2*Q78,12),"00"))))</f>
        <v/>
      </c>
      <c r="S78" s="47"/>
      <c r="T78" s="47"/>
      <c r="U78" s="47"/>
      <c r="V78" s="47"/>
      <c r="W78" s="47"/>
      <c r="X78" s="47"/>
      <c r="Y78" s="47"/>
      <c r="Z78" s="47"/>
      <c r="AA78" s="10"/>
      <c r="AB78" s="10"/>
      <c r="AC78" s="47"/>
      <c r="AD78" s="47"/>
      <c r="AE78" s="47"/>
      <c r="AF78" s="47"/>
      <c r="AG78" s="47"/>
      <c r="AH78" s="47"/>
      <c r="AI78" s="46"/>
      <c r="AJ78" s="46"/>
      <c r="AK78" s="46"/>
      <c r="AL78" s="7"/>
      <c r="AM78" s="49" t="str">
        <f aca="false">IF(OR(C78="",G78=""),"",IFERROR(DATEDIF(C78,G78,"m"),""))</f>
        <v/>
      </c>
      <c r="AN78" s="49" t="str">
        <f aca="false">IF(OR(Q78="",AM78=""),"",60+2*Q78-AM78)</f>
        <v/>
      </c>
      <c r="AO78" s="49" t="str">
        <f aca="false">IF(OR(G78="",AJ78=""),"",AJ78-G78)</f>
        <v/>
      </c>
      <c r="AP78" s="50" t="str">
        <f aca="false">IF(AND(A78="",B78=""),"",IF(J78="","Status needed",IF(OR(J78="Applied",J78="Visit booked",J78="Withdrawn"),"OK",IF(G78="","Date assessed needed",IF(C78="","Date of birth needed",IF(COUNTA(L78,M78,P78,U78,V78,X78)&lt;6,"Band missing",IF(AND(OR(J78="Decision confirmed",J78="Family told",J78="Enrolled"),AG78=""),"Recommendation needed",IF(AND(OR(J78="Family told",J78="Enrolled"),AJ78=""),"Date family told needed","OK"))))))))</f>
        <v/>
      </c>
    </row>
    <row r="79" customFormat="false" ht="15" hidden="false" customHeight="false" outlineLevel="0" collapsed="false">
      <c r="A79" s="7"/>
      <c r="B79" s="7"/>
      <c r="C79" s="46"/>
      <c r="D79" s="7"/>
      <c r="E79" s="47"/>
      <c r="F79" s="46"/>
      <c r="G79" s="46"/>
      <c r="H79" s="7"/>
      <c r="I79" s="7"/>
      <c r="J79" s="47"/>
      <c r="K79" s="47"/>
      <c r="L79" s="47"/>
      <c r="M79" s="47"/>
      <c r="N79" s="47"/>
      <c r="O79" s="10"/>
      <c r="P79" s="47"/>
      <c r="Q79" s="47"/>
      <c r="R79" s="48" t="str">
        <f aca="false">IF(Q79="","",IF(Q79=0,"below 5:00",IF(Q79&gt;=66,"16:00 or above",INT((60+2*Q79)/12)&amp;":"&amp;TEXT(MOD(60+2*Q79,12),"00"))))</f>
        <v/>
      </c>
      <c r="S79" s="47"/>
      <c r="T79" s="47"/>
      <c r="U79" s="47"/>
      <c r="V79" s="47"/>
      <c r="W79" s="47"/>
      <c r="X79" s="47"/>
      <c r="Y79" s="47"/>
      <c r="Z79" s="47"/>
      <c r="AA79" s="10"/>
      <c r="AB79" s="10"/>
      <c r="AC79" s="47"/>
      <c r="AD79" s="47"/>
      <c r="AE79" s="47"/>
      <c r="AF79" s="47"/>
      <c r="AG79" s="47"/>
      <c r="AH79" s="47"/>
      <c r="AI79" s="46"/>
      <c r="AJ79" s="46"/>
      <c r="AK79" s="46"/>
      <c r="AL79" s="7"/>
      <c r="AM79" s="49" t="str">
        <f aca="false">IF(OR(C79="",G79=""),"",IFERROR(DATEDIF(C79,G79,"m"),""))</f>
        <v/>
      </c>
      <c r="AN79" s="49" t="str">
        <f aca="false">IF(OR(Q79="",AM79=""),"",60+2*Q79-AM79)</f>
        <v/>
      </c>
      <c r="AO79" s="49" t="str">
        <f aca="false">IF(OR(G79="",AJ79=""),"",AJ79-G79)</f>
        <v/>
      </c>
      <c r="AP79" s="50" t="str">
        <f aca="false">IF(AND(A79="",B79=""),"",IF(J79="","Status needed",IF(OR(J79="Applied",J79="Visit booked",J79="Withdrawn"),"OK",IF(G79="","Date assessed needed",IF(C79="","Date of birth needed",IF(COUNTA(L79,M79,P79,U79,V79,X79)&lt;6,"Band missing",IF(AND(OR(J79="Decision confirmed",J79="Family told",J79="Enrolled"),AG79=""),"Recommendation needed",IF(AND(OR(J79="Family told",J79="Enrolled"),AJ79=""),"Date family told needed","OK"))))))))</f>
        <v/>
      </c>
    </row>
    <row r="80" customFormat="false" ht="15" hidden="false" customHeight="false" outlineLevel="0" collapsed="false">
      <c r="A80" s="7"/>
      <c r="B80" s="7"/>
      <c r="C80" s="46"/>
      <c r="D80" s="7"/>
      <c r="E80" s="47"/>
      <c r="F80" s="46"/>
      <c r="G80" s="46"/>
      <c r="H80" s="7"/>
      <c r="I80" s="7"/>
      <c r="J80" s="47"/>
      <c r="K80" s="47"/>
      <c r="L80" s="47"/>
      <c r="M80" s="47"/>
      <c r="N80" s="47"/>
      <c r="O80" s="10"/>
      <c r="P80" s="47"/>
      <c r="Q80" s="47"/>
      <c r="R80" s="48" t="str">
        <f aca="false">IF(Q80="","",IF(Q80=0,"below 5:00",IF(Q80&gt;=66,"16:00 or above",INT((60+2*Q80)/12)&amp;":"&amp;TEXT(MOD(60+2*Q80,12),"00"))))</f>
        <v/>
      </c>
      <c r="S80" s="47"/>
      <c r="T80" s="47"/>
      <c r="U80" s="47"/>
      <c r="V80" s="47"/>
      <c r="W80" s="47"/>
      <c r="X80" s="47"/>
      <c r="Y80" s="47"/>
      <c r="Z80" s="47"/>
      <c r="AA80" s="10"/>
      <c r="AB80" s="10"/>
      <c r="AC80" s="47"/>
      <c r="AD80" s="47"/>
      <c r="AE80" s="47"/>
      <c r="AF80" s="47"/>
      <c r="AG80" s="47"/>
      <c r="AH80" s="47"/>
      <c r="AI80" s="46"/>
      <c r="AJ80" s="46"/>
      <c r="AK80" s="46"/>
      <c r="AL80" s="7"/>
      <c r="AM80" s="49" t="str">
        <f aca="false">IF(OR(C80="",G80=""),"",IFERROR(DATEDIF(C80,G80,"m"),""))</f>
        <v/>
      </c>
      <c r="AN80" s="49" t="str">
        <f aca="false">IF(OR(Q80="",AM80=""),"",60+2*Q80-AM80)</f>
        <v/>
      </c>
      <c r="AO80" s="49" t="str">
        <f aca="false">IF(OR(G80="",AJ80=""),"",AJ80-G80)</f>
        <v/>
      </c>
      <c r="AP80" s="50" t="str">
        <f aca="false">IF(AND(A80="",B80=""),"",IF(J80="","Status needed",IF(OR(J80="Applied",J80="Visit booked",J80="Withdrawn"),"OK",IF(G80="","Date assessed needed",IF(C80="","Date of birth needed",IF(COUNTA(L80,M80,P80,U80,V80,X80)&lt;6,"Band missing",IF(AND(OR(J80="Decision confirmed",J80="Family told",J80="Enrolled"),AG80=""),"Recommendation needed",IF(AND(OR(J80="Family told",J80="Enrolled"),AJ80=""),"Date family told needed","OK"))))))))</f>
        <v/>
      </c>
    </row>
    <row r="81" customFormat="false" ht="15" hidden="false" customHeight="false" outlineLevel="0" collapsed="false">
      <c r="A81" s="7"/>
      <c r="B81" s="7"/>
      <c r="C81" s="46"/>
      <c r="D81" s="7"/>
      <c r="E81" s="47"/>
      <c r="F81" s="46"/>
      <c r="G81" s="46"/>
      <c r="H81" s="7"/>
      <c r="I81" s="7"/>
      <c r="J81" s="47"/>
      <c r="K81" s="47"/>
      <c r="L81" s="47"/>
      <c r="M81" s="47"/>
      <c r="N81" s="47"/>
      <c r="O81" s="10"/>
      <c r="P81" s="47"/>
      <c r="Q81" s="47"/>
      <c r="R81" s="48" t="str">
        <f aca="false">IF(Q81="","",IF(Q81=0,"below 5:00",IF(Q81&gt;=66,"16:00 or above",INT((60+2*Q81)/12)&amp;":"&amp;TEXT(MOD(60+2*Q81,12),"00"))))</f>
        <v/>
      </c>
      <c r="S81" s="47"/>
      <c r="T81" s="47"/>
      <c r="U81" s="47"/>
      <c r="V81" s="47"/>
      <c r="W81" s="47"/>
      <c r="X81" s="47"/>
      <c r="Y81" s="47"/>
      <c r="Z81" s="47"/>
      <c r="AA81" s="10"/>
      <c r="AB81" s="10"/>
      <c r="AC81" s="47"/>
      <c r="AD81" s="47"/>
      <c r="AE81" s="47"/>
      <c r="AF81" s="47"/>
      <c r="AG81" s="47"/>
      <c r="AH81" s="47"/>
      <c r="AI81" s="46"/>
      <c r="AJ81" s="46"/>
      <c r="AK81" s="46"/>
      <c r="AL81" s="7"/>
      <c r="AM81" s="49" t="str">
        <f aca="false">IF(OR(C81="",G81=""),"",IFERROR(DATEDIF(C81,G81,"m"),""))</f>
        <v/>
      </c>
      <c r="AN81" s="49" t="str">
        <f aca="false">IF(OR(Q81="",AM81=""),"",60+2*Q81-AM81)</f>
        <v/>
      </c>
      <c r="AO81" s="49" t="str">
        <f aca="false">IF(OR(G81="",AJ81=""),"",AJ81-G81)</f>
        <v/>
      </c>
      <c r="AP81" s="50" t="str">
        <f aca="false">IF(AND(A81="",B81=""),"",IF(J81="","Status needed",IF(OR(J81="Applied",J81="Visit booked",J81="Withdrawn"),"OK",IF(G81="","Date assessed needed",IF(C81="","Date of birth needed",IF(COUNTA(L81,M81,P81,U81,V81,X81)&lt;6,"Band missing",IF(AND(OR(J81="Decision confirmed",J81="Family told",J81="Enrolled"),AG81=""),"Recommendation needed",IF(AND(OR(J81="Family told",J81="Enrolled"),AJ81=""),"Date family told needed","OK"))))))))</f>
        <v/>
      </c>
    </row>
    <row r="82" customFormat="false" ht="15" hidden="false" customHeight="false" outlineLevel="0" collapsed="false">
      <c r="A82" s="7"/>
      <c r="B82" s="7"/>
      <c r="C82" s="46"/>
      <c r="D82" s="7"/>
      <c r="E82" s="47"/>
      <c r="F82" s="46"/>
      <c r="G82" s="46"/>
      <c r="H82" s="7"/>
      <c r="I82" s="7"/>
      <c r="J82" s="47"/>
      <c r="K82" s="47"/>
      <c r="L82" s="47"/>
      <c r="M82" s="47"/>
      <c r="N82" s="47"/>
      <c r="O82" s="10"/>
      <c r="P82" s="47"/>
      <c r="Q82" s="47"/>
      <c r="R82" s="48" t="str">
        <f aca="false">IF(Q82="","",IF(Q82=0,"below 5:00",IF(Q82&gt;=66,"16:00 or above",INT((60+2*Q82)/12)&amp;":"&amp;TEXT(MOD(60+2*Q82,12),"00"))))</f>
        <v/>
      </c>
      <c r="S82" s="47"/>
      <c r="T82" s="47"/>
      <c r="U82" s="47"/>
      <c r="V82" s="47"/>
      <c r="W82" s="47"/>
      <c r="X82" s="47"/>
      <c r="Y82" s="47"/>
      <c r="Z82" s="47"/>
      <c r="AA82" s="10"/>
      <c r="AB82" s="10"/>
      <c r="AC82" s="47"/>
      <c r="AD82" s="47"/>
      <c r="AE82" s="47"/>
      <c r="AF82" s="47"/>
      <c r="AG82" s="47"/>
      <c r="AH82" s="47"/>
      <c r="AI82" s="46"/>
      <c r="AJ82" s="46"/>
      <c r="AK82" s="46"/>
      <c r="AL82" s="7"/>
      <c r="AM82" s="49" t="str">
        <f aca="false">IF(OR(C82="",G82=""),"",IFERROR(DATEDIF(C82,G82,"m"),""))</f>
        <v/>
      </c>
      <c r="AN82" s="49" t="str">
        <f aca="false">IF(OR(Q82="",AM82=""),"",60+2*Q82-AM82)</f>
        <v/>
      </c>
      <c r="AO82" s="49" t="str">
        <f aca="false">IF(OR(G82="",AJ82=""),"",AJ82-G82)</f>
        <v/>
      </c>
      <c r="AP82" s="50" t="str">
        <f aca="false">IF(AND(A82="",B82=""),"",IF(J82="","Status needed",IF(OR(J82="Applied",J82="Visit booked",J82="Withdrawn"),"OK",IF(G82="","Date assessed needed",IF(C82="","Date of birth needed",IF(COUNTA(L82,M82,P82,U82,V82,X82)&lt;6,"Band missing",IF(AND(OR(J82="Decision confirmed",J82="Family told",J82="Enrolled"),AG82=""),"Recommendation needed",IF(AND(OR(J82="Family told",J82="Enrolled"),AJ82=""),"Date family told needed","OK"))))))))</f>
        <v/>
      </c>
    </row>
    <row r="83" customFormat="false" ht="15" hidden="false" customHeight="false" outlineLevel="0" collapsed="false">
      <c r="A83" s="7"/>
      <c r="B83" s="7"/>
      <c r="C83" s="46"/>
      <c r="D83" s="7"/>
      <c r="E83" s="47"/>
      <c r="F83" s="46"/>
      <c r="G83" s="46"/>
      <c r="H83" s="7"/>
      <c r="I83" s="7"/>
      <c r="J83" s="47"/>
      <c r="K83" s="47"/>
      <c r="L83" s="47"/>
      <c r="M83" s="47"/>
      <c r="N83" s="47"/>
      <c r="O83" s="10"/>
      <c r="P83" s="47"/>
      <c r="Q83" s="47"/>
      <c r="R83" s="48" t="str">
        <f aca="false">IF(Q83="","",IF(Q83=0,"below 5:00",IF(Q83&gt;=66,"16:00 or above",INT((60+2*Q83)/12)&amp;":"&amp;TEXT(MOD(60+2*Q83,12),"00"))))</f>
        <v/>
      </c>
      <c r="S83" s="47"/>
      <c r="T83" s="47"/>
      <c r="U83" s="47"/>
      <c r="V83" s="47"/>
      <c r="W83" s="47"/>
      <c r="X83" s="47"/>
      <c r="Y83" s="47"/>
      <c r="Z83" s="47"/>
      <c r="AA83" s="10"/>
      <c r="AB83" s="10"/>
      <c r="AC83" s="47"/>
      <c r="AD83" s="47"/>
      <c r="AE83" s="47"/>
      <c r="AF83" s="47"/>
      <c r="AG83" s="47"/>
      <c r="AH83" s="47"/>
      <c r="AI83" s="46"/>
      <c r="AJ83" s="46"/>
      <c r="AK83" s="46"/>
      <c r="AL83" s="7"/>
      <c r="AM83" s="49" t="str">
        <f aca="false">IF(OR(C83="",G83=""),"",IFERROR(DATEDIF(C83,G83,"m"),""))</f>
        <v/>
      </c>
      <c r="AN83" s="49" t="str">
        <f aca="false">IF(OR(Q83="",AM83=""),"",60+2*Q83-AM83)</f>
        <v/>
      </c>
      <c r="AO83" s="49" t="str">
        <f aca="false">IF(OR(G83="",AJ83=""),"",AJ83-G83)</f>
        <v/>
      </c>
      <c r="AP83" s="50" t="str">
        <f aca="false">IF(AND(A83="",B83=""),"",IF(J83="","Status needed",IF(OR(J83="Applied",J83="Visit booked",J83="Withdrawn"),"OK",IF(G83="","Date assessed needed",IF(C83="","Date of birth needed",IF(COUNTA(L83,M83,P83,U83,V83,X83)&lt;6,"Band missing",IF(AND(OR(J83="Decision confirmed",J83="Family told",J83="Enrolled"),AG83=""),"Recommendation needed",IF(AND(OR(J83="Family told",J83="Enrolled"),AJ83=""),"Date family told needed","OK"))))))))</f>
        <v/>
      </c>
    </row>
    <row r="84" customFormat="false" ht="15" hidden="false" customHeight="false" outlineLevel="0" collapsed="false">
      <c r="A84" s="7"/>
      <c r="B84" s="7"/>
      <c r="C84" s="46"/>
      <c r="D84" s="7"/>
      <c r="E84" s="47"/>
      <c r="F84" s="46"/>
      <c r="G84" s="46"/>
      <c r="H84" s="7"/>
      <c r="I84" s="7"/>
      <c r="J84" s="47"/>
      <c r="K84" s="47"/>
      <c r="L84" s="47"/>
      <c r="M84" s="47"/>
      <c r="N84" s="47"/>
      <c r="O84" s="10"/>
      <c r="P84" s="47"/>
      <c r="Q84" s="47"/>
      <c r="R84" s="48" t="str">
        <f aca="false">IF(Q84="","",IF(Q84=0,"below 5:00",IF(Q84&gt;=66,"16:00 or above",INT((60+2*Q84)/12)&amp;":"&amp;TEXT(MOD(60+2*Q84,12),"00"))))</f>
        <v/>
      </c>
      <c r="S84" s="47"/>
      <c r="T84" s="47"/>
      <c r="U84" s="47"/>
      <c r="V84" s="47"/>
      <c r="W84" s="47"/>
      <c r="X84" s="47"/>
      <c r="Y84" s="47"/>
      <c r="Z84" s="47"/>
      <c r="AA84" s="10"/>
      <c r="AB84" s="10"/>
      <c r="AC84" s="47"/>
      <c r="AD84" s="47"/>
      <c r="AE84" s="47"/>
      <c r="AF84" s="47"/>
      <c r="AG84" s="47"/>
      <c r="AH84" s="47"/>
      <c r="AI84" s="46"/>
      <c r="AJ84" s="46"/>
      <c r="AK84" s="46"/>
      <c r="AL84" s="7"/>
      <c r="AM84" s="49" t="str">
        <f aca="false">IF(OR(C84="",G84=""),"",IFERROR(DATEDIF(C84,G84,"m"),""))</f>
        <v/>
      </c>
      <c r="AN84" s="49" t="str">
        <f aca="false">IF(OR(Q84="",AM84=""),"",60+2*Q84-AM84)</f>
        <v/>
      </c>
      <c r="AO84" s="49" t="str">
        <f aca="false">IF(OR(G84="",AJ84=""),"",AJ84-G84)</f>
        <v/>
      </c>
      <c r="AP84" s="50" t="str">
        <f aca="false">IF(AND(A84="",B84=""),"",IF(J84="","Status needed",IF(OR(J84="Applied",J84="Visit booked",J84="Withdrawn"),"OK",IF(G84="","Date assessed needed",IF(C84="","Date of birth needed",IF(COUNTA(L84,M84,P84,U84,V84,X84)&lt;6,"Band missing",IF(AND(OR(J84="Decision confirmed",J84="Family told",J84="Enrolled"),AG84=""),"Recommendation needed",IF(AND(OR(J84="Family told",J84="Enrolled"),AJ84=""),"Date family told needed","OK"))))))))</f>
        <v/>
      </c>
    </row>
    <row r="85" customFormat="false" ht="15" hidden="false" customHeight="false" outlineLevel="0" collapsed="false">
      <c r="A85" s="7"/>
      <c r="B85" s="7"/>
      <c r="C85" s="46"/>
      <c r="D85" s="7"/>
      <c r="E85" s="47"/>
      <c r="F85" s="46"/>
      <c r="G85" s="46"/>
      <c r="H85" s="7"/>
      <c r="I85" s="7"/>
      <c r="J85" s="47"/>
      <c r="K85" s="47"/>
      <c r="L85" s="47"/>
      <c r="M85" s="47"/>
      <c r="N85" s="47"/>
      <c r="O85" s="10"/>
      <c r="P85" s="47"/>
      <c r="Q85" s="47"/>
      <c r="R85" s="48" t="str">
        <f aca="false">IF(Q85="","",IF(Q85=0,"below 5:00",IF(Q85&gt;=66,"16:00 or above",INT((60+2*Q85)/12)&amp;":"&amp;TEXT(MOD(60+2*Q85,12),"00"))))</f>
        <v/>
      </c>
      <c r="S85" s="47"/>
      <c r="T85" s="47"/>
      <c r="U85" s="47"/>
      <c r="V85" s="47"/>
      <c r="W85" s="47"/>
      <c r="X85" s="47"/>
      <c r="Y85" s="47"/>
      <c r="Z85" s="47"/>
      <c r="AA85" s="10"/>
      <c r="AB85" s="10"/>
      <c r="AC85" s="47"/>
      <c r="AD85" s="47"/>
      <c r="AE85" s="47"/>
      <c r="AF85" s="47"/>
      <c r="AG85" s="47"/>
      <c r="AH85" s="47"/>
      <c r="AI85" s="46"/>
      <c r="AJ85" s="46"/>
      <c r="AK85" s="46"/>
      <c r="AL85" s="7"/>
      <c r="AM85" s="49" t="str">
        <f aca="false">IF(OR(C85="",G85=""),"",IFERROR(DATEDIF(C85,G85,"m"),""))</f>
        <v/>
      </c>
      <c r="AN85" s="49" t="str">
        <f aca="false">IF(OR(Q85="",AM85=""),"",60+2*Q85-AM85)</f>
        <v/>
      </c>
      <c r="AO85" s="49" t="str">
        <f aca="false">IF(OR(G85="",AJ85=""),"",AJ85-G85)</f>
        <v/>
      </c>
      <c r="AP85" s="50" t="str">
        <f aca="false">IF(AND(A85="",B85=""),"",IF(J85="","Status needed",IF(OR(J85="Applied",J85="Visit booked",J85="Withdrawn"),"OK",IF(G85="","Date assessed needed",IF(C85="","Date of birth needed",IF(COUNTA(L85,M85,P85,U85,V85,X85)&lt;6,"Band missing",IF(AND(OR(J85="Decision confirmed",J85="Family told",J85="Enrolled"),AG85=""),"Recommendation needed",IF(AND(OR(J85="Family told",J85="Enrolled"),AJ85=""),"Date family told needed","OK"))))))))</f>
        <v/>
      </c>
    </row>
    <row r="86" customFormat="false" ht="15" hidden="false" customHeight="false" outlineLevel="0" collapsed="false">
      <c r="A86" s="7"/>
      <c r="B86" s="7"/>
      <c r="C86" s="46"/>
      <c r="D86" s="7"/>
      <c r="E86" s="47"/>
      <c r="F86" s="46"/>
      <c r="G86" s="46"/>
      <c r="H86" s="7"/>
      <c r="I86" s="7"/>
      <c r="J86" s="47"/>
      <c r="K86" s="47"/>
      <c r="L86" s="47"/>
      <c r="M86" s="47"/>
      <c r="N86" s="47"/>
      <c r="O86" s="10"/>
      <c r="P86" s="47"/>
      <c r="Q86" s="47"/>
      <c r="R86" s="48" t="str">
        <f aca="false">IF(Q86="","",IF(Q86=0,"below 5:00",IF(Q86&gt;=66,"16:00 or above",INT((60+2*Q86)/12)&amp;":"&amp;TEXT(MOD(60+2*Q86,12),"00"))))</f>
        <v/>
      </c>
      <c r="S86" s="47"/>
      <c r="T86" s="47"/>
      <c r="U86" s="47"/>
      <c r="V86" s="47"/>
      <c r="W86" s="47"/>
      <c r="X86" s="47"/>
      <c r="Y86" s="47"/>
      <c r="Z86" s="47"/>
      <c r="AA86" s="10"/>
      <c r="AB86" s="10"/>
      <c r="AC86" s="47"/>
      <c r="AD86" s="47"/>
      <c r="AE86" s="47"/>
      <c r="AF86" s="47"/>
      <c r="AG86" s="47"/>
      <c r="AH86" s="47"/>
      <c r="AI86" s="46"/>
      <c r="AJ86" s="46"/>
      <c r="AK86" s="46"/>
      <c r="AL86" s="7"/>
      <c r="AM86" s="49" t="str">
        <f aca="false">IF(OR(C86="",G86=""),"",IFERROR(DATEDIF(C86,G86,"m"),""))</f>
        <v/>
      </c>
      <c r="AN86" s="49" t="str">
        <f aca="false">IF(OR(Q86="",AM86=""),"",60+2*Q86-AM86)</f>
        <v/>
      </c>
      <c r="AO86" s="49" t="str">
        <f aca="false">IF(OR(G86="",AJ86=""),"",AJ86-G86)</f>
        <v/>
      </c>
      <c r="AP86" s="50" t="str">
        <f aca="false">IF(AND(A86="",B86=""),"",IF(J86="","Status needed",IF(OR(J86="Applied",J86="Visit booked",J86="Withdrawn"),"OK",IF(G86="","Date assessed needed",IF(C86="","Date of birth needed",IF(COUNTA(L86,M86,P86,U86,V86,X86)&lt;6,"Band missing",IF(AND(OR(J86="Decision confirmed",J86="Family told",J86="Enrolled"),AG86=""),"Recommendation needed",IF(AND(OR(J86="Family told",J86="Enrolled"),AJ86=""),"Date family told needed","OK"))))))))</f>
        <v/>
      </c>
    </row>
    <row r="87" customFormat="false" ht="15" hidden="false" customHeight="false" outlineLevel="0" collapsed="false">
      <c r="A87" s="7"/>
      <c r="B87" s="7"/>
      <c r="C87" s="46"/>
      <c r="D87" s="7"/>
      <c r="E87" s="47"/>
      <c r="F87" s="46"/>
      <c r="G87" s="46"/>
      <c r="H87" s="7"/>
      <c r="I87" s="7"/>
      <c r="J87" s="47"/>
      <c r="K87" s="47"/>
      <c r="L87" s="47"/>
      <c r="M87" s="47"/>
      <c r="N87" s="47"/>
      <c r="O87" s="10"/>
      <c r="P87" s="47"/>
      <c r="Q87" s="47"/>
      <c r="R87" s="48" t="str">
        <f aca="false">IF(Q87="","",IF(Q87=0,"below 5:00",IF(Q87&gt;=66,"16:00 or above",INT((60+2*Q87)/12)&amp;":"&amp;TEXT(MOD(60+2*Q87,12),"00"))))</f>
        <v/>
      </c>
      <c r="S87" s="47"/>
      <c r="T87" s="47"/>
      <c r="U87" s="47"/>
      <c r="V87" s="47"/>
      <c r="W87" s="47"/>
      <c r="X87" s="47"/>
      <c r="Y87" s="47"/>
      <c r="Z87" s="47"/>
      <c r="AA87" s="10"/>
      <c r="AB87" s="10"/>
      <c r="AC87" s="47"/>
      <c r="AD87" s="47"/>
      <c r="AE87" s="47"/>
      <c r="AF87" s="47"/>
      <c r="AG87" s="47"/>
      <c r="AH87" s="47"/>
      <c r="AI87" s="46"/>
      <c r="AJ87" s="46"/>
      <c r="AK87" s="46"/>
      <c r="AL87" s="7"/>
      <c r="AM87" s="49" t="str">
        <f aca="false">IF(OR(C87="",G87=""),"",IFERROR(DATEDIF(C87,G87,"m"),""))</f>
        <v/>
      </c>
      <c r="AN87" s="49" t="str">
        <f aca="false">IF(OR(Q87="",AM87=""),"",60+2*Q87-AM87)</f>
        <v/>
      </c>
      <c r="AO87" s="49" t="str">
        <f aca="false">IF(OR(G87="",AJ87=""),"",AJ87-G87)</f>
        <v/>
      </c>
      <c r="AP87" s="50" t="str">
        <f aca="false">IF(AND(A87="",B87=""),"",IF(J87="","Status needed",IF(OR(J87="Applied",J87="Visit booked",J87="Withdrawn"),"OK",IF(G87="","Date assessed needed",IF(C87="","Date of birth needed",IF(COUNTA(L87,M87,P87,U87,V87,X87)&lt;6,"Band missing",IF(AND(OR(J87="Decision confirmed",J87="Family told",J87="Enrolled"),AG87=""),"Recommendation needed",IF(AND(OR(J87="Family told",J87="Enrolled"),AJ87=""),"Date family told needed","OK"))))))))</f>
        <v/>
      </c>
    </row>
    <row r="88" customFormat="false" ht="15" hidden="false" customHeight="false" outlineLevel="0" collapsed="false">
      <c r="A88" s="7"/>
      <c r="B88" s="7"/>
      <c r="C88" s="46"/>
      <c r="D88" s="7"/>
      <c r="E88" s="47"/>
      <c r="F88" s="46"/>
      <c r="G88" s="46"/>
      <c r="H88" s="7"/>
      <c r="I88" s="7"/>
      <c r="J88" s="47"/>
      <c r="K88" s="47"/>
      <c r="L88" s="47"/>
      <c r="M88" s="47"/>
      <c r="N88" s="47"/>
      <c r="O88" s="10"/>
      <c r="P88" s="47"/>
      <c r="Q88" s="47"/>
      <c r="R88" s="48" t="str">
        <f aca="false">IF(Q88="","",IF(Q88=0,"below 5:00",IF(Q88&gt;=66,"16:00 or above",INT((60+2*Q88)/12)&amp;":"&amp;TEXT(MOD(60+2*Q88,12),"00"))))</f>
        <v/>
      </c>
      <c r="S88" s="47"/>
      <c r="T88" s="47"/>
      <c r="U88" s="47"/>
      <c r="V88" s="47"/>
      <c r="W88" s="47"/>
      <c r="X88" s="47"/>
      <c r="Y88" s="47"/>
      <c r="Z88" s="47"/>
      <c r="AA88" s="10"/>
      <c r="AB88" s="10"/>
      <c r="AC88" s="47"/>
      <c r="AD88" s="47"/>
      <c r="AE88" s="47"/>
      <c r="AF88" s="47"/>
      <c r="AG88" s="47"/>
      <c r="AH88" s="47"/>
      <c r="AI88" s="46"/>
      <c r="AJ88" s="46"/>
      <c r="AK88" s="46"/>
      <c r="AL88" s="7"/>
      <c r="AM88" s="49" t="str">
        <f aca="false">IF(OR(C88="",G88=""),"",IFERROR(DATEDIF(C88,G88,"m"),""))</f>
        <v/>
      </c>
      <c r="AN88" s="49" t="str">
        <f aca="false">IF(OR(Q88="",AM88=""),"",60+2*Q88-AM88)</f>
        <v/>
      </c>
      <c r="AO88" s="49" t="str">
        <f aca="false">IF(OR(G88="",AJ88=""),"",AJ88-G88)</f>
        <v/>
      </c>
      <c r="AP88" s="50" t="str">
        <f aca="false">IF(AND(A88="",B88=""),"",IF(J88="","Status needed",IF(OR(J88="Applied",J88="Visit booked",J88="Withdrawn"),"OK",IF(G88="","Date assessed needed",IF(C88="","Date of birth needed",IF(COUNTA(L88,M88,P88,U88,V88,X88)&lt;6,"Band missing",IF(AND(OR(J88="Decision confirmed",J88="Family told",J88="Enrolled"),AG88=""),"Recommendation needed",IF(AND(OR(J88="Family told",J88="Enrolled"),AJ88=""),"Date family told needed","OK"))))))))</f>
        <v/>
      </c>
    </row>
    <row r="89" customFormat="false" ht="15" hidden="false" customHeight="false" outlineLevel="0" collapsed="false">
      <c r="A89" s="7"/>
      <c r="B89" s="7"/>
      <c r="C89" s="46"/>
      <c r="D89" s="7"/>
      <c r="E89" s="47"/>
      <c r="F89" s="46"/>
      <c r="G89" s="46"/>
      <c r="H89" s="7"/>
      <c r="I89" s="7"/>
      <c r="J89" s="47"/>
      <c r="K89" s="47"/>
      <c r="L89" s="47"/>
      <c r="M89" s="47"/>
      <c r="N89" s="47"/>
      <c r="O89" s="10"/>
      <c r="P89" s="47"/>
      <c r="Q89" s="47"/>
      <c r="R89" s="48" t="str">
        <f aca="false">IF(Q89="","",IF(Q89=0,"below 5:00",IF(Q89&gt;=66,"16:00 or above",INT((60+2*Q89)/12)&amp;":"&amp;TEXT(MOD(60+2*Q89,12),"00"))))</f>
        <v/>
      </c>
      <c r="S89" s="47"/>
      <c r="T89" s="47"/>
      <c r="U89" s="47"/>
      <c r="V89" s="47"/>
      <c r="W89" s="47"/>
      <c r="X89" s="47"/>
      <c r="Y89" s="47"/>
      <c r="Z89" s="47"/>
      <c r="AA89" s="10"/>
      <c r="AB89" s="10"/>
      <c r="AC89" s="47"/>
      <c r="AD89" s="47"/>
      <c r="AE89" s="47"/>
      <c r="AF89" s="47"/>
      <c r="AG89" s="47"/>
      <c r="AH89" s="47"/>
      <c r="AI89" s="46"/>
      <c r="AJ89" s="46"/>
      <c r="AK89" s="46"/>
      <c r="AL89" s="7"/>
      <c r="AM89" s="49" t="str">
        <f aca="false">IF(OR(C89="",G89=""),"",IFERROR(DATEDIF(C89,G89,"m"),""))</f>
        <v/>
      </c>
      <c r="AN89" s="49" t="str">
        <f aca="false">IF(OR(Q89="",AM89=""),"",60+2*Q89-AM89)</f>
        <v/>
      </c>
      <c r="AO89" s="49" t="str">
        <f aca="false">IF(OR(G89="",AJ89=""),"",AJ89-G89)</f>
        <v/>
      </c>
      <c r="AP89" s="50" t="str">
        <f aca="false">IF(AND(A89="",B89=""),"",IF(J89="","Status needed",IF(OR(J89="Applied",J89="Visit booked",J89="Withdrawn"),"OK",IF(G89="","Date assessed needed",IF(C89="","Date of birth needed",IF(COUNTA(L89,M89,P89,U89,V89,X89)&lt;6,"Band missing",IF(AND(OR(J89="Decision confirmed",J89="Family told",J89="Enrolled"),AG89=""),"Recommendation needed",IF(AND(OR(J89="Family told",J89="Enrolled"),AJ89=""),"Date family told needed","OK"))))))))</f>
        <v/>
      </c>
    </row>
    <row r="90" customFormat="false" ht="15" hidden="false" customHeight="false" outlineLevel="0" collapsed="false">
      <c r="A90" s="7"/>
      <c r="B90" s="7"/>
      <c r="C90" s="46"/>
      <c r="D90" s="7"/>
      <c r="E90" s="47"/>
      <c r="F90" s="46"/>
      <c r="G90" s="46"/>
      <c r="H90" s="7"/>
      <c r="I90" s="7"/>
      <c r="J90" s="47"/>
      <c r="K90" s="47"/>
      <c r="L90" s="47"/>
      <c r="M90" s="47"/>
      <c r="N90" s="47"/>
      <c r="O90" s="10"/>
      <c r="P90" s="47"/>
      <c r="Q90" s="47"/>
      <c r="R90" s="48" t="str">
        <f aca="false">IF(Q90="","",IF(Q90=0,"below 5:00",IF(Q90&gt;=66,"16:00 or above",INT((60+2*Q90)/12)&amp;":"&amp;TEXT(MOD(60+2*Q90,12),"00"))))</f>
        <v/>
      </c>
      <c r="S90" s="47"/>
      <c r="T90" s="47"/>
      <c r="U90" s="47"/>
      <c r="V90" s="47"/>
      <c r="W90" s="47"/>
      <c r="X90" s="47"/>
      <c r="Y90" s="47"/>
      <c r="Z90" s="47"/>
      <c r="AA90" s="10"/>
      <c r="AB90" s="10"/>
      <c r="AC90" s="47"/>
      <c r="AD90" s="47"/>
      <c r="AE90" s="47"/>
      <c r="AF90" s="47"/>
      <c r="AG90" s="47"/>
      <c r="AH90" s="47"/>
      <c r="AI90" s="46"/>
      <c r="AJ90" s="46"/>
      <c r="AK90" s="46"/>
      <c r="AL90" s="7"/>
      <c r="AM90" s="49" t="str">
        <f aca="false">IF(OR(C90="",G90=""),"",IFERROR(DATEDIF(C90,G90,"m"),""))</f>
        <v/>
      </c>
      <c r="AN90" s="49" t="str">
        <f aca="false">IF(OR(Q90="",AM90=""),"",60+2*Q90-AM90)</f>
        <v/>
      </c>
      <c r="AO90" s="49" t="str">
        <f aca="false">IF(OR(G90="",AJ90=""),"",AJ90-G90)</f>
        <v/>
      </c>
      <c r="AP90" s="50" t="str">
        <f aca="false">IF(AND(A90="",B90=""),"",IF(J90="","Status needed",IF(OR(J90="Applied",J90="Visit booked",J90="Withdrawn"),"OK",IF(G90="","Date assessed needed",IF(C90="","Date of birth needed",IF(COUNTA(L90,M90,P90,U90,V90,X90)&lt;6,"Band missing",IF(AND(OR(J90="Decision confirmed",J90="Family told",J90="Enrolled"),AG90=""),"Recommendation needed",IF(AND(OR(J90="Family told",J90="Enrolled"),AJ90=""),"Date family told needed","OK"))))))))</f>
        <v/>
      </c>
    </row>
    <row r="91" customFormat="false" ht="15" hidden="false" customHeight="false" outlineLevel="0" collapsed="false">
      <c r="A91" s="7"/>
      <c r="B91" s="7"/>
      <c r="C91" s="46"/>
      <c r="D91" s="7"/>
      <c r="E91" s="47"/>
      <c r="F91" s="46"/>
      <c r="G91" s="46"/>
      <c r="H91" s="7"/>
      <c r="I91" s="7"/>
      <c r="J91" s="47"/>
      <c r="K91" s="47"/>
      <c r="L91" s="47"/>
      <c r="M91" s="47"/>
      <c r="N91" s="47"/>
      <c r="O91" s="10"/>
      <c r="P91" s="47"/>
      <c r="Q91" s="47"/>
      <c r="R91" s="48" t="str">
        <f aca="false">IF(Q91="","",IF(Q91=0,"below 5:00",IF(Q91&gt;=66,"16:00 or above",INT((60+2*Q91)/12)&amp;":"&amp;TEXT(MOD(60+2*Q91,12),"00"))))</f>
        <v/>
      </c>
      <c r="S91" s="47"/>
      <c r="T91" s="47"/>
      <c r="U91" s="47"/>
      <c r="V91" s="47"/>
      <c r="W91" s="47"/>
      <c r="X91" s="47"/>
      <c r="Y91" s="47"/>
      <c r="Z91" s="47"/>
      <c r="AA91" s="10"/>
      <c r="AB91" s="10"/>
      <c r="AC91" s="47"/>
      <c r="AD91" s="47"/>
      <c r="AE91" s="47"/>
      <c r="AF91" s="47"/>
      <c r="AG91" s="47"/>
      <c r="AH91" s="47"/>
      <c r="AI91" s="46"/>
      <c r="AJ91" s="46"/>
      <c r="AK91" s="46"/>
      <c r="AL91" s="7"/>
      <c r="AM91" s="49" t="str">
        <f aca="false">IF(OR(C91="",G91=""),"",IFERROR(DATEDIF(C91,G91,"m"),""))</f>
        <v/>
      </c>
      <c r="AN91" s="49" t="str">
        <f aca="false">IF(OR(Q91="",AM91=""),"",60+2*Q91-AM91)</f>
        <v/>
      </c>
      <c r="AO91" s="49" t="str">
        <f aca="false">IF(OR(G91="",AJ91=""),"",AJ91-G91)</f>
        <v/>
      </c>
      <c r="AP91" s="50" t="str">
        <f aca="false">IF(AND(A91="",B91=""),"",IF(J91="","Status needed",IF(OR(J91="Applied",J91="Visit booked",J91="Withdrawn"),"OK",IF(G91="","Date assessed needed",IF(C91="","Date of birth needed",IF(COUNTA(L91,M91,P91,U91,V91,X91)&lt;6,"Band missing",IF(AND(OR(J91="Decision confirmed",J91="Family told",J91="Enrolled"),AG91=""),"Recommendation needed",IF(AND(OR(J91="Family told",J91="Enrolled"),AJ91=""),"Date family told needed","OK"))))))))</f>
        <v/>
      </c>
    </row>
    <row r="92" customFormat="false" ht="15" hidden="false" customHeight="false" outlineLevel="0" collapsed="false">
      <c r="A92" s="7"/>
      <c r="B92" s="7"/>
      <c r="C92" s="46"/>
      <c r="D92" s="7"/>
      <c r="E92" s="47"/>
      <c r="F92" s="46"/>
      <c r="G92" s="46"/>
      <c r="H92" s="7"/>
      <c r="I92" s="7"/>
      <c r="J92" s="47"/>
      <c r="K92" s="47"/>
      <c r="L92" s="47"/>
      <c r="M92" s="47"/>
      <c r="N92" s="47"/>
      <c r="O92" s="10"/>
      <c r="P92" s="47"/>
      <c r="Q92" s="47"/>
      <c r="R92" s="48" t="str">
        <f aca="false">IF(Q92="","",IF(Q92=0,"below 5:00",IF(Q92&gt;=66,"16:00 or above",INT((60+2*Q92)/12)&amp;":"&amp;TEXT(MOD(60+2*Q92,12),"00"))))</f>
        <v/>
      </c>
      <c r="S92" s="47"/>
      <c r="T92" s="47"/>
      <c r="U92" s="47"/>
      <c r="V92" s="47"/>
      <c r="W92" s="47"/>
      <c r="X92" s="47"/>
      <c r="Y92" s="47"/>
      <c r="Z92" s="47"/>
      <c r="AA92" s="10"/>
      <c r="AB92" s="10"/>
      <c r="AC92" s="47"/>
      <c r="AD92" s="47"/>
      <c r="AE92" s="47"/>
      <c r="AF92" s="47"/>
      <c r="AG92" s="47"/>
      <c r="AH92" s="47"/>
      <c r="AI92" s="46"/>
      <c r="AJ92" s="46"/>
      <c r="AK92" s="46"/>
      <c r="AL92" s="7"/>
      <c r="AM92" s="49" t="str">
        <f aca="false">IF(OR(C92="",G92=""),"",IFERROR(DATEDIF(C92,G92,"m"),""))</f>
        <v/>
      </c>
      <c r="AN92" s="49" t="str">
        <f aca="false">IF(OR(Q92="",AM92=""),"",60+2*Q92-AM92)</f>
        <v/>
      </c>
      <c r="AO92" s="49" t="str">
        <f aca="false">IF(OR(G92="",AJ92=""),"",AJ92-G92)</f>
        <v/>
      </c>
      <c r="AP92" s="50" t="str">
        <f aca="false">IF(AND(A92="",B92=""),"",IF(J92="","Status needed",IF(OR(J92="Applied",J92="Visit booked",J92="Withdrawn"),"OK",IF(G92="","Date assessed needed",IF(C92="","Date of birth needed",IF(COUNTA(L92,M92,P92,U92,V92,X92)&lt;6,"Band missing",IF(AND(OR(J92="Decision confirmed",J92="Family told",J92="Enrolled"),AG92=""),"Recommendation needed",IF(AND(OR(J92="Family told",J92="Enrolled"),AJ92=""),"Date family told needed","OK"))))))))</f>
        <v/>
      </c>
    </row>
    <row r="93" customFormat="false" ht="15" hidden="false" customHeight="false" outlineLevel="0" collapsed="false">
      <c r="A93" s="7"/>
      <c r="B93" s="7"/>
      <c r="C93" s="46"/>
      <c r="D93" s="7"/>
      <c r="E93" s="47"/>
      <c r="F93" s="46"/>
      <c r="G93" s="46"/>
      <c r="H93" s="7"/>
      <c r="I93" s="7"/>
      <c r="J93" s="47"/>
      <c r="K93" s="47"/>
      <c r="L93" s="47"/>
      <c r="M93" s="47"/>
      <c r="N93" s="47"/>
      <c r="O93" s="10"/>
      <c r="P93" s="47"/>
      <c r="Q93" s="47"/>
      <c r="R93" s="48" t="str">
        <f aca="false">IF(Q93="","",IF(Q93=0,"below 5:00",IF(Q93&gt;=66,"16:00 or above",INT((60+2*Q93)/12)&amp;":"&amp;TEXT(MOD(60+2*Q93,12),"00"))))</f>
        <v/>
      </c>
      <c r="S93" s="47"/>
      <c r="T93" s="47"/>
      <c r="U93" s="47"/>
      <c r="V93" s="47"/>
      <c r="W93" s="47"/>
      <c r="X93" s="47"/>
      <c r="Y93" s="47"/>
      <c r="Z93" s="47"/>
      <c r="AA93" s="10"/>
      <c r="AB93" s="10"/>
      <c r="AC93" s="47"/>
      <c r="AD93" s="47"/>
      <c r="AE93" s="47"/>
      <c r="AF93" s="47"/>
      <c r="AG93" s="47"/>
      <c r="AH93" s="47"/>
      <c r="AI93" s="46"/>
      <c r="AJ93" s="46"/>
      <c r="AK93" s="46"/>
      <c r="AL93" s="7"/>
      <c r="AM93" s="49" t="str">
        <f aca="false">IF(OR(C93="",G93=""),"",IFERROR(DATEDIF(C93,G93,"m"),""))</f>
        <v/>
      </c>
      <c r="AN93" s="49" t="str">
        <f aca="false">IF(OR(Q93="",AM93=""),"",60+2*Q93-AM93)</f>
        <v/>
      </c>
      <c r="AO93" s="49" t="str">
        <f aca="false">IF(OR(G93="",AJ93=""),"",AJ93-G93)</f>
        <v/>
      </c>
      <c r="AP93" s="50" t="str">
        <f aca="false">IF(AND(A93="",B93=""),"",IF(J93="","Status needed",IF(OR(J93="Applied",J93="Visit booked",J93="Withdrawn"),"OK",IF(G93="","Date assessed needed",IF(C93="","Date of birth needed",IF(COUNTA(L93,M93,P93,U93,V93,X93)&lt;6,"Band missing",IF(AND(OR(J93="Decision confirmed",J93="Family told",J93="Enrolled"),AG93=""),"Recommendation needed",IF(AND(OR(J93="Family told",J93="Enrolled"),AJ93=""),"Date family told needed","OK"))))))))</f>
        <v/>
      </c>
    </row>
    <row r="94" customFormat="false" ht="15" hidden="false" customHeight="false" outlineLevel="0" collapsed="false">
      <c r="A94" s="7"/>
      <c r="B94" s="7"/>
      <c r="C94" s="46"/>
      <c r="D94" s="7"/>
      <c r="E94" s="47"/>
      <c r="F94" s="46"/>
      <c r="G94" s="46"/>
      <c r="H94" s="7"/>
      <c r="I94" s="7"/>
      <c r="J94" s="47"/>
      <c r="K94" s="47"/>
      <c r="L94" s="47"/>
      <c r="M94" s="47"/>
      <c r="N94" s="47"/>
      <c r="O94" s="10"/>
      <c r="P94" s="47"/>
      <c r="Q94" s="47"/>
      <c r="R94" s="48" t="str">
        <f aca="false">IF(Q94="","",IF(Q94=0,"below 5:00",IF(Q94&gt;=66,"16:00 or above",INT((60+2*Q94)/12)&amp;":"&amp;TEXT(MOD(60+2*Q94,12),"00"))))</f>
        <v/>
      </c>
      <c r="S94" s="47"/>
      <c r="T94" s="47"/>
      <c r="U94" s="47"/>
      <c r="V94" s="47"/>
      <c r="W94" s="47"/>
      <c r="X94" s="47"/>
      <c r="Y94" s="47"/>
      <c r="Z94" s="47"/>
      <c r="AA94" s="10"/>
      <c r="AB94" s="10"/>
      <c r="AC94" s="47"/>
      <c r="AD94" s="47"/>
      <c r="AE94" s="47"/>
      <c r="AF94" s="47"/>
      <c r="AG94" s="47"/>
      <c r="AH94" s="47"/>
      <c r="AI94" s="46"/>
      <c r="AJ94" s="46"/>
      <c r="AK94" s="46"/>
      <c r="AL94" s="7"/>
      <c r="AM94" s="49" t="str">
        <f aca="false">IF(OR(C94="",G94=""),"",IFERROR(DATEDIF(C94,G94,"m"),""))</f>
        <v/>
      </c>
      <c r="AN94" s="49" t="str">
        <f aca="false">IF(OR(Q94="",AM94=""),"",60+2*Q94-AM94)</f>
        <v/>
      </c>
      <c r="AO94" s="49" t="str">
        <f aca="false">IF(OR(G94="",AJ94=""),"",AJ94-G94)</f>
        <v/>
      </c>
      <c r="AP94" s="50" t="str">
        <f aca="false">IF(AND(A94="",B94=""),"",IF(J94="","Status needed",IF(OR(J94="Applied",J94="Visit booked",J94="Withdrawn"),"OK",IF(G94="","Date assessed needed",IF(C94="","Date of birth needed",IF(COUNTA(L94,M94,P94,U94,V94,X94)&lt;6,"Band missing",IF(AND(OR(J94="Decision confirmed",J94="Family told",J94="Enrolled"),AG94=""),"Recommendation needed",IF(AND(OR(J94="Family told",J94="Enrolled"),AJ94=""),"Date family told needed","OK"))))))))</f>
        <v/>
      </c>
    </row>
    <row r="95" customFormat="false" ht="15" hidden="false" customHeight="false" outlineLevel="0" collapsed="false">
      <c r="A95" s="7"/>
      <c r="B95" s="7"/>
      <c r="C95" s="46"/>
      <c r="D95" s="7"/>
      <c r="E95" s="47"/>
      <c r="F95" s="46"/>
      <c r="G95" s="46"/>
      <c r="H95" s="7"/>
      <c r="I95" s="7"/>
      <c r="J95" s="47"/>
      <c r="K95" s="47"/>
      <c r="L95" s="47"/>
      <c r="M95" s="47"/>
      <c r="N95" s="47"/>
      <c r="O95" s="10"/>
      <c r="P95" s="47"/>
      <c r="Q95" s="47"/>
      <c r="R95" s="48" t="str">
        <f aca="false">IF(Q95="","",IF(Q95=0,"below 5:00",IF(Q95&gt;=66,"16:00 or above",INT((60+2*Q95)/12)&amp;":"&amp;TEXT(MOD(60+2*Q95,12),"00"))))</f>
        <v/>
      </c>
      <c r="S95" s="47"/>
      <c r="T95" s="47"/>
      <c r="U95" s="47"/>
      <c r="V95" s="47"/>
      <c r="W95" s="47"/>
      <c r="X95" s="47"/>
      <c r="Y95" s="47"/>
      <c r="Z95" s="47"/>
      <c r="AA95" s="10"/>
      <c r="AB95" s="10"/>
      <c r="AC95" s="47"/>
      <c r="AD95" s="47"/>
      <c r="AE95" s="47"/>
      <c r="AF95" s="47"/>
      <c r="AG95" s="47"/>
      <c r="AH95" s="47"/>
      <c r="AI95" s="46"/>
      <c r="AJ95" s="46"/>
      <c r="AK95" s="46"/>
      <c r="AL95" s="7"/>
      <c r="AM95" s="49" t="str">
        <f aca="false">IF(OR(C95="",G95=""),"",IFERROR(DATEDIF(C95,G95,"m"),""))</f>
        <v/>
      </c>
      <c r="AN95" s="49" t="str">
        <f aca="false">IF(OR(Q95="",AM95=""),"",60+2*Q95-AM95)</f>
        <v/>
      </c>
      <c r="AO95" s="49" t="str">
        <f aca="false">IF(OR(G95="",AJ95=""),"",AJ95-G95)</f>
        <v/>
      </c>
      <c r="AP95" s="50" t="str">
        <f aca="false">IF(AND(A95="",B95=""),"",IF(J95="","Status needed",IF(OR(J95="Applied",J95="Visit booked",J95="Withdrawn"),"OK",IF(G95="","Date assessed needed",IF(C95="","Date of birth needed",IF(COUNTA(L95,M95,P95,U95,V95,X95)&lt;6,"Band missing",IF(AND(OR(J95="Decision confirmed",J95="Family told",J95="Enrolled"),AG95=""),"Recommendation needed",IF(AND(OR(J95="Family told",J95="Enrolled"),AJ95=""),"Date family told needed","OK"))))))))</f>
        <v/>
      </c>
    </row>
    <row r="96" customFormat="false" ht="15" hidden="false" customHeight="false" outlineLevel="0" collapsed="false">
      <c r="A96" s="7"/>
      <c r="B96" s="7"/>
      <c r="C96" s="46"/>
      <c r="D96" s="7"/>
      <c r="E96" s="47"/>
      <c r="F96" s="46"/>
      <c r="G96" s="46"/>
      <c r="H96" s="7"/>
      <c r="I96" s="7"/>
      <c r="J96" s="47"/>
      <c r="K96" s="47"/>
      <c r="L96" s="47"/>
      <c r="M96" s="47"/>
      <c r="N96" s="47"/>
      <c r="O96" s="10"/>
      <c r="P96" s="47"/>
      <c r="Q96" s="47"/>
      <c r="R96" s="48" t="str">
        <f aca="false">IF(Q96="","",IF(Q96=0,"below 5:00",IF(Q96&gt;=66,"16:00 or above",INT((60+2*Q96)/12)&amp;":"&amp;TEXT(MOD(60+2*Q96,12),"00"))))</f>
        <v/>
      </c>
      <c r="S96" s="47"/>
      <c r="T96" s="47"/>
      <c r="U96" s="47"/>
      <c r="V96" s="47"/>
      <c r="W96" s="47"/>
      <c r="X96" s="47"/>
      <c r="Y96" s="47"/>
      <c r="Z96" s="47"/>
      <c r="AA96" s="10"/>
      <c r="AB96" s="10"/>
      <c r="AC96" s="47"/>
      <c r="AD96" s="47"/>
      <c r="AE96" s="47"/>
      <c r="AF96" s="47"/>
      <c r="AG96" s="47"/>
      <c r="AH96" s="47"/>
      <c r="AI96" s="46"/>
      <c r="AJ96" s="46"/>
      <c r="AK96" s="46"/>
      <c r="AL96" s="7"/>
      <c r="AM96" s="49" t="str">
        <f aca="false">IF(OR(C96="",G96=""),"",IFERROR(DATEDIF(C96,G96,"m"),""))</f>
        <v/>
      </c>
      <c r="AN96" s="49" t="str">
        <f aca="false">IF(OR(Q96="",AM96=""),"",60+2*Q96-AM96)</f>
        <v/>
      </c>
      <c r="AO96" s="49" t="str">
        <f aca="false">IF(OR(G96="",AJ96=""),"",AJ96-G96)</f>
        <v/>
      </c>
      <c r="AP96" s="50" t="str">
        <f aca="false">IF(AND(A96="",B96=""),"",IF(J96="","Status needed",IF(OR(J96="Applied",J96="Visit booked",J96="Withdrawn"),"OK",IF(G96="","Date assessed needed",IF(C96="","Date of birth needed",IF(COUNTA(L96,M96,P96,U96,V96,X96)&lt;6,"Band missing",IF(AND(OR(J96="Decision confirmed",J96="Family told",J96="Enrolled"),AG96=""),"Recommendation needed",IF(AND(OR(J96="Family told",J96="Enrolled"),AJ96=""),"Date family told needed","OK"))))))))</f>
        <v/>
      </c>
    </row>
    <row r="97" customFormat="false" ht="15" hidden="false" customHeight="false" outlineLevel="0" collapsed="false">
      <c r="A97" s="7"/>
      <c r="B97" s="7"/>
      <c r="C97" s="46"/>
      <c r="D97" s="7"/>
      <c r="E97" s="47"/>
      <c r="F97" s="46"/>
      <c r="G97" s="46"/>
      <c r="H97" s="7"/>
      <c r="I97" s="7"/>
      <c r="J97" s="47"/>
      <c r="K97" s="47"/>
      <c r="L97" s="47"/>
      <c r="M97" s="47"/>
      <c r="N97" s="47"/>
      <c r="O97" s="10"/>
      <c r="P97" s="47"/>
      <c r="Q97" s="47"/>
      <c r="R97" s="48" t="str">
        <f aca="false">IF(Q97="","",IF(Q97=0,"below 5:00",IF(Q97&gt;=66,"16:00 or above",INT((60+2*Q97)/12)&amp;":"&amp;TEXT(MOD(60+2*Q97,12),"00"))))</f>
        <v/>
      </c>
      <c r="S97" s="47"/>
      <c r="T97" s="47"/>
      <c r="U97" s="47"/>
      <c r="V97" s="47"/>
      <c r="W97" s="47"/>
      <c r="X97" s="47"/>
      <c r="Y97" s="47"/>
      <c r="Z97" s="47"/>
      <c r="AA97" s="10"/>
      <c r="AB97" s="10"/>
      <c r="AC97" s="47"/>
      <c r="AD97" s="47"/>
      <c r="AE97" s="47"/>
      <c r="AF97" s="47"/>
      <c r="AG97" s="47"/>
      <c r="AH97" s="47"/>
      <c r="AI97" s="46"/>
      <c r="AJ97" s="46"/>
      <c r="AK97" s="46"/>
      <c r="AL97" s="7"/>
      <c r="AM97" s="49" t="str">
        <f aca="false">IF(OR(C97="",G97=""),"",IFERROR(DATEDIF(C97,G97,"m"),""))</f>
        <v/>
      </c>
      <c r="AN97" s="49" t="str">
        <f aca="false">IF(OR(Q97="",AM97=""),"",60+2*Q97-AM97)</f>
        <v/>
      </c>
      <c r="AO97" s="49" t="str">
        <f aca="false">IF(OR(G97="",AJ97=""),"",AJ97-G97)</f>
        <v/>
      </c>
      <c r="AP97" s="50" t="str">
        <f aca="false">IF(AND(A97="",B97=""),"",IF(J97="","Status needed",IF(OR(J97="Applied",J97="Visit booked",J97="Withdrawn"),"OK",IF(G97="","Date assessed needed",IF(C97="","Date of birth needed",IF(COUNTA(L97,M97,P97,U97,V97,X97)&lt;6,"Band missing",IF(AND(OR(J97="Decision confirmed",J97="Family told",J97="Enrolled"),AG97=""),"Recommendation needed",IF(AND(OR(J97="Family told",J97="Enrolled"),AJ97=""),"Date family told needed","OK"))))))))</f>
        <v/>
      </c>
    </row>
    <row r="98" customFormat="false" ht="15" hidden="false" customHeight="false" outlineLevel="0" collapsed="false">
      <c r="A98" s="7"/>
      <c r="B98" s="7"/>
      <c r="C98" s="46"/>
      <c r="D98" s="7"/>
      <c r="E98" s="47"/>
      <c r="F98" s="46"/>
      <c r="G98" s="46"/>
      <c r="H98" s="7"/>
      <c r="I98" s="7"/>
      <c r="J98" s="47"/>
      <c r="K98" s="47"/>
      <c r="L98" s="47"/>
      <c r="M98" s="47"/>
      <c r="N98" s="47"/>
      <c r="O98" s="10"/>
      <c r="P98" s="47"/>
      <c r="Q98" s="47"/>
      <c r="R98" s="48" t="str">
        <f aca="false">IF(Q98="","",IF(Q98=0,"below 5:00",IF(Q98&gt;=66,"16:00 or above",INT((60+2*Q98)/12)&amp;":"&amp;TEXT(MOD(60+2*Q98,12),"00"))))</f>
        <v/>
      </c>
      <c r="S98" s="47"/>
      <c r="T98" s="47"/>
      <c r="U98" s="47"/>
      <c r="V98" s="47"/>
      <c r="W98" s="47"/>
      <c r="X98" s="47"/>
      <c r="Y98" s="47"/>
      <c r="Z98" s="47"/>
      <c r="AA98" s="10"/>
      <c r="AB98" s="10"/>
      <c r="AC98" s="47"/>
      <c r="AD98" s="47"/>
      <c r="AE98" s="47"/>
      <c r="AF98" s="47"/>
      <c r="AG98" s="47"/>
      <c r="AH98" s="47"/>
      <c r="AI98" s="46"/>
      <c r="AJ98" s="46"/>
      <c r="AK98" s="46"/>
      <c r="AL98" s="7"/>
      <c r="AM98" s="49" t="str">
        <f aca="false">IF(OR(C98="",G98=""),"",IFERROR(DATEDIF(C98,G98,"m"),""))</f>
        <v/>
      </c>
      <c r="AN98" s="49" t="str">
        <f aca="false">IF(OR(Q98="",AM98=""),"",60+2*Q98-AM98)</f>
        <v/>
      </c>
      <c r="AO98" s="49" t="str">
        <f aca="false">IF(OR(G98="",AJ98=""),"",AJ98-G98)</f>
        <v/>
      </c>
      <c r="AP98" s="50" t="str">
        <f aca="false">IF(AND(A98="",B98=""),"",IF(J98="","Status needed",IF(OR(J98="Applied",J98="Visit booked",J98="Withdrawn"),"OK",IF(G98="","Date assessed needed",IF(C98="","Date of birth needed",IF(COUNTA(L98,M98,P98,U98,V98,X98)&lt;6,"Band missing",IF(AND(OR(J98="Decision confirmed",J98="Family told",J98="Enrolled"),AG98=""),"Recommendation needed",IF(AND(OR(J98="Family told",J98="Enrolled"),AJ98=""),"Date family told needed","OK"))))))))</f>
        <v/>
      </c>
    </row>
    <row r="99" customFormat="false" ht="15" hidden="false" customHeight="false" outlineLevel="0" collapsed="false">
      <c r="A99" s="7"/>
      <c r="B99" s="7"/>
      <c r="C99" s="46"/>
      <c r="D99" s="7"/>
      <c r="E99" s="47"/>
      <c r="F99" s="46"/>
      <c r="G99" s="46"/>
      <c r="H99" s="7"/>
      <c r="I99" s="7"/>
      <c r="J99" s="47"/>
      <c r="K99" s="47"/>
      <c r="L99" s="47"/>
      <c r="M99" s="47"/>
      <c r="N99" s="47"/>
      <c r="O99" s="10"/>
      <c r="P99" s="47"/>
      <c r="Q99" s="47"/>
      <c r="R99" s="48" t="str">
        <f aca="false">IF(Q99="","",IF(Q99=0,"below 5:00",IF(Q99&gt;=66,"16:00 or above",INT((60+2*Q99)/12)&amp;":"&amp;TEXT(MOD(60+2*Q99,12),"00"))))</f>
        <v/>
      </c>
      <c r="S99" s="47"/>
      <c r="T99" s="47"/>
      <c r="U99" s="47"/>
      <c r="V99" s="47"/>
      <c r="W99" s="47"/>
      <c r="X99" s="47"/>
      <c r="Y99" s="47"/>
      <c r="Z99" s="47"/>
      <c r="AA99" s="10"/>
      <c r="AB99" s="10"/>
      <c r="AC99" s="47"/>
      <c r="AD99" s="47"/>
      <c r="AE99" s="47"/>
      <c r="AF99" s="47"/>
      <c r="AG99" s="47"/>
      <c r="AH99" s="47"/>
      <c r="AI99" s="46"/>
      <c r="AJ99" s="46"/>
      <c r="AK99" s="46"/>
      <c r="AL99" s="7"/>
      <c r="AM99" s="49" t="str">
        <f aca="false">IF(OR(C99="",G99=""),"",IFERROR(DATEDIF(C99,G99,"m"),""))</f>
        <v/>
      </c>
      <c r="AN99" s="49" t="str">
        <f aca="false">IF(OR(Q99="",AM99=""),"",60+2*Q99-AM99)</f>
        <v/>
      </c>
      <c r="AO99" s="49" t="str">
        <f aca="false">IF(OR(G99="",AJ99=""),"",AJ99-G99)</f>
        <v/>
      </c>
      <c r="AP99" s="50" t="str">
        <f aca="false">IF(AND(A99="",B99=""),"",IF(J99="","Status needed",IF(OR(J99="Applied",J99="Visit booked",J99="Withdrawn"),"OK",IF(G99="","Date assessed needed",IF(C99="","Date of birth needed",IF(COUNTA(L99,M99,P99,U99,V99,X99)&lt;6,"Band missing",IF(AND(OR(J99="Decision confirmed",J99="Family told",J99="Enrolled"),AG99=""),"Recommendation needed",IF(AND(OR(J99="Family told",J99="Enrolled"),AJ99=""),"Date family told needed","OK"))))))))</f>
        <v/>
      </c>
    </row>
    <row r="100" customFormat="false" ht="15" hidden="false" customHeight="false" outlineLevel="0" collapsed="false">
      <c r="A100" s="7"/>
      <c r="B100" s="7"/>
      <c r="C100" s="46"/>
      <c r="D100" s="7"/>
      <c r="E100" s="47"/>
      <c r="F100" s="46"/>
      <c r="G100" s="46"/>
      <c r="H100" s="7"/>
      <c r="I100" s="7"/>
      <c r="J100" s="47"/>
      <c r="K100" s="47"/>
      <c r="L100" s="47"/>
      <c r="M100" s="47"/>
      <c r="N100" s="47"/>
      <c r="O100" s="10"/>
      <c r="P100" s="47"/>
      <c r="Q100" s="47"/>
      <c r="R100" s="48" t="str">
        <f aca="false">IF(Q100="","",IF(Q100=0,"below 5:00",IF(Q100&gt;=66,"16:00 or above",INT((60+2*Q100)/12)&amp;":"&amp;TEXT(MOD(60+2*Q100,12),"00"))))</f>
        <v/>
      </c>
      <c r="S100" s="47"/>
      <c r="T100" s="47"/>
      <c r="U100" s="47"/>
      <c r="V100" s="47"/>
      <c r="W100" s="47"/>
      <c r="X100" s="47"/>
      <c r="Y100" s="47"/>
      <c r="Z100" s="47"/>
      <c r="AA100" s="10"/>
      <c r="AB100" s="10"/>
      <c r="AC100" s="47"/>
      <c r="AD100" s="47"/>
      <c r="AE100" s="47"/>
      <c r="AF100" s="47"/>
      <c r="AG100" s="47"/>
      <c r="AH100" s="47"/>
      <c r="AI100" s="46"/>
      <c r="AJ100" s="46"/>
      <c r="AK100" s="46"/>
      <c r="AL100" s="7"/>
      <c r="AM100" s="49" t="str">
        <f aca="false">IF(OR(C100="",G100=""),"",IFERROR(DATEDIF(C100,G100,"m"),""))</f>
        <v/>
      </c>
      <c r="AN100" s="49" t="str">
        <f aca="false">IF(OR(Q100="",AM100=""),"",60+2*Q100-AM100)</f>
        <v/>
      </c>
      <c r="AO100" s="49" t="str">
        <f aca="false">IF(OR(G100="",AJ100=""),"",AJ100-G100)</f>
        <v/>
      </c>
      <c r="AP100" s="50" t="str">
        <f aca="false">IF(AND(A100="",B100=""),"",IF(J100="","Status needed",IF(OR(J100="Applied",J100="Visit booked",J100="Withdrawn"),"OK",IF(G100="","Date assessed needed",IF(C100="","Date of birth needed",IF(COUNTA(L100,M100,P100,U100,V100,X100)&lt;6,"Band missing",IF(AND(OR(J100="Decision confirmed",J100="Family told",J100="Enrolled"),AG100=""),"Recommendation needed",IF(AND(OR(J100="Family told",J100="Enrolled"),AJ100=""),"Date family told needed","OK"))))))))</f>
        <v/>
      </c>
    </row>
    <row r="101" customFormat="false" ht="15" hidden="false" customHeight="false" outlineLevel="0" collapsed="false">
      <c r="A101" s="7"/>
      <c r="B101" s="7"/>
      <c r="C101" s="46"/>
      <c r="D101" s="7"/>
      <c r="E101" s="47"/>
      <c r="F101" s="46"/>
      <c r="G101" s="46"/>
      <c r="H101" s="7"/>
      <c r="I101" s="7"/>
      <c r="J101" s="47"/>
      <c r="K101" s="47"/>
      <c r="L101" s="47"/>
      <c r="M101" s="47"/>
      <c r="N101" s="47"/>
      <c r="O101" s="10"/>
      <c r="P101" s="47"/>
      <c r="Q101" s="47"/>
      <c r="R101" s="48" t="str">
        <f aca="false">IF(Q101="","",IF(Q101=0,"below 5:00",IF(Q101&gt;=66,"16:00 or above",INT((60+2*Q101)/12)&amp;":"&amp;TEXT(MOD(60+2*Q101,12),"00"))))</f>
        <v/>
      </c>
      <c r="S101" s="47"/>
      <c r="T101" s="47"/>
      <c r="U101" s="47"/>
      <c r="V101" s="47"/>
      <c r="W101" s="47"/>
      <c r="X101" s="47"/>
      <c r="Y101" s="47"/>
      <c r="Z101" s="47"/>
      <c r="AA101" s="10"/>
      <c r="AB101" s="10"/>
      <c r="AC101" s="47"/>
      <c r="AD101" s="47"/>
      <c r="AE101" s="47"/>
      <c r="AF101" s="47"/>
      <c r="AG101" s="47"/>
      <c r="AH101" s="47"/>
      <c r="AI101" s="46"/>
      <c r="AJ101" s="46"/>
      <c r="AK101" s="46"/>
      <c r="AL101" s="7"/>
      <c r="AM101" s="49" t="str">
        <f aca="false">IF(OR(C101="",G101=""),"",IFERROR(DATEDIF(C101,G101,"m"),""))</f>
        <v/>
      </c>
      <c r="AN101" s="49" t="str">
        <f aca="false">IF(OR(Q101="",AM101=""),"",60+2*Q101-AM101)</f>
        <v/>
      </c>
      <c r="AO101" s="49" t="str">
        <f aca="false">IF(OR(G101="",AJ101=""),"",AJ101-G101)</f>
        <v/>
      </c>
      <c r="AP101" s="50" t="str">
        <f aca="false">IF(AND(A101="",B101=""),"",IF(J101="","Status needed",IF(OR(J101="Applied",J101="Visit booked",J101="Withdrawn"),"OK",IF(G101="","Date assessed needed",IF(C101="","Date of birth needed",IF(COUNTA(L101,M101,P101,U101,V101,X101)&lt;6,"Band missing",IF(AND(OR(J101="Decision confirmed",J101="Family told",J101="Enrolled"),AG101=""),"Recommendation needed",IF(AND(OR(J101="Family told",J101="Enrolled"),AJ101=""),"Date family told needed","OK"))))))))</f>
        <v/>
      </c>
    </row>
    <row r="102" customFormat="false" ht="15" hidden="false" customHeight="false" outlineLevel="0" collapsed="false">
      <c r="A102" s="7"/>
      <c r="B102" s="7"/>
      <c r="C102" s="46"/>
      <c r="D102" s="7"/>
      <c r="E102" s="47"/>
      <c r="F102" s="46"/>
      <c r="G102" s="46"/>
      <c r="H102" s="7"/>
      <c r="I102" s="7"/>
      <c r="J102" s="47"/>
      <c r="K102" s="47"/>
      <c r="L102" s="47"/>
      <c r="M102" s="47"/>
      <c r="N102" s="47"/>
      <c r="O102" s="10"/>
      <c r="P102" s="47"/>
      <c r="Q102" s="47"/>
      <c r="R102" s="48" t="str">
        <f aca="false">IF(Q102="","",IF(Q102=0,"below 5:00",IF(Q102&gt;=66,"16:00 or above",INT((60+2*Q102)/12)&amp;":"&amp;TEXT(MOD(60+2*Q102,12),"00"))))</f>
        <v/>
      </c>
      <c r="S102" s="47"/>
      <c r="T102" s="47"/>
      <c r="U102" s="47"/>
      <c r="V102" s="47"/>
      <c r="W102" s="47"/>
      <c r="X102" s="47"/>
      <c r="Y102" s="47"/>
      <c r="Z102" s="47"/>
      <c r="AA102" s="10"/>
      <c r="AB102" s="10"/>
      <c r="AC102" s="47"/>
      <c r="AD102" s="47"/>
      <c r="AE102" s="47"/>
      <c r="AF102" s="47"/>
      <c r="AG102" s="47"/>
      <c r="AH102" s="47"/>
      <c r="AI102" s="46"/>
      <c r="AJ102" s="46"/>
      <c r="AK102" s="46"/>
      <c r="AL102" s="7"/>
      <c r="AM102" s="49" t="str">
        <f aca="false">IF(OR(C102="",G102=""),"",IFERROR(DATEDIF(C102,G102,"m"),""))</f>
        <v/>
      </c>
      <c r="AN102" s="49" t="str">
        <f aca="false">IF(OR(Q102="",AM102=""),"",60+2*Q102-AM102)</f>
        <v/>
      </c>
      <c r="AO102" s="49" t="str">
        <f aca="false">IF(OR(G102="",AJ102=""),"",AJ102-G102)</f>
        <v/>
      </c>
      <c r="AP102" s="50" t="str">
        <f aca="false">IF(AND(A102="",B102=""),"",IF(J102="","Status needed",IF(OR(J102="Applied",J102="Visit booked",J102="Withdrawn"),"OK",IF(G102="","Date assessed needed",IF(C102="","Date of birth needed",IF(COUNTA(L102,M102,P102,U102,V102,X102)&lt;6,"Band missing",IF(AND(OR(J102="Decision confirmed",J102="Family told",J102="Enrolled"),AG102=""),"Recommendation needed",IF(AND(OR(J102="Family told",J102="Enrolled"),AJ102=""),"Date family told needed","OK"))))))))</f>
        <v/>
      </c>
    </row>
    <row r="103" customFormat="false" ht="15" hidden="false" customHeight="false" outlineLevel="0" collapsed="false">
      <c r="A103" s="7"/>
      <c r="B103" s="7"/>
      <c r="C103" s="46"/>
      <c r="D103" s="7"/>
      <c r="E103" s="47"/>
      <c r="F103" s="46"/>
      <c r="G103" s="46"/>
      <c r="H103" s="7"/>
      <c r="I103" s="7"/>
      <c r="J103" s="47"/>
      <c r="K103" s="47"/>
      <c r="L103" s="47"/>
      <c r="M103" s="47"/>
      <c r="N103" s="47"/>
      <c r="O103" s="10"/>
      <c r="P103" s="47"/>
      <c r="Q103" s="47"/>
      <c r="R103" s="48" t="str">
        <f aca="false">IF(Q103="","",IF(Q103=0,"below 5:00",IF(Q103&gt;=66,"16:00 or above",INT((60+2*Q103)/12)&amp;":"&amp;TEXT(MOD(60+2*Q103,12),"00"))))</f>
        <v/>
      </c>
      <c r="S103" s="47"/>
      <c r="T103" s="47"/>
      <c r="U103" s="47"/>
      <c r="V103" s="47"/>
      <c r="W103" s="47"/>
      <c r="X103" s="47"/>
      <c r="Y103" s="47"/>
      <c r="Z103" s="47"/>
      <c r="AA103" s="10"/>
      <c r="AB103" s="10"/>
      <c r="AC103" s="47"/>
      <c r="AD103" s="47"/>
      <c r="AE103" s="47"/>
      <c r="AF103" s="47"/>
      <c r="AG103" s="47"/>
      <c r="AH103" s="47"/>
      <c r="AI103" s="46"/>
      <c r="AJ103" s="46"/>
      <c r="AK103" s="46"/>
      <c r="AL103" s="7"/>
      <c r="AM103" s="49" t="str">
        <f aca="false">IF(OR(C103="",G103=""),"",IFERROR(DATEDIF(C103,G103,"m"),""))</f>
        <v/>
      </c>
      <c r="AN103" s="49" t="str">
        <f aca="false">IF(OR(Q103="",AM103=""),"",60+2*Q103-AM103)</f>
        <v/>
      </c>
      <c r="AO103" s="49" t="str">
        <f aca="false">IF(OR(G103="",AJ103=""),"",AJ103-G103)</f>
        <v/>
      </c>
      <c r="AP103" s="50" t="str">
        <f aca="false">IF(AND(A103="",B103=""),"",IF(J103="","Status needed",IF(OR(J103="Applied",J103="Visit booked",J103="Withdrawn"),"OK",IF(G103="","Date assessed needed",IF(C103="","Date of birth needed",IF(COUNTA(L103,M103,P103,U103,V103,X103)&lt;6,"Band missing",IF(AND(OR(J103="Decision confirmed",J103="Family told",J103="Enrolled"),AG103=""),"Recommendation needed",IF(AND(OR(J103="Family told",J103="Enrolled"),AJ103=""),"Date family told needed","OK"))))))))</f>
        <v/>
      </c>
    </row>
    <row r="104" customFormat="false" ht="15" hidden="false" customHeight="false" outlineLevel="0" collapsed="false">
      <c r="A104" s="7"/>
      <c r="B104" s="7"/>
      <c r="C104" s="46"/>
      <c r="D104" s="7"/>
      <c r="E104" s="47"/>
      <c r="F104" s="46"/>
      <c r="G104" s="46"/>
      <c r="H104" s="7"/>
      <c r="I104" s="7"/>
      <c r="J104" s="47"/>
      <c r="K104" s="47"/>
      <c r="L104" s="47"/>
      <c r="M104" s="47"/>
      <c r="N104" s="47"/>
      <c r="O104" s="10"/>
      <c r="P104" s="47"/>
      <c r="Q104" s="47"/>
      <c r="R104" s="48" t="str">
        <f aca="false">IF(Q104="","",IF(Q104=0,"below 5:00",IF(Q104&gt;=66,"16:00 or above",INT((60+2*Q104)/12)&amp;":"&amp;TEXT(MOD(60+2*Q104,12),"00"))))</f>
        <v/>
      </c>
      <c r="S104" s="47"/>
      <c r="T104" s="47"/>
      <c r="U104" s="47"/>
      <c r="V104" s="47"/>
      <c r="W104" s="47"/>
      <c r="X104" s="47"/>
      <c r="Y104" s="47"/>
      <c r="Z104" s="47"/>
      <c r="AA104" s="10"/>
      <c r="AB104" s="10"/>
      <c r="AC104" s="47"/>
      <c r="AD104" s="47"/>
      <c r="AE104" s="47"/>
      <c r="AF104" s="47"/>
      <c r="AG104" s="47"/>
      <c r="AH104" s="47"/>
      <c r="AI104" s="46"/>
      <c r="AJ104" s="46"/>
      <c r="AK104" s="46"/>
      <c r="AL104" s="7"/>
      <c r="AM104" s="49" t="str">
        <f aca="false">IF(OR(C104="",G104=""),"",IFERROR(DATEDIF(C104,G104,"m"),""))</f>
        <v/>
      </c>
      <c r="AN104" s="49" t="str">
        <f aca="false">IF(OR(Q104="",AM104=""),"",60+2*Q104-AM104)</f>
        <v/>
      </c>
      <c r="AO104" s="49" t="str">
        <f aca="false">IF(OR(G104="",AJ104=""),"",AJ104-G104)</f>
        <v/>
      </c>
      <c r="AP104" s="50" t="str">
        <f aca="false">IF(AND(A104="",B104=""),"",IF(J104="","Status needed",IF(OR(J104="Applied",J104="Visit booked",J104="Withdrawn"),"OK",IF(G104="","Date assessed needed",IF(C104="","Date of birth needed",IF(COUNTA(L104,M104,P104,U104,V104,X104)&lt;6,"Band missing",IF(AND(OR(J104="Decision confirmed",J104="Family told",J104="Enrolled"),AG104=""),"Recommendation needed",IF(AND(OR(J104="Family told",J104="Enrolled"),AJ104=""),"Date family told needed","OK"))))))))</f>
        <v/>
      </c>
    </row>
    <row r="105" customFormat="false" ht="15" hidden="false" customHeight="false" outlineLevel="0" collapsed="false">
      <c r="A105" s="7"/>
      <c r="B105" s="7"/>
      <c r="C105" s="46"/>
      <c r="D105" s="7"/>
      <c r="E105" s="47"/>
      <c r="F105" s="46"/>
      <c r="G105" s="46"/>
      <c r="H105" s="7"/>
      <c r="I105" s="7"/>
      <c r="J105" s="47"/>
      <c r="K105" s="47"/>
      <c r="L105" s="47"/>
      <c r="M105" s="47"/>
      <c r="N105" s="47"/>
      <c r="O105" s="10"/>
      <c r="P105" s="47"/>
      <c r="Q105" s="47"/>
      <c r="R105" s="48" t="str">
        <f aca="false">IF(Q105="","",IF(Q105=0,"below 5:00",IF(Q105&gt;=66,"16:00 or above",INT((60+2*Q105)/12)&amp;":"&amp;TEXT(MOD(60+2*Q105,12),"00"))))</f>
        <v/>
      </c>
      <c r="S105" s="47"/>
      <c r="T105" s="47"/>
      <c r="U105" s="47"/>
      <c r="V105" s="47"/>
      <c r="W105" s="47"/>
      <c r="X105" s="47"/>
      <c r="Y105" s="47"/>
      <c r="Z105" s="47"/>
      <c r="AA105" s="10"/>
      <c r="AB105" s="10"/>
      <c r="AC105" s="47"/>
      <c r="AD105" s="47"/>
      <c r="AE105" s="47"/>
      <c r="AF105" s="47"/>
      <c r="AG105" s="47"/>
      <c r="AH105" s="47"/>
      <c r="AI105" s="46"/>
      <c r="AJ105" s="46"/>
      <c r="AK105" s="46"/>
      <c r="AL105" s="7"/>
      <c r="AM105" s="49" t="str">
        <f aca="false">IF(OR(C105="",G105=""),"",IFERROR(DATEDIF(C105,G105,"m"),""))</f>
        <v/>
      </c>
      <c r="AN105" s="49" t="str">
        <f aca="false">IF(OR(Q105="",AM105=""),"",60+2*Q105-AM105)</f>
        <v/>
      </c>
      <c r="AO105" s="49" t="str">
        <f aca="false">IF(OR(G105="",AJ105=""),"",AJ105-G105)</f>
        <v/>
      </c>
      <c r="AP105" s="50" t="str">
        <f aca="false">IF(AND(A105="",B105=""),"",IF(J105="","Status needed",IF(OR(J105="Applied",J105="Visit booked",J105="Withdrawn"),"OK",IF(G105="","Date assessed needed",IF(C105="","Date of birth needed",IF(COUNTA(L105,M105,P105,U105,V105,X105)&lt;6,"Band missing",IF(AND(OR(J105="Decision confirmed",J105="Family told",J105="Enrolled"),AG105=""),"Recommendation needed",IF(AND(OR(J105="Family told",J105="Enrolled"),AJ105=""),"Date family told needed","OK"))))))))</f>
        <v/>
      </c>
    </row>
    <row r="106" customFormat="false" ht="15" hidden="false" customHeight="false" outlineLevel="0" collapsed="false">
      <c r="A106" s="7"/>
      <c r="B106" s="7"/>
      <c r="C106" s="46"/>
      <c r="D106" s="7"/>
      <c r="E106" s="47"/>
      <c r="F106" s="46"/>
      <c r="G106" s="46"/>
      <c r="H106" s="7"/>
      <c r="I106" s="7"/>
      <c r="J106" s="47"/>
      <c r="K106" s="47"/>
      <c r="L106" s="47"/>
      <c r="M106" s="47"/>
      <c r="N106" s="47"/>
      <c r="O106" s="10"/>
      <c r="P106" s="47"/>
      <c r="Q106" s="47"/>
      <c r="R106" s="48" t="str">
        <f aca="false">IF(Q106="","",IF(Q106=0,"below 5:00",IF(Q106&gt;=66,"16:00 or above",INT((60+2*Q106)/12)&amp;":"&amp;TEXT(MOD(60+2*Q106,12),"00"))))</f>
        <v/>
      </c>
      <c r="S106" s="47"/>
      <c r="T106" s="47"/>
      <c r="U106" s="47"/>
      <c r="V106" s="47"/>
      <c r="W106" s="47"/>
      <c r="X106" s="47"/>
      <c r="Y106" s="47"/>
      <c r="Z106" s="47"/>
      <c r="AA106" s="10"/>
      <c r="AB106" s="10"/>
      <c r="AC106" s="47"/>
      <c r="AD106" s="47"/>
      <c r="AE106" s="47"/>
      <c r="AF106" s="47"/>
      <c r="AG106" s="47"/>
      <c r="AH106" s="47"/>
      <c r="AI106" s="46"/>
      <c r="AJ106" s="46"/>
      <c r="AK106" s="46"/>
      <c r="AL106" s="7"/>
      <c r="AM106" s="49" t="str">
        <f aca="false">IF(OR(C106="",G106=""),"",IFERROR(DATEDIF(C106,G106,"m"),""))</f>
        <v/>
      </c>
      <c r="AN106" s="49" t="str">
        <f aca="false">IF(OR(Q106="",AM106=""),"",60+2*Q106-AM106)</f>
        <v/>
      </c>
      <c r="AO106" s="49" t="str">
        <f aca="false">IF(OR(G106="",AJ106=""),"",AJ106-G106)</f>
        <v/>
      </c>
      <c r="AP106" s="50" t="str">
        <f aca="false">IF(AND(A106="",B106=""),"",IF(J106="","Status needed",IF(OR(J106="Applied",J106="Visit booked",J106="Withdrawn"),"OK",IF(G106="","Date assessed needed",IF(C106="","Date of birth needed",IF(COUNTA(L106,M106,P106,U106,V106,X106)&lt;6,"Band missing",IF(AND(OR(J106="Decision confirmed",J106="Family told",J106="Enrolled"),AG106=""),"Recommendation needed",IF(AND(OR(J106="Family told",J106="Enrolled"),AJ106=""),"Date family told needed","OK"))))))))</f>
        <v/>
      </c>
    </row>
    <row r="107" customFormat="false" ht="15" hidden="false" customHeight="false" outlineLevel="0" collapsed="false">
      <c r="A107" s="7"/>
      <c r="B107" s="7"/>
      <c r="C107" s="46"/>
      <c r="D107" s="7"/>
      <c r="E107" s="47"/>
      <c r="F107" s="46"/>
      <c r="G107" s="46"/>
      <c r="H107" s="7"/>
      <c r="I107" s="7"/>
      <c r="J107" s="47"/>
      <c r="K107" s="47"/>
      <c r="L107" s="47"/>
      <c r="M107" s="47"/>
      <c r="N107" s="47"/>
      <c r="O107" s="10"/>
      <c r="P107" s="47"/>
      <c r="Q107" s="47"/>
      <c r="R107" s="48" t="str">
        <f aca="false">IF(Q107="","",IF(Q107=0,"below 5:00",IF(Q107&gt;=66,"16:00 or above",INT((60+2*Q107)/12)&amp;":"&amp;TEXT(MOD(60+2*Q107,12),"00"))))</f>
        <v/>
      </c>
      <c r="S107" s="47"/>
      <c r="T107" s="47"/>
      <c r="U107" s="47"/>
      <c r="V107" s="47"/>
      <c r="W107" s="47"/>
      <c r="X107" s="47"/>
      <c r="Y107" s="47"/>
      <c r="Z107" s="47"/>
      <c r="AA107" s="10"/>
      <c r="AB107" s="10"/>
      <c r="AC107" s="47"/>
      <c r="AD107" s="47"/>
      <c r="AE107" s="47"/>
      <c r="AF107" s="47"/>
      <c r="AG107" s="47"/>
      <c r="AH107" s="47"/>
      <c r="AI107" s="46"/>
      <c r="AJ107" s="46"/>
      <c r="AK107" s="46"/>
      <c r="AL107" s="7"/>
      <c r="AM107" s="49" t="str">
        <f aca="false">IF(OR(C107="",G107=""),"",IFERROR(DATEDIF(C107,G107,"m"),""))</f>
        <v/>
      </c>
      <c r="AN107" s="49" t="str">
        <f aca="false">IF(OR(Q107="",AM107=""),"",60+2*Q107-AM107)</f>
        <v/>
      </c>
      <c r="AO107" s="49" t="str">
        <f aca="false">IF(OR(G107="",AJ107=""),"",AJ107-G107)</f>
        <v/>
      </c>
      <c r="AP107" s="50" t="str">
        <f aca="false">IF(AND(A107="",B107=""),"",IF(J107="","Status needed",IF(OR(J107="Applied",J107="Visit booked",J107="Withdrawn"),"OK",IF(G107="","Date assessed needed",IF(C107="","Date of birth needed",IF(COUNTA(L107,M107,P107,U107,V107,X107)&lt;6,"Band missing",IF(AND(OR(J107="Decision confirmed",J107="Family told",J107="Enrolled"),AG107=""),"Recommendation needed",IF(AND(OR(J107="Family told",J107="Enrolled"),AJ107=""),"Date family told needed","OK"))))))))</f>
        <v/>
      </c>
    </row>
    <row r="108" customFormat="false" ht="15" hidden="false" customHeight="false" outlineLevel="0" collapsed="false">
      <c r="A108" s="7"/>
      <c r="B108" s="7"/>
      <c r="C108" s="46"/>
      <c r="D108" s="7"/>
      <c r="E108" s="47"/>
      <c r="F108" s="46"/>
      <c r="G108" s="46"/>
      <c r="H108" s="7"/>
      <c r="I108" s="7"/>
      <c r="J108" s="47"/>
      <c r="K108" s="47"/>
      <c r="L108" s="47"/>
      <c r="M108" s="47"/>
      <c r="N108" s="47"/>
      <c r="O108" s="10"/>
      <c r="P108" s="47"/>
      <c r="Q108" s="47"/>
      <c r="R108" s="48" t="str">
        <f aca="false">IF(Q108="","",IF(Q108=0,"below 5:00",IF(Q108&gt;=66,"16:00 or above",INT((60+2*Q108)/12)&amp;":"&amp;TEXT(MOD(60+2*Q108,12),"00"))))</f>
        <v/>
      </c>
      <c r="S108" s="47"/>
      <c r="T108" s="47"/>
      <c r="U108" s="47"/>
      <c r="V108" s="47"/>
      <c r="W108" s="47"/>
      <c r="X108" s="47"/>
      <c r="Y108" s="47"/>
      <c r="Z108" s="47"/>
      <c r="AA108" s="10"/>
      <c r="AB108" s="10"/>
      <c r="AC108" s="47"/>
      <c r="AD108" s="47"/>
      <c r="AE108" s="47"/>
      <c r="AF108" s="47"/>
      <c r="AG108" s="47"/>
      <c r="AH108" s="47"/>
      <c r="AI108" s="46"/>
      <c r="AJ108" s="46"/>
      <c r="AK108" s="46"/>
      <c r="AL108" s="7"/>
      <c r="AM108" s="49" t="str">
        <f aca="false">IF(OR(C108="",G108=""),"",IFERROR(DATEDIF(C108,G108,"m"),""))</f>
        <v/>
      </c>
      <c r="AN108" s="49" t="str">
        <f aca="false">IF(OR(Q108="",AM108=""),"",60+2*Q108-AM108)</f>
        <v/>
      </c>
      <c r="AO108" s="49" t="str">
        <f aca="false">IF(OR(G108="",AJ108=""),"",AJ108-G108)</f>
        <v/>
      </c>
      <c r="AP108" s="50" t="str">
        <f aca="false">IF(AND(A108="",B108=""),"",IF(J108="","Status needed",IF(OR(J108="Applied",J108="Visit booked",J108="Withdrawn"),"OK",IF(G108="","Date assessed needed",IF(C108="","Date of birth needed",IF(COUNTA(L108,M108,P108,U108,V108,X108)&lt;6,"Band missing",IF(AND(OR(J108="Decision confirmed",J108="Family told",J108="Enrolled"),AG108=""),"Recommendation needed",IF(AND(OR(J108="Family told",J108="Enrolled"),AJ108=""),"Date family told needed","OK"))))))))</f>
        <v/>
      </c>
    </row>
    <row r="109" customFormat="false" ht="15" hidden="false" customHeight="false" outlineLevel="0" collapsed="false">
      <c r="A109" s="7"/>
      <c r="B109" s="7"/>
      <c r="C109" s="46"/>
      <c r="D109" s="7"/>
      <c r="E109" s="47"/>
      <c r="F109" s="46"/>
      <c r="G109" s="46"/>
      <c r="H109" s="7"/>
      <c r="I109" s="7"/>
      <c r="J109" s="47"/>
      <c r="K109" s="47"/>
      <c r="L109" s="47"/>
      <c r="M109" s="47"/>
      <c r="N109" s="47"/>
      <c r="O109" s="10"/>
      <c r="P109" s="47"/>
      <c r="Q109" s="47"/>
      <c r="R109" s="48" t="str">
        <f aca="false">IF(Q109="","",IF(Q109=0,"below 5:00",IF(Q109&gt;=66,"16:00 or above",INT((60+2*Q109)/12)&amp;":"&amp;TEXT(MOD(60+2*Q109,12),"00"))))</f>
        <v/>
      </c>
      <c r="S109" s="47"/>
      <c r="T109" s="47"/>
      <c r="U109" s="47"/>
      <c r="V109" s="47"/>
      <c r="W109" s="47"/>
      <c r="X109" s="47"/>
      <c r="Y109" s="47"/>
      <c r="Z109" s="47"/>
      <c r="AA109" s="10"/>
      <c r="AB109" s="10"/>
      <c r="AC109" s="47"/>
      <c r="AD109" s="47"/>
      <c r="AE109" s="47"/>
      <c r="AF109" s="47"/>
      <c r="AG109" s="47"/>
      <c r="AH109" s="47"/>
      <c r="AI109" s="46"/>
      <c r="AJ109" s="46"/>
      <c r="AK109" s="46"/>
      <c r="AL109" s="7"/>
      <c r="AM109" s="49" t="str">
        <f aca="false">IF(OR(C109="",G109=""),"",IFERROR(DATEDIF(C109,G109,"m"),""))</f>
        <v/>
      </c>
      <c r="AN109" s="49" t="str">
        <f aca="false">IF(OR(Q109="",AM109=""),"",60+2*Q109-AM109)</f>
        <v/>
      </c>
      <c r="AO109" s="49" t="str">
        <f aca="false">IF(OR(G109="",AJ109=""),"",AJ109-G109)</f>
        <v/>
      </c>
      <c r="AP109" s="50" t="str">
        <f aca="false">IF(AND(A109="",B109=""),"",IF(J109="","Status needed",IF(OR(J109="Applied",J109="Visit booked",J109="Withdrawn"),"OK",IF(G109="","Date assessed needed",IF(C109="","Date of birth needed",IF(COUNTA(L109,M109,P109,U109,V109,X109)&lt;6,"Band missing",IF(AND(OR(J109="Decision confirmed",J109="Family told",J109="Enrolled"),AG109=""),"Recommendation needed",IF(AND(OR(J109="Family told",J109="Enrolled"),AJ109=""),"Date family told needed","OK"))))))))</f>
        <v/>
      </c>
    </row>
    <row r="110" customFormat="false" ht="15" hidden="false" customHeight="false" outlineLevel="0" collapsed="false">
      <c r="A110" s="7"/>
      <c r="B110" s="7"/>
      <c r="C110" s="46"/>
      <c r="D110" s="7"/>
      <c r="E110" s="47"/>
      <c r="F110" s="46"/>
      <c r="G110" s="46"/>
      <c r="H110" s="7"/>
      <c r="I110" s="7"/>
      <c r="J110" s="47"/>
      <c r="K110" s="47"/>
      <c r="L110" s="47"/>
      <c r="M110" s="47"/>
      <c r="N110" s="47"/>
      <c r="O110" s="10"/>
      <c r="P110" s="47"/>
      <c r="Q110" s="47"/>
      <c r="R110" s="48" t="str">
        <f aca="false">IF(Q110="","",IF(Q110=0,"below 5:00",IF(Q110&gt;=66,"16:00 or above",INT((60+2*Q110)/12)&amp;":"&amp;TEXT(MOD(60+2*Q110,12),"00"))))</f>
        <v/>
      </c>
      <c r="S110" s="47"/>
      <c r="T110" s="47"/>
      <c r="U110" s="47"/>
      <c r="V110" s="47"/>
      <c r="W110" s="47"/>
      <c r="X110" s="47"/>
      <c r="Y110" s="47"/>
      <c r="Z110" s="47"/>
      <c r="AA110" s="10"/>
      <c r="AB110" s="10"/>
      <c r="AC110" s="47"/>
      <c r="AD110" s="47"/>
      <c r="AE110" s="47"/>
      <c r="AF110" s="47"/>
      <c r="AG110" s="47"/>
      <c r="AH110" s="47"/>
      <c r="AI110" s="46"/>
      <c r="AJ110" s="46"/>
      <c r="AK110" s="46"/>
      <c r="AL110" s="7"/>
      <c r="AM110" s="49" t="str">
        <f aca="false">IF(OR(C110="",G110=""),"",IFERROR(DATEDIF(C110,G110,"m"),""))</f>
        <v/>
      </c>
      <c r="AN110" s="49" t="str">
        <f aca="false">IF(OR(Q110="",AM110=""),"",60+2*Q110-AM110)</f>
        <v/>
      </c>
      <c r="AO110" s="49" t="str">
        <f aca="false">IF(OR(G110="",AJ110=""),"",AJ110-G110)</f>
        <v/>
      </c>
      <c r="AP110" s="50" t="str">
        <f aca="false">IF(AND(A110="",B110=""),"",IF(J110="","Status needed",IF(OR(J110="Applied",J110="Visit booked",J110="Withdrawn"),"OK",IF(G110="","Date assessed needed",IF(C110="","Date of birth needed",IF(COUNTA(L110,M110,P110,U110,V110,X110)&lt;6,"Band missing",IF(AND(OR(J110="Decision confirmed",J110="Family told",J110="Enrolled"),AG110=""),"Recommendation needed",IF(AND(OR(J110="Family told",J110="Enrolled"),AJ110=""),"Date family told needed","OK"))))))))</f>
        <v/>
      </c>
    </row>
    <row r="111" customFormat="false" ht="15" hidden="false" customHeight="false" outlineLevel="0" collapsed="false">
      <c r="A111" s="7"/>
      <c r="B111" s="7"/>
      <c r="C111" s="46"/>
      <c r="D111" s="7"/>
      <c r="E111" s="47"/>
      <c r="F111" s="46"/>
      <c r="G111" s="46"/>
      <c r="H111" s="7"/>
      <c r="I111" s="7"/>
      <c r="J111" s="47"/>
      <c r="K111" s="47"/>
      <c r="L111" s="47"/>
      <c r="M111" s="47"/>
      <c r="N111" s="47"/>
      <c r="O111" s="10"/>
      <c r="P111" s="47"/>
      <c r="Q111" s="47"/>
      <c r="R111" s="48" t="str">
        <f aca="false">IF(Q111="","",IF(Q111=0,"below 5:00",IF(Q111&gt;=66,"16:00 or above",INT((60+2*Q111)/12)&amp;":"&amp;TEXT(MOD(60+2*Q111,12),"00"))))</f>
        <v/>
      </c>
      <c r="S111" s="47"/>
      <c r="T111" s="47"/>
      <c r="U111" s="47"/>
      <c r="V111" s="47"/>
      <c r="W111" s="47"/>
      <c r="X111" s="47"/>
      <c r="Y111" s="47"/>
      <c r="Z111" s="47"/>
      <c r="AA111" s="10"/>
      <c r="AB111" s="10"/>
      <c r="AC111" s="47"/>
      <c r="AD111" s="47"/>
      <c r="AE111" s="47"/>
      <c r="AF111" s="47"/>
      <c r="AG111" s="47"/>
      <c r="AH111" s="47"/>
      <c r="AI111" s="46"/>
      <c r="AJ111" s="46"/>
      <c r="AK111" s="46"/>
      <c r="AL111" s="7"/>
      <c r="AM111" s="49" t="str">
        <f aca="false">IF(OR(C111="",G111=""),"",IFERROR(DATEDIF(C111,G111,"m"),""))</f>
        <v/>
      </c>
      <c r="AN111" s="49" t="str">
        <f aca="false">IF(OR(Q111="",AM111=""),"",60+2*Q111-AM111)</f>
        <v/>
      </c>
      <c r="AO111" s="49" t="str">
        <f aca="false">IF(OR(G111="",AJ111=""),"",AJ111-G111)</f>
        <v/>
      </c>
      <c r="AP111" s="50" t="str">
        <f aca="false">IF(AND(A111="",B111=""),"",IF(J111="","Status needed",IF(OR(J111="Applied",J111="Visit booked",J111="Withdrawn"),"OK",IF(G111="","Date assessed needed",IF(C111="","Date of birth needed",IF(COUNTA(L111,M111,P111,U111,V111,X111)&lt;6,"Band missing",IF(AND(OR(J111="Decision confirmed",J111="Family told",J111="Enrolled"),AG111=""),"Recommendation needed",IF(AND(OR(J111="Family told",J111="Enrolled"),AJ111=""),"Date family told needed","OK"))))))))</f>
        <v/>
      </c>
    </row>
    <row r="112" customFormat="false" ht="15" hidden="false" customHeight="false" outlineLevel="0" collapsed="false">
      <c r="A112" s="7"/>
      <c r="B112" s="7"/>
      <c r="C112" s="46"/>
      <c r="D112" s="7"/>
      <c r="E112" s="47"/>
      <c r="F112" s="46"/>
      <c r="G112" s="46"/>
      <c r="H112" s="7"/>
      <c r="I112" s="7"/>
      <c r="J112" s="47"/>
      <c r="K112" s="47"/>
      <c r="L112" s="47"/>
      <c r="M112" s="47"/>
      <c r="N112" s="47"/>
      <c r="O112" s="10"/>
      <c r="P112" s="47"/>
      <c r="Q112" s="47"/>
      <c r="R112" s="48" t="str">
        <f aca="false">IF(Q112="","",IF(Q112=0,"below 5:00",IF(Q112&gt;=66,"16:00 or above",INT((60+2*Q112)/12)&amp;":"&amp;TEXT(MOD(60+2*Q112,12),"00"))))</f>
        <v/>
      </c>
      <c r="S112" s="47"/>
      <c r="T112" s="47"/>
      <c r="U112" s="47"/>
      <c r="V112" s="47"/>
      <c r="W112" s="47"/>
      <c r="X112" s="47"/>
      <c r="Y112" s="47"/>
      <c r="Z112" s="47"/>
      <c r="AA112" s="10"/>
      <c r="AB112" s="10"/>
      <c r="AC112" s="47"/>
      <c r="AD112" s="47"/>
      <c r="AE112" s="47"/>
      <c r="AF112" s="47"/>
      <c r="AG112" s="47"/>
      <c r="AH112" s="47"/>
      <c r="AI112" s="46"/>
      <c r="AJ112" s="46"/>
      <c r="AK112" s="46"/>
      <c r="AL112" s="7"/>
      <c r="AM112" s="49" t="str">
        <f aca="false">IF(OR(C112="",G112=""),"",IFERROR(DATEDIF(C112,G112,"m"),""))</f>
        <v/>
      </c>
      <c r="AN112" s="49" t="str">
        <f aca="false">IF(OR(Q112="",AM112=""),"",60+2*Q112-AM112)</f>
        <v/>
      </c>
      <c r="AO112" s="49" t="str">
        <f aca="false">IF(OR(G112="",AJ112=""),"",AJ112-G112)</f>
        <v/>
      </c>
      <c r="AP112" s="50" t="str">
        <f aca="false">IF(AND(A112="",B112=""),"",IF(J112="","Status needed",IF(OR(J112="Applied",J112="Visit booked",J112="Withdrawn"),"OK",IF(G112="","Date assessed needed",IF(C112="","Date of birth needed",IF(COUNTA(L112,M112,P112,U112,V112,X112)&lt;6,"Band missing",IF(AND(OR(J112="Decision confirmed",J112="Family told",J112="Enrolled"),AG112=""),"Recommendation needed",IF(AND(OR(J112="Family told",J112="Enrolled"),AJ112=""),"Date family told needed","OK"))))))))</f>
        <v/>
      </c>
    </row>
    <row r="113" customFormat="false" ht="15" hidden="false" customHeight="false" outlineLevel="0" collapsed="false">
      <c r="A113" s="7"/>
      <c r="B113" s="7"/>
      <c r="C113" s="46"/>
      <c r="D113" s="7"/>
      <c r="E113" s="47"/>
      <c r="F113" s="46"/>
      <c r="G113" s="46"/>
      <c r="H113" s="7"/>
      <c r="I113" s="7"/>
      <c r="J113" s="47"/>
      <c r="K113" s="47"/>
      <c r="L113" s="47"/>
      <c r="M113" s="47"/>
      <c r="N113" s="47"/>
      <c r="O113" s="10"/>
      <c r="P113" s="47"/>
      <c r="Q113" s="47"/>
      <c r="R113" s="48" t="str">
        <f aca="false">IF(Q113="","",IF(Q113=0,"below 5:00",IF(Q113&gt;=66,"16:00 or above",INT((60+2*Q113)/12)&amp;":"&amp;TEXT(MOD(60+2*Q113,12),"00"))))</f>
        <v/>
      </c>
      <c r="S113" s="47"/>
      <c r="T113" s="47"/>
      <c r="U113" s="47"/>
      <c r="V113" s="47"/>
      <c r="W113" s="47"/>
      <c r="X113" s="47"/>
      <c r="Y113" s="47"/>
      <c r="Z113" s="47"/>
      <c r="AA113" s="10"/>
      <c r="AB113" s="10"/>
      <c r="AC113" s="47"/>
      <c r="AD113" s="47"/>
      <c r="AE113" s="47"/>
      <c r="AF113" s="47"/>
      <c r="AG113" s="47"/>
      <c r="AH113" s="47"/>
      <c r="AI113" s="46"/>
      <c r="AJ113" s="46"/>
      <c r="AK113" s="46"/>
      <c r="AL113" s="7"/>
      <c r="AM113" s="49" t="str">
        <f aca="false">IF(OR(C113="",G113=""),"",IFERROR(DATEDIF(C113,G113,"m"),""))</f>
        <v/>
      </c>
      <c r="AN113" s="49" t="str">
        <f aca="false">IF(OR(Q113="",AM113=""),"",60+2*Q113-AM113)</f>
        <v/>
      </c>
      <c r="AO113" s="49" t="str">
        <f aca="false">IF(OR(G113="",AJ113=""),"",AJ113-G113)</f>
        <v/>
      </c>
      <c r="AP113" s="50" t="str">
        <f aca="false">IF(AND(A113="",B113=""),"",IF(J113="","Status needed",IF(OR(J113="Applied",J113="Visit booked",J113="Withdrawn"),"OK",IF(G113="","Date assessed needed",IF(C113="","Date of birth needed",IF(COUNTA(L113,M113,P113,U113,V113,X113)&lt;6,"Band missing",IF(AND(OR(J113="Decision confirmed",J113="Family told",J113="Enrolled"),AG113=""),"Recommendation needed",IF(AND(OR(J113="Family told",J113="Enrolled"),AJ113=""),"Date family told needed","OK"))))))))</f>
        <v/>
      </c>
    </row>
    <row r="114" customFormat="false" ht="15" hidden="false" customHeight="false" outlineLevel="0" collapsed="false">
      <c r="A114" s="7"/>
      <c r="B114" s="7"/>
      <c r="C114" s="46"/>
      <c r="D114" s="7"/>
      <c r="E114" s="47"/>
      <c r="F114" s="46"/>
      <c r="G114" s="46"/>
      <c r="H114" s="7"/>
      <c r="I114" s="7"/>
      <c r="J114" s="47"/>
      <c r="K114" s="47"/>
      <c r="L114" s="47"/>
      <c r="M114" s="47"/>
      <c r="N114" s="47"/>
      <c r="O114" s="10"/>
      <c r="P114" s="47"/>
      <c r="Q114" s="47"/>
      <c r="R114" s="48" t="str">
        <f aca="false">IF(Q114="","",IF(Q114=0,"below 5:00",IF(Q114&gt;=66,"16:00 or above",INT((60+2*Q114)/12)&amp;":"&amp;TEXT(MOD(60+2*Q114,12),"00"))))</f>
        <v/>
      </c>
      <c r="S114" s="47"/>
      <c r="T114" s="47"/>
      <c r="U114" s="47"/>
      <c r="V114" s="47"/>
      <c r="W114" s="47"/>
      <c r="X114" s="47"/>
      <c r="Y114" s="47"/>
      <c r="Z114" s="47"/>
      <c r="AA114" s="10"/>
      <c r="AB114" s="10"/>
      <c r="AC114" s="47"/>
      <c r="AD114" s="47"/>
      <c r="AE114" s="47"/>
      <c r="AF114" s="47"/>
      <c r="AG114" s="47"/>
      <c r="AH114" s="47"/>
      <c r="AI114" s="46"/>
      <c r="AJ114" s="46"/>
      <c r="AK114" s="46"/>
      <c r="AL114" s="7"/>
      <c r="AM114" s="49" t="str">
        <f aca="false">IF(OR(C114="",G114=""),"",IFERROR(DATEDIF(C114,G114,"m"),""))</f>
        <v/>
      </c>
      <c r="AN114" s="49" t="str">
        <f aca="false">IF(OR(Q114="",AM114=""),"",60+2*Q114-AM114)</f>
        <v/>
      </c>
      <c r="AO114" s="49" t="str">
        <f aca="false">IF(OR(G114="",AJ114=""),"",AJ114-G114)</f>
        <v/>
      </c>
      <c r="AP114" s="50" t="str">
        <f aca="false">IF(AND(A114="",B114=""),"",IF(J114="","Status needed",IF(OR(J114="Applied",J114="Visit booked",J114="Withdrawn"),"OK",IF(G114="","Date assessed needed",IF(C114="","Date of birth needed",IF(COUNTA(L114,M114,P114,U114,V114,X114)&lt;6,"Band missing",IF(AND(OR(J114="Decision confirmed",J114="Family told",J114="Enrolled"),AG114=""),"Recommendation needed",IF(AND(OR(J114="Family told",J114="Enrolled"),AJ114=""),"Date family told needed","OK"))))))))</f>
        <v/>
      </c>
    </row>
    <row r="115" customFormat="false" ht="15" hidden="false" customHeight="false" outlineLevel="0" collapsed="false">
      <c r="A115" s="7"/>
      <c r="B115" s="7"/>
      <c r="C115" s="46"/>
      <c r="D115" s="7"/>
      <c r="E115" s="47"/>
      <c r="F115" s="46"/>
      <c r="G115" s="46"/>
      <c r="H115" s="7"/>
      <c r="I115" s="7"/>
      <c r="J115" s="47"/>
      <c r="K115" s="47"/>
      <c r="L115" s="47"/>
      <c r="M115" s="47"/>
      <c r="N115" s="47"/>
      <c r="O115" s="10"/>
      <c r="P115" s="47"/>
      <c r="Q115" s="47"/>
      <c r="R115" s="48" t="str">
        <f aca="false">IF(Q115="","",IF(Q115=0,"below 5:00",IF(Q115&gt;=66,"16:00 or above",INT((60+2*Q115)/12)&amp;":"&amp;TEXT(MOD(60+2*Q115,12),"00"))))</f>
        <v/>
      </c>
      <c r="S115" s="47"/>
      <c r="T115" s="47"/>
      <c r="U115" s="47"/>
      <c r="V115" s="47"/>
      <c r="W115" s="47"/>
      <c r="X115" s="47"/>
      <c r="Y115" s="47"/>
      <c r="Z115" s="47"/>
      <c r="AA115" s="10"/>
      <c r="AB115" s="10"/>
      <c r="AC115" s="47"/>
      <c r="AD115" s="47"/>
      <c r="AE115" s="47"/>
      <c r="AF115" s="47"/>
      <c r="AG115" s="47"/>
      <c r="AH115" s="47"/>
      <c r="AI115" s="46"/>
      <c r="AJ115" s="46"/>
      <c r="AK115" s="46"/>
      <c r="AL115" s="7"/>
      <c r="AM115" s="49" t="str">
        <f aca="false">IF(OR(C115="",G115=""),"",IFERROR(DATEDIF(C115,G115,"m"),""))</f>
        <v/>
      </c>
      <c r="AN115" s="49" t="str">
        <f aca="false">IF(OR(Q115="",AM115=""),"",60+2*Q115-AM115)</f>
        <v/>
      </c>
      <c r="AO115" s="49" t="str">
        <f aca="false">IF(OR(G115="",AJ115=""),"",AJ115-G115)</f>
        <v/>
      </c>
      <c r="AP115" s="50" t="str">
        <f aca="false">IF(AND(A115="",B115=""),"",IF(J115="","Status needed",IF(OR(J115="Applied",J115="Visit booked",J115="Withdrawn"),"OK",IF(G115="","Date assessed needed",IF(C115="","Date of birth needed",IF(COUNTA(L115,M115,P115,U115,V115,X115)&lt;6,"Band missing",IF(AND(OR(J115="Decision confirmed",J115="Family told",J115="Enrolled"),AG115=""),"Recommendation needed",IF(AND(OR(J115="Family told",J115="Enrolled"),AJ115=""),"Date family told needed","OK"))))))))</f>
        <v/>
      </c>
    </row>
    <row r="116" customFormat="false" ht="15" hidden="false" customHeight="false" outlineLevel="0" collapsed="false">
      <c r="A116" s="7"/>
      <c r="B116" s="7"/>
      <c r="C116" s="46"/>
      <c r="D116" s="7"/>
      <c r="E116" s="47"/>
      <c r="F116" s="46"/>
      <c r="G116" s="46"/>
      <c r="H116" s="7"/>
      <c r="I116" s="7"/>
      <c r="J116" s="47"/>
      <c r="K116" s="47"/>
      <c r="L116" s="47"/>
      <c r="M116" s="47"/>
      <c r="N116" s="47"/>
      <c r="O116" s="10"/>
      <c r="P116" s="47"/>
      <c r="Q116" s="47"/>
      <c r="R116" s="48" t="str">
        <f aca="false">IF(Q116="","",IF(Q116=0,"below 5:00",IF(Q116&gt;=66,"16:00 or above",INT((60+2*Q116)/12)&amp;":"&amp;TEXT(MOD(60+2*Q116,12),"00"))))</f>
        <v/>
      </c>
      <c r="S116" s="47"/>
      <c r="T116" s="47"/>
      <c r="U116" s="47"/>
      <c r="V116" s="47"/>
      <c r="W116" s="47"/>
      <c r="X116" s="47"/>
      <c r="Y116" s="47"/>
      <c r="Z116" s="47"/>
      <c r="AA116" s="10"/>
      <c r="AB116" s="10"/>
      <c r="AC116" s="47"/>
      <c r="AD116" s="47"/>
      <c r="AE116" s="47"/>
      <c r="AF116" s="47"/>
      <c r="AG116" s="47"/>
      <c r="AH116" s="47"/>
      <c r="AI116" s="46"/>
      <c r="AJ116" s="46"/>
      <c r="AK116" s="46"/>
      <c r="AL116" s="7"/>
      <c r="AM116" s="49" t="str">
        <f aca="false">IF(OR(C116="",G116=""),"",IFERROR(DATEDIF(C116,G116,"m"),""))</f>
        <v/>
      </c>
      <c r="AN116" s="49" t="str">
        <f aca="false">IF(OR(Q116="",AM116=""),"",60+2*Q116-AM116)</f>
        <v/>
      </c>
      <c r="AO116" s="49" t="str">
        <f aca="false">IF(OR(G116="",AJ116=""),"",AJ116-G116)</f>
        <v/>
      </c>
      <c r="AP116" s="50" t="str">
        <f aca="false">IF(AND(A116="",B116=""),"",IF(J116="","Status needed",IF(OR(J116="Applied",J116="Visit booked",J116="Withdrawn"),"OK",IF(G116="","Date assessed needed",IF(C116="","Date of birth needed",IF(COUNTA(L116,M116,P116,U116,V116,X116)&lt;6,"Band missing",IF(AND(OR(J116="Decision confirmed",J116="Family told",J116="Enrolled"),AG116=""),"Recommendation needed",IF(AND(OR(J116="Family told",J116="Enrolled"),AJ116=""),"Date family told needed","OK"))))))))</f>
        <v/>
      </c>
    </row>
    <row r="117" customFormat="false" ht="15" hidden="false" customHeight="false" outlineLevel="0" collapsed="false">
      <c r="A117" s="7"/>
      <c r="B117" s="7"/>
      <c r="C117" s="46"/>
      <c r="D117" s="7"/>
      <c r="E117" s="47"/>
      <c r="F117" s="46"/>
      <c r="G117" s="46"/>
      <c r="H117" s="7"/>
      <c r="I117" s="7"/>
      <c r="J117" s="47"/>
      <c r="K117" s="47"/>
      <c r="L117" s="47"/>
      <c r="M117" s="47"/>
      <c r="N117" s="47"/>
      <c r="O117" s="10"/>
      <c r="P117" s="47"/>
      <c r="Q117" s="47"/>
      <c r="R117" s="48" t="str">
        <f aca="false">IF(Q117="","",IF(Q117=0,"below 5:00",IF(Q117&gt;=66,"16:00 or above",INT((60+2*Q117)/12)&amp;":"&amp;TEXT(MOD(60+2*Q117,12),"00"))))</f>
        <v/>
      </c>
      <c r="S117" s="47"/>
      <c r="T117" s="47"/>
      <c r="U117" s="47"/>
      <c r="V117" s="47"/>
      <c r="W117" s="47"/>
      <c r="X117" s="47"/>
      <c r="Y117" s="47"/>
      <c r="Z117" s="47"/>
      <c r="AA117" s="10"/>
      <c r="AB117" s="10"/>
      <c r="AC117" s="47"/>
      <c r="AD117" s="47"/>
      <c r="AE117" s="47"/>
      <c r="AF117" s="47"/>
      <c r="AG117" s="47"/>
      <c r="AH117" s="47"/>
      <c r="AI117" s="46"/>
      <c r="AJ117" s="46"/>
      <c r="AK117" s="46"/>
      <c r="AL117" s="7"/>
      <c r="AM117" s="49" t="str">
        <f aca="false">IF(OR(C117="",G117=""),"",IFERROR(DATEDIF(C117,G117,"m"),""))</f>
        <v/>
      </c>
      <c r="AN117" s="49" t="str">
        <f aca="false">IF(OR(Q117="",AM117=""),"",60+2*Q117-AM117)</f>
        <v/>
      </c>
      <c r="AO117" s="49" t="str">
        <f aca="false">IF(OR(G117="",AJ117=""),"",AJ117-G117)</f>
        <v/>
      </c>
      <c r="AP117" s="50" t="str">
        <f aca="false">IF(AND(A117="",B117=""),"",IF(J117="","Status needed",IF(OR(J117="Applied",J117="Visit booked",J117="Withdrawn"),"OK",IF(G117="","Date assessed needed",IF(C117="","Date of birth needed",IF(COUNTA(L117,M117,P117,U117,V117,X117)&lt;6,"Band missing",IF(AND(OR(J117="Decision confirmed",J117="Family told",J117="Enrolled"),AG117=""),"Recommendation needed",IF(AND(OR(J117="Family told",J117="Enrolled"),AJ117=""),"Date family told needed","OK"))))))))</f>
        <v/>
      </c>
    </row>
    <row r="118" customFormat="false" ht="15" hidden="false" customHeight="false" outlineLevel="0" collapsed="false">
      <c r="A118" s="7"/>
      <c r="B118" s="7"/>
      <c r="C118" s="46"/>
      <c r="D118" s="7"/>
      <c r="E118" s="47"/>
      <c r="F118" s="46"/>
      <c r="G118" s="46"/>
      <c r="H118" s="7"/>
      <c r="I118" s="7"/>
      <c r="J118" s="47"/>
      <c r="K118" s="47"/>
      <c r="L118" s="47"/>
      <c r="M118" s="47"/>
      <c r="N118" s="47"/>
      <c r="O118" s="10"/>
      <c r="P118" s="47"/>
      <c r="Q118" s="47"/>
      <c r="R118" s="48" t="str">
        <f aca="false">IF(Q118="","",IF(Q118=0,"below 5:00",IF(Q118&gt;=66,"16:00 or above",INT((60+2*Q118)/12)&amp;":"&amp;TEXT(MOD(60+2*Q118,12),"00"))))</f>
        <v/>
      </c>
      <c r="S118" s="47"/>
      <c r="T118" s="47"/>
      <c r="U118" s="47"/>
      <c r="V118" s="47"/>
      <c r="W118" s="47"/>
      <c r="X118" s="47"/>
      <c r="Y118" s="47"/>
      <c r="Z118" s="47"/>
      <c r="AA118" s="10"/>
      <c r="AB118" s="10"/>
      <c r="AC118" s="47"/>
      <c r="AD118" s="47"/>
      <c r="AE118" s="47"/>
      <c r="AF118" s="47"/>
      <c r="AG118" s="47"/>
      <c r="AH118" s="47"/>
      <c r="AI118" s="46"/>
      <c r="AJ118" s="46"/>
      <c r="AK118" s="46"/>
      <c r="AL118" s="7"/>
      <c r="AM118" s="49" t="str">
        <f aca="false">IF(OR(C118="",G118=""),"",IFERROR(DATEDIF(C118,G118,"m"),""))</f>
        <v/>
      </c>
      <c r="AN118" s="49" t="str">
        <f aca="false">IF(OR(Q118="",AM118=""),"",60+2*Q118-AM118)</f>
        <v/>
      </c>
      <c r="AO118" s="49" t="str">
        <f aca="false">IF(OR(G118="",AJ118=""),"",AJ118-G118)</f>
        <v/>
      </c>
      <c r="AP118" s="50" t="str">
        <f aca="false">IF(AND(A118="",B118=""),"",IF(J118="","Status needed",IF(OR(J118="Applied",J118="Visit booked",J118="Withdrawn"),"OK",IF(G118="","Date assessed needed",IF(C118="","Date of birth needed",IF(COUNTA(L118,M118,P118,U118,V118,X118)&lt;6,"Band missing",IF(AND(OR(J118="Decision confirmed",J118="Family told",J118="Enrolled"),AG118=""),"Recommendation needed",IF(AND(OR(J118="Family told",J118="Enrolled"),AJ118=""),"Date family told needed","OK"))))))))</f>
        <v/>
      </c>
    </row>
    <row r="119" customFormat="false" ht="15" hidden="false" customHeight="false" outlineLevel="0" collapsed="false">
      <c r="A119" s="7"/>
      <c r="B119" s="7"/>
      <c r="C119" s="46"/>
      <c r="D119" s="7"/>
      <c r="E119" s="47"/>
      <c r="F119" s="46"/>
      <c r="G119" s="46"/>
      <c r="H119" s="7"/>
      <c r="I119" s="7"/>
      <c r="J119" s="47"/>
      <c r="K119" s="47"/>
      <c r="L119" s="47"/>
      <c r="M119" s="47"/>
      <c r="N119" s="47"/>
      <c r="O119" s="10"/>
      <c r="P119" s="47"/>
      <c r="Q119" s="47"/>
      <c r="R119" s="48" t="str">
        <f aca="false">IF(Q119="","",IF(Q119=0,"below 5:00",IF(Q119&gt;=66,"16:00 or above",INT((60+2*Q119)/12)&amp;":"&amp;TEXT(MOD(60+2*Q119,12),"00"))))</f>
        <v/>
      </c>
      <c r="S119" s="47"/>
      <c r="T119" s="47"/>
      <c r="U119" s="47"/>
      <c r="V119" s="47"/>
      <c r="W119" s="47"/>
      <c r="X119" s="47"/>
      <c r="Y119" s="47"/>
      <c r="Z119" s="47"/>
      <c r="AA119" s="10"/>
      <c r="AB119" s="10"/>
      <c r="AC119" s="47"/>
      <c r="AD119" s="47"/>
      <c r="AE119" s="47"/>
      <c r="AF119" s="47"/>
      <c r="AG119" s="47"/>
      <c r="AH119" s="47"/>
      <c r="AI119" s="46"/>
      <c r="AJ119" s="46"/>
      <c r="AK119" s="46"/>
      <c r="AL119" s="7"/>
      <c r="AM119" s="49" t="str">
        <f aca="false">IF(OR(C119="",G119=""),"",IFERROR(DATEDIF(C119,G119,"m"),""))</f>
        <v/>
      </c>
      <c r="AN119" s="49" t="str">
        <f aca="false">IF(OR(Q119="",AM119=""),"",60+2*Q119-AM119)</f>
        <v/>
      </c>
      <c r="AO119" s="49" t="str">
        <f aca="false">IF(OR(G119="",AJ119=""),"",AJ119-G119)</f>
        <v/>
      </c>
      <c r="AP119" s="50" t="str">
        <f aca="false">IF(AND(A119="",B119=""),"",IF(J119="","Status needed",IF(OR(J119="Applied",J119="Visit booked",J119="Withdrawn"),"OK",IF(G119="","Date assessed needed",IF(C119="","Date of birth needed",IF(COUNTA(L119,M119,P119,U119,V119,X119)&lt;6,"Band missing",IF(AND(OR(J119="Decision confirmed",J119="Family told",J119="Enrolled"),AG119=""),"Recommendation needed",IF(AND(OR(J119="Family told",J119="Enrolled"),AJ119=""),"Date family told needed","OK"))))))))</f>
        <v/>
      </c>
    </row>
    <row r="120" customFormat="false" ht="15" hidden="false" customHeight="false" outlineLevel="0" collapsed="false">
      <c r="A120" s="7"/>
      <c r="B120" s="7"/>
      <c r="C120" s="46"/>
      <c r="D120" s="7"/>
      <c r="E120" s="47"/>
      <c r="F120" s="46"/>
      <c r="G120" s="46"/>
      <c r="H120" s="7"/>
      <c r="I120" s="7"/>
      <c r="J120" s="47"/>
      <c r="K120" s="47"/>
      <c r="L120" s="47"/>
      <c r="M120" s="47"/>
      <c r="N120" s="47"/>
      <c r="O120" s="10"/>
      <c r="P120" s="47"/>
      <c r="Q120" s="47"/>
      <c r="R120" s="48" t="str">
        <f aca="false">IF(Q120="","",IF(Q120=0,"below 5:00",IF(Q120&gt;=66,"16:00 or above",INT((60+2*Q120)/12)&amp;":"&amp;TEXT(MOD(60+2*Q120,12),"00"))))</f>
        <v/>
      </c>
      <c r="S120" s="47"/>
      <c r="T120" s="47"/>
      <c r="U120" s="47"/>
      <c r="V120" s="47"/>
      <c r="W120" s="47"/>
      <c r="X120" s="47"/>
      <c r="Y120" s="47"/>
      <c r="Z120" s="47"/>
      <c r="AA120" s="10"/>
      <c r="AB120" s="10"/>
      <c r="AC120" s="47"/>
      <c r="AD120" s="47"/>
      <c r="AE120" s="47"/>
      <c r="AF120" s="47"/>
      <c r="AG120" s="47"/>
      <c r="AH120" s="47"/>
      <c r="AI120" s="46"/>
      <c r="AJ120" s="46"/>
      <c r="AK120" s="46"/>
      <c r="AL120" s="7"/>
      <c r="AM120" s="49" t="str">
        <f aca="false">IF(OR(C120="",G120=""),"",IFERROR(DATEDIF(C120,G120,"m"),""))</f>
        <v/>
      </c>
      <c r="AN120" s="49" t="str">
        <f aca="false">IF(OR(Q120="",AM120=""),"",60+2*Q120-AM120)</f>
        <v/>
      </c>
      <c r="AO120" s="49" t="str">
        <f aca="false">IF(OR(G120="",AJ120=""),"",AJ120-G120)</f>
        <v/>
      </c>
      <c r="AP120" s="50" t="str">
        <f aca="false">IF(AND(A120="",B120=""),"",IF(J120="","Status needed",IF(OR(J120="Applied",J120="Visit booked",J120="Withdrawn"),"OK",IF(G120="","Date assessed needed",IF(C120="","Date of birth needed",IF(COUNTA(L120,M120,P120,U120,V120,X120)&lt;6,"Band missing",IF(AND(OR(J120="Decision confirmed",J120="Family told",J120="Enrolled"),AG120=""),"Recommendation needed",IF(AND(OR(J120="Family told",J120="Enrolled"),AJ120=""),"Date family told needed","OK"))))))))</f>
        <v/>
      </c>
    </row>
    <row r="121" customFormat="false" ht="15" hidden="false" customHeight="false" outlineLevel="0" collapsed="false">
      <c r="A121" s="7"/>
      <c r="B121" s="7"/>
      <c r="C121" s="46"/>
      <c r="D121" s="7"/>
      <c r="E121" s="47"/>
      <c r="F121" s="46"/>
      <c r="G121" s="46"/>
      <c r="H121" s="7"/>
      <c r="I121" s="7"/>
      <c r="J121" s="47"/>
      <c r="K121" s="47"/>
      <c r="L121" s="47"/>
      <c r="M121" s="47"/>
      <c r="N121" s="47"/>
      <c r="O121" s="10"/>
      <c r="P121" s="47"/>
      <c r="Q121" s="47"/>
      <c r="R121" s="48" t="str">
        <f aca="false">IF(Q121="","",IF(Q121=0,"below 5:00",IF(Q121&gt;=66,"16:00 or above",INT((60+2*Q121)/12)&amp;":"&amp;TEXT(MOD(60+2*Q121,12),"00"))))</f>
        <v/>
      </c>
      <c r="S121" s="47"/>
      <c r="T121" s="47"/>
      <c r="U121" s="47"/>
      <c r="V121" s="47"/>
      <c r="W121" s="47"/>
      <c r="X121" s="47"/>
      <c r="Y121" s="47"/>
      <c r="Z121" s="47"/>
      <c r="AA121" s="10"/>
      <c r="AB121" s="10"/>
      <c r="AC121" s="47"/>
      <c r="AD121" s="47"/>
      <c r="AE121" s="47"/>
      <c r="AF121" s="47"/>
      <c r="AG121" s="47"/>
      <c r="AH121" s="47"/>
      <c r="AI121" s="46"/>
      <c r="AJ121" s="46"/>
      <c r="AK121" s="46"/>
      <c r="AL121" s="7"/>
      <c r="AM121" s="49" t="str">
        <f aca="false">IF(OR(C121="",G121=""),"",IFERROR(DATEDIF(C121,G121,"m"),""))</f>
        <v/>
      </c>
      <c r="AN121" s="49" t="str">
        <f aca="false">IF(OR(Q121="",AM121=""),"",60+2*Q121-AM121)</f>
        <v/>
      </c>
      <c r="AO121" s="49" t="str">
        <f aca="false">IF(OR(G121="",AJ121=""),"",AJ121-G121)</f>
        <v/>
      </c>
      <c r="AP121" s="50" t="str">
        <f aca="false">IF(AND(A121="",B121=""),"",IF(J121="","Status needed",IF(OR(J121="Applied",J121="Visit booked",J121="Withdrawn"),"OK",IF(G121="","Date assessed needed",IF(C121="","Date of birth needed",IF(COUNTA(L121,M121,P121,U121,V121,X121)&lt;6,"Band missing",IF(AND(OR(J121="Decision confirmed",J121="Family told",J121="Enrolled"),AG121=""),"Recommendation needed",IF(AND(OR(J121="Family told",J121="Enrolled"),AJ121=""),"Date family told needed","OK"))))))))</f>
        <v/>
      </c>
    </row>
    <row r="122" customFormat="false" ht="15" hidden="false" customHeight="false" outlineLevel="0" collapsed="false">
      <c r="A122" s="7"/>
      <c r="B122" s="7"/>
      <c r="C122" s="46"/>
      <c r="D122" s="7"/>
      <c r="E122" s="47"/>
      <c r="F122" s="46"/>
      <c r="G122" s="46"/>
      <c r="H122" s="7"/>
      <c r="I122" s="7"/>
      <c r="J122" s="47"/>
      <c r="K122" s="47"/>
      <c r="L122" s="47"/>
      <c r="M122" s="47"/>
      <c r="N122" s="47"/>
      <c r="O122" s="10"/>
      <c r="P122" s="47"/>
      <c r="Q122" s="47"/>
      <c r="R122" s="48" t="str">
        <f aca="false">IF(Q122="","",IF(Q122=0,"below 5:00",IF(Q122&gt;=66,"16:00 or above",INT((60+2*Q122)/12)&amp;":"&amp;TEXT(MOD(60+2*Q122,12),"00"))))</f>
        <v/>
      </c>
      <c r="S122" s="47"/>
      <c r="T122" s="47"/>
      <c r="U122" s="47"/>
      <c r="V122" s="47"/>
      <c r="W122" s="47"/>
      <c r="X122" s="47"/>
      <c r="Y122" s="47"/>
      <c r="Z122" s="47"/>
      <c r="AA122" s="10"/>
      <c r="AB122" s="10"/>
      <c r="AC122" s="47"/>
      <c r="AD122" s="47"/>
      <c r="AE122" s="47"/>
      <c r="AF122" s="47"/>
      <c r="AG122" s="47"/>
      <c r="AH122" s="47"/>
      <c r="AI122" s="46"/>
      <c r="AJ122" s="46"/>
      <c r="AK122" s="46"/>
      <c r="AL122" s="7"/>
      <c r="AM122" s="49" t="str">
        <f aca="false">IF(OR(C122="",G122=""),"",IFERROR(DATEDIF(C122,G122,"m"),""))</f>
        <v/>
      </c>
      <c r="AN122" s="49" t="str">
        <f aca="false">IF(OR(Q122="",AM122=""),"",60+2*Q122-AM122)</f>
        <v/>
      </c>
      <c r="AO122" s="49" t="str">
        <f aca="false">IF(OR(G122="",AJ122=""),"",AJ122-G122)</f>
        <v/>
      </c>
      <c r="AP122" s="50" t="str">
        <f aca="false">IF(AND(A122="",B122=""),"",IF(J122="","Status needed",IF(OR(J122="Applied",J122="Visit booked",J122="Withdrawn"),"OK",IF(G122="","Date assessed needed",IF(C122="","Date of birth needed",IF(COUNTA(L122,M122,P122,U122,V122,X122)&lt;6,"Band missing",IF(AND(OR(J122="Decision confirmed",J122="Family told",J122="Enrolled"),AG122=""),"Recommendation needed",IF(AND(OR(J122="Family told",J122="Enrolled"),AJ122=""),"Date family told needed","OK"))))))))</f>
        <v/>
      </c>
    </row>
    <row r="123" customFormat="false" ht="15" hidden="false" customHeight="false" outlineLevel="0" collapsed="false">
      <c r="A123" s="7"/>
      <c r="B123" s="7"/>
      <c r="C123" s="46"/>
      <c r="D123" s="7"/>
      <c r="E123" s="47"/>
      <c r="F123" s="46"/>
      <c r="G123" s="46"/>
      <c r="H123" s="7"/>
      <c r="I123" s="7"/>
      <c r="J123" s="47"/>
      <c r="K123" s="47"/>
      <c r="L123" s="47"/>
      <c r="M123" s="47"/>
      <c r="N123" s="47"/>
      <c r="O123" s="10"/>
      <c r="P123" s="47"/>
      <c r="Q123" s="47"/>
      <c r="R123" s="48" t="str">
        <f aca="false">IF(Q123="","",IF(Q123=0,"below 5:00",IF(Q123&gt;=66,"16:00 or above",INT((60+2*Q123)/12)&amp;":"&amp;TEXT(MOD(60+2*Q123,12),"00"))))</f>
        <v/>
      </c>
      <c r="S123" s="47"/>
      <c r="T123" s="47"/>
      <c r="U123" s="47"/>
      <c r="V123" s="47"/>
      <c r="W123" s="47"/>
      <c r="X123" s="47"/>
      <c r="Y123" s="47"/>
      <c r="Z123" s="47"/>
      <c r="AA123" s="10"/>
      <c r="AB123" s="10"/>
      <c r="AC123" s="47"/>
      <c r="AD123" s="47"/>
      <c r="AE123" s="47"/>
      <c r="AF123" s="47"/>
      <c r="AG123" s="47"/>
      <c r="AH123" s="47"/>
      <c r="AI123" s="46"/>
      <c r="AJ123" s="46"/>
      <c r="AK123" s="46"/>
      <c r="AL123" s="7"/>
      <c r="AM123" s="49" t="str">
        <f aca="false">IF(OR(C123="",G123=""),"",IFERROR(DATEDIF(C123,G123,"m"),""))</f>
        <v/>
      </c>
      <c r="AN123" s="49" t="str">
        <f aca="false">IF(OR(Q123="",AM123=""),"",60+2*Q123-AM123)</f>
        <v/>
      </c>
      <c r="AO123" s="49" t="str">
        <f aca="false">IF(OR(G123="",AJ123=""),"",AJ123-G123)</f>
        <v/>
      </c>
      <c r="AP123" s="50" t="str">
        <f aca="false">IF(AND(A123="",B123=""),"",IF(J123="","Status needed",IF(OR(J123="Applied",J123="Visit booked",J123="Withdrawn"),"OK",IF(G123="","Date assessed needed",IF(C123="","Date of birth needed",IF(COUNTA(L123,M123,P123,U123,V123,X123)&lt;6,"Band missing",IF(AND(OR(J123="Decision confirmed",J123="Family told",J123="Enrolled"),AG123=""),"Recommendation needed",IF(AND(OR(J123="Family told",J123="Enrolled"),AJ123=""),"Date family told needed","OK"))))))))</f>
        <v/>
      </c>
    </row>
    <row r="124" customFormat="false" ht="15" hidden="false" customHeight="false" outlineLevel="0" collapsed="false">
      <c r="A124" s="7"/>
      <c r="B124" s="7"/>
      <c r="C124" s="46"/>
      <c r="D124" s="7"/>
      <c r="E124" s="47"/>
      <c r="F124" s="46"/>
      <c r="G124" s="46"/>
      <c r="H124" s="7"/>
      <c r="I124" s="7"/>
      <c r="J124" s="47"/>
      <c r="K124" s="47"/>
      <c r="L124" s="47"/>
      <c r="M124" s="47"/>
      <c r="N124" s="47"/>
      <c r="O124" s="10"/>
      <c r="P124" s="47"/>
      <c r="Q124" s="47"/>
      <c r="R124" s="48" t="str">
        <f aca="false">IF(Q124="","",IF(Q124=0,"below 5:00",IF(Q124&gt;=66,"16:00 or above",INT((60+2*Q124)/12)&amp;":"&amp;TEXT(MOD(60+2*Q124,12),"00"))))</f>
        <v/>
      </c>
      <c r="S124" s="47"/>
      <c r="T124" s="47"/>
      <c r="U124" s="47"/>
      <c r="V124" s="47"/>
      <c r="W124" s="47"/>
      <c r="X124" s="47"/>
      <c r="Y124" s="47"/>
      <c r="Z124" s="47"/>
      <c r="AA124" s="10"/>
      <c r="AB124" s="10"/>
      <c r="AC124" s="47"/>
      <c r="AD124" s="47"/>
      <c r="AE124" s="47"/>
      <c r="AF124" s="47"/>
      <c r="AG124" s="47"/>
      <c r="AH124" s="47"/>
      <c r="AI124" s="46"/>
      <c r="AJ124" s="46"/>
      <c r="AK124" s="46"/>
      <c r="AL124" s="7"/>
      <c r="AM124" s="49" t="str">
        <f aca="false">IF(OR(C124="",G124=""),"",IFERROR(DATEDIF(C124,G124,"m"),""))</f>
        <v/>
      </c>
      <c r="AN124" s="49" t="str">
        <f aca="false">IF(OR(Q124="",AM124=""),"",60+2*Q124-AM124)</f>
        <v/>
      </c>
      <c r="AO124" s="49" t="str">
        <f aca="false">IF(OR(G124="",AJ124=""),"",AJ124-G124)</f>
        <v/>
      </c>
      <c r="AP124" s="50" t="str">
        <f aca="false">IF(AND(A124="",B124=""),"",IF(J124="","Status needed",IF(OR(J124="Applied",J124="Visit booked",J124="Withdrawn"),"OK",IF(G124="","Date assessed needed",IF(C124="","Date of birth needed",IF(COUNTA(L124,M124,P124,U124,V124,X124)&lt;6,"Band missing",IF(AND(OR(J124="Decision confirmed",J124="Family told",J124="Enrolled"),AG124=""),"Recommendation needed",IF(AND(OR(J124="Family told",J124="Enrolled"),AJ124=""),"Date family told needed","OK"))))))))</f>
        <v/>
      </c>
    </row>
    <row r="125" customFormat="false" ht="15" hidden="false" customHeight="false" outlineLevel="0" collapsed="false">
      <c r="A125" s="7"/>
      <c r="B125" s="7"/>
      <c r="C125" s="46"/>
      <c r="D125" s="7"/>
      <c r="E125" s="47"/>
      <c r="F125" s="46"/>
      <c r="G125" s="46"/>
      <c r="H125" s="7"/>
      <c r="I125" s="7"/>
      <c r="J125" s="47"/>
      <c r="K125" s="47"/>
      <c r="L125" s="47"/>
      <c r="M125" s="47"/>
      <c r="N125" s="47"/>
      <c r="O125" s="10"/>
      <c r="P125" s="47"/>
      <c r="Q125" s="47"/>
      <c r="R125" s="48" t="str">
        <f aca="false">IF(Q125="","",IF(Q125=0,"below 5:00",IF(Q125&gt;=66,"16:00 or above",INT((60+2*Q125)/12)&amp;":"&amp;TEXT(MOD(60+2*Q125,12),"00"))))</f>
        <v/>
      </c>
      <c r="S125" s="47"/>
      <c r="T125" s="47"/>
      <c r="U125" s="47"/>
      <c r="V125" s="47"/>
      <c r="W125" s="47"/>
      <c r="X125" s="47"/>
      <c r="Y125" s="47"/>
      <c r="Z125" s="47"/>
      <c r="AA125" s="10"/>
      <c r="AB125" s="10"/>
      <c r="AC125" s="47"/>
      <c r="AD125" s="47"/>
      <c r="AE125" s="47"/>
      <c r="AF125" s="47"/>
      <c r="AG125" s="47"/>
      <c r="AH125" s="47"/>
      <c r="AI125" s="46"/>
      <c r="AJ125" s="46"/>
      <c r="AK125" s="46"/>
      <c r="AL125" s="7"/>
      <c r="AM125" s="49" t="str">
        <f aca="false">IF(OR(C125="",G125=""),"",IFERROR(DATEDIF(C125,G125,"m"),""))</f>
        <v/>
      </c>
      <c r="AN125" s="49" t="str">
        <f aca="false">IF(OR(Q125="",AM125=""),"",60+2*Q125-AM125)</f>
        <v/>
      </c>
      <c r="AO125" s="49" t="str">
        <f aca="false">IF(OR(G125="",AJ125=""),"",AJ125-G125)</f>
        <v/>
      </c>
      <c r="AP125" s="50" t="str">
        <f aca="false">IF(AND(A125="",B125=""),"",IF(J125="","Status needed",IF(OR(J125="Applied",J125="Visit booked",J125="Withdrawn"),"OK",IF(G125="","Date assessed needed",IF(C125="","Date of birth needed",IF(COUNTA(L125,M125,P125,U125,V125,X125)&lt;6,"Band missing",IF(AND(OR(J125="Decision confirmed",J125="Family told",J125="Enrolled"),AG125=""),"Recommendation needed",IF(AND(OR(J125="Family told",J125="Enrolled"),AJ125=""),"Date family told needed","OK"))))))))</f>
        <v/>
      </c>
    </row>
    <row r="126" customFormat="false" ht="15" hidden="false" customHeight="false" outlineLevel="0" collapsed="false">
      <c r="A126" s="7"/>
      <c r="B126" s="7"/>
      <c r="C126" s="46"/>
      <c r="D126" s="7"/>
      <c r="E126" s="47"/>
      <c r="F126" s="46"/>
      <c r="G126" s="46"/>
      <c r="H126" s="7"/>
      <c r="I126" s="7"/>
      <c r="J126" s="47"/>
      <c r="K126" s="47"/>
      <c r="L126" s="47"/>
      <c r="M126" s="47"/>
      <c r="N126" s="47"/>
      <c r="O126" s="10"/>
      <c r="P126" s="47"/>
      <c r="Q126" s="47"/>
      <c r="R126" s="48" t="str">
        <f aca="false">IF(Q126="","",IF(Q126=0,"below 5:00",IF(Q126&gt;=66,"16:00 or above",INT((60+2*Q126)/12)&amp;":"&amp;TEXT(MOD(60+2*Q126,12),"00"))))</f>
        <v/>
      </c>
      <c r="S126" s="47"/>
      <c r="T126" s="47"/>
      <c r="U126" s="47"/>
      <c r="V126" s="47"/>
      <c r="W126" s="47"/>
      <c r="X126" s="47"/>
      <c r="Y126" s="47"/>
      <c r="Z126" s="47"/>
      <c r="AA126" s="10"/>
      <c r="AB126" s="10"/>
      <c r="AC126" s="47"/>
      <c r="AD126" s="47"/>
      <c r="AE126" s="47"/>
      <c r="AF126" s="47"/>
      <c r="AG126" s="47"/>
      <c r="AH126" s="47"/>
      <c r="AI126" s="46"/>
      <c r="AJ126" s="46"/>
      <c r="AK126" s="46"/>
      <c r="AL126" s="7"/>
      <c r="AM126" s="49" t="str">
        <f aca="false">IF(OR(C126="",G126=""),"",IFERROR(DATEDIF(C126,G126,"m"),""))</f>
        <v/>
      </c>
      <c r="AN126" s="49" t="str">
        <f aca="false">IF(OR(Q126="",AM126=""),"",60+2*Q126-AM126)</f>
        <v/>
      </c>
      <c r="AO126" s="49" t="str">
        <f aca="false">IF(OR(G126="",AJ126=""),"",AJ126-G126)</f>
        <v/>
      </c>
      <c r="AP126" s="50" t="str">
        <f aca="false">IF(AND(A126="",B126=""),"",IF(J126="","Status needed",IF(OR(J126="Applied",J126="Visit booked",J126="Withdrawn"),"OK",IF(G126="","Date assessed needed",IF(C126="","Date of birth needed",IF(COUNTA(L126,M126,P126,U126,V126,X126)&lt;6,"Band missing",IF(AND(OR(J126="Decision confirmed",J126="Family told",J126="Enrolled"),AG126=""),"Recommendation needed",IF(AND(OR(J126="Family told",J126="Enrolled"),AJ126=""),"Date family told needed","OK"))))))))</f>
        <v/>
      </c>
    </row>
    <row r="127" customFormat="false" ht="15" hidden="false" customHeight="false" outlineLevel="0" collapsed="false">
      <c r="A127" s="7"/>
      <c r="B127" s="7"/>
      <c r="C127" s="46"/>
      <c r="D127" s="7"/>
      <c r="E127" s="47"/>
      <c r="F127" s="46"/>
      <c r="G127" s="46"/>
      <c r="H127" s="7"/>
      <c r="I127" s="7"/>
      <c r="J127" s="47"/>
      <c r="K127" s="47"/>
      <c r="L127" s="47"/>
      <c r="M127" s="47"/>
      <c r="N127" s="47"/>
      <c r="O127" s="10"/>
      <c r="P127" s="47"/>
      <c r="Q127" s="47"/>
      <c r="R127" s="48" t="str">
        <f aca="false">IF(Q127="","",IF(Q127=0,"below 5:00",IF(Q127&gt;=66,"16:00 or above",INT((60+2*Q127)/12)&amp;":"&amp;TEXT(MOD(60+2*Q127,12),"00"))))</f>
        <v/>
      </c>
      <c r="S127" s="47"/>
      <c r="T127" s="47"/>
      <c r="U127" s="47"/>
      <c r="V127" s="47"/>
      <c r="W127" s="47"/>
      <c r="X127" s="47"/>
      <c r="Y127" s="47"/>
      <c r="Z127" s="47"/>
      <c r="AA127" s="10"/>
      <c r="AB127" s="10"/>
      <c r="AC127" s="47"/>
      <c r="AD127" s="47"/>
      <c r="AE127" s="47"/>
      <c r="AF127" s="47"/>
      <c r="AG127" s="47"/>
      <c r="AH127" s="47"/>
      <c r="AI127" s="46"/>
      <c r="AJ127" s="46"/>
      <c r="AK127" s="46"/>
      <c r="AL127" s="7"/>
      <c r="AM127" s="49" t="str">
        <f aca="false">IF(OR(C127="",G127=""),"",IFERROR(DATEDIF(C127,G127,"m"),""))</f>
        <v/>
      </c>
      <c r="AN127" s="49" t="str">
        <f aca="false">IF(OR(Q127="",AM127=""),"",60+2*Q127-AM127)</f>
        <v/>
      </c>
      <c r="AO127" s="49" t="str">
        <f aca="false">IF(OR(G127="",AJ127=""),"",AJ127-G127)</f>
        <v/>
      </c>
      <c r="AP127" s="50" t="str">
        <f aca="false">IF(AND(A127="",B127=""),"",IF(J127="","Status needed",IF(OR(J127="Applied",J127="Visit booked",J127="Withdrawn"),"OK",IF(G127="","Date assessed needed",IF(C127="","Date of birth needed",IF(COUNTA(L127,M127,P127,U127,V127,X127)&lt;6,"Band missing",IF(AND(OR(J127="Decision confirmed",J127="Family told",J127="Enrolled"),AG127=""),"Recommendation needed",IF(AND(OR(J127="Family told",J127="Enrolled"),AJ127=""),"Date family told needed","OK"))))))))</f>
        <v/>
      </c>
    </row>
    <row r="128" customFormat="false" ht="15" hidden="false" customHeight="false" outlineLevel="0" collapsed="false">
      <c r="A128" s="7"/>
      <c r="B128" s="7"/>
      <c r="C128" s="46"/>
      <c r="D128" s="7"/>
      <c r="E128" s="47"/>
      <c r="F128" s="46"/>
      <c r="G128" s="46"/>
      <c r="H128" s="7"/>
      <c r="I128" s="7"/>
      <c r="J128" s="47"/>
      <c r="K128" s="47"/>
      <c r="L128" s="47"/>
      <c r="M128" s="47"/>
      <c r="N128" s="47"/>
      <c r="O128" s="10"/>
      <c r="P128" s="47"/>
      <c r="Q128" s="47"/>
      <c r="R128" s="48" t="str">
        <f aca="false">IF(Q128="","",IF(Q128=0,"below 5:00",IF(Q128&gt;=66,"16:00 or above",INT((60+2*Q128)/12)&amp;":"&amp;TEXT(MOD(60+2*Q128,12),"00"))))</f>
        <v/>
      </c>
      <c r="S128" s="47"/>
      <c r="T128" s="47"/>
      <c r="U128" s="47"/>
      <c r="V128" s="47"/>
      <c r="W128" s="47"/>
      <c r="X128" s="47"/>
      <c r="Y128" s="47"/>
      <c r="Z128" s="47"/>
      <c r="AA128" s="10"/>
      <c r="AB128" s="10"/>
      <c r="AC128" s="47"/>
      <c r="AD128" s="47"/>
      <c r="AE128" s="47"/>
      <c r="AF128" s="47"/>
      <c r="AG128" s="47"/>
      <c r="AH128" s="47"/>
      <c r="AI128" s="46"/>
      <c r="AJ128" s="46"/>
      <c r="AK128" s="46"/>
      <c r="AL128" s="7"/>
      <c r="AM128" s="49" t="str">
        <f aca="false">IF(OR(C128="",G128=""),"",IFERROR(DATEDIF(C128,G128,"m"),""))</f>
        <v/>
      </c>
      <c r="AN128" s="49" t="str">
        <f aca="false">IF(OR(Q128="",AM128=""),"",60+2*Q128-AM128)</f>
        <v/>
      </c>
      <c r="AO128" s="49" t="str">
        <f aca="false">IF(OR(G128="",AJ128=""),"",AJ128-G128)</f>
        <v/>
      </c>
      <c r="AP128" s="50" t="str">
        <f aca="false">IF(AND(A128="",B128=""),"",IF(J128="","Status needed",IF(OR(J128="Applied",J128="Visit booked",J128="Withdrawn"),"OK",IF(G128="","Date assessed needed",IF(C128="","Date of birth needed",IF(COUNTA(L128,M128,P128,U128,V128,X128)&lt;6,"Band missing",IF(AND(OR(J128="Decision confirmed",J128="Family told",J128="Enrolled"),AG128=""),"Recommendation needed",IF(AND(OR(J128="Family told",J128="Enrolled"),AJ128=""),"Date family told needed","OK"))))))))</f>
        <v/>
      </c>
    </row>
    <row r="129" customFormat="false" ht="15" hidden="false" customHeight="false" outlineLevel="0" collapsed="false">
      <c r="A129" s="7"/>
      <c r="B129" s="7"/>
      <c r="C129" s="46"/>
      <c r="D129" s="7"/>
      <c r="E129" s="47"/>
      <c r="F129" s="46"/>
      <c r="G129" s="46"/>
      <c r="H129" s="7"/>
      <c r="I129" s="7"/>
      <c r="J129" s="47"/>
      <c r="K129" s="47"/>
      <c r="L129" s="47"/>
      <c r="M129" s="47"/>
      <c r="N129" s="47"/>
      <c r="O129" s="10"/>
      <c r="P129" s="47"/>
      <c r="Q129" s="47"/>
      <c r="R129" s="48" t="str">
        <f aca="false">IF(Q129="","",IF(Q129=0,"below 5:00",IF(Q129&gt;=66,"16:00 or above",INT((60+2*Q129)/12)&amp;":"&amp;TEXT(MOD(60+2*Q129,12),"00"))))</f>
        <v/>
      </c>
      <c r="S129" s="47"/>
      <c r="T129" s="47"/>
      <c r="U129" s="47"/>
      <c r="V129" s="47"/>
      <c r="W129" s="47"/>
      <c r="X129" s="47"/>
      <c r="Y129" s="47"/>
      <c r="Z129" s="47"/>
      <c r="AA129" s="10"/>
      <c r="AB129" s="10"/>
      <c r="AC129" s="47"/>
      <c r="AD129" s="47"/>
      <c r="AE129" s="47"/>
      <c r="AF129" s="47"/>
      <c r="AG129" s="47"/>
      <c r="AH129" s="47"/>
      <c r="AI129" s="46"/>
      <c r="AJ129" s="46"/>
      <c r="AK129" s="46"/>
      <c r="AL129" s="7"/>
      <c r="AM129" s="49" t="str">
        <f aca="false">IF(OR(C129="",G129=""),"",IFERROR(DATEDIF(C129,G129,"m"),""))</f>
        <v/>
      </c>
      <c r="AN129" s="49" t="str">
        <f aca="false">IF(OR(Q129="",AM129=""),"",60+2*Q129-AM129)</f>
        <v/>
      </c>
      <c r="AO129" s="49" t="str">
        <f aca="false">IF(OR(G129="",AJ129=""),"",AJ129-G129)</f>
        <v/>
      </c>
      <c r="AP129" s="50" t="str">
        <f aca="false">IF(AND(A129="",B129=""),"",IF(J129="","Status needed",IF(OR(J129="Applied",J129="Visit booked",J129="Withdrawn"),"OK",IF(G129="","Date assessed needed",IF(C129="","Date of birth needed",IF(COUNTA(L129,M129,P129,U129,V129,X129)&lt;6,"Band missing",IF(AND(OR(J129="Decision confirmed",J129="Family told",J129="Enrolled"),AG129=""),"Recommendation needed",IF(AND(OR(J129="Family told",J129="Enrolled"),AJ129=""),"Date family told needed","OK"))))))))</f>
        <v/>
      </c>
    </row>
    <row r="130" customFormat="false" ht="15" hidden="false" customHeight="false" outlineLevel="0" collapsed="false">
      <c r="A130" s="7"/>
      <c r="B130" s="7"/>
      <c r="C130" s="46"/>
      <c r="D130" s="7"/>
      <c r="E130" s="47"/>
      <c r="F130" s="46"/>
      <c r="G130" s="46"/>
      <c r="H130" s="7"/>
      <c r="I130" s="7"/>
      <c r="J130" s="47"/>
      <c r="K130" s="47"/>
      <c r="L130" s="47"/>
      <c r="M130" s="47"/>
      <c r="N130" s="47"/>
      <c r="O130" s="10"/>
      <c r="P130" s="47"/>
      <c r="Q130" s="47"/>
      <c r="R130" s="48" t="str">
        <f aca="false">IF(Q130="","",IF(Q130=0,"below 5:00",IF(Q130&gt;=66,"16:00 or above",INT((60+2*Q130)/12)&amp;":"&amp;TEXT(MOD(60+2*Q130,12),"00"))))</f>
        <v/>
      </c>
      <c r="S130" s="47"/>
      <c r="T130" s="47"/>
      <c r="U130" s="47"/>
      <c r="V130" s="47"/>
      <c r="W130" s="47"/>
      <c r="X130" s="47"/>
      <c r="Y130" s="47"/>
      <c r="Z130" s="47"/>
      <c r="AA130" s="10"/>
      <c r="AB130" s="10"/>
      <c r="AC130" s="47"/>
      <c r="AD130" s="47"/>
      <c r="AE130" s="47"/>
      <c r="AF130" s="47"/>
      <c r="AG130" s="47"/>
      <c r="AH130" s="47"/>
      <c r="AI130" s="46"/>
      <c r="AJ130" s="46"/>
      <c r="AK130" s="46"/>
      <c r="AL130" s="7"/>
      <c r="AM130" s="49" t="str">
        <f aca="false">IF(OR(C130="",G130=""),"",IFERROR(DATEDIF(C130,G130,"m"),""))</f>
        <v/>
      </c>
      <c r="AN130" s="49" t="str">
        <f aca="false">IF(OR(Q130="",AM130=""),"",60+2*Q130-AM130)</f>
        <v/>
      </c>
      <c r="AO130" s="49" t="str">
        <f aca="false">IF(OR(G130="",AJ130=""),"",AJ130-G130)</f>
        <v/>
      </c>
      <c r="AP130" s="50" t="str">
        <f aca="false">IF(AND(A130="",B130=""),"",IF(J130="","Status needed",IF(OR(J130="Applied",J130="Visit booked",J130="Withdrawn"),"OK",IF(G130="","Date assessed needed",IF(C130="","Date of birth needed",IF(COUNTA(L130,M130,P130,U130,V130,X130)&lt;6,"Band missing",IF(AND(OR(J130="Decision confirmed",J130="Family told",J130="Enrolled"),AG130=""),"Recommendation needed",IF(AND(OR(J130="Family told",J130="Enrolled"),AJ130=""),"Date family told needed","OK"))))))))</f>
        <v/>
      </c>
    </row>
    <row r="131" customFormat="false" ht="15" hidden="false" customHeight="false" outlineLevel="0" collapsed="false">
      <c r="A131" s="7"/>
      <c r="B131" s="7"/>
      <c r="C131" s="46"/>
      <c r="D131" s="7"/>
      <c r="E131" s="47"/>
      <c r="F131" s="46"/>
      <c r="G131" s="46"/>
      <c r="H131" s="7"/>
      <c r="I131" s="7"/>
      <c r="J131" s="47"/>
      <c r="K131" s="47"/>
      <c r="L131" s="47"/>
      <c r="M131" s="47"/>
      <c r="N131" s="47"/>
      <c r="O131" s="10"/>
      <c r="P131" s="47"/>
      <c r="Q131" s="47"/>
      <c r="R131" s="48" t="str">
        <f aca="false">IF(Q131="","",IF(Q131=0,"below 5:00",IF(Q131&gt;=66,"16:00 or above",INT((60+2*Q131)/12)&amp;":"&amp;TEXT(MOD(60+2*Q131,12),"00"))))</f>
        <v/>
      </c>
      <c r="S131" s="47"/>
      <c r="T131" s="47"/>
      <c r="U131" s="47"/>
      <c r="V131" s="47"/>
      <c r="W131" s="47"/>
      <c r="X131" s="47"/>
      <c r="Y131" s="47"/>
      <c r="Z131" s="47"/>
      <c r="AA131" s="10"/>
      <c r="AB131" s="10"/>
      <c r="AC131" s="47"/>
      <c r="AD131" s="47"/>
      <c r="AE131" s="47"/>
      <c r="AF131" s="47"/>
      <c r="AG131" s="47"/>
      <c r="AH131" s="47"/>
      <c r="AI131" s="46"/>
      <c r="AJ131" s="46"/>
      <c r="AK131" s="46"/>
      <c r="AL131" s="7"/>
      <c r="AM131" s="49" t="str">
        <f aca="false">IF(OR(C131="",G131=""),"",IFERROR(DATEDIF(C131,G131,"m"),""))</f>
        <v/>
      </c>
      <c r="AN131" s="49" t="str">
        <f aca="false">IF(OR(Q131="",AM131=""),"",60+2*Q131-AM131)</f>
        <v/>
      </c>
      <c r="AO131" s="49" t="str">
        <f aca="false">IF(OR(G131="",AJ131=""),"",AJ131-G131)</f>
        <v/>
      </c>
      <c r="AP131" s="50" t="str">
        <f aca="false">IF(AND(A131="",B131=""),"",IF(J131="","Status needed",IF(OR(J131="Applied",J131="Visit booked",J131="Withdrawn"),"OK",IF(G131="","Date assessed needed",IF(C131="","Date of birth needed",IF(COUNTA(L131,M131,P131,U131,V131,X131)&lt;6,"Band missing",IF(AND(OR(J131="Decision confirmed",J131="Family told",J131="Enrolled"),AG131=""),"Recommendation needed",IF(AND(OR(J131="Family told",J131="Enrolled"),AJ131=""),"Date family told needed","OK"))))))))</f>
        <v/>
      </c>
    </row>
    <row r="132" customFormat="false" ht="15" hidden="false" customHeight="false" outlineLevel="0" collapsed="false">
      <c r="A132" s="7"/>
      <c r="B132" s="7"/>
      <c r="C132" s="46"/>
      <c r="D132" s="7"/>
      <c r="E132" s="47"/>
      <c r="F132" s="46"/>
      <c r="G132" s="46"/>
      <c r="H132" s="7"/>
      <c r="I132" s="7"/>
      <c r="J132" s="47"/>
      <c r="K132" s="47"/>
      <c r="L132" s="47"/>
      <c r="M132" s="47"/>
      <c r="N132" s="47"/>
      <c r="O132" s="10"/>
      <c r="P132" s="47"/>
      <c r="Q132" s="47"/>
      <c r="R132" s="48" t="str">
        <f aca="false">IF(Q132="","",IF(Q132=0,"below 5:00",IF(Q132&gt;=66,"16:00 or above",INT((60+2*Q132)/12)&amp;":"&amp;TEXT(MOD(60+2*Q132,12),"00"))))</f>
        <v/>
      </c>
      <c r="S132" s="47"/>
      <c r="T132" s="47"/>
      <c r="U132" s="47"/>
      <c r="V132" s="47"/>
      <c r="W132" s="47"/>
      <c r="X132" s="47"/>
      <c r="Y132" s="47"/>
      <c r="Z132" s="47"/>
      <c r="AA132" s="10"/>
      <c r="AB132" s="10"/>
      <c r="AC132" s="47"/>
      <c r="AD132" s="47"/>
      <c r="AE132" s="47"/>
      <c r="AF132" s="47"/>
      <c r="AG132" s="47"/>
      <c r="AH132" s="47"/>
      <c r="AI132" s="46"/>
      <c r="AJ132" s="46"/>
      <c r="AK132" s="46"/>
      <c r="AL132" s="7"/>
      <c r="AM132" s="49" t="str">
        <f aca="false">IF(OR(C132="",G132=""),"",IFERROR(DATEDIF(C132,G132,"m"),""))</f>
        <v/>
      </c>
      <c r="AN132" s="49" t="str">
        <f aca="false">IF(OR(Q132="",AM132=""),"",60+2*Q132-AM132)</f>
        <v/>
      </c>
      <c r="AO132" s="49" t="str">
        <f aca="false">IF(OR(G132="",AJ132=""),"",AJ132-G132)</f>
        <v/>
      </c>
      <c r="AP132" s="50" t="str">
        <f aca="false">IF(AND(A132="",B132=""),"",IF(J132="","Status needed",IF(OR(J132="Applied",J132="Visit booked",J132="Withdrawn"),"OK",IF(G132="","Date assessed needed",IF(C132="","Date of birth needed",IF(COUNTA(L132,M132,P132,U132,V132,X132)&lt;6,"Band missing",IF(AND(OR(J132="Decision confirmed",J132="Family told",J132="Enrolled"),AG132=""),"Recommendation needed",IF(AND(OR(J132="Family told",J132="Enrolled"),AJ132=""),"Date family told needed","OK"))))))))</f>
        <v/>
      </c>
    </row>
    <row r="133" customFormat="false" ht="15" hidden="false" customHeight="false" outlineLevel="0" collapsed="false">
      <c r="A133" s="7"/>
      <c r="B133" s="7"/>
      <c r="C133" s="46"/>
      <c r="D133" s="7"/>
      <c r="E133" s="47"/>
      <c r="F133" s="46"/>
      <c r="G133" s="46"/>
      <c r="H133" s="7"/>
      <c r="I133" s="7"/>
      <c r="J133" s="47"/>
      <c r="K133" s="47"/>
      <c r="L133" s="47"/>
      <c r="M133" s="47"/>
      <c r="N133" s="47"/>
      <c r="O133" s="10"/>
      <c r="P133" s="47"/>
      <c r="Q133" s="47"/>
      <c r="R133" s="48" t="str">
        <f aca="false">IF(Q133="","",IF(Q133=0,"below 5:00",IF(Q133&gt;=66,"16:00 or above",INT((60+2*Q133)/12)&amp;":"&amp;TEXT(MOD(60+2*Q133,12),"00"))))</f>
        <v/>
      </c>
      <c r="S133" s="47"/>
      <c r="T133" s="47"/>
      <c r="U133" s="47"/>
      <c r="V133" s="47"/>
      <c r="W133" s="47"/>
      <c r="X133" s="47"/>
      <c r="Y133" s="47"/>
      <c r="Z133" s="47"/>
      <c r="AA133" s="10"/>
      <c r="AB133" s="10"/>
      <c r="AC133" s="47"/>
      <c r="AD133" s="47"/>
      <c r="AE133" s="47"/>
      <c r="AF133" s="47"/>
      <c r="AG133" s="47"/>
      <c r="AH133" s="47"/>
      <c r="AI133" s="46"/>
      <c r="AJ133" s="46"/>
      <c r="AK133" s="46"/>
      <c r="AL133" s="7"/>
      <c r="AM133" s="49" t="str">
        <f aca="false">IF(OR(C133="",G133=""),"",IFERROR(DATEDIF(C133,G133,"m"),""))</f>
        <v/>
      </c>
      <c r="AN133" s="49" t="str">
        <f aca="false">IF(OR(Q133="",AM133=""),"",60+2*Q133-AM133)</f>
        <v/>
      </c>
      <c r="AO133" s="49" t="str">
        <f aca="false">IF(OR(G133="",AJ133=""),"",AJ133-G133)</f>
        <v/>
      </c>
      <c r="AP133" s="50" t="str">
        <f aca="false">IF(AND(A133="",B133=""),"",IF(J133="","Status needed",IF(OR(J133="Applied",J133="Visit booked",J133="Withdrawn"),"OK",IF(G133="","Date assessed needed",IF(C133="","Date of birth needed",IF(COUNTA(L133,M133,P133,U133,V133,X133)&lt;6,"Band missing",IF(AND(OR(J133="Decision confirmed",J133="Family told",J133="Enrolled"),AG133=""),"Recommendation needed",IF(AND(OR(J133="Family told",J133="Enrolled"),AJ133=""),"Date family told needed","OK"))))))))</f>
        <v/>
      </c>
    </row>
    <row r="134" customFormat="false" ht="15" hidden="false" customHeight="false" outlineLevel="0" collapsed="false">
      <c r="A134" s="7"/>
      <c r="B134" s="7"/>
      <c r="C134" s="46"/>
      <c r="D134" s="7"/>
      <c r="E134" s="47"/>
      <c r="F134" s="46"/>
      <c r="G134" s="46"/>
      <c r="H134" s="7"/>
      <c r="I134" s="7"/>
      <c r="J134" s="47"/>
      <c r="K134" s="47"/>
      <c r="L134" s="47"/>
      <c r="M134" s="47"/>
      <c r="N134" s="47"/>
      <c r="O134" s="10"/>
      <c r="P134" s="47"/>
      <c r="Q134" s="47"/>
      <c r="R134" s="48" t="str">
        <f aca="false">IF(Q134="","",IF(Q134=0,"below 5:00",IF(Q134&gt;=66,"16:00 or above",INT((60+2*Q134)/12)&amp;":"&amp;TEXT(MOD(60+2*Q134,12),"00"))))</f>
        <v/>
      </c>
      <c r="S134" s="47"/>
      <c r="T134" s="47"/>
      <c r="U134" s="47"/>
      <c r="V134" s="47"/>
      <c r="W134" s="47"/>
      <c r="X134" s="47"/>
      <c r="Y134" s="47"/>
      <c r="Z134" s="47"/>
      <c r="AA134" s="10"/>
      <c r="AB134" s="10"/>
      <c r="AC134" s="47"/>
      <c r="AD134" s="47"/>
      <c r="AE134" s="47"/>
      <c r="AF134" s="47"/>
      <c r="AG134" s="47"/>
      <c r="AH134" s="47"/>
      <c r="AI134" s="46"/>
      <c r="AJ134" s="46"/>
      <c r="AK134" s="46"/>
      <c r="AL134" s="7"/>
      <c r="AM134" s="49" t="str">
        <f aca="false">IF(OR(C134="",G134=""),"",IFERROR(DATEDIF(C134,G134,"m"),""))</f>
        <v/>
      </c>
      <c r="AN134" s="49" t="str">
        <f aca="false">IF(OR(Q134="",AM134=""),"",60+2*Q134-AM134)</f>
        <v/>
      </c>
      <c r="AO134" s="49" t="str">
        <f aca="false">IF(OR(G134="",AJ134=""),"",AJ134-G134)</f>
        <v/>
      </c>
      <c r="AP134" s="50" t="str">
        <f aca="false">IF(AND(A134="",B134=""),"",IF(J134="","Status needed",IF(OR(J134="Applied",J134="Visit booked",J134="Withdrawn"),"OK",IF(G134="","Date assessed needed",IF(C134="","Date of birth needed",IF(COUNTA(L134,M134,P134,U134,V134,X134)&lt;6,"Band missing",IF(AND(OR(J134="Decision confirmed",J134="Family told",J134="Enrolled"),AG134=""),"Recommendation needed",IF(AND(OR(J134="Family told",J134="Enrolled"),AJ134=""),"Date family told needed","OK"))))))))</f>
        <v/>
      </c>
    </row>
    <row r="135" customFormat="false" ht="15" hidden="false" customHeight="false" outlineLevel="0" collapsed="false">
      <c r="A135" s="7"/>
      <c r="B135" s="7"/>
      <c r="C135" s="46"/>
      <c r="D135" s="7"/>
      <c r="E135" s="47"/>
      <c r="F135" s="46"/>
      <c r="G135" s="46"/>
      <c r="H135" s="7"/>
      <c r="I135" s="7"/>
      <c r="J135" s="47"/>
      <c r="K135" s="47"/>
      <c r="L135" s="47"/>
      <c r="M135" s="47"/>
      <c r="N135" s="47"/>
      <c r="O135" s="10"/>
      <c r="P135" s="47"/>
      <c r="Q135" s="47"/>
      <c r="R135" s="48" t="str">
        <f aca="false">IF(Q135="","",IF(Q135=0,"below 5:00",IF(Q135&gt;=66,"16:00 or above",INT((60+2*Q135)/12)&amp;":"&amp;TEXT(MOD(60+2*Q135,12),"00"))))</f>
        <v/>
      </c>
      <c r="S135" s="47"/>
      <c r="T135" s="47"/>
      <c r="U135" s="47"/>
      <c r="V135" s="47"/>
      <c r="W135" s="47"/>
      <c r="X135" s="47"/>
      <c r="Y135" s="47"/>
      <c r="Z135" s="47"/>
      <c r="AA135" s="10"/>
      <c r="AB135" s="10"/>
      <c r="AC135" s="47"/>
      <c r="AD135" s="47"/>
      <c r="AE135" s="47"/>
      <c r="AF135" s="47"/>
      <c r="AG135" s="47"/>
      <c r="AH135" s="47"/>
      <c r="AI135" s="46"/>
      <c r="AJ135" s="46"/>
      <c r="AK135" s="46"/>
      <c r="AL135" s="7"/>
      <c r="AM135" s="49" t="str">
        <f aca="false">IF(OR(C135="",G135=""),"",IFERROR(DATEDIF(C135,G135,"m"),""))</f>
        <v/>
      </c>
      <c r="AN135" s="49" t="str">
        <f aca="false">IF(OR(Q135="",AM135=""),"",60+2*Q135-AM135)</f>
        <v/>
      </c>
      <c r="AO135" s="49" t="str">
        <f aca="false">IF(OR(G135="",AJ135=""),"",AJ135-G135)</f>
        <v/>
      </c>
      <c r="AP135" s="50" t="str">
        <f aca="false">IF(AND(A135="",B135=""),"",IF(J135="","Status needed",IF(OR(J135="Applied",J135="Visit booked",J135="Withdrawn"),"OK",IF(G135="","Date assessed needed",IF(C135="","Date of birth needed",IF(COUNTA(L135,M135,P135,U135,V135,X135)&lt;6,"Band missing",IF(AND(OR(J135="Decision confirmed",J135="Family told",J135="Enrolled"),AG135=""),"Recommendation needed",IF(AND(OR(J135="Family told",J135="Enrolled"),AJ135=""),"Date family told needed","OK"))))))))</f>
        <v/>
      </c>
    </row>
    <row r="136" customFormat="false" ht="15" hidden="false" customHeight="false" outlineLevel="0" collapsed="false">
      <c r="A136" s="7"/>
      <c r="B136" s="7"/>
      <c r="C136" s="46"/>
      <c r="D136" s="7"/>
      <c r="E136" s="47"/>
      <c r="F136" s="46"/>
      <c r="G136" s="46"/>
      <c r="H136" s="7"/>
      <c r="I136" s="7"/>
      <c r="J136" s="47"/>
      <c r="K136" s="47"/>
      <c r="L136" s="47"/>
      <c r="M136" s="47"/>
      <c r="N136" s="47"/>
      <c r="O136" s="10"/>
      <c r="P136" s="47"/>
      <c r="Q136" s="47"/>
      <c r="R136" s="48" t="str">
        <f aca="false">IF(Q136="","",IF(Q136=0,"below 5:00",IF(Q136&gt;=66,"16:00 or above",INT((60+2*Q136)/12)&amp;":"&amp;TEXT(MOD(60+2*Q136,12),"00"))))</f>
        <v/>
      </c>
      <c r="S136" s="47"/>
      <c r="T136" s="47"/>
      <c r="U136" s="47"/>
      <c r="V136" s="47"/>
      <c r="W136" s="47"/>
      <c r="X136" s="47"/>
      <c r="Y136" s="47"/>
      <c r="Z136" s="47"/>
      <c r="AA136" s="10"/>
      <c r="AB136" s="10"/>
      <c r="AC136" s="47"/>
      <c r="AD136" s="47"/>
      <c r="AE136" s="47"/>
      <c r="AF136" s="47"/>
      <c r="AG136" s="47"/>
      <c r="AH136" s="47"/>
      <c r="AI136" s="46"/>
      <c r="AJ136" s="46"/>
      <c r="AK136" s="46"/>
      <c r="AL136" s="7"/>
      <c r="AM136" s="49" t="str">
        <f aca="false">IF(OR(C136="",G136=""),"",IFERROR(DATEDIF(C136,G136,"m"),""))</f>
        <v/>
      </c>
      <c r="AN136" s="49" t="str">
        <f aca="false">IF(OR(Q136="",AM136=""),"",60+2*Q136-AM136)</f>
        <v/>
      </c>
      <c r="AO136" s="49" t="str">
        <f aca="false">IF(OR(G136="",AJ136=""),"",AJ136-G136)</f>
        <v/>
      </c>
      <c r="AP136" s="50" t="str">
        <f aca="false">IF(AND(A136="",B136=""),"",IF(J136="","Status needed",IF(OR(J136="Applied",J136="Visit booked",J136="Withdrawn"),"OK",IF(G136="","Date assessed needed",IF(C136="","Date of birth needed",IF(COUNTA(L136,M136,P136,U136,V136,X136)&lt;6,"Band missing",IF(AND(OR(J136="Decision confirmed",J136="Family told",J136="Enrolled"),AG136=""),"Recommendation needed",IF(AND(OR(J136="Family told",J136="Enrolled"),AJ136=""),"Date family told needed","OK"))))))))</f>
        <v/>
      </c>
    </row>
    <row r="137" customFormat="false" ht="15" hidden="false" customHeight="false" outlineLevel="0" collapsed="false">
      <c r="A137" s="7"/>
      <c r="B137" s="7"/>
      <c r="C137" s="46"/>
      <c r="D137" s="7"/>
      <c r="E137" s="47"/>
      <c r="F137" s="46"/>
      <c r="G137" s="46"/>
      <c r="H137" s="7"/>
      <c r="I137" s="7"/>
      <c r="J137" s="47"/>
      <c r="K137" s="47"/>
      <c r="L137" s="47"/>
      <c r="M137" s="47"/>
      <c r="N137" s="47"/>
      <c r="O137" s="10"/>
      <c r="P137" s="47"/>
      <c r="Q137" s="47"/>
      <c r="R137" s="48" t="str">
        <f aca="false">IF(Q137="","",IF(Q137=0,"below 5:00",IF(Q137&gt;=66,"16:00 or above",INT((60+2*Q137)/12)&amp;":"&amp;TEXT(MOD(60+2*Q137,12),"00"))))</f>
        <v/>
      </c>
      <c r="S137" s="47"/>
      <c r="T137" s="47"/>
      <c r="U137" s="47"/>
      <c r="V137" s="47"/>
      <c r="W137" s="47"/>
      <c r="X137" s="47"/>
      <c r="Y137" s="47"/>
      <c r="Z137" s="47"/>
      <c r="AA137" s="10"/>
      <c r="AB137" s="10"/>
      <c r="AC137" s="47"/>
      <c r="AD137" s="47"/>
      <c r="AE137" s="47"/>
      <c r="AF137" s="47"/>
      <c r="AG137" s="47"/>
      <c r="AH137" s="47"/>
      <c r="AI137" s="46"/>
      <c r="AJ137" s="46"/>
      <c r="AK137" s="46"/>
      <c r="AL137" s="7"/>
      <c r="AM137" s="49" t="str">
        <f aca="false">IF(OR(C137="",G137=""),"",IFERROR(DATEDIF(C137,G137,"m"),""))</f>
        <v/>
      </c>
      <c r="AN137" s="49" t="str">
        <f aca="false">IF(OR(Q137="",AM137=""),"",60+2*Q137-AM137)</f>
        <v/>
      </c>
      <c r="AO137" s="49" t="str">
        <f aca="false">IF(OR(G137="",AJ137=""),"",AJ137-G137)</f>
        <v/>
      </c>
      <c r="AP137" s="50" t="str">
        <f aca="false">IF(AND(A137="",B137=""),"",IF(J137="","Status needed",IF(OR(J137="Applied",J137="Visit booked",J137="Withdrawn"),"OK",IF(G137="","Date assessed needed",IF(C137="","Date of birth needed",IF(COUNTA(L137,M137,P137,U137,V137,X137)&lt;6,"Band missing",IF(AND(OR(J137="Decision confirmed",J137="Family told",J137="Enrolled"),AG137=""),"Recommendation needed",IF(AND(OR(J137="Family told",J137="Enrolled"),AJ137=""),"Date family told needed","OK"))))))))</f>
        <v/>
      </c>
    </row>
    <row r="138" customFormat="false" ht="15" hidden="false" customHeight="false" outlineLevel="0" collapsed="false">
      <c r="A138" s="7"/>
      <c r="B138" s="7"/>
      <c r="C138" s="46"/>
      <c r="D138" s="7"/>
      <c r="E138" s="47"/>
      <c r="F138" s="46"/>
      <c r="G138" s="46"/>
      <c r="H138" s="7"/>
      <c r="I138" s="7"/>
      <c r="J138" s="47"/>
      <c r="K138" s="47"/>
      <c r="L138" s="47"/>
      <c r="M138" s="47"/>
      <c r="N138" s="47"/>
      <c r="O138" s="10"/>
      <c r="P138" s="47"/>
      <c r="Q138" s="47"/>
      <c r="R138" s="48" t="str">
        <f aca="false">IF(Q138="","",IF(Q138=0,"below 5:00",IF(Q138&gt;=66,"16:00 or above",INT((60+2*Q138)/12)&amp;":"&amp;TEXT(MOD(60+2*Q138,12),"00"))))</f>
        <v/>
      </c>
      <c r="S138" s="47"/>
      <c r="T138" s="47"/>
      <c r="U138" s="47"/>
      <c r="V138" s="47"/>
      <c r="W138" s="47"/>
      <c r="X138" s="47"/>
      <c r="Y138" s="47"/>
      <c r="Z138" s="47"/>
      <c r="AA138" s="10"/>
      <c r="AB138" s="10"/>
      <c r="AC138" s="47"/>
      <c r="AD138" s="47"/>
      <c r="AE138" s="47"/>
      <c r="AF138" s="47"/>
      <c r="AG138" s="47"/>
      <c r="AH138" s="47"/>
      <c r="AI138" s="46"/>
      <c r="AJ138" s="46"/>
      <c r="AK138" s="46"/>
      <c r="AL138" s="7"/>
      <c r="AM138" s="49" t="str">
        <f aca="false">IF(OR(C138="",G138=""),"",IFERROR(DATEDIF(C138,G138,"m"),""))</f>
        <v/>
      </c>
      <c r="AN138" s="49" t="str">
        <f aca="false">IF(OR(Q138="",AM138=""),"",60+2*Q138-AM138)</f>
        <v/>
      </c>
      <c r="AO138" s="49" t="str">
        <f aca="false">IF(OR(G138="",AJ138=""),"",AJ138-G138)</f>
        <v/>
      </c>
      <c r="AP138" s="50" t="str">
        <f aca="false">IF(AND(A138="",B138=""),"",IF(J138="","Status needed",IF(OR(J138="Applied",J138="Visit booked",J138="Withdrawn"),"OK",IF(G138="","Date assessed needed",IF(C138="","Date of birth needed",IF(COUNTA(L138,M138,P138,U138,V138,X138)&lt;6,"Band missing",IF(AND(OR(J138="Decision confirmed",J138="Family told",J138="Enrolled"),AG138=""),"Recommendation needed",IF(AND(OR(J138="Family told",J138="Enrolled"),AJ138=""),"Date family told needed","OK"))))))))</f>
        <v/>
      </c>
    </row>
    <row r="139" customFormat="false" ht="15" hidden="false" customHeight="false" outlineLevel="0" collapsed="false">
      <c r="A139" s="7"/>
      <c r="B139" s="7"/>
      <c r="C139" s="46"/>
      <c r="D139" s="7"/>
      <c r="E139" s="47"/>
      <c r="F139" s="46"/>
      <c r="G139" s="46"/>
      <c r="H139" s="7"/>
      <c r="I139" s="7"/>
      <c r="J139" s="47"/>
      <c r="K139" s="47"/>
      <c r="L139" s="47"/>
      <c r="M139" s="47"/>
      <c r="N139" s="47"/>
      <c r="O139" s="10"/>
      <c r="P139" s="47"/>
      <c r="Q139" s="47"/>
      <c r="R139" s="48" t="str">
        <f aca="false">IF(Q139="","",IF(Q139=0,"below 5:00",IF(Q139&gt;=66,"16:00 or above",INT((60+2*Q139)/12)&amp;":"&amp;TEXT(MOD(60+2*Q139,12),"00"))))</f>
        <v/>
      </c>
      <c r="S139" s="47"/>
      <c r="T139" s="47"/>
      <c r="U139" s="47"/>
      <c r="V139" s="47"/>
      <c r="W139" s="47"/>
      <c r="X139" s="47"/>
      <c r="Y139" s="47"/>
      <c r="Z139" s="47"/>
      <c r="AA139" s="10"/>
      <c r="AB139" s="10"/>
      <c r="AC139" s="47"/>
      <c r="AD139" s="47"/>
      <c r="AE139" s="47"/>
      <c r="AF139" s="47"/>
      <c r="AG139" s="47"/>
      <c r="AH139" s="47"/>
      <c r="AI139" s="46"/>
      <c r="AJ139" s="46"/>
      <c r="AK139" s="46"/>
      <c r="AL139" s="7"/>
      <c r="AM139" s="49" t="str">
        <f aca="false">IF(OR(C139="",G139=""),"",IFERROR(DATEDIF(C139,G139,"m"),""))</f>
        <v/>
      </c>
      <c r="AN139" s="49" t="str">
        <f aca="false">IF(OR(Q139="",AM139=""),"",60+2*Q139-AM139)</f>
        <v/>
      </c>
      <c r="AO139" s="49" t="str">
        <f aca="false">IF(OR(G139="",AJ139=""),"",AJ139-G139)</f>
        <v/>
      </c>
      <c r="AP139" s="50" t="str">
        <f aca="false">IF(AND(A139="",B139=""),"",IF(J139="","Status needed",IF(OR(J139="Applied",J139="Visit booked",J139="Withdrawn"),"OK",IF(G139="","Date assessed needed",IF(C139="","Date of birth needed",IF(COUNTA(L139,M139,P139,U139,V139,X139)&lt;6,"Band missing",IF(AND(OR(J139="Decision confirmed",J139="Family told",J139="Enrolled"),AG139=""),"Recommendation needed",IF(AND(OR(J139="Family told",J139="Enrolled"),AJ139=""),"Date family told needed","OK"))))))))</f>
        <v/>
      </c>
    </row>
    <row r="140" customFormat="false" ht="15" hidden="false" customHeight="false" outlineLevel="0" collapsed="false">
      <c r="A140" s="7"/>
      <c r="B140" s="7"/>
      <c r="C140" s="46"/>
      <c r="D140" s="7"/>
      <c r="E140" s="47"/>
      <c r="F140" s="46"/>
      <c r="G140" s="46"/>
      <c r="H140" s="7"/>
      <c r="I140" s="7"/>
      <c r="J140" s="47"/>
      <c r="K140" s="47"/>
      <c r="L140" s="47"/>
      <c r="M140" s="47"/>
      <c r="N140" s="47"/>
      <c r="O140" s="10"/>
      <c r="P140" s="47"/>
      <c r="Q140" s="47"/>
      <c r="R140" s="48" t="str">
        <f aca="false">IF(Q140="","",IF(Q140=0,"below 5:00",IF(Q140&gt;=66,"16:00 or above",INT((60+2*Q140)/12)&amp;":"&amp;TEXT(MOD(60+2*Q140,12),"00"))))</f>
        <v/>
      </c>
      <c r="S140" s="47"/>
      <c r="T140" s="47"/>
      <c r="U140" s="47"/>
      <c r="V140" s="47"/>
      <c r="W140" s="47"/>
      <c r="X140" s="47"/>
      <c r="Y140" s="47"/>
      <c r="Z140" s="47"/>
      <c r="AA140" s="10"/>
      <c r="AB140" s="10"/>
      <c r="AC140" s="47"/>
      <c r="AD140" s="47"/>
      <c r="AE140" s="47"/>
      <c r="AF140" s="47"/>
      <c r="AG140" s="47"/>
      <c r="AH140" s="47"/>
      <c r="AI140" s="46"/>
      <c r="AJ140" s="46"/>
      <c r="AK140" s="46"/>
      <c r="AL140" s="7"/>
      <c r="AM140" s="49" t="str">
        <f aca="false">IF(OR(C140="",G140=""),"",IFERROR(DATEDIF(C140,G140,"m"),""))</f>
        <v/>
      </c>
      <c r="AN140" s="49" t="str">
        <f aca="false">IF(OR(Q140="",AM140=""),"",60+2*Q140-AM140)</f>
        <v/>
      </c>
      <c r="AO140" s="49" t="str">
        <f aca="false">IF(OR(G140="",AJ140=""),"",AJ140-G140)</f>
        <v/>
      </c>
      <c r="AP140" s="50" t="str">
        <f aca="false">IF(AND(A140="",B140=""),"",IF(J140="","Status needed",IF(OR(J140="Applied",J140="Visit booked",J140="Withdrawn"),"OK",IF(G140="","Date assessed needed",IF(C140="","Date of birth needed",IF(COUNTA(L140,M140,P140,U140,V140,X140)&lt;6,"Band missing",IF(AND(OR(J140="Decision confirmed",J140="Family told",J140="Enrolled"),AG140=""),"Recommendation needed",IF(AND(OR(J140="Family told",J140="Enrolled"),AJ140=""),"Date family told needed","OK"))))))))</f>
        <v/>
      </c>
    </row>
    <row r="141" customFormat="false" ht="15" hidden="false" customHeight="false" outlineLevel="0" collapsed="false">
      <c r="A141" s="7"/>
      <c r="B141" s="7"/>
      <c r="C141" s="46"/>
      <c r="D141" s="7"/>
      <c r="E141" s="47"/>
      <c r="F141" s="46"/>
      <c r="G141" s="46"/>
      <c r="H141" s="7"/>
      <c r="I141" s="7"/>
      <c r="J141" s="47"/>
      <c r="K141" s="47"/>
      <c r="L141" s="47"/>
      <c r="M141" s="47"/>
      <c r="N141" s="47"/>
      <c r="O141" s="10"/>
      <c r="P141" s="47"/>
      <c r="Q141" s="47"/>
      <c r="R141" s="48" t="str">
        <f aca="false">IF(Q141="","",IF(Q141=0,"below 5:00",IF(Q141&gt;=66,"16:00 or above",INT((60+2*Q141)/12)&amp;":"&amp;TEXT(MOD(60+2*Q141,12),"00"))))</f>
        <v/>
      </c>
      <c r="S141" s="47"/>
      <c r="T141" s="47"/>
      <c r="U141" s="47"/>
      <c r="V141" s="47"/>
      <c r="W141" s="47"/>
      <c r="X141" s="47"/>
      <c r="Y141" s="47"/>
      <c r="Z141" s="47"/>
      <c r="AA141" s="10"/>
      <c r="AB141" s="10"/>
      <c r="AC141" s="47"/>
      <c r="AD141" s="47"/>
      <c r="AE141" s="47"/>
      <c r="AF141" s="47"/>
      <c r="AG141" s="47"/>
      <c r="AH141" s="47"/>
      <c r="AI141" s="46"/>
      <c r="AJ141" s="46"/>
      <c r="AK141" s="46"/>
      <c r="AL141" s="7"/>
      <c r="AM141" s="49" t="str">
        <f aca="false">IF(OR(C141="",G141=""),"",IFERROR(DATEDIF(C141,G141,"m"),""))</f>
        <v/>
      </c>
      <c r="AN141" s="49" t="str">
        <f aca="false">IF(OR(Q141="",AM141=""),"",60+2*Q141-AM141)</f>
        <v/>
      </c>
      <c r="AO141" s="49" t="str">
        <f aca="false">IF(OR(G141="",AJ141=""),"",AJ141-G141)</f>
        <v/>
      </c>
      <c r="AP141" s="50" t="str">
        <f aca="false">IF(AND(A141="",B141=""),"",IF(J141="","Status needed",IF(OR(J141="Applied",J141="Visit booked",J141="Withdrawn"),"OK",IF(G141="","Date assessed needed",IF(C141="","Date of birth needed",IF(COUNTA(L141,M141,P141,U141,V141,X141)&lt;6,"Band missing",IF(AND(OR(J141="Decision confirmed",J141="Family told",J141="Enrolled"),AG141=""),"Recommendation needed",IF(AND(OR(J141="Family told",J141="Enrolled"),AJ141=""),"Date family told needed","OK"))))))))</f>
        <v/>
      </c>
    </row>
    <row r="142" customFormat="false" ht="15" hidden="false" customHeight="false" outlineLevel="0" collapsed="false">
      <c r="A142" s="7"/>
      <c r="B142" s="7"/>
      <c r="C142" s="46"/>
      <c r="D142" s="7"/>
      <c r="E142" s="47"/>
      <c r="F142" s="46"/>
      <c r="G142" s="46"/>
      <c r="H142" s="7"/>
      <c r="I142" s="7"/>
      <c r="J142" s="47"/>
      <c r="K142" s="47"/>
      <c r="L142" s="47"/>
      <c r="M142" s="47"/>
      <c r="N142" s="47"/>
      <c r="O142" s="10"/>
      <c r="P142" s="47"/>
      <c r="Q142" s="47"/>
      <c r="R142" s="48" t="str">
        <f aca="false">IF(Q142="","",IF(Q142=0,"below 5:00",IF(Q142&gt;=66,"16:00 or above",INT((60+2*Q142)/12)&amp;":"&amp;TEXT(MOD(60+2*Q142,12),"00"))))</f>
        <v/>
      </c>
      <c r="S142" s="47"/>
      <c r="T142" s="47"/>
      <c r="U142" s="47"/>
      <c r="V142" s="47"/>
      <c r="W142" s="47"/>
      <c r="X142" s="47"/>
      <c r="Y142" s="47"/>
      <c r="Z142" s="47"/>
      <c r="AA142" s="10"/>
      <c r="AB142" s="10"/>
      <c r="AC142" s="47"/>
      <c r="AD142" s="47"/>
      <c r="AE142" s="47"/>
      <c r="AF142" s="47"/>
      <c r="AG142" s="47"/>
      <c r="AH142" s="47"/>
      <c r="AI142" s="46"/>
      <c r="AJ142" s="46"/>
      <c r="AK142" s="46"/>
      <c r="AL142" s="7"/>
      <c r="AM142" s="49" t="str">
        <f aca="false">IF(OR(C142="",G142=""),"",IFERROR(DATEDIF(C142,G142,"m"),""))</f>
        <v/>
      </c>
      <c r="AN142" s="49" t="str">
        <f aca="false">IF(OR(Q142="",AM142=""),"",60+2*Q142-AM142)</f>
        <v/>
      </c>
      <c r="AO142" s="49" t="str">
        <f aca="false">IF(OR(G142="",AJ142=""),"",AJ142-G142)</f>
        <v/>
      </c>
      <c r="AP142" s="50" t="str">
        <f aca="false">IF(AND(A142="",B142=""),"",IF(J142="","Status needed",IF(OR(J142="Applied",J142="Visit booked",J142="Withdrawn"),"OK",IF(G142="","Date assessed needed",IF(C142="","Date of birth needed",IF(COUNTA(L142,M142,P142,U142,V142,X142)&lt;6,"Band missing",IF(AND(OR(J142="Decision confirmed",J142="Family told",J142="Enrolled"),AG142=""),"Recommendation needed",IF(AND(OR(J142="Family told",J142="Enrolled"),AJ142=""),"Date family told needed","OK"))))))))</f>
        <v/>
      </c>
    </row>
    <row r="143" customFormat="false" ht="15" hidden="false" customHeight="false" outlineLevel="0" collapsed="false">
      <c r="A143" s="7"/>
      <c r="B143" s="7"/>
      <c r="C143" s="46"/>
      <c r="D143" s="7"/>
      <c r="E143" s="47"/>
      <c r="F143" s="46"/>
      <c r="G143" s="46"/>
      <c r="H143" s="7"/>
      <c r="I143" s="7"/>
      <c r="J143" s="47"/>
      <c r="K143" s="47"/>
      <c r="L143" s="47"/>
      <c r="M143" s="47"/>
      <c r="N143" s="47"/>
      <c r="O143" s="10"/>
      <c r="P143" s="47"/>
      <c r="Q143" s="47"/>
      <c r="R143" s="48" t="str">
        <f aca="false">IF(Q143="","",IF(Q143=0,"below 5:00",IF(Q143&gt;=66,"16:00 or above",INT((60+2*Q143)/12)&amp;":"&amp;TEXT(MOD(60+2*Q143,12),"00"))))</f>
        <v/>
      </c>
      <c r="S143" s="47"/>
      <c r="T143" s="47"/>
      <c r="U143" s="47"/>
      <c r="V143" s="47"/>
      <c r="W143" s="47"/>
      <c r="X143" s="47"/>
      <c r="Y143" s="47"/>
      <c r="Z143" s="47"/>
      <c r="AA143" s="10"/>
      <c r="AB143" s="10"/>
      <c r="AC143" s="47"/>
      <c r="AD143" s="47"/>
      <c r="AE143" s="47"/>
      <c r="AF143" s="47"/>
      <c r="AG143" s="47"/>
      <c r="AH143" s="47"/>
      <c r="AI143" s="46"/>
      <c r="AJ143" s="46"/>
      <c r="AK143" s="46"/>
      <c r="AL143" s="7"/>
      <c r="AM143" s="49" t="str">
        <f aca="false">IF(OR(C143="",G143=""),"",IFERROR(DATEDIF(C143,G143,"m"),""))</f>
        <v/>
      </c>
      <c r="AN143" s="49" t="str">
        <f aca="false">IF(OR(Q143="",AM143=""),"",60+2*Q143-AM143)</f>
        <v/>
      </c>
      <c r="AO143" s="49" t="str">
        <f aca="false">IF(OR(G143="",AJ143=""),"",AJ143-G143)</f>
        <v/>
      </c>
      <c r="AP143" s="50" t="str">
        <f aca="false">IF(AND(A143="",B143=""),"",IF(J143="","Status needed",IF(OR(J143="Applied",J143="Visit booked",J143="Withdrawn"),"OK",IF(G143="","Date assessed needed",IF(C143="","Date of birth needed",IF(COUNTA(L143,M143,P143,U143,V143,X143)&lt;6,"Band missing",IF(AND(OR(J143="Decision confirmed",J143="Family told",J143="Enrolled"),AG143=""),"Recommendation needed",IF(AND(OR(J143="Family told",J143="Enrolled"),AJ143=""),"Date family told needed","OK"))))))))</f>
        <v/>
      </c>
    </row>
    <row r="144" customFormat="false" ht="15" hidden="false" customHeight="false" outlineLevel="0" collapsed="false">
      <c r="A144" s="7"/>
      <c r="B144" s="7"/>
      <c r="C144" s="46"/>
      <c r="D144" s="7"/>
      <c r="E144" s="47"/>
      <c r="F144" s="46"/>
      <c r="G144" s="46"/>
      <c r="H144" s="7"/>
      <c r="I144" s="7"/>
      <c r="J144" s="47"/>
      <c r="K144" s="47"/>
      <c r="L144" s="47"/>
      <c r="M144" s="47"/>
      <c r="N144" s="47"/>
      <c r="O144" s="10"/>
      <c r="P144" s="47"/>
      <c r="Q144" s="47"/>
      <c r="R144" s="48" t="str">
        <f aca="false">IF(Q144="","",IF(Q144=0,"below 5:00",IF(Q144&gt;=66,"16:00 or above",INT((60+2*Q144)/12)&amp;":"&amp;TEXT(MOD(60+2*Q144,12),"00"))))</f>
        <v/>
      </c>
      <c r="S144" s="47"/>
      <c r="T144" s="47"/>
      <c r="U144" s="47"/>
      <c r="V144" s="47"/>
      <c r="W144" s="47"/>
      <c r="X144" s="47"/>
      <c r="Y144" s="47"/>
      <c r="Z144" s="47"/>
      <c r="AA144" s="10"/>
      <c r="AB144" s="10"/>
      <c r="AC144" s="47"/>
      <c r="AD144" s="47"/>
      <c r="AE144" s="47"/>
      <c r="AF144" s="47"/>
      <c r="AG144" s="47"/>
      <c r="AH144" s="47"/>
      <c r="AI144" s="46"/>
      <c r="AJ144" s="46"/>
      <c r="AK144" s="46"/>
      <c r="AL144" s="7"/>
      <c r="AM144" s="49" t="str">
        <f aca="false">IF(OR(C144="",G144=""),"",IFERROR(DATEDIF(C144,G144,"m"),""))</f>
        <v/>
      </c>
      <c r="AN144" s="49" t="str">
        <f aca="false">IF(OR(Q144="",AM144=""),"",60+2*Q144-AM144)</f>
        <v/>
      </c>
      <c r="AO144" s="49" t="str">
        <f aca="false">IF(OR(G144="",AJ144=""),"",AJ144-G144)</f>
        <v/>
      </c>
      <c r="AP144" s="50" t="str">
        <f aca="false">IF(AND(A144="",B144=""),"",IF(J144="","Status needed",IF(OR(J144="Applied",J144="Visit booked",J144="Withdrawn"),"OK",IF(G144="","Date assessed needed",IF(C144="","Date of birth needed",IF(COUNTA(L144,M144,P144,U144,V144,X144)&lt;6,"Band missing",IF(AND(OR(J144="Decision confirmed",J144="Family told",J144="Enrolled"),AG144=""),"Recommendation needed",IF(AND(OR(J144="Family told",J144="Enrolled"),AJ144=""),"Date family told needed","OK"))))))))</f>
        <v/>
      </c>
    </row>
    <row r="145" customFormat="false" ht="15" hidden="false" customHeight="false" outlineLevel="0" collapsed="false">
      <c r="A145" s="7"/>
      <c r="B145" s="7"/>
      <c r="C145" s="46"/>
      <c r="D145" s="7"/>
      <c r="E145" s="47"/>
      <c r="F145" s="46"/>
      <c r="G145" s="46"/>
      <c r="H145" s="7"/>
      <c r="I145" s="7"/>
      <c r="J145" s="47"/>
      <c r="K145" s="47"/>
      <c r="L145" s="47"/>
      <c r="M145" s="47"/>
      <c r="N145" s="47"/>
      <c r="O145" s="10"/>
      <c r="P145" s="47"/>
      <c r="Q145" s="47"/>
      <c r="R145" s="48" t="str">
        <f aca="false">IF(Q145="","",IF(Q145=0,"below 5:00",IF(Q145&gt;=66,"16:00 or above",INT((60+2*Q145)/12)&amp;":"&amp;TEXT(MOD(60+2*Q145,12),"00"))))</f>
        <v/>
      </c>
      <c r="S145" s="47"/>
      <c r="T145" s="47"/>
      <c r="U145" s="47"/>
      <c r="V145" s="47"/>
      <c r="W145" s="47"/>
      <c r="X145" s="47"/>
      <c r="Y145" s="47"/>
      <c r="Z145" s="47"/>
      <c r="AA145" s="10"/>
      <c r="AB145" s="10"/>
      <c r="AC145" s="47"/>
      <c r="AD145" s="47"/>
      <c r="AE145" s="47"/>
      <c r="AF145" s="47"/>
      <c r="AG145" s="47"/>
      <c r="AH145" s="47"/>
      <c r="AI145" s="46"/>
      <c r="AJ145" s="46"/>
      <c r="AK145" s="46"/>
      <c r="AL145" s="7"/>
      <c r="AM145" s="49" t="str">
        <f aca="false">IF(OR(C145="",G145=""),"",IFERROR(DATEDIF(C145,G145,"m"),""))</f>
        <v/>
      </c>
      <c r="AN145" s="49" t="str">
        <f aca="false">IF(OR(Q145="",AM145=""),"",60+2*Q145-AM145)</f>
        <v/>
      </c>
      <c r="AO145" s="49" t="str">
        <f aca="false">IF(OR(G145="",AJ145=""),"",AJ145-G145)</f>
        <v/>
      </c>
      <c r="AP145" s="50" t="str">
        <f aca="false">IF(AND(A145="",B145=""),"",IF(J145="","Status needed",IF(OR(J145="Applied",J145="Visit booked",J145="Withdrawn"),"OK",IF(G145="","Date assessed needed",IF(C145="","Date of birth needed",IF(COUNTA(L145,M145,P145,U145,V145,X145)&lt;6,"Band missing",IF(AND(OR(J145="Decision confirmed",J145="Family told",J145="Enrolled"),AG145=""),"Recommendation needed",IF(AND(OR(J145="Family told",J145="Enrolled"),AJ145=""),"Date family told needed","OK"))))))))</f>
        <v/>
      </c>
    </row>
    <row r="146" customFormat="false" ht="15" hidden="false" customHeight="false" outlineLevel="0" collapsed="false">
      <c r="A146" s="7"/>
      <c r="B146" s="7"/>
      <c r="C146" s="46"/>
      <c r="D146" s="7"/>
      <c r="E146" s="47"/>
      <c r="F146" s="46"/>
      <c r="G146" s="46"/>
      <c r="H146" s="7"/>
      <c r="I146" s="7"/>
      <c r="J146" s="47"/>
      <c r="K146" s="47"/>
      <c r="L146" s="47"/>
      <c r="M146" s="47"/>
      <c r="N146" s="47"/>
      <c r="O146" s="10"/>
      <c r="P146" s="47"/>
      <c r="Q146" s="47"/>
      <c r="R146" s="48" t="str">
        <f aca="false">IF(Q146="","",IF(Q146=0,"below 5:00",IF(Q146&gt;=66,"16:00 or above",INT((60+2*Q146)/12)&amp;":"&amp;TEXT(MOD(60+2*Q146,12),"00"))))</f>
        <v/>
      </c>
      <c r="S146" s="47"/>
      <c r="T146" s="47"/>
      <c r="U146" s="47"/>
      <c r="V146" s="47"/>
      <c r="W146" s="47"/>
      <c r="X146" s="47"/>
      <c r="Y146" s="47"/>
      <c r="Z146" s="47"/>
      <c r="AA146" s="10"/>
      <c r="AB146" s="10"/>
      <c r="AC146" s="47"/>
      <c r="AD146" s="47"/>
      <c r="AE146" s="47"/>
      <c r="AF146" s="47"/>
      <c r="AG146" s="47"/>
      <c r="AH146" s="47"/>
      <c r="AI146" s="46"/>
      <c r="AJ146" s="46"/>
      <c r="AK146" s="46"/>
      <c r="AL146" s="7"/>
      <c r="AM146" s="49" t="str">
        <f aca="false">IF(OR(C146="",G146=""),"",IFERROR(DATEDIF(C146,G146,"m"),""))</f>
        <v/>
      </c>
      <c r="AN146" s="49" t="str">
        <f aca="false">IF(OR(Q146="",AM146=""),"",60+2*Q146-AM146)</f>
        <v/>
      </c>
      <c r="AO146" s="49" t="str">
        <f aca="false">IF(OR(G146="",AJ146=""),"",AJ146-G146)</f>
        <v/>
      </c>
      <c r="AP146" s="50" t="str">
        <f aca="false">IF(AND(A146="",B146=""),"",IF(J146="","Status needed",IF(OR(J146="Applied",J146="Visit booked",J146="Withdrawn"),"OK",IF(G146="","Date assessed needed",IF(C146="","Date of birth needed",IF(COUNTA(L146,M146,P146,U146,V146,X146)&lt;6,"Band missing",IF(AND(OR(J146="Decision confirmed",J146="Family told",J146="Enrolled"),AG146=""),"Recommendation needed",IF(AND(OR(J146="Family told",J146="Enrolled"),AJ146=""),"Date family told needed","OK"))))))))</f>
        <v/>
      </c>
    </row>
    <row r="147" customFormat="false" ht="15" hidden="false" customHeight="false" outlineLevel="0" collapsed="false">
      <c r="A147" s="7"/>
      <c r="B147" s="7"/>
      <c r="C147" s="46"/>
      <c r="D147" s="7"/>
      <c r="E147" s="47"/>
      <c r="F147" s="46"/>
      <c r="G147" s="46"/>
      <c r="H147" s="7"/>
      <c r="I147" s="7"/>
      <c r="J147" s="47"/>
      <c r="K147" s="47"/>
      <c r="L147" s="47"/>
      <c r="M147" s="47"/>
      <c r="N147" s="47"/>
      <c r="O147" s="10"/>
      <c r="P147" s="47"/>
      <c r="Q147" s="47"/>
      <c r="R147" s="48" t="str">
        <f aca="false">IF(Q147="","",IF(Q147=0,"below 5:00",IF(Q147&gt;=66,"16:00 or above",INT((60+2*Q147)/12)&amp;":"&amp;TEXT(MOD(60+2*Q147,12),"00"))))</f>
        <v/>
      </c>
      <c r="S147" s="47"/>
      <c r="T147" s="47"/>
      <c r="U147" s="47"/>
      <c r="V147" s="47"/>
      <c r="W147" s="47"/>
      <c r="X147" s="47"/>
      <c r="Y147" s="47"/>
      <c r="Z147" s="47"/>
      <c r="AA147" s="10"/>
      <c r="AB147" s="10"/>
      <c r="AC147" s="47"/>
      <c r="AD147" s="47"/>
      <c r="AE147" s="47"/>
      <c r="AF147" s="47"/>
      <c r="AG147" s="47"/>
      <c r="AH147" s="47"/>
      <c r="AI147" s="46"/>
      <c r="AJ147" s="46"/>
      <c r="AK147" s="46"/>
      <c r="AL147" s="7"/>
      <c r="AM147" s="49" t="str">
        <f aca="false">IF(OR(C147="",G147=""),"",IFERROR(DATEDIF(C147,G147,"m"),""))</f>
        <v/>
      </c>
      <c r="AN147" s="49" t="str">
        <f aca="false">IF(OR(Q147="",AM147=""),"",60+2*Q147-AM147)</f>
        <v/>
      </c>
      <c r="AO147" s="49" t="str">
        <f aca="false">IF(OR(G147="",AJ147=""),"",AJ147-G147)</f>
        <v/>
      </c>
      <c r="AP147" s="50" t="str">
        <f aca="false">IF(AND(A147="",B147=""),"",IF(J147="","Status needed",IF(OR(J147="Applied",J147="Visit booked",J147="Withdrawn"),"OK",IF(G147="","Date assessed needed",IF(C147="","Date of birth needed",IF(COUNTA(L147,M147,P147,U147,V147,X147)&lt;6,"Band missing",IF(AND(OR(J147="Decision confirmed",J147="Family told",J147="Enrolled"),AG147=""),"Recommendation needed",IF(AND(OR(J147="Family told",J147="Enrolled"),AJ147=""),"Date family told needed","OK"))))))))</f>
        <v/>
      </c>
    </row>
    <row r="148" customFormat="false" ht="15" hidden="false" customHeight="false" outlineLevel="0" collapsed="false">
      <c r="A148" s="7"/>
      <c r="B148" s="7"/>
      <c r="C148" s="46"/>
      <c r="D148" s="7"/>
      <c r="E148" s="47"/>
      <c r="F148" s="46"/>
      <c r="G148" s="46"/>
      <c r="H148" s="7"/>
      <c r="I148" s="7"/>
      <c r="J148" s="47"/>
      <c r="K148" s="47"/>
      <c r="L148" s="47"/>
      <c r="M148" s="47"/>
      <c r="N148" s="47"/>
      <c r="O148" s="10"/>
      <c r="P148" s="47"/>
      <c r="Q148" s="47"/>
      <c r="R148" s="48" t="str">
        <f aca="false">IF(Q148="","",IF(Q148=0,"below 5:00",IF(Q148&gt;=66,"16:00 or above",INT((60+2*Q148)/12)&amp;":"&amp;TEXT(MOD(60+2*Q148,12),"00"))))</f>
        <v/>
      </c>
      <c r="S148" s="47"/>
      <c r="T148" s="47"/>
      <c r="U148" s="47"/>
      <c r="V148" s="47"/>
      <c r="W148" s="47"/>
      <c r="X148" s="47"/>
      <c r="Y148" s="47"/>
      <c r="Z148" s="47"/>
      <c r="AA148" s="10"/>
      <c r="AB148" s="10"/>
      <c r="AC148" s="47"/>
      <c r="AD148" s="47"/>
      <c r="AE148" s="47"/>
      <c r="AF148" s="47"/>
      <c r="AG148" s="47"/>
      <c r="AH148" s="47"/>
      <c r="AI148" s="46"/>
      <c r="AJ148" s="46"/>
      <c r="AK148" s="46"/>
      <c r="AL148" s="7"/>
      <c r="AM148" s="49" t="str">
        <f aca="false">IF(OR(C148="",G148=""),"",IFERROR(DATEDIF(C148,G148,"m"),""))</f>
        <v/>
      </c>
      <c r="AN148" s="49" t="str">
        <f aca="false">IF(OR(Q148="",AM148=""),"",60+2*Q148-AM148)</f>
        <v/>
      </c>
      <c r="AO148" s="49" t="str">
        <f aca="false">IF(OR(G148="",AJ148=""),"",AJ148-G148)</f>
        <v/>
      </c>
      <c r="AP148" s="50" t="str">
        <f aca="false">IF(AND(A148="",B148=""),"",IF(J148="","Status needed",IF(OR(J148="Applied",J148="Visit booked",J148="Withdrawn"),"OK",IF(G148="","Date assessed needed",IF(C148="","Date of birth needed",IF(COUNTA(L148,M148,P148,U148,V148,X148)&lt;6,"Band missing",IF(AND(OR(J148="Decision confirmed",J148="Family told",J148="Enrolled"),AG148=""),"Recommendation needed",IF(AND(OR(J148="Family told",J148="Enrolled"),AJ148=""),"Date family told needed","OK"))))))))</f>
        <v/>
      </c>
    </row>
    <row r="149" customFormat="false" ht="15" hidden="false" customHeight="false" outlineLevel="0" collapsed="false">
      <c r="A149" s="7"/>
      <c r="B149" s="7"/>
      <c r="C149" s="46"/>
      <c r="D149" s="7"/>
      <c r="E149" s="47"/>
      <c r="F149" s="46"/>
      <c r="G149" s="46"/>
      <c r="H149" s="7"/>
      <c r="I149" s="7"/>
      <c r="J149" s="47"/>
      <c r="K149" s="47"/>
      <c r="L149" s="47"/>
      <c r="M149" s="47"/>
      <c r="N149" s="47"/>
      <c r="O149" s="10"/>
      <c r="P149" s="47"/>
      <c r="Q149" s="47"/>
      <c r="R149" s="48" t="str">
        <f aca="false">IF(Q149="","",IF(Q149=0,"below 5:00",IF(Q149&gt;=66,"16:00 or above",INT((60+2*Q149)/12)&amp;":"&amp;TEXT(MOD(60+2*Q149,12),"00"))))</f>
        <v/>
      </c>
      <c r="S149" s="47"/>
      <c r="T149" s="47"/>
      <c r="U149" s="47"/>
      <c r="V149" s="47"/>
      <c r="W149" s="47"/>
      <c r="X149" s="47"/>
      <c r="Y149" s="47"/>
      <c r="Z149" s="47"/>
      <c r="AA149" s="10"/>
      <c r="AB149" s="10"/>
      <c r="AC149" s="47"/>
      <c r="AD149" s="47"/>
      <c r="AE149" s="47"/>
      <c r="AF149" s="47"/>
      <c r="AG149" s="47"/>
      <c r="AH149" s="47"/>
      <c r="AI149" s="46"/>
      <c r="AJ149" s="46"/>
      <c r="AK149" s="46"/>
      <c r="AL149" s="7"/>
      <c r="AM149" s="49" t="str">
        <f aca="false">IF(OR(C149="",G149=""),"",IFERROR(DATEDIF(C149,G149,"m"),""))</f>
        <v/>
      </c>
      <c r="AN149" s="49" t="str">
        <f aca="false">IF(OR(Q149="",AM149=""),"",60+2*Q149-AM149)</f>
        <v/>
      </c>
      <c r="AO149" s="49" t="str">
        <f aca="false">IF(OR(G149="",AJ149=""),"",AJ149-G149)</f>
        <v/>
      </c>
      <c r="AP149" s="50" t="str">
        <f aca="false">IF(AND(A149="",B149=""),"",IF(J149="","Status needed",IF(OR(J149="Applied",J149="Visit booked",J149="Withdrawn"),"OK",IF(G149="","Date assessed needed",IF(C149="","Date of birth needed",IF(COUNTA(L149,M149,P149,U149,V149,X149)&lt;6,"Band missing",IF(AND(OR(J149="Decision confirmed",J149="Family told",J149="Enrolled"),AG149=""),"Recommendation needed",IF(AND(OR(J149="Family told",J149="Enrolled"),AJ149=""),"Date family told needed","OK"))))))))</f>
        <v/>
      </c>
    </row>
    <row r="150" customFormat="false" ht="15" hidden="false" customHeight="false" outlineLevel="0" collapsed="false">
      <c r="A150" s="7"/>
      <c r="B150" s="7"/>
      <c r="C150" s="46"/>
      <c r="D150" s="7"/>
      <c r="E150" s="47"/>
      <c r="F150" s="46"/>
      <c r="G150" s="46"/>
      <c r="H150" s="7"/>
      <c r="I150" s="7"/>
      <c r="J150" s="47"/>
      <c r="K150" s="47"/>
      <c r="L150" s="47"/>
      <c r="M150" s="47"/>
      <c r="N150" s="47"/>
      <c r="O150" s="10"/>
      <c r="P150" s="47"/>
      <c r="Q150" s="47"/>
      <c r="R150" s="48" t="str">
        <f aca="false">IF(Q150="","",IF(Q150=0,"below 5:00",IF(Q150&gt;=66,"16:00 or above",INT((60+2*Q150)/12)&amp;":"&amp;TEXT(MOD(60+2*Q150,12),"00"))))</f>
        <v/>
      </c>
      <c r="S150" s="47"/>
      <c r="T150" s="47"/>
      <c r="U150" s="47"/>
      <c r="V150" s="47"/>
      <c r="W150" s="47"/>
      <c r="X150" s="47"/>
      <c r="Y150" s="47"/>
      <c r="Z150" s="47"/>
      <c r="AA150" s="10"/>
      <c r="AB150" s="10"/>
      <c r="AC150" s="47"/>
      <c r="AD150" s="47"/>
      <c r="AE150" s="47"/>
      <c r="AF150" s="47"/>
      <c r="AG150" s="47"/>
      <c r="AH150" s="47"/>
      <c r="AI150" s="46"/>
      <c r="AJ150" s="46"/>
      <c r="AK150" s="46"/>
      <c r="AL150" s="7"/>
      <c r="AM150" s="49" t="str">
        <f aca="false">IF(OR(C150="",G150=""),"",IFERROR(DATEDIF(C150,G150,"m"),""))</f>
        <v/>
      </c>
      <c r="AN150" s="49" t="str">
        <f aca="false">IF(OR(Q150="",AM150=""),"",60+2*Q150-AM150)</f>
        <v/>
      </c>
      <c r="AO150" s="49" t="str">
        <f aca="false">IF(OR(G150="",AJ150=""),"",AJ150-G150)</f>
        <v/>
      </c>
      <c r="AP150" s="50" t="str">
        <f aca="false">IF(AND(A150="",B150=""),"",IF(J150="","Status needed",IF(OR(J150="Applied",J150="Visit booked",J150="Withdrawn"),"OK",IF(G150="","Date assessed needed",IF(C150="","Date of birth needed",IF(COUNTA(L150,M150,P150,U150,V150,X150)&lt;6,"Band missing",IF(AND(OR(J150="Decision confirmed",J150="Family told",J150="Enrolled"),AG150=""),"Recommendation needed",IF(AND(OR(J150="Family told",J150="Enrolled"),AJ150=""),"Date family told needed","OK"))))))))</f>
        <v/>
      </c>
    </row>
    <row r="151" customFormat="false" ht="15" hidden="false" customHeight="false" outlineLevel="0" collapsed="false">
      <c r="A151" s="7"/>
      <c r="B151" s="7"/>
      <c r="C151" s="46"/>
      <c r="D151" s="7"/>
      <c r="E151" s="47"/>
      <c r="F151" s="46"/>
      <c r="G151" s="46"/>
      <c r="H151" s="7"/>
      <c r="I151" s="7"/>
      <c r="J151" s="47"/>
      <c r="K151" s="47"/>
      <c r="L151" s="47"/>
      <c r="M151" s="47"/>
      <c r="N151" s="47"/>
      <c r="O151" s="10"/>
      <c r="P151" s="47"/>
      <c r="Q151" s="47"/>
      <c r="R151" s="48" t="str">
        <f aca="false">IF(Q151="","",IF(Q151=0,"below 5:00",IF(Q151&gt;=66,"16:00 or above",INT((60+2*Q151)/12)&amp;":"&amp;TEXT(MOD(60+2*Q151,12),"00"))))</f>
        <v/>
      </c>
      <c r="S151" s="47"/>
      <c r="T151" s="47"/>
      <c r="U151" s="47"/>
      <c r="V151" s="47"/>
      <c r="W151" s="47"/>
      <c r="X151" s="47"/>
      <c r="Y151" s="47"/>
      <c r="Z151" s="47"/>
      <c r="AA151" s="10"/>
      <c r="AB151" s="10"/>
      <c r="AC151" s="47"/>
      <c r="AD151" s="47"/>
      <c r="AE151" s="47"/>
      <c r="AF151" s="47"/>
      <c r="AG151" s="47"/>
      <c r="AH151" s="47"/>
      <c r="AI151" s="46"/>
      <c r="AJ151" s="46"/>
      <c r="AK151" s="46"/>
      <c r="AL151" s="7"/>
      <c r="AM151" s="49" t="str">
        <f aca="false">IF(OR(C151="",G151=""),"",IFERROR(DATEDIF(C151,G151,"m"),""))</f>
        <v/>
      </c>
      <c r="AN151" s="49" t="str">
        <f aca="false">IF(OR(Q151="",AM151=""),"",60+2*Q151-AM151)</f>
        <v/>
      </c>
      <c r="AO151" s="49" t="str">
        <f aca="false">IF(OR(G151="",AJ151=""),"",AJ151-G151)</f>
        <v/>
      </c>
      <c r="AP151" s="50" t="str">
        <f aca="false">IF(AND(A151="",B151=""),"",IF(J151="","Status needed",IF(OR(J151="Applied",J151="Visit booked",J151="Withdrawn"),"OK",IF(G151="","Date assessed needed",IF(C151="","Date of birth needed",IF(COUNTA(L151,M151,P151,U151,V151,X151)&lt;6,"Band missing",IF(AND(OR(J151="Decision confirmed",J151="Family told",J151="Enrolled"),AG151=""),"Recommendation needed",IF(AND(OR(J151="Family told",J151="Enrolled"),AJ151=""),"Date family told needed","OK"))))))))</f>
        <v/>
      </c>
    </row>
    <row r="152" customFormat="false" ht="15" hidden="false" customHeight="false" outlineLevel="0" collapsed="false">
      <c r="A152" s="7"/>
      <c r="B152" s="7"/>
      <c r="C152" s="46"/>
      <c r="D152" s="7"/>
      <c r="E152" s="47"/>
      <c r="F152" s="46"/>
      <c r="G152" s="46"/>
      <c r="H152" s="7"/>
      <c r="I152" s="7"/>
      <c r="J152" s="47"/>
      <c r="K152" s="47"/>
      <c r="L152" s="47"/>
      <c r="M152" s="47"/>
      <c r="N152" s="47"/>
      <c r="O152" s="10"/>
      <c r="P152" s="47"/>
      <c r="Q152" s="47"/>
      <c r="R152" s="48" t="str">
        <f aca="false">IF(Q152="","",IF(Q152=0,"below 5:00",IF(Q152&gt;=66,"16:00 or above",INT((60+2*Q152)/12)&amp;":"&amp;TEXT(MOD(60+2*Q152,12),"00"))))</f>
        <v/>
      </c>
      <c r="S152" s="47"/>
      <c r="T152" s="47"/>
      <c r="U152" s="47"/>
      <c r="V152" s="47"/>
      <c r="W152" s="47"/>
      <c r="X152" s="47"/>
      <c r="Y152" s="47"/>
      <c r="Z152" s="47"/>
      <c r="AA152" s="10"/>
      <c r="AB152" s="10"/>
      <c r="AC152" s="47"/>
      <c r="AD152" s="47"/>
      <c r="AE152" s="47"/>
      <c r="AF152" s="47"/>
      <c r="AG152" s="47"/>
      <c r="AH152" s="47"/>
      <c r="AI152" s="46"/>
      <c r="AJ152" s="46"/>
      <c r="AK152" s="46"/>
      <c r="AL152" s="7"/>
      <c r="AM152" s="49" t="str">
        <f aca="false">IF(OR(C152="",G152=""),"",IFERROR(DATEDIF(C152,G152,"m"),""))</f>
        <v/>
      </c>
      <c r="AN152" s="49" t="str">
        <f aca="false">IF(OR(Q152="",AM152=""),"",60+2*Q152-AM152)</f>
        <v/>
      </c>
      <c r="AO152" s="49" t="str">
        <f aca="false">IF(OR(G152="",AJ152=""),"",AJ152-G152)</f>
        <v/>
      </c>
      <c r="AP152" s="50" t="str">
        <f aca="false">IF(AND(A152="",B152=""),"",IF(J152="","Status needed",IF(OR(J152="Applied",J152="Visit booked",J152="Withdrawn"),"OK",IF(G152="","Date assessed needed",IF(C152="","Date of birth needed",IF(COUNTA(L152,M152,P152,U152,V152,X152)&lt;6,"Band missing",IF(AND(OR(J152="Decision confirmed",J152="Family told",J152="Enrolled"),AG152=""),"Recommendation needed",IF(AND(OR(J152="Family told",J152="Enrolled"),AJ152=""),"Date family told needed","OK"))))))))</f>
        <v/>
      </c>
    </row>
    <row r="153" customFormat="false" ht="15" hidden="false" customHeight="false" outlineLevel="0" collapsed="false">
      <c r="A153" s="7"/>
      <c r="B153" s="7"/>
      <c r="C153" s="46"/>
      <c r="D153" s="7"/>
      <c r="E153" s="47"/>
      <c r="F153" s="46"/>
      <c r="G153" s="46"/>
      <c r="H153" s="7"/>
      <c r="I153" s="7"/>
      <c r="J153" s="47"/>
      <c r="K153" s="47"/>
      <c r="L153" s="47"/>
      <c r="M153" s="47"/>
      <c r="N153" s="47"/>
      <c r="O153" s="10"/>
      <c r="P153" s="47"/>
      <c r="Q153" s="47"/>
      <c r="R153" s="48" t="str">
        <f aca="false">IF(Q153="","",IF(Q153=0,"below 5:00",IF(Q153&gt;=66,"16:00 or above",INT((60+2*Q153)/12)&amp;":"&amp;TEXT(MOD(60+2*Q153,12),"00"))))</f>
        <v/>
      </c>
      <c r="S153" s="47"/>
      <c r="T153" s="47"/>
      <c r="U153" s="47"/>
      <c r="V153" s="47"/>
      <c r="W153" s="47"/>
      <c r="X153" s="47"/>
      <c r="Y153" s="47"/>
      <c r="Z153" s="47"/>
      <c r="AA153" s="10"/>
      <c r="AB153" s="10"/>
      <c r="AC153" s="47"/>
      <c r="AD153" s="47"/>
      <c r="AE153" s="47"/>
      <c r="AF153" s="47"/>
      <c r="AG153" s="47"/>
      <c r="AH153" s="47"/>
      <c r="AI153" s="46"/>
      <c r="AJ153" s="46"/>
      <c r="AK153" s="46"/>
      <c r="AL153" s="7"/>
      <c r="AM153" s="49" t="str">
        <f aca="false">IF(OR(C153="",G153=""),"",IFERROR(DATEDIF(C153,G153,"m"),""))</f>
        <v/>
      </c>
      <c r="AN153" s="49" t="str">
        <f aca="false">IF(OR(Q153="",AM153=""),"",60+2*Q153-AM153)</f>
        <v/>
      </c>
      <c r="AO153" s="49" t="str">
        <f aca="false">IF(OR(G153="",AJ153=""),"",AJ153-G153)</f>
        <v/>
      </c>
      <c r="AP153" s="50" t="str">
        <f aca="false">IF(AND(A153="",B153=""),"",IF(J153="","Status needed",IF(OR(J153="Applied",J153="Visit booked",J153="Withdrawn"),"OK",IF(G153="","Date assessed needed",IF(C153="","Date of birth needed",IF(COUNTA(L153,M153,P153,U153,V153,X153)&lt;6,"Band missing",IF(AND(OR(J153="Decision confirmed",J153="Family told",J153="Enrolled"),AG153=""),"Recommendation needed",IF(AND(OR(J153="Family told",J153="Enrolled"),AJ153=""),"Date family told needed","OK"))))))))</f>
        <v/>
      </c>
    </row>
    <row r="154" customFormat="false" ht="15" hidden="false" customHeight="false" outlineLevel="0" collapsed="false">
      <c r="A154" s="7"/>
      <c r="B154" s="7"/>
      <c r="C154" s="46"/>
      <c r="D154" s="7"/>
      <c r="E154" s="47"/>
      <c r="F154" s="46"/>
      <c r="G154" s="46"/>
      <c r="H154" s="7"/>
      <c r="I154" s="7"/>
      <c r="J154" s="47"/>
      <c r="K154" s="47"/>
      <c r="L154" s="47"/>
      <c r="M154" s="47"/>
      <c r="N154" s="47"/>
      <c r="O154" s="10"/>
      <c r="P154" s="47"/>
      <c r="Q154" s="47"/>
      <c r="R154" s="48" t="str">
        <f aca="false">IF(Q154="","",IF(Q154=0,"below 5:00",IF(Q154&gt;=66,"16:00 or above",INT((60+2*Q154)/12)&amp;":"&amp;TEXT(MOD(60+2*Q154,12),"00"))))</f>
        <v/>
      </c>
      <c r="S154" s="47"/>
      <c r="T154" s="47"/>
      <c r="U154" s="47"/>
      <c r="V154" s="47"/>
      <c r="W154" s="47"/>
      <c r="X154" s="47"/>
      <c r="Y154" s="47"/>
      <c r="Z154" s="47"/>
      <c r="AA154" s="10"/>
      <c r="AB154" s="10"/>
      <c r="AC154" s="47"/>
      <c r="AD154" s="47"/>
      <c r="AE154" s="47"/>
      <c r="AF154" s="47"/>
      <c r="AG154" s="47"/>
      <c r="AH154" s="47"/>
      <c r="AI154" s="46"/>
      <c r="AJ154" s="46"/>
      <c r="AK154" s="46"/>
      <c r="AL154" s="7"/>
      <c r="AM154" s="49" t="str">
        <f aca="false">IF(OR(C154="",G154=""),"",IFERROR(DATEDIF(C154,G154,"m"),""))</f>
        <v/>
      </c>
      <c r="AN154" s="49" t="str">
        <f aca="false">IF(OR(Q154="",AM154=""),"",60+2*Q154-AM154)</f>
        <v/>
      </c>
      <c r="AO154" s="49" t="str">
        <f aca="false">IF(OR(G154="",AJ154=""),"",AJ154-G154)</f>
        <v/>
      </c>
      <c r="AP154" s="50" t="str">
        <f aca="false">IF(AND(A154="",B154=""),"",IF(J154="","Status needed",IF(OR(J154="Applied",J154="Visit booked",J154="Withdrawn"),"OK",IF(G154="","Date assessed needed",IF(C154="","Date of birth needed",IF(COUNTA(L154,M154,P154,U154,V154,X154)&lt;6,"Band missing",IF(AND(OR(J154="Decision confirmed",J154="Family told",J154="Enrolled"),AG154=""),"Recommendation needed",IF(AND(OR(J154="Family told",J154="Enrolled"),AJ154=""),"Date family told needed","OK"))))))))</f>
        <v/>
      </c>
    </row>
    <row r="155" customFormat="false" ht="15" hidden="false" customHeight="false" outlineLevel="0" collapsed="false">
      <c r="A155" s="7"/>
      <c r="B155" s="7"/>
      <c r="C155" s="46"/>
      <c r="D155" s="7"/>
      <c r="E155" s="47"/>
      <c r="F155" s="46"/>
      <c r="G155" s="46"/>
      <c r="H155" s="7"/>
      <c r="I155" s="7"/>
      <c r="J155" s="47"/>
      <c r="K155" s="47"/>
      <c r="L155" s="47"/>
      <c r="M155" s="47"/>
      <c r="N155" s="47"/>
      <c r="O155" s="10"/>
      <c r="P155" s="47"/>
      <c r="Q155" s="47"/>
      <c r="R155" s="48" t="str">
        <f aca="false">IF(Q155="","",IF(Q155=0,"below 5:00",IF(Q155&gt;=66,"16:00 or above",INT((60+2*Q155)/12)&amp;":"&amp;TEXT(MOD(60+2*Q155,12),"00"))))</f>
        <v/>
      </c>
      <c r="S155" s="47"/>
      <c r="T155" s="47"/>
      <c r="U155" s="47"/>
      <c r="V155" s="47"/>
      <c r="W155" s="47"/>
      <c r="X155" s="47"/>
      <c r="Y155" s="47"/>
      <c r="Z155" s="47"/>
      <c r="AA155" s="10"/>
      <c r="AB155" s="10"/>
      <c r="AC155" s="47"/>
      <c r="AD155" s="47"/>
      <c r="AE155" s="47"/>
      <c r="AF155" s="47"/>
      <c r="AG155" s="47"/>
      <c r="AH155" s="47"/>
      <c r="AI155" s="46"/>
      <c r="AJ155" s="46"/>
      <c r="AK155" s="46"/>
      <c r="AL155" s="7"/>
      <c r="AM155" s="49" t="str">
        <f aca="false">IF(OR(C155="",G155=""),"",IFERROR(DATEDIF(C155,G155,"m"),""))</f>
        <v/>
      </c>
      <c r="AN155" s="49" t="str">
        <f aca="false">IF(OR(Q155="",AM155=""),"",60+2*Q155-AM155)</f>
        <v/>
      </c>
      <c r="AO155" s="49" t="str">
        <f aca="false">IF(OR(G155="",AJ155=""),"",AJ155-G155)</f>
        <v/>
      </c>
      <c r="AP155" s="50" t="str">
        <f aca="false">IF(AND(A155="",B155=""),"",IF(J155="","Status needed",IF(OR(J155="Applied",J155="Visit booked",J155="Withdrawn"),"OK",IF(G155="","Date assessed needed",IF(C155="","Date of birth needed",IF(COUNTA(L155,M155,P155,U155,V155,X155)&lt;6,"Band missing",IF(AND(OR(J155="Decision confirmed",J155="Family told",J155="Enrolled"),AG155=""),"Recommendation needed",IF(AND(OR(J155="Family told",J155="Enrolled"),AJ155=""),"Date family told needed","OK"))))))))</f>
        <v/>
      </c>
    </row>
    <row r="156" customFormat="false" ht="15" hidden="false" customHeight="false" outlineLevel="0" collapsed="false">
      <c r="A156" s="7"/>
      <c r="B156" s="7"/>
      <c r="C156" s="46"/>
      <c r="D156" s="7"/>
      <c r="E156" s="47"/>
      <c r="F156" s="46"/>
      <c r="G156" s="46"/>
      <c r="H156" s="7"/>
      <c r="I156" s="7"/>
      <c r="J156" s="47"/>
      <c r="K156" s="47"/>
      <c r="L156" s="47"/>
      <c r="M156" s="47"/>
      <c r="N156" s="47"/>
      <c r="O156" s="10"/>
      <c r="P156" s="47"/>
      <c r="Q156" s="47"/>
      <c r="R156" s="48" t="str">
        <f aca="false">IF(Q156="","",IF(Q156=0,"below 5:00",IF(Q156&gt;=66,"16:00 or above",INT((60+2*Q156)/12)&amp;":"&amp;TEXT(MOD(60+2*Q156,12),"00"))))</f>
        <v/>
      </c>
      <c r="S156" s="47"/>
      <c r="T156" s="47"/>
      <c r="U156" s="47"/>
      <c r="V156" s="47"/>
      <c r="W156" s="47"/>
      <c r="X156" s="47"/>
      <c r="Y156" s="47"/>
      <c r="Z156" s="47"/>
      <c r="AA156" s="10"/>
      <c r="AB156" s="10"/>
      <c r="AC156" s="47"/>
      <c r="AD156" s="47"/>
      <c r="AE156" s="47"/>
      <c r="AF156" s="47"/>
      <c r="AG156" s="47"/>
      <c r="AH156" s="47"/>
      <c r="AI156" s="46"/>
      <c r="AJ156" s="46"/>
      <c r="AK156" s="46"/>
      <c r="AL156" s="7"/>
      <c r="AM156" s="49" t="str">
        <f aca="false">IF(OR(C156="",G156=""),"",IFERROR(DATEDIF(C156,G156,"m"),""))</f>
        <v/>
      </c>
      <c r="AN156" s="49" t="str">
        <f aca="false">IF(OR(Q156="",AM156=""),"",60+2*Q156-AM156)</f>
        <v/>
      </c>
      <c r="AO156" s="49" t="str">
        <f aca="false">IF(OR(G156="",AJ156=""),"",AJ156-G156)</f>
        <v/>
      </c>
      <c r="AP156" s="50" t="str">
        <f aca="false">IF(AND(A156="",B156=""),"",IF(J156="","Status needed",IF(OR(J156="Applied",J156="Visit booked",J156="Withdrawn"),"OK",IF(G156="","Date assessed needed",IF(C156="","Date of birth needed",IF(COUNTA(L156,M156,P156,U156,V156,X156)&lt;6,"Band missing",IF(AND(OR(J156="Decision confirmed",J156="Family told",J156="Enrolled"),AG156=""),"Recommendation needed",IF(AND(OR(J156="Family told",J156="Enrolled"),AJ156=""),"Date family told needed","OK"))))))))</f>
        <v/>
      </c>
    </row>
    <row r="157" customFormat="false" ht="15" hidden="false" customHeight="false" outlineLevel="0" collapsed="false">
      <c r="A157" s="7"/>
      <c r="B157" s="7"/>
      <c r="C157" s="46"/>
      <c r="D157" s="7"/>
      <c r="E157" s="47"/>
      <c r="F157" s="46"/>
      <c r="G157" s="46"/>
      <c r="H157" s="7"/>
      <c r="I157" s="7"/>
      <c r="J157" s="47"/>
      <c r="K157" s="47"/>
      <c r="L157" s="47"/>
      <c r="M157" s="47"/>
      <c r="N157" s="47"/>
      <c r="O157" s="10"/>
      <c r="P157" s="47"/>
      <c r="Q157" s="47"/>
      <c r="R157" s="48" t="str">
        <f aca="false">IF(Q157="","",IF(Q157=0,"below 5:00",IF(Q157&gt;=66,"16:00 or above",INT((60+2*Q157)/12)&amp;":"&amp;TEXT(MOD(60+2*Q157,12),"00"))))</f>
        <v/>
      </c>
      <c r="S157" s="47"/>
      <c r="T157" s="47"/>
      <c r="U157" s="47"/>
      <c r="V157" s="47"/>
      <c r="W157" s="47"/>
      <c r="X157" s="47"/>
      <c r="Y157" s="47"/>
      <c r="Z157" s="47"/>
      <c r="AA157" s="10"/>
      <c r="AB157" s="10"/>
      <c r="AC157" s="47"/>
      <c r="AD157" s="47"/>
      <c r="AE157" s="47"/>
      <c r="AF157" s="47"/>
      <c r="AG157" s="47"/>
      <c r="AH157" s="47"/>
      <c r="AI157" s="46"/>
      <c r="AJ157" s="46"/>
      <c r="AK157" s="46"/>
      <c r="AL157" s="7"/>
      <c r="AM157" s="49" t="str">
        <f aca="false">IF(OR(C157="",G157=""),"",IFERROR(DATEDIF(C157,G157,"m"),""))</f>
        <v/>
      </c>
      <c r="AN157" s="49" t="str">
        <f aca="false">IF(OR(Q157="",AM157=""),"",60+2*Q157-AM157)</f>
        <v/>
      </c>
      <c r="AO157" s="49" t="str">
        <f aca="false">IF(OR(G157="",AJ157=""),"",AJ157-G157)</f>
        <v/>
      </c>
      <c r="AP157" s="50" t="str">
        <f aca="false">IF(AND(A157="",B157=""),"",IF(J157="","Status needed",IF(OR(J157="Applied",J157="Visit booked",J157="Withdrawn"),"OK",IF(G157="","Date assessed needed",IF(C157="","Date of birth needed",IF(COUNTA(L157,M157,P157,U157,V157,X157)&lt;6,"Band missing",IF(AND(OR(J157="Decision confirmed",J157="Family told",J157="Enrolled"),AG157=""),"Recommendation needed",IF(AND(OR(J157="Family told",J157="Enrolled"),AJ157=""),"Date family told needed","OK"))))))))</f>
        <v/>
      </c>
    </row>
    <row r="158" customFormat="false" ht="15" hidden="false" customHeight="false" outlineLevel="0" collapsed="false">
      <c r="A158" s="7"/>
      <c r="B158" s="7"/>
      <c r="C158" s="46"/>
      <c r="D158" s="7"/>
      <c r="E158" s="47"/>
      <c r="F158" s="46"/>
      <c r="G158" s="46"/>
      <c r="H158" s="7"/>
      <c r="I158" s="7"/>
      <c r="J158" s="47"/>
      <c r="K158" s="47"/>
      <c r="L158" s="47"/>
      <c r="M158" s="47"/>
      <c r="N158" s="47"/>
      <c r="O158" s="10"/>
      <c r="P158" s="47"/>
      <c r="Q158" s="47"/>
      <c r="R158" s="48" t="str">
        <f aca="false">IF(Q158="","",IF(Q158=0,"below 5:00",IF(Q158&gt;=66,"16:00 or above",INT((60+2*Q158)/12)&amp;":"&amp;TEXT(MOD(60+2*Q158,12),"00"))))</f>
        <v/>
      </c>
      <c r="S158" s="47"/>
      <c r="T158" s="47"/>
      <c r="U158" s="47"/>
      <c r="V158" s="47"/>
      <c r="W158" s="47"/>
      <c r="X158" s="47"/>
      <c r="Y158" s="47"/>
      <c r="Z158" s="47"/>
      <c r="AA158" s="10"/>
      <c r="AB158" s="10"/>
      <c r="AC158" s="47"/>
      <c r="AD158" s="47"/>
      <c r="AE158" s="47"/>
      <c r="AF158" s="47"/>
      <c r="AG158" s="47"/>
      <c r="AH158" s="47"/>
      <c r="AI158" s="46"/>
      <c r="AJ158" s="46"/>
      <c r="AK158" s="46"/>
      <c r="AL158" s="7"/>
      <c r="AM158" s="49" t="str">
        <f aca="false">IF(OR(C158="",G158=""),"",IFERROR(DATEDIF(C158,G158,"m"),""))</f>
        <v/>
      </c>
      <c r="AN158" s="49" t="str">
        <f aca="false">IF(OR(Q158="",AM158=""),"",60+2*Q158-AM158)</f>
        <v/>
      </c>
      <c r="AO158" s="49" t="str">
        <f aca="false">IF(OR(G158="",AJ158=""),"",AJ158-G158)</f>
        <v/>
      </c>
      <c r="AP158" s="50" t="str">
        <f aca="false">IF(AND(A158="",B158=""),"",IF(J158="","Status needed",IF(OR(J158="Applied",J158="Visit booked",J158="Withdrawn"),"OK",IF(G158="","Date assessed needed",IF(C158="","Date of birth needed",IF(COUNTA(L158,M158,P158,U158,V158,X158)&lt;6,"Band missing",IF(AND(OR(J158="Decision confirmed",J158="Family told",J158="Enrolled"),AG158=""),"Recommendation needed",IF(AND(OR(J158="Family told",J158="Enrolled"),AJ158=""),"Date family told needed","OK"))))))))</f>
        <v/>
      </c>
    </row>
    <row r="159" customFormat="false" ht="15" hidden="false" customHeight="false" outlineLevel="0" collapsed="false">
      <c r="A159" s="7"/>
      <c r="B159" s="7"/>
      <c r="C159" s="46"/>
      <c r="D159" s="7"/>
      <c r="E159" s="47"/>
      <c r="F159" s="46"/>
      <c r="G159" s="46"/>
      <c r="H159" s="7"/>
      <c r="I159" s="7"/>
      <c r="J159" s="47"/>
      <c r="K159" s="47"/>
      <c r="L159" s="47"/>
      <c r="M159" s="47"/>
      <c r="N159" s="47"/>
      <c r="O159" s="10"/>
      <c r="P159" s="47"/>
      <c r="Q159" s="47"/>
      <c r="R159" s="48" t="str">
        <f aca="false">IF(Q159="","",IF(Q159=0,"below 5:00",IF(Q159&gt;=66,"16:00 or above",INT((60+2*Q159)/12)&amp;":"&amp;TEXT(MOD(60+2*Q159,12),"00"))))</f>
        <v/>
      </c>
      <c r="S159" s="47"/>
      <c r="T159" s="47"/>
      <c r="U159" s="47"/>
      <c r="V159" s="47"/>
      <c r="W159" s="47"/>
      <c r="X159" s="47"/>
      <c r="Y159" s="47"/>
      <c r="Z159" s="47"/>
      <c r="AA159" s="10"/>
      <c r="AB159" s="10"/>
      <c r="AC159" s="47"/>
      <c r="AD159" s="47"/>
      <c r="AE159" s="47"/>
      <c r="AF159" s="47"/>
      <c r="AG159" s="47"/>
      <c r="AH159" s="47"/>
      <c r="AI159" s="46"/>
      <c r="AJ159" s="46"/>
      <c r="AK159" s="46"/>
      <c r="AL159" s="7"/>
      <c r="AM159" s="49" t="str">
        <f aca="false">IF(OR(C159="",G159=""),"",IFERROR(DATEDIF(C159,G159,"m"),""))</f>
        <v/>
      </c>
      <c r="AN159" s="49" t="str">
        <f aca="false">IF(OR(Q159="",AM159=""),"",60+2*Q159-AM159)</f>
        <v/>
      </c>
      <c r="AO159" s="49" t="str">
        <f aca="false">IF(OR(G159="",AJ159=""),"",AJ159-G159)</f>
        <v/>
      </c>
      <c r="AP159" s="50" t="str">
        <f aca="false">IF(AND(A159="",B159=""),"",IF(J159="","Status needed",IF(OR(J159="Applied",J159="Visit booked",J159="Withdrawn"),"OK",IF(G159="","Date assessed needed",IF(C159="","Date of birth needed",IF(COUNTA(L159,M159,P159,U159,V159,X159)&lt;6,"Band missing",IF(AND(OR(J159="Decision confirmed",J159="Family told",J159="Enrolled"),AG159=""),"Recommendation needed",IF(AND(OR(J159="Family told",J159="Enrolled"),AJ159=""),"Date family told needed","OK"))))))))</f>
        <v/>
      </c>
    </row>
    <row r="160" customFormat="false" ht="15" hidden="false" customHeight="false" outlineLevel="0" collapsed="false">
      <c r="A160" s="7"/>
      <c r="B160" s="7"/>
      <c r="C160" s="46"/>
      <c r="D160" s="7"/>
      <c r="E160" s="47"/>
      <c r="F160" s="46"/>
      <c r="G160" s="46"/>
      <c r="H160" s="7"/>
      <c r="I160" s="7"/>
      <c r="J160" s="47"/>
      <c r="K160" s="47"/>
      <c r="L160" s="47"/>
      <c r="M160" s="47"/>
      <c r="N160" s="47"/>
      <c r="O160" s="10"/>
      <c r="P160" s="47"/>
      <c r="Q160" s="47"/>
      <c r="R160" s="48" t="str">
        <f aca="false">IF(Q160="","",IF(Q160=0,"below 5:00",IF(Q160&gt;=66,"16:00 or above",INT((60+2*Q160)/12)&amp;":"&amp;TEXT(MOD(60+2*Q160,12),"00"))))</f>
        <v/>
      </c>
      <c r="S160" s="47"/>
      <c r="T160" s="47"/>
      <c r="U160" s="47"/>
      <c r="V160" s="47"/>
      <c r="W160" s="47"/>
      <c r="X160" s="47"/>
      <c r="Y160" s="47"/>
      <c r="Z160" s="47"/>
      <c r="AA160" s="10"/>
      <c r="AB160" s="10"/>
      <c r="AC160" s="47"/>
      <c r="AD160" s="47"/>
      <c r="AE160" s="47"/>
      <c r="AF160" s="47"/>
      <c r="AG160" s="47"/>
      <c r="AH160" s="47"/>
      <c r="AI160" s="46"/>
      <c r="AJ160" s="46"/>
      <c r="AK160" s="46"/>
      <c r="AL160" s="7"/>
      <c r="AM160" s="49" t="str">
        <f aca="false">IF(OR(C160="",G160=""),"",IFERROR(DATEDIF(C160,G160,"m"),""))</f>
        <v/>
      </c>
      <c r="AN160" s="49" t="str">
        <f aca="false">IF(OR(Q160="",AM160=""),"",60+2*Q160-AM160)</f>
        <v/>
      </c>
      <c r="AO160" s="49" t="str">
        <f aca="false">IF(OR(G160="",AJ160=""),"",AJ160-G160)</f>
        <v/>
      </c>
      <c r="AP160" s="50" t="str">
        <f aca="false">IF(AND(A160="",B160=""),"",IF(J160="","Status needed",IF(OR(J160="Applied",J160="Visit booked",J160="Withdrawn"),"OK",IF(G160="","Date assessed needed",IF(C160="","Date of birth needed",IF(COUNTA(L160,M160,P160,U160,V160,X160)&lt;6,"Band missing",IF(AND(OR(J160="Decision confirmed",J160="Family told",J160="Enrolled"),AG160=""),"Recommendation needed",IF(AND(OR(J160="Family told",J160="Enrolled"),AJ160=""),"Date family told needed","OK"))))))))</f>
        <v/>
      </c>
    </row>
    <row r="161" customFormat="false" ht="15" hidden="false" customHeight="false" outlineLevel="0" collapsed="false">
      <c r="A161" s="7"/>
      <c r="B161" s="7"/>
      <c r="C161" s="46"/>
      <c r="D161" s="7"/>
      <c r="E161" s="47"/>
      <c r="F161" s="46"/>
      <c r="G161" s="46"/>
      <c r="H161" s="7"/>
      <c r="I161" s="7"/>
      <c r="J161" s="47"/>
      <c r="K161" s="47"/>
      <c r="L161" s="47"/>
      <c r="M161" s="47"/>
      <c r="N161" s="47"/>
      <c r="O161" s="10"/>
      <c r="P161" s="47"/>
      <c r="Q161" s="47"/>
      <c r="R161" s="48" t="str">
        <f aca="false">IF(Q161="","",IF(Q161=0,"below 5:00",IF(Q161&gt;=66,"16:00 or above",INT((60+2*Q161)/12)&amp;":"&amp;TEXT(MOD(60+2*Q161,12),"00"))))</f>
        <v/>
      </c>
      <c r="S161" s="47"/>
      <c r="T161" s="47"/>
      <c r="U161" s="47"/>
      <c r="V161" s="47"/>
      <c r="W161" s="47"/>
      <c r="X161" s="47"/>
      <c r="Y161" s="47"/>
      <c r="Z161" s="47"/>
      <c r="AA161" s="10"/>
      <c r="AB161" s="10"/>
      <c r="AC161" s="47"/>
      <c r="AD161" s="47"/>
      <c r="AE161" s="47"/>
      <c r="AF161" s="47"/>
      <c r="AG161" s="47"/>
      <c r="AH161" s="47"/>
      <c r="AI161" s="46"/>
      <c r="AJ161" s="46"/>
      <c r="AK161" s="46"/>
      <c r="AL161" s="7"/>
      <c r="AM161" s="49" t="str">
        <f aca="false">IF(OR(C161="",G161=""),"",IFERROR(DATEDIF(C161,G161,"m"),""))</f>
        <v/>
      </c>
      <c r="AN161" s="49" t="str">
        <f aca="false">IF(OR(Q161="",AM161=""),"",60+2*Q161-AM161)</f>
        <v/>
      </c>
      <c r="AO161" s="49" t="str">
        <f aca="false">IF(OR(G161="",AJ161=""),"",AJ161-G161)</f>
        <v/>
      </c>
      <c r="AP161" s="50" t="str">
        <f aca="false">IF(AND(A161="",B161=""),"",IF(J161="","Status needed",IF(OR(J161="Applied",J161="Visit booked",J161="Withdrawn"),"OK",IF(G161="","Date assessed needed",IF(C161="","Date of birth needed",IF(COUNTA(L161,M161,P161,U161,V161,X161)&lt;6,"Band missing",IF(AND(OR(J161="Decision confirmed",J161="Family told",J161="Enrolled"),AG161=""),"Recommendation needed",IF(AND(OR(J161="Family told",J161="Enrolled"),AJ161=""),"Date family told needed","OK"))))))))</f>
        <v/>
      </c>
    </row>
    <row r="162" customFormat="false" ht="15" hidden="false" customHeight="false" outlineLevel="0" collapsed="false">
      <c r="A162" s="7"/>
      <c r="B162" s="7"/>
      <c r="C162" s="46"/>
      <c r="D162" s="7"/>
      <c r="E162" s="47"/>
      <c r="F162" s="46"/>
      <c r="G162" s="46"/>
      <c r="H162" s="7"/>
      <c r="I162" s="7"/>
      <c r="J162" s="47"/>
      <c r="K162" s="47"/>
      <c r="L162" s="47"/>
      <c r="M162" s="47"/>
      <c r="N162" s="47"/>
      <c r="O162" s="10"/>
      <c r="P162" s="47"/>
      <c r="Q162" s="47"/>
      <c r="R162" s="48" t="str">
        <f aca="false">IF(Q162="","",IF(Q162=0,"below 5:00",IF(Q162&gt;=66,"16:00 or above",INT((60+2*Q162)/12)&amp;":"&amp;TEXT(MOD(60+2*Q162,12),"00"))))</f>
        <v/>
      </c>
      <c r="S162" s="47"/>
      <c r="T162" s="47"/>
      <c r="U162" s="47"/>
      <c r="V162" s="47"/>
      <c r="W162" s="47"/>
      <c r="X162" s="47"/>
      <c r="Y162" s="47"/>
      <c r="Z162" s="47"/>
      <c r="AA162" s="10"/>
      <c r="AB162" s="10"/>
      <c r="AC162" s="47"/>
      <c r="AD162" s="47"/>
      <c r="AE162" s="47"/>
      <c r="AF162" s="47"/>
      <c r="AG162" s="47"/>
      <c r="AH162" s="47"/>
      <c r="AI162" s="46"/>
      <c r="AJ162" s="46"/>
      <c r="AK162" s="46"/>
      <c r="AL162" s="7"/>
      <c r="AM162" s="49" t="str">
        <f aca="false">IF(OR(C162="",G162=""),"",IFERROR(DATEDIF(C162,G162,"m"),""))</f>
        <v/>
      </c>
      <c r="AN162" s="49" t="str">
        <f aca="false">IF(OR(Q162="",AM162=""),"",60+2*Q162-AM162)</f>
        <v/>
      </c>
      <c r="AO162" s="49" t="str">
        <f aca="false">IF(OR(G162="",AJ162=""),"",AJ162-G162)</f>
        <v/>
      </c>
      <c r="AP162" s="50" t="str">
        <f aca="false">IF(AND(A162="",B162=""),"",IF(J162="","Status needed",IF(OR(J162="Applied",J162="Visit booked",J162="Withdrawn"),"OK",IF(G162="","Date assessed needed",IF(C162="","Date of birth needed",IF(COUNTA(L162,M162,P162,U162,V162,X162)&lt;6,"Band missing",IF(AND(OR(J162="Decision confirmed",J162="Family told",J162="Enrolled"),AG162=""),"Recommendation needed",IF(AND(OR(J162="Family told",J162="Enrolled"),AJ162=""),"Date family told needed","OK"))))))))</f>
        <v/>
      </c>
    </row>
    <row r="163" customFormat="false" ht="15" hidden="false" customHeight="false" outlineLevel="0" collapsed="false">
      <c r="A163" s="7"/>
      <c r="B163" s="7"/>
      <c r="C163" s="46"/>
      <c r="D163" s="7"/>
      <c r="E163" s="47"/>
      <c r="F163" s="46"/>
      <c r="G163" s="46"/>
      <c r="H163" s="7"/>
      <c r="I163" s="7"/>
      <c r="J163" s="47"/>
      <c r="K163" s="47"/>
      <c r="L163" s="47"/>
      <c r="M163" s="47"/>
      <c r="N163" s="47"/>
      <c r="O163" s="10"/>
      <c r="P163" s="47"/>
      <c r="Q163" s="47"/>
      <c r="R163" s="48" t="str">
        <f aca="false">IF(Q163="","",IF(Q163=0,"below 5:00",IF(Q163&gt;=66,"16:00 or above",INT((60+2*Q163)/12)&amp;":"&amp;TEXT(MOD(60+2*Q163,12),"00"))))</f>
        <v/>
      </c>
      <c r="S163" s="47"/>
      <c r="T163" s="47"/>
      <c r="U163" s="47"/>
      <c r="V163" s="47"/>
      <c r="W163" s="47"/>
      <c r="X163" s="47"/>
      <c r="Y163" s="47"/>
      <c r="Z163" s="47"/>
      <c r="AA163" s="10"/>
      <c r="AB163" s="10"/>
      <c r="AC163" s="47"/>
      <c r="AD163" s="47"/>
      <c r="AE163" s="47"/>
      <c r="AF163" s="47"/>
      <c r="AG163" s="47"/>
      <c r="AH163" s="47"/>
      <c r="AI163" s="46"/>
      <c r="AJ163" s="46"/>
      <c r="AK163" s="46"/>
      <c r="AL163" s="7"/>
      <c r="AM163" s="49" t="str">
        <f aca="false">IF(OR(C163="",G163=""),"",IFERROR(DATEDIF(C163,G163,"m"),""))</f>
        <v/>
      </c>
      <c r="AN163" s="49" t="str">
        <f aca="false">IF(OR(Q163="",AM163=""),"",60+2*Q163-AM163)</f>
        <v/>
      </c>
      <c r="AO163" s="49" t="str">
        <f aca="false">IF(OR(G163="",AJ163=""),"",AJ163-G163)</f>
        <v/>
      </c>
      <c r="AP163" s="50" t="str">
        <f aca="false">IF(AND(A163="",B163=""),"",IF(J163="","Status needed",IF(OR(J163="Applied",J163="Visit booked",J163="Withdrawn"),"OK",IF(G163="","Date assessed needed",IF(C163="","Date of birth needed",IF(COUNTA(L163,M163,P163,U163,V163,X163)&lt;6,"Band missing",IF(AND(OR(J163="Decision confirmed",J163="Family told",J163="Enrolled"),AG163=""),"Recommendation needed",IF(AND(OR(J163="Family told",J163="Enrolled"),AJ163=""),"Date family told needed","OK"))))))))</f>
        <v/>
      </c>
    </row>
    <row r="164" customFormat="false" ht="15" hidden="false" customHeight="false" outlineLevel="0" collapsed="false">
      <c r="A164" s="7"/>
      <c r="B164" s="7"/>
      <c r="C164" s="46"/>
      <c r="D164" s="7"/>
      <c r="E164" s="47"/>
      <c r="F164" s="46"/>
      <c r="G164" s="46"/>
      <c r="H164" s="7"/>
      <c r="I164" s="7"/>
      <c r="J164" s="47"/>
      <c r="K164" s="47"/>
      <c r="L164" s="47"/>
      <c r="M164" s="47"/>
      <c r="N164" s="47"/>
      <c r="O164" s="10"/>
      <c r="P164" s="47"/>
      <c r="Q164" s="47"/>
      <c r="R164" s="48" t="str">
        <f aca="false">IF(Q164="","",IF(Q164=0,"below 5:00",IF(Q164&gt;=66,"16:00 or above",INT((60+2*Q164)/12)&amp;":"&amp;TEXT(MOD(60+2*Q164,12),"00"))))</f>
        <v/>
      </c>
      <c r="S164" s="47"/>
      <c r="T164" s="47"/>
      <c r="U164" s="47"/>
      <c r="V164" s="47"/>
      <c r="W164" s="47"/>
      <c r="X164" s="47"/>
      <c r="Y164" s="47"/>
      <c r="Z164" s="47"/>
      <c r="AA164" s="10"/>
      <c r="AB164" s="10"/>
      <c r="AC164" s="47"/>
      <c r="AD164" s="47"/>
      <c r="AE164" s="47"/>
      <c r="AF164" s="47"/>
      <c r="AG164" s="47"/>
      <c r="AH164" s="47"/>
      <c r="AI164" s="46"/>
      <c r="AJ164" s="46"/>
      <c r="AK164" s="46"/>
      <c r="AL164" s="7"/>
      <c r="AM164" s="49" t="str">
        <f aca="false">IF(OR(C164="",G164=""),"",IFERROR(DATEDIF(C164,G164,"m"),""))</f>
        <v/>
      </c>
      <c r="AN164" s="49" t="str">
        <f aca="false">IF(OR(Q164="",AM164=""),"",60+2*Q164-AM164)</f>
        <v/>
      </c>
      <c r="AO164" s="49" t="str">
        <f aca="false">IF(OR(G164="",AJ164=""),"",AJ164-G164)</f>
        <v/>
      </c>
      <c r="AP164" s="50" t="str">
        <f aca="false">IF(AND(A164="",B164=""),"",IF(J164="","Status needed",IF(OR(J164="Applied",J164="Visit booked",J164="Withdrawn"),"OK",IF(G164="","Date assessed needed",IF(C164="","Date of birth needed",IF(COUNTA(L164,M164,P164,U164,V164,X164)&lt;6,"Band missing",IF(AND(OR(J164="Decision confirmed",J164="Family told",J164="Enrolled"),AG164=""),"Recommendation needed",IF(AND(OR(J164="Family told",J164="Enrolled"),AJ164=""),"Date family told needed","OK"))))))))</f>
        <v/>
      </c>
    </row>
    <row r="165" customFormat="false" ht="15" hidden="false" customHeight="false" outlineLevel="0" collapsed="false">
      <c r="A165" s="7"/>
      <c r="B165" s="7"/>
      <c r="C165" s="46"/>
      <c r="D165" s="7"/>
      <c r="E165" s="47"/>
      <c r="F165" s="46"/>
      <c r="G165" s="46"/>
      <c r="H165" s="7"/>
      <c r="I165" s="7"/>
      <c r="J165" s="47"/>
      <c r="K165" s="47"/>
      <c r="L165" s="47"/>
      <c r="M165" s="47"/>
      <c r="N165" s="47"/>
      <c r="O165" s="10"/>
      <c r="P165" s="47"/>
      <c r="Q165" s="47"/>
      <c r="R165" s="48" t="str">
        <f aca="false">IF(Q165="","",IF(Q165=0,"below 5:00",IF(Q165&gt;=66,"16:00 or above",INT((60+2*Q165)/12)&amp;":"&amp;TEXT(MOD(60+2*Q165,12),"00"))))</f>
        <v/>
      </c>
      <c r="S165" s="47"/>
      <c r="T165" s="47"/>
      <c r="U165" s="47"/>
      <c r="V165" s="47"/>
      <c r="W165" s="47"/>
      <c r="X165" s="47"/>
      <c r="Y165" s="47"/>
      <c r="Z165" s="47"/>
      <c r="AA165" s="10"/>
      <c r="AB165" s="10"/>
      <c r="AC165" s="47"/>
      <c r="AD165" s="47"/>
      <c r="AE165" s="47"/>
      <c r="AF165" s="47"/>
      <c r="AG165" s="47"/>
      <c r="AH165" s="47"/>
      <c r="AI165" s="46"/>
      <c r="AJ165" s="46"/>
      <c r="AK165" s="46"/>
      <c r="AL165" s="7"/>
      <c r="AM165" s="49" t="str">
        <f aca="false">IF(OR(C165="",G165=""),"",IFERROR(DATEDIF(C165,G165,"m"),""))</f>
        <v/>
      </c>
      <c r="AN165" s="49" t="str">
        <f aca="false">IF(OR(Q165="",AM165=""),"",60+2*Q165-AM165)</f>
        <v/>
      </c>
      <c r="AO165" s="49" t="str">
        <f aca="false">IF(OR(G165="",AJ165=""),"",AJ165-G165)</f>
        <v/>
      </c>
      <c r="AP165" s="50" t="str">
        <f aca="false">IF(AND(A165="",B165=""),"",IF(J165="","Status needed",IF(OR(J165="Applied",J165="Visit booked",J165="Withdrawn"),"OK",IF(G165="","Date assessed needed",IF(C165="","Date of birth needed",IF(COUNTA(L165,M165,P165,U165,V165,X165)&lt;6,"Band missing",IF(AND(OR(J165="Decision confirmed",J165="Family told",J165="Enrolled"),AG165=""),"Recommendation needed",IF(AND(OR(J165="Family told",J165="Enrolled"),AJ165=""),"Date family told needed","OK"))))))))</f>
        <v/>
      </c>
    </row>
    <row r="166" customFormat="false" ht="15" hidden="false" customHeight="false" outlineLevel="0" collapsed="false">
      <c r="A166" s="7"/>
      <c r="B166" s="7"/>
      <c r="C166" s="46"/>
      <c r="D166" s="7"/>
      <c r="E166" s="47"/>
      <c r="F166" s="46"/>
      <c r="G166" s="46"/>
      <c r="H166" s="7"/>
      <c r="I166" s="7"/>
      <c r="J166" s="47"/>
      <c r="K166" s="47"/>
      <c r="L166" s="47"/>
      <c r="M166" s="47"/>
      <c r="N166" s="47"/>
      <c r="O166" s="10"/>
      <c r="P166" s="47"/>
      <c r="Q166" s="47"/>
      <c r="R166" s="48" t="str">
        <f aca="false">IF(Q166="","",IF(Q166=0,"below 5:00",IF(Q166&gt;=66,"16:00 or above",INT((60+2*Q166)/12)&amp;":"&amp;TEXT(MOD(60+2*Q166,12),"00"))))</f>
        <v/>
      </c>
      <c r="S166" s="47"/>
      <c r="T166" s="47"/>
      <c r="U166" s="47"/>
      <c r="V166" s="47"/>
      <c r="W166" s="47"/>
      <c r="X166" s="47"/>
      <c r="Y166" s="47"/>
      <c r="Z166" s="47"/>
      <c r="AA166" s="10"/>
      <c r="AB166" s="10"/>
      <c r="AC166" s="47"/>
      <c r="AD166" s="47"/>
      <c r="AE166" s="47"/>
      <c r="AF166" s="47"/>
      <c r="AG166" s="47"/>
      <c r="AH166" s="47"/>
      <c r="AI166" s="46"/>
      <c r="AJ166" s="46"/>
      <c r="AK166" s="46"/>
      <c r="AL166" s="7"/>
      <c r="AM166" s="49" t="str">
        <f aca="false">IF(OR(C166="",G166=""),"",IFERROR(DATEDIF(C166,G166,"m"),""))</f>
        <v/>
      </c>
      <c r="AN166" s="49" t="str">
        <f aca="false">IF(OR(Q166="",AM166=""),"",60+2*Q166-AM166)</f>
        <v/>
      </c>
      <c r="AO166" s="49" t="str">
        <f aca="false">IF(OR(G166="",AJ166=""),"",AJ166-G166)</f>
        <v/>
      </c>
      <c r="AP166" s="50" t="str">
        <f aca="false">IF(AND(A166="",B166=""),"",IF(J166="","Status needed",IF(OR(J166="Applied",J166="Visit booked",J166="Withdrawn"),"OK",IF(G166="","Date assessed needed",IF(C166="","Date of birth needed",IF(COUNTA(L166,M166,P166,U166,V166,X166)&lt;6,"Band missing",IF(AND(OR(J166="Decision confirmed",J166="Family told",J166="Enrolled"),AG166=""),"Recommendation needed",IF(AND(OR(J166="Family told",J166="Enrolled"),AJ166=""),"Date family told needed","OK"))))))))</f>
        <v/>
      </c>
    </row>
    <row r="167" customFormat="false" ht="15" hidden="false" customHeight="false" outlineLevel="0" collapsed="false">
      <c r="A167" s="7"/>
      <c r="B167" s="7"/>
      <c r="C167" s="46"/>
      <c r="D167" s="7"/>
      <c r="E167" s="47"/>
      <c r="F167" s="46"/>
      <c r="G167" s="46"/>
      <c r="H167" s="7"/>
      <c r="I167" s="7"/>
      <c r="J167" s="47"/>
      <c r="K167" s="47"/>
      <c r="L167" s="47"/>
      <c r="M167" s="47"/>
      <c r="N167" s="47"/>
      <c r="O167" s="10"/>
      <c r="P167" s="47"/>
      <c r="Q167" s="47"/>
      <c r="R167" s="48" t="str">
        <f aca="false">IF(Q167="","",IF(Q167=0,"below 5:00",IF(Q167&gt;=66,"16:00 or above",INT((60+2*Q167)/12)&amp;":"&amp;TEXT(MOD(60+2*Q167,12),"00"))))</f>
        <v/>
      </c>
      <c r="S167" s="47"/>
      <c r="T167" s="47"/>
      <c r="U167" s="47"/>
      <c r="V167" s="47"/>
      <c r="W167" s="47"/>
      <c r="X167" s="47"/>
      <c r="Y167" s="47"/>
      <c r="Z167" s="47"/>
      <c r="AA167" s="10"/>
      <c r="AB167" s="10"/>
      <c r="AC167" s="47"/>
      <c r="AD167" s="47"/>
      <c r="AE167" s="47"/>
      <c r="AF167" s="47"/>
      <c r="AG167" s="47"/>
      <c r="AH167" s="47"/>
      <c r="AI167" s="46"/>
      <c r="AJ167" s="46"/>
      <c r="AK167" s="46"/>
      <c r="AL167" s="7"/>
      <c r="AM167" s="49" t="str">
        <f aca="false">IF(OR(C167="",G167=""),"",IFERROR(DATEDIF(C167,G167,"m"),""))</f>
        <v/>
      </c>
      <c r="AN167" s="49" t="str">
        <f aca="false">IF(OR(Q167="",AM167=""),"",60+2*Q167-AM167)</f>
        <v/>
      </c>
      <c r="AO167" s="49" t="str">
        <f aca="false">IF(OR(G167="",AJ167=""),"",AJ167-G167)</f>
        <v/>
      </c>
      <c r="AP167" s="50" t="str">
        <f aca="false">IF(AND(A167="",B167=""),"",IF(J167="","Status needed",IF(OR(J167="Applied",J167="Visit booked",J167="Withdrawn"),"OK",IF(G167="","Date assessed needed",IF(C167="","Date of birth needed",IF(COUNTA(L167,M167,P167,U167,V167,X167)&lt;6,"Band missing",IF(AND(OR(J167="Decision confirmed",J167="Family told",J167="Enrolled"),AG167=""),"Recommendation needed",IF(AND(OR(J167="Family told",J167="Enrolled"),AJ167=""),"Date family told needed","OK"))))))))</f>
        <v/>
      </c>
    </row>
    <row r="168" customFormat="false" ht="15" hidden="false" customHeight="false" outlineLevel="0" collapsed="false">
      <c r="A168" s="7"/>
      <c r="B168" s="7"/>
      <c r="C168" s="46"/>
      <c r="D168" s="7"/>
      <c r="E168" s="47"/>
      <c r="F168" s="46"/>
      <c r="G168" s="46"/>
      <c r="H168" s="7"/>
      <c r="I168" s="7"/>
      <c r="J168" s="47"/>
      <c r="K168" s="47"/>
      <c r="L168" s="47"/>
      <c r="M168" s="47"/>
      <c r="N168" s="47"/>
      <c r="O168" s="10"/>
      <c r="P168" s="47"/>
      <c r="Q168" s="47"/>
      <c r="R168" s="48" t="str">
        <f aca="false">IF(Q168="","",IF(Q168=0,"below 5:00",IF(Q168&gt;=66,"16:00 or above",INT((60+2*Q168)/12)&amp;":"&amp;TEXT(MOD(60+2*Q168,12),"00"))))</f>
        <v/>
      </c>
      <c r="S168" s="47"/>
      <c r="T168" s="47"/>
      <c r="U168" s="47"/>
      <c r="V168" s="47"/>
      <c r="W168" s="47"/>
      <c r="X168" s="47"/>
      <c r="Y168" s="47"/>
      <c r="Z168" s="47"/>
      <c r="AA168" s="10"/>
      <c r="AB168" s="10"/>
      <c r="AC168" s="47"/>
      <c r="AD168" s="47"/>
      <c r="AE168" s="47"/>
      <c r="AF168" s="47"/>
      <c r="AG168" s="47"/>
      <c r="AH168" s="47"/>
      <c r="AI168" s="46"/>
      <c r="AJ168" s="46"/>
      <c r="AK168" s="46"/>
      <c r="AL168" s="7"/>
      <c r="AM168" s="49" t="str">
        <f aca="false">IF(OR(C168="",G168=""),"",IFERROR(DATEDIF(C168,G168,"m"),""))</f>
        <v/>
      </c>
      <c r="AN168" s="49" t="str">
        <f aca="false">IF(OR(Q168="",AM168=""),"",60+2*Q168-AM168)</f>
        <v/>
      </c>
      <c r="AO168" s="49" t="str">
        <f aca="false">IF(OR(G168="",AJ168=""),"",AJ168-G168)</f>
        <v/>
      </c>
      <c r="AP168" s="50" t="str">
        <f aca="false">IF(AND(A168="",B168=""),"",IF(J168="","Status needed",IF(OR(J168="Applied",J168="Visit booked",J168="Withdrawn"),"OK",IF(G168="","Date assessed needed",IF(C168="","Date of birth needed",IF(COUNTA(L168,M168,P168,U168,V168,X168)&lt;6,"Band missing",IF(AND(OR(J168="Decision confirmed",J168="Family told",J168="Enrolled"),AG168=""),"Recommendation needed",IF(AND(OR(J168="Family told",J168="Enrolled"),AJ168=""),"Date family told needed","OK"))))))))</f>
        <v/>
      </c>
    </row>
    <row r="169" customFormat="false" ht="15" hidden="false" customHeight="false" outlineLevel="0" collapsed="false">
      <c r="A169" s="7"/>
      <c r="B169" s="7"/>
      <c r="C169" s="46"/>
      <c r="D169" s="7"/>
      <c r="E169" s="47"/>
      <c r="F169" s="46"/>
      <c r="G169" s="46"/>
      <c r="H169" s="7"/>
      <c r="I169" s="7"/>
      <c r="J169" s="47"/>
      <c r="K169" s="47"/>
      <c r="L169" s="47"/>
      <c r="M169" s="47"/>
      <c r="N169" s="47"/>
      <c r="O169" s="10"/>
      <c r="P169" s="47"/>
      <c r="Q169" s="47"/>
      <c r="R169" s="48" t="str">
        <f aca="false">IF(Q169="","",IF(Q169=0,"below 5:00",IF(Q169&gt;=66,"16:00 or above",INT((60+2*Q169)/12)&amp;":"&amp;TEXT(MOD(60+2*Q169,12),"00"))))</f>
        <v/>
      </c>
      <c r="S169" s="47"/>
      <c r="T169" s="47"/>
      <c r="U169" s="47"/>
      <c r="V169" s="47"/>
      <c r="W169" s="47"/>
      <c r="X169" s="47"/>
      <c r="Y169" s="47"/>
      <c r="Z169" s="47"/>
      <c r="AA169" s="10"/>
      <c r="AB169" s="10"/>
      <c r="AC169" s="47"/>
      <c r="AD169" s="47"/>
      <c r="AE169" s="47"/>
      <c r="AF169" s="47"/>
      <c r="AG169" s="47"/>
      <c r="AH169" s="47"/>
      <c r="AI169" s="46"/>
      <c r="AJ169" s="46"/>
      <c r="AK169" s="46"/>
      <c r="AL169" s="7"/>
      <c r="AM169" s="49" t="str">
        <f aca="false">IF(OR(C169="",G169=""),"",IFERROR(DATEDIF(C169,G169,"m"),""))</f>
        <v/>
      </c>
      <c r="AN169" s="49" t="str">
        <f aca="false">IF(OR(Q169="",AM169=""),"",60+2*Q169-AM169)</f>
        <v/>
      </c>
      <c r="AO169" s="49" t="str">
        <f aca="false">IF(OR(G169="",AJ169=""),"",AJ169-G169)</f>
        <v/>
      </c>
      <c r="AP169" s="50" t="str">
        <f aca="false">IF(AND(A169="",B169=""),"",IF(J169="","Status needed",IF(OR(J169="Applied",J169="Visit booked",J169="Withdrawn"),"OK",IF(G169="","Date assessed needed",IF(C169="","Date of birth needed",IF(COUNTA(L169,M169,P169,U169,V169,X169)&lt;6,"Band missing",IF(AND(OR(J169="Decision confirmed",J169="Family told",J169="Enrolled"),AG169=""),"Recommendation needed",IF(AND(OR(J169="Family told",J169="Enrolled"),AJ169=""),"Date family told needed","OK"))))))))</f>
        <v/>
      </c>
    </row>
    <row r="170" customFormat="false" ht="15" hidden="false" customHeight="false" outlineLevel="0" collapsed="false">
      <c r="A170" s="7"/>
      <c r="B170" s="7"/>
      <c r="C170" s="46"/>
      <c r="D170" s="7"/>
      <c r="E170" s="47"/>
      <c r="F170" s="46"/>
      <c r="G170" s="46"/>
      <c r="H170" s="7"/>
      <c r="I170" s="7"/>
      <c r="J170" s="47"/>
      <c r="K170" s="47"/>
      <c r="L170" s="47"/>
      <c r="M170" s="47"/>
      <c r="N170" s="47"/>
      <c r="O170" s="10"/>
      <c r="P170" s="47"/>
      <c r="Q170" s="47"/>
      <c r="R170" s="48" t="str">
        <f aca="false">IF(Q170="","",IF(Q170=0,"below 5:00",IF(Q170&gt;=66,"16:00 or above",INT((60+2*Q170)/12)&amp;":"&amp;TEXT(MOD(60+2*Q170,12),"00"))))</f>
        <v/>
      </c>
      <c r="S170" s="47"/>
      <c r="T170" s="47"/>
      <c r="U170" s="47"/>
      <c r="V170" s="47"/>
      <c r="W170" s="47"/>
      <c r="X170" s="47"/>
      <c r="Y170" s="47"/>
      <c r="Z170" s="47"/>
      <c r="AA170" s="10"/>
      <c r="AB170" s="10"/>
      <c r="AC170" s="47"/>
      <c r="AD170" s="47"/>
      <c r="AE170" s="47"/>
      <c r="AF170" s="47"/>
      <c r="AG170" s="47"/>
      <c r="AH170" s="47"/>
      <c r="AI170" s="46"/>
      <c r="AJ170" s="46"/>
      <c r="AK170" s="46"/>
      <c r="AL170" s="7"/>
      <c r="AM170" s="49" t="str">
        <f aca="false">IF(OR(C170="",G170=""),"",IFERROR(DATEDIF(C170,G170,"m"),""))</f>
        <v/>
      </c>
      <c r="AN170" s="49" t="str">
        <f aca="false">IF(OR(Q170="",AM170=""),"",60+2*Q170-AM170)</f>
        <v/>
      </c>
      <c r="AO170" s="49" t="str">
        <f aca="false">IF(OR(G170="",AJ170=""),"",AJ170-G170)</f>
        <v/>
      </c>
      <c r="AP170" s="50" t="str">
        <f aca="false">IF(AND(A170="",B170=""),"",IF(J170="","Status needed",IF(OR(J170="Applied",J170="Visit booked",J170="Withdrawn"),"OK",IF(G170="","Date assessed needed",IF(C170="","Date of birth needed",IF(COUNTA(L170,M170,P170,U170,V170,X170)&lt;6,"Band missing",IF(AND(OR(J170="Decision confirmed",J170="Family told",J170="Enrolled"),AG170=""),"Recommendation needed",IF(AND(OR(J170="Family told",J170="Enrolled"),AJ170=""),"Date family told needed","OK"))))))))</f>
        <v/>
      </c>
    </row>
    <row r="171" customFormat="false" ht="15" hidden="false" customHeight="false" outlineLevel="0" collapsed="false">
      <c r="A171" s="7"/>
      <c r="B171" s="7"/>
      <c r="C171" s="46"/>
      <c r="D171" s="7"/>
      <c r="E171" s="47"/>
      <c r="F171" s="46"/>
      <c r="G171" s="46"/>
      <c r="H171" s="7"/>
      <c r="I171" s="7"/>
      <c r="J171" s="47"/>
      <c r="K171" s="47"/>
      <c r="L171" s="47"/>
      <c r="M171" s="47"/>
      <c r="N171" s="47"/>
      <c r="O171" s="10"/>
      <c r="P171" s="47"/>
      <c r="Q171" s="47"/>
      <c r="R171" s="48" t="str">
        <f aca="false">IF(Q171="","",IF(Q171=0,"below 5:00",IF(Q171&gt;=66,"16:00 or above",INT((60+2*Q171)/12)&amp;":"&amp;TEXT(MOD(60+2*Q171,12),"00"))))</f>
        <v/>
      </c>
      <c r="S171" s="47"/>
      <c r="T171" s="47"/>
      <c r="U171" s="47"/>
      <c r="V171" s="47"/>
      <c r="W171" s="47"/>
      <c r="X171" s="47"/>
      <c r="Y171" s="47"/>
      <c r="Z171" s="47"/>
      <c r="AA171" s="10"/>
      <c r="AB171" s="10"/>
      <c r="AC171" s="47"/>
      <c r="AD171" s="47"/>
      <c r="AE171" s="47"/>
      <c r="AF171" s="47"/>
      <c r="AG171" s="47"/>
      <c r="AH171" s="47"/>
      <c r="AI171" s="46"/>
      <c r="AJ171" s="46"/>
      <c r="AK171" s="46"/>
      <c r="AL171" s="7"/>
      <c r="AM171" s="49" t="str">
        <f aca="false">IF(OR(C171="",G171=""),"",IFERROR(DATEDIF(C171,G171,"m"),""))</f>
        <v/>
      </c>
      <c r="AN171" s="49" t="str">
        <f aca="false">IF(OR(Q171="",AM171=""),"",60+2*Q171-AM171)</f>
        <v/>
      </c>
      <c r="AO171" s="49" t="str">
        <f aca="false">IF(OR(G171="",AJ171=""),"",AJ171-G171)</f>
        <v/>
      </c>
      <c r="AP171" s="50" t="str">
        <f aca="false">IF(AND(A171="",B171=""),"",IF(J171="","Status needed",IF(OR(J171="Applied",J171="Visit booked",J171="Withdrawn"),"OK",IF(G171="","Date assessed needed",IF(C171="","Date of birth needed",IF(COUNTA(L171,M171,P171,U171,V171,X171)&lt;6,"Band missing",IF(AND(OR(J171="Decision confirmed",J171="Family told",J171="Enrolled"),AG171=""),"Recommendation needed",IF(AND(OR(J171="Family told",J171="Enrolled"),AJ171=""),"Date family told needed","OK"))))))))</f>
        <v/>
      </c>
    </row>
    <row r="172" customFormat="false" ht="15" hidden="false" customHeight="false" outlineLevel="0" collapsed="false">
      <c r="A172" s="7"/>
      <c r="B172" s="7"/>
      <c r="C172" s="46"/>
      <c r="D172" s="7"/>
      <c r="E172" s="47"/>
      <c r="F172" s="46"/>
      <c r="G172" s="46"/>
      <c r="H172" s="7"/>
      <c r="I172" s="7"/>
      <c r="J172" s="47"/>
      <c r="K172" s="47"/>
      <c r="L172" s="47"/>
      <c r="M172" s="47"/>
      <c r="N172" s="47"/>
      <c r="O172" s="10"/>
      <c r="P172" s="47"/>
      <c r="Q172" s="47"/>
      <c r="R172" s="48" t="str">
        <f aca="false">IF(Q172="","",IF(Q172=0,"below 5:00",IF(Q172&gt;=66,"16:00 or above",INT((60+2*Q172)/12)&amp;":"&amp;TEXT(MOD(60+2*Q172,12),"00"))))</f>
        <v/>
      </c>
      <c r="S172" s="47"/>
      <c r="T172" s="47"/>
      <c r="U172" s="47"/>
      <c r="V172" s="47"/>
      <c r="W172" s="47"/>
      <c r="X172" s="47"/>
      <c r="Y172" s="47"/>
      <c r="Z172" s="47"/>
      <c r="AA172" s="10"/>
      <c r="AB172" s="10"/>
      <c r="AC172" s="47"/>
      <c r="AD172" s="47"/>
      <c r="AE172" s="47"/>
      <c r="AF172" s="47"/>
      <c r="AG172" s="47"/>
      <c r="AH172" s="47"/>
      <c r="AI172" s="46"/>
      <c r="AJ172" s="46"/>
      <c r="AK172" s="46"/>
      <c r="AL172" s="7"/>
      <c r="AM172" s="49" t="str">
        <f aca="false">IF(OR(C172="",G172=""),"",IFERROR(DATEDIF(C172,G172,"m"),""))</f>
        <v/>
      </c>
      <c r="AN172" s="49" t="str">
        <f aca="false">IF(OR(Q172="",AM172=""),"",60+2*Q172-AM172)</f>
        <v/>
      </c>
      <c r="AO172" s="49" t="str">
        <f aca="false">IF(OR(G172="",AJ172=""),"",AJ172-G172)</f>
        <v/>
      </c>
      <c r="AP172" s="50" t="str">
        <f aca="false">IF(AND(A172="",B172=""),"",IF(J172="","Status needed",IF(OR(J172="Applied",J172="Visit booked",J172="Withdrawn"),"OK",IF(G172="","Date assessed needed",IF(C172="","Date of birth needed",IF(COUNTA(L172,M172,P172,U172,V172,X172)&lt;6,"Band missing",IF(AND(OR(J172="Decision confirmed",J172="Family told",J172="Enrolled"),AG172=""),"Recommendation needed",IF(AND(OR(J172="Family told",J172="Enrolled"),AJ172=""),"Date family told needed","OK"))))))))</f>
        <v/>
      </c>
    </row>
    <row r="173" customFormat="false" ht="15" hidden="false" customHeight="false" outlineLevel="0" collapsed="false">
      <c r="A173" s="7"/>
      <c r="B173" s="7"/>
      <c r="C173" s="46"/>
      <c r="D173" s="7"/>
      <c r="E173" s="47"/>
      <c r="F173" s="46"/>
      <c r="G173" s="46"/>
      <c r="H173" s="7"/>
      <c r="I173" s="7"/>
      <c r="J173" s="47"/>
      <c r="K173" s="47"/>
      <c r="L173" s="47"/>
      <c r="M173" s="47"/>
      <c r="N173" s="47"/>
      <c r="O173" s="10"/>
      <c r="P173" s="47"/>
      <c r="Q173" s="47"/>
      <c r="R173" s="48" t="str">
        <f aca="false">IF(Q173="","",IF(Q173=0,"below 5:00",IF(Q173&gt;=66,"16:00 or above",INT((60+2*Q173)/12)&amp;":"&amp;TEXT(MOD(60+2*Q173,12),"00"))))</f>
        <v/>
      </c>
      <c r="S173" s="47"/>
      <c r="T173" s="47"/>
      <c r="U173" s="47"/>
      <c r="V173" s="47"/>
      <c r="W173" s="47"/>
      <c r="X173" s="47"/>
      <c r="Y173" s="47"/>
      <c r="Z173" s="47"/>
      <c r="AA173" s="10"/>
      <c r="AB173" s="10"/>
      <c r="AC173" s="47"/>
      <c r="AD173" s="47"/>
      <c r="AE173" s="47"/>
      <c r="AF173" s="47"/>
      <c r="AG173" s="47"/>
      <c r="AH173" s="47"/>
      <c r="AI173" s="46"/>
      <c r="AJ173" s="46"/>
      <c r="AK173" s="46"/>
      <c r="AL173" s="7"/>
      <c r="AM173" s="49" t="str">
        <f aca="false">IF(OR(C173="",G173=""),"",IFERROR(DATEDIF(C173,G173,"m"),""))</f>
        <v/>
      </c>
      <c r="AN173" s="49" t="str">
        <f aca="false">IF(OR(Q173="",AM173=""),"",60+2*Q173-AM173)</f>
        <v/>
      </c>
      <c r="AO173" s="49" t="str">
        <f aca="false">IF(OR(G173="",AJ173=""),"",AJ173-G173)</f>
        <v/>
      </c>
      <c r="AP173" s="50" t="str">
        <f aca="false">IF(AND(A173="",B173=""),"",IF(J173="","Status needed",IF(OR(J173="Applied",J173="Visit booked",J173="Withdrawn"),"OK",IF(G173="","Date assessed needed",IF(C173="","Date of birth needed",IF(COUNTA(L173,M173,P173,U173,V173,X173)&lt;6,"Band missing",IF(AND(OR(J173="Decision confirmed",J173="Family told",J173="Enrolled"),AG173=""),"Recommendation needed",IF(AND(OR(J173="Family told",J173="Enrolled"),AJ173=""),"Date family told needed","OK"))))))))</f>
        <v/>
      </c>
    </row>
    <row r="174" customFormat="false" ht="15" hidden="false" customHeight="false" outlineLevel="0" collapsed="false">
      <c r="A174" s="7"/>
      <c r="B174" s="7"/>
      <c r="C174" s="46"/>
      <c r="D174" s="7"/>
      <c r="E174" s="47"/>
      <c r="F174" s="46"/>
      <c r="G174" s="46"/>
      <c r="H174" s="7"/>
      <c r="I174" s="7"/>
      <c r="J174" s="47"/>
      <c r="K174" s="47"/>
      <c r="L174" s="47"/>
      <c r="M174" s="47"/>
      <c r="N174" s="47"/>
      <c r="O174" s="10"/>
      <c r="P174" s="47"/>
      <c r="Q174" s="47"/>
      <c r="R174" s="48" t="str">
        <f aca="false">IF(Q174="","",IF(Q174=0,"below 5:00",IF(Q174&gt;=66,"16:00 or above",INT((60+2*Q174)/12)&amp;":"&amp;TEXT(MOD(60+2*Q174,12),"00"))))</f>
        <v/>
      </c>
      <c r="S174" s="47"/>
      <c r="T174" s="47"/>
      <c r="U174" s="47"/>
      <c r="V174" s="47"/>
      <c r="W174" s="47"/>
      <c r="X174" s="47"/>
      <c r="Y174" s="47"/>
      <c r="Z174" s="47"/>
      <c r="AA174" s="10"/>
      <c r="AB174" s="10"/>
      <c r="AC174" s="47"/>
      <c r="AD174" s="47"/>
      <c r="AE174" s="47"/>
      <c r="AF174" s="47"/>
      <c r="AG174" s="47"/>
      <c r="AH174" s="47"/>
      <c r="AI174" s="46"/>
      <c r="AJ174" s="46"/>
      <c r="AK174" s="46"/>
      <c r="AL174" s="7"/>
      <c r="AM174" s="49" t="str">
        <f aca="false">IF(OR(C174="",G174=""),"",IFERROR(DATEDIF(C174,G174,"m"),""))</f>
        <v/>
      </c>
      <c r="AN174" s="49" t="str">
        <f aca="false">IF(OR(Q174="",AM174=""),"",60+2*Q174-AM174)</f>
        <v/>
      </c>
      <c r="AO174" s="49" t="str">
        <f aca="false">IF(OR(G174="",AJ174=""),"",AJ174-G174)</f>
        <v/>
      </c>
      <c r="AP174" s="50" t="str">
        <f aca="false">IF(AND(A174="",B174=""),"",IF(J174="","Status needed",IF(OR(J174="Applied",J174="Visit booked",J174="Withdrawn"),"OK",IF(G174="","Date assessed needed",IF(C174="","Date of birth needed",IF(COUNTA(L174,M174,P174,U174,V174,X174)&lt;6,"Band missing",IF(AND(OR(J174="Decision confirmed",J174="Family told",J174="Enrolled"),AG174=""),"Recommendation needed",IF(AND(OR(J174="Family told",J174="Enrolled"),AJ174=""),"Date family told needed","OK"))))))))</f>
        <v/>
      </c>
    </row>
    <row r="175" customFormat="false" ht="15" hidden="false" customHeight="false" outlineLevel="0" collapsed="false">
      <c r="A175" s="7"/>
      <c r="B175" s="7"/>
      <c r="C175" s="46"/>
      <c r="D175" s="7"/>
      <c r="E175" s="47"/>
      <c r="F175" s="46"/>
      <c r="G175" s="46"/>
      <c r="H175" s="7"/>
      <c r="I175" s="7"/>
      <c r="J175" s="47"/>
      <c r="K175" s="47"/>
      <c r="L175" s="47"/>
      <c r="M175" s="47"/>
      <c r="N175" s="47"/>
      <c r="O175" s="10"/>
      <c r="P175" s="47"/>
      <c r="Q175" s="47"/>
      <c r="R175" s="48" t="str">
        <f aca="false">IF(Q175="","",IF(Q175=0,"below 5:00",IF(Q175&gt;=66,"16:00 or above",INT((60+2*Q175)/12)&amp;":"&amp;TEXT(MOD(60+2*Q175,12),"00"))))</f>
        <v/>
      </c>
      <c r="S175" s="47"/>
      <c r="T175" s="47"/>
      <c r="U175" s="47"/>
      <c r="V175" s="47"/>
      <c r="W175" s="47"/>
      <c r="X175" s="47"/>
      <c r="Y175" s="47"/>
      <c r="Z175" s="47"/>
      <c r="AA175" s="10"/>
      <c r="AB175" s="10"/>
      <c r="AC175" s="47"/>
      <c r="AD175" s="47"/>
      <c r="AE175" s="47"/>
      <c r="AF175" s="47"/>
      <c r="AG175" s="47"/>
      <c r="AH175" s="47"/>
      <c r="AI175" s="46"/>
      <c r="AJ175" s="46"/>
      <c r="AK175" s="46"/>
      <c r="AL175" s="7"/>
      <c r="AM175" s="49" t="str">
        <f aca="false">IF(OR(C175="",G175=""),"",IFERROR(DATEDIF(C175,G175,"m"),""))</f>
        <v/>
      </c>
      <c r="AN175" s="49" t="str">
        <f aca="false">IF(OR(Q175="",AM175=""),"",60+2*Q175-AM175)</f>
        <v/>
      </c>
      <c r="AO175" s="49" t="str">
        <f aca="false">IF(OR(G175="",AJ175=""),"",AJ175-G175)</f>
        <v/>
      </c>
      <c r="AP175" s="50" t="str">
        <f aca="false">IF(AND(A175="",B175=""),"",IF(J175="","Status needed",IF(OR(J175="Applied",J175="Visit booked",J175="Withdrawn"),"OK",IF(G175="","Date assessed needed",IF(C175="","Date of birth needed",IF(COUNTA(L175,M175,P175,U175,V175,X175)&lt;6,"Band missing",IF(AND(OR(J175="Decision confirmed",J175="Family told",J175="Enrolled"),AG175=""),"Recommendation needed",IF(AND(OR(J175="Family told",J175="Enrolled"),AJ175=""),"Date family told needed","OK"))))))))</f>
        <v/>
      </c>
    </row>
    <row r="176" customFormat="false" ht="15" hidden="false" customHeight="false" outlineLevel="0" collapsed="false">
      <c r="A176" s="7"/>
      <c r="B176" s="7"/>
      <c r="C176" s="46"/>
      <c r="D176" s="7"/>
      <c r="E176" s="47"/>
      <c r="F176" s="46"/>
      <c r="G176" s="46"/>
      <c r="H176" s="7"/>
      <c r="I176" s="7"/>
      <c r="J176" s="47"/>
      <c r="K176" s="47"/>
      <c r="L176" s="47"/>
      <c r="M176" s="47"/>
      <c r="N176" s="47"/>
      <c r="O176" s="10"/>
      <c r="P176" s="47"/>
      <c r="Q176" s="47"/>
      <c r="R176" s="48" t="str">
        <f aca="false">IF(Q176="","",IF(Q176=0,"below 5:00",IF(Q176&gt;=66,"16:00 or above",INT((60+2*Q176)/12)&amp;":"&amp;TEXT(MOD(60+2*Q176,12),"00"))))</f>
        <v/>
      </c>
      <c r="S176" s="47"/>
      <c r="T176" s="47"/>
      <c r="U176" s="47"/>
      <c r="V176" s="47"/>
      <c r="W176" s="47"/>
      <c r="X176" s="47"/>
      <c r="Y176" s="47"/>
      <c r="Z176" s="47"/>
      <c r="AA176" s="10"/>
      <c r="AB176" s="10"/>
      <c r="AC176" s="47"/>
      <c r="AD176" s="47"/>
      <c r="AE176" s="47"/>
      <c r="AF176" s="47"/>
      <c r="AG176" s="47"/>
      <c r="AH176" s="47"/>
      <c r="AI176" s="46"/>
      <c r="AJ176" s="46"/>
      <c r="AK176" s="46"/>
      <c r="AL176" s="7"/>
      <c r="AM176" s="49" t="str">
        <f aca="false">IF(OR(C176="",G176=""),"",IFERROR(DATEDIF(C176,G176,"m"),""))</f>
        <v/>
      </c>
      <c r="AN176" s="49" t="str">
        <f aca="false">IF(OR(Q176="",AM176=""),"",60+2*Q176-AM176)</f>
        <v/>
      </c>
      <c r="AO176" s="49" t="str">
        <f aca="false">IF(OR(G176="",AJ176=""),"",AJ176-G176)</f>
        <v/>
      </c>
      <c r="AP176" s="50" t="str">
        <f aca="false">IF(AND(A176="",B176=""),"",IF(J176="","Status needed",IF(OR(J176="Applied",J176="Visit booked",J176="Withdrawn"),"OK",IF(G176="","Date assessed needed",IF(C176="","Date of birth needed",IF(COUNTA(L176,M176,P176,U176,V176,X176)&lt;6,"Band missing",IF(AND(OR(J176="Decision confirmed",J176="Family told",J176="Enrolled"),AG176=""),"Recommendation needed",IF(AND(OR(J176="Family told",J176="Enrolled"),AJ176=""),"Date family told needed","OK"))))))))</f>
        <v/>
      </c>
    </row>
    <row r="177" customFormat="false" ht="15" hidden="false" customHeight="false" outlineLevel="0" collapsed="false">
      <c r="A177" s="7"/>
      <c r="B177" s="7"/>
      <c r="C177" s="46"/>
      <c r="D177" s="7"/>
      <c r="E177" s="47"/>
      <c r="F177" s="46"/>
      <c r="G177" s="46"/>
      <c r="H177" s="7"/>
      <c r="I177" s="7"/>
      <c r="J177" s="47"/>
      <c r="K177" s="47"/>
      <c r="L177" s="47"/>
      <c r="M177" s="47"/>
      <c r="N177" s="47"/>
      <c r="O177" s="10"/>
      <c r="P177" s="47"/>
      <c r="Q177" s="47"/>
      <c r="R177" s="48" t="str">
        <f aca="false">IF(Q177="","",IF(Q177=0,"below 5:00",IF(Q177&gt;=66,"16:00 or above",INT((60+2*Q177)/12)&amp;":"&amp;TEXT(MOD(60+2*Q177,12),"00"))))</f>
        <v/>
      </c>
      <c r="S177" s="47"/>
      <c r="T177" s="47"/>
      <c r="U177" s="47"/>
      <c r="V177" s="47"/>
      <c r="W177" s="47"/>
      <c r="X177" s="47"/>
      <c r="Y177" s="47"/>
      <c r="Z177" s="47"/>
      <c r="AA177" s="10"/>
      <c r="AB177" s="10"/>
      <c r="AC177" s="47"/>
      <c r="AD177" s="47"/>
      <c r="AE177" s="47"/>
      <c r="AF177" s="47"/>
      <c r="AG177" s="47"/>
      <c r="AH177" s="47"/>
      <c r="AI177" s="46"/>
      <c r="AJ177" s="46"/>
      <c r="AK177" s="46"/>
      <c r="AL177" s="7"/>
      <c r="AM177" s="49" t="str">
        <f aca="false">IF(OR(C177="",G177=""),"",IFERROR(DATEDIF(C177,G177,"m"),""))</f>
        <v/>
      </c>
      <c r="AN177" s="49" t="str">
        <f aca="false">IF(OR(Q177="",AM177=""),"",60+2*Q177-AM177)</f>
        <v/>
      </c>
      <c r="AO177" s="49" t="str">
        <f aca="false">IF(OR(G177="",AJ177=""),"",AJ177-G177)</f>
        <v/>
      </c>
      <c r="AP177" s="50" t="str">
        <f aca="false">IF(AND(A177="",B177=""),"",IF(J177="","Status needed",IF(OR(J177="Applied",J177="Visit booked",J177="Withdrawn"),"OK",IF(G177="","Date assessed needed",IF(C177="","Date of birth needed",IF(COUNTA(L177,M177,P177,U177,V177,X177)&lt;6,"Band missing",IF(AND(OR(J177="Decision confirmed",J177="Family told",J177="Enrolled"),AG177=""),"Recommendation needed",IF(AND(OR(J177="Family told",J177="Enrolled"),AJ177=""),"Date family told needed","OK"))))))))</f>
        <v/>
      </c>
    </row>
    <row r="178" customFormat="false" ht="15" hidden="false" customHeight="false" outlineLevel="0" collapsed="false">
      <c r="A178" s="7"/>
      <c r="B178" s="7"/>
      <c r="C178" s="46"/>
      <c r="D178" s="7"/>
      <c r="E178" s="47"/>
      <c r="F178" s="46"/>
      <c r="G178" s="46"/>
      <c r="H178" s="7"/>
      <c r="I178" s="7"/>
      <c r="J178" s="47"/>
      <c r="K178" s="47"/>
      <c r="L178" s="47"/>
      <c r="M178" s="47"/>
      <c r="N178" s="47"/>
      <c r="O178" s="10"/>
      <c r="P178" s="47"/>
      <c r="Q178" s="47"/>
      <c r="R178" s="48" t="str">
        <f aca="false">IF(Q178="","",IF(Q178=0,"below 5:00",IF(Q178&gt;=66,"16:00 or above",INT((60+2*Q178)/12)&amp;":"&amp;TEXT(MOD(60+2*Q178,12),"00"))))</f>
        <v/>
      </c>
      <c r="S178" s="47"/>
      <c r="T178" s="47"/>
      <c r="U178" s="47"/>
      <c r="V178" s="47"/>
      <c r="W178" s="47"/>
      <c r="X178" s="47"/>
      <c r="Y178" s="47"/>
      <c r="Z178" s="47"/>
      <c r="AA178" s="10"/>
      <c r="AB178" s="10"/>
      <c r="AC178" s="47"/>
      <c r="AD178" s="47"/>
      <c r="AE178" s="47"/>
      <c r="AF178" s="47"/>
      <c r="AG178" s="47"/>
      <c r="AH178" s="47"/>
      <c r="AI178" s="46"/>
      <c r="AJ178" s="46"/>
      <c r="AK178" s="46"/>
      <c r="AL178" s="7"/>
      <c r="AM178" s="49" t="str">
        <f aca="false">IF(OR(C178="",G178=""),"",IFERROR(DATEDIF(C178,G178,"m"),""))</f>
        <v/>
      </c>
      <c r="AN178" s="49" t="str">
        <f aca="false">IF(OR(Q178="",AM178=""),"",60+2*Q178-AM178)</f>
        <v/>
      </c>
      <c r="AO178" s="49" t="str">
        <f aca="false">IF(OR(G178="",AJ178=""),"",AJ178-G178)</f>
        <v/>
      </c>
      <c r="AP178" s="50" t="str">
        <f aca="false">IF(AND(A178="",B178=""),"",IF(J178="","Status needed",IF(OR(J178="Applied",J178="Visit booked",J178="Withdrawn"),"OK",IF(G178="","Date assessed needed",IF(C178="","Date of birth needed",IF(COUNTA(L178,M178,P178,U178,V178,X178)&lt;6,"Band missing",IF(AND(OR(J178="Decision confirmed",J178="Family told",J178="Enrolled"),AG178=""),"Recommendation needed",IF(AND(OR(J178="Family told",J178="Enrolled"),AJ178=""),"Date family told needed","OK"))))))))</f>
        <v/>
      </c>
    </row>
    <row r="179" customFormat="false" ht="15" hidden="false" customHeight="false" outlineLevel="0" collapsed="false">
      <c r="A179" s="7"/>
      <c r="B179" s="7"/>
      <c r="C179" s="46"/>
      <c r="D179" s="7"/>
      <c r="E179" s="47"/>
      <c r="F179" s="46"/>
      <c r="G179" s="46"/>
      <c r="H179" s="7"/>
      <c r="I179" s="7"/>
      <c r="J179" s="47"/>
      <c r="K179" s="47"/>
      <c r="L179" s="47"/>
      <c r="M179" s="47"/>
      <c r="N179" s="47"/>
      <c r="O179" s="10"/>
      <c r="P179" s="47"/>
      <c r="Q179" s="47"/>
      <c r="R179" s="48" t="str">
        <f aca="false">IF(Q179="","",IF(Q179=0,"below 5:00",IF(Q179&gt;=66,"16:00 or above",INT((60+2*Q179)/12)&amp;":"&amp;TEXT(MOD(60+2*Q179,12),"00"))))</f>
        <v/>
      </c>
      <c r="S179" s="47"/>
      <c r="T179" s="47"/>
      <c r="U179" s="47"/>
      <c r="V179" s="47"/>
      <c r="W179" s="47"/>
      <c r="X179" s="47"/>
      <c r="Y179" s="47"/>
      <c r="Z179" s="47"/>
      <c r="AA179" s="10"/>
      <c r="AB179" s="10"/>
      <c r="AC179" s="47"/>
      <c r="AD179" s="47"/>
      <c r="AE179" s="47"/>
      <c r="AF179" s="47"/>
      <c r="AG179" s="47"/>
      <c r="AH179" s="47"/>
      <c r="AI179" s="46"/>
      <c r="AJ179" s="46"/>
      <c r="AK179" s="46"/>
      <c r="AL179" s="7"/>
      <c r="AM179" s="49" t="str">
        <f aca="false">IF(OR(C179="",G179=""),"",IFERROR(DATEDIF(C179,G179,"m"),""))</f>
        <v/>
      </c>
      <c r="AN179" s="49" t="str">
        <f aca="false">IF(OR(Q179="",AM179=""),"",60+2*Q179-AM179)</f>
        <v/>
      </c>
      <c r="AO179" s="49" t="str">
        <f aca="false">IF(OR(G179="",AJ179=""),"",AJ179-G179)</f>
        <v/>
      </c>
      <c r="AP179" s="50" t="str">
        <f aca="false">IF(AND(A179="",B179=""),"",IF(J179="","Status needed",IF(OR(J179="Applied",J179="Visit booked",J179="Withdrawn"),"OK",IF(G179="","Date assessed needed",IF(C179="","Date of birth needed",IF(COUNTA(L179,M179,P179,U179,V179,X179)&lt;6,"Band missing",IF(AND(OR(J179="Decision confirmed",J179="Family told",J179="Enrolled"),AG179=""),"Recommendation needed",IF(AND(OR(J179="Family told",J179="Enrolled"),AJ179=""),"Date family told needed","OK"))))))))</f>
        <v/>
      </c>
    </row>
    <row r="180" customFormat="false" ht="15" hidden="false" customHeight="false" outlineLevel="0" collapsed="false">
      <c r="A180" s="7"/>
      <c r="B180" s="7"/>
      <c r="C180" s="46"/>
      <c r="D180" s="7"/>
      <c r="E180" s="47"/>
      <c r="F180" s="46"/>
      <c r="G180" s="46"/>
      <c r="H180" s="7"/>
      <c r="I180" s="7"/>
      <c r="J180" s="47"/>
      <c r="K180" s="47"/>
      <c r="L180" s="47"/>
      <c r="M180" s="47"/>
      <c r="N180" s="47"/>
      <c r="O180" s="10"/>
      <c r="P180" s="47"/>
      <c r="Q180" s="47"/>
      <c r="R180" s="48" t="str">
        <f aca="false">IF(Q180="","",IF(Q180=0,"below 5:00",IF(Q180&gt;=66,"16:00 or above",INT((60+2*Q180)/12)&amp;":"&amp;TEXT(MOD(60+2*Q180,12),"00"))))</f>
        <v/>
      </c>
      <c r="S180" s="47"/>
      <c r="T180" s="47"/>
      <c r="U180" s="47"/>
      <c r="V180" s="47"/>
      <c r="W180" s="47"/>
      <c r="X180" s="47"/>
      <c r="Y180" s="47"/>
      <c r="Z180" s="47"/>
      <c r="AA180" s="10"/>
      <c r="AB180" s="10"/>
      <c r="AC180" s="47"/>
      <c r="AD180" s="47"/>
      <c r="AE180" s="47"/>
      <c r="AF180" s="47"/>
      <c r="AG180" s="47"/>
      <c r="AH180" s="47"/>
      <c r="AI180" s="46"/>
      <c r="AJ180" s="46"/>
      <c r="AK180" s="46"/>
      <c r="AL180" s="7"/>
      <c r="AM180" s="49" t="str">
        <f aca="false">IF(OR(C180="",G180=""),"",IFERROR(DATEDIF(C180,G180,"m"),""))</f>
        <v/>
      </c>
      <c r="AN180" s="49" t="str">
        <f aca="false">IF(OR(Q180="",AM180=""),"",60+2*Q180-AM180)</f>
        <v/>
      </c>
      <c r="AO180" s="49" t="str">
        <f aca="false">IF(OR(G180="",AJ180=""),"",AJ180-G180)</f>
        <v/>
      </c>
      <c r="AP180" s="50" t="str">
        <f aca="false">IF(AND(A180="",B180=""),"",IF(J180="","Status needed",IF(OR(J180="Applied",J180="Visit booked",J180="Withdrawn"),"OK",IF(G180="","Date assessed needed",IF(C180="","Date of birth needed",IF(COUNTA(L180,M180,P180,U180,V180,X180)&lt;6,"Band missing",IF(AND(OR(J180="Decision confirmed",J180="Family told",J180="Enrolled"),AG180=""),"Recommendation needed",IF(AND(OR(J180="Family told",J180="Enrolled"),AJ180=""),"Date family told needed","OK"))))))))</f>
        <v/>
      </c>
    </row>
    <row r="181" customFormat="false" ht="15" hidden="false" customHeight="false" outlineLevel="0" collapsed="false">
      <c r="A181" s="7"/>
      <c r="B181" s="7"/>
      <c r="C181" s="46"/>
      <c r="D181" s="7"/>
      <c r="E181" s="47"/>
      <c r="F181" s="46"/>
      <c r="G181" s="46"/>
      <c r="H181" s="7"/>
      <c r="I181" s="7"/>
      <c r="J181" s="47"/>
      <c r="K181" s="47"/>
      <c r="L181" s="47"/>
      <c r="M181" s="47"/>
      <c r="N181" s="47"/>
      <c r="O181" s="10"/>
      <c r="P181" s="47"/>
      <c r="Q181" s="47"/>
      <c r="R181" s="48" t="str">
        <f aca="false">IF(Q181="","",IF(Q181=0,"below 5:00",IF(Q181&gt;=66,"16:00 or above",INT((60+2*Q181)/12)&amp;":"&amp;TEXT(MOD(60+2*Q181,12),"00"))))</f>
        <v/>
      </c>
      <c r="S181" s="47"/>
      <c r="T181" s="47"/>
      <c r="U181" s="47"/>
      <c r="V181" s="47"/>
      <c r="W181" s="47"/>
      <c r="X181" s="47"/>
      <c r="Y181" s="47"/>
      <c r="Z181" s="47"/>
      <c r="AA181" s="10"/>
      <c r="AB181" s="10"/>
      <c r="AC181" s="47"/>
      <c r="AD181" s="47"/>
      <c r="AE181" s="47"/>
      <c r="AF181" s="47"/>
      <c r="AG181" s="47"/>
      <c r="AH181" s="47"/>
      <c r="AI181" s="46"/>
      <c r="AJ181" s="46"/>
      <c r="AK181" s="46"/>
      <c r="AL181" s="7"/>
      <c r="AM181" s="49" t="str">
        <f aca="false">IF(OR(C181="",G181=""),"",IFERROR(DATEDIF(C181,G181,"m"),""))</f>
        <v/>
      </c>
      <c r="AN181" s="49" t="str">
        <f aca="false">IF(OR(Q181="",AM181=""),"",60+2*Q181-AM181)</f>
        <v/>
      </c>
      <c r="AO181" s="49" t="str">
        <f aca="false">IF(OR(G181="",AJ181=""),"",AJ181-G181)</f>
        <v/>
      </c>
      <c r="AP181" s="50" t="str">
        <f aca="false">IF(AND(A181="",B181=""),"",IF(J181="","Status needed",IF(OR(J181="Applied",J181="Visit booked",J181="Withdrawn"),"OK",IF(G181="","Date assessed needed",IF(C181="","Date of birth needed",IF(COUNTA(L181,M181,P181,U181,V181,X181)&lt;6,"Band missing",IF(AND(OR(J181="Decision confirmed",J181="Family told",J181="Enrolled"),AG181=""),"Recommendation needed",IF(AND(OR(J181="Family told",J181="Enrolled"),AJ181=""),"Date family told needed","OK"))))))))</f>
        <v/>
      </c>
    </row>
    <row r="182" customFormat="false" ht="15" hidden="false" customHeight="false" outlineLevel="0" collapsed="false">
      <c r="A182" s="7"/>
      <c r="B182" s="7"/>
      <c r="C182" s="46"/>
      <c r="D182" s="7"/>
      <c r="E182" s="47"/>
      <c r="F182" s="46"/>
      <c r="G182" s="46"/>
      <c r="H182" s="7"/>
      <c r="I182" s="7"/>
      <c r="J182" s="47"/>
      <c r="K182" s="47"/>
      <c r="L182" s="47"/>
      <c r="M182" s="47"/>
      <c r="N182" s="47"/>
      <c r="O182" s="10"/>
      <c r="P182" s="47"/>
      <c r="Q182" s="47"/>
      <c r="R182" s="48" t="str">
        <f aca="false">IF(Q182="","",IF(Q182=0,"below 5:00",IF(Q182&gt;=66,"16:00 or above",INT((60+2*Q182)/12)&amp;":"&amp;TEXT(MOD(60+2*Q182,12),"00"))))</f>
        <v/>
      </c>
      <c r="S182" s="47"/>
      <c r="T182" s="47"/>
      <c r="U182" s="47"/>
      <c r="V182" s="47"/>
      <c r="W182" s="47"/>
      <c r="X182" s="47"/>
      <c r="Y182" s="47"/>
      <c r="Z182" s="47"/>
      <c r="AA182" s="10"/>
      <c r="AB182" s="10"/>
      <c r="AC182" s="47"/>
      <c r="AD182" s="47"/>
      <c r="AE182" s="47"/>
      <c r="AF182" s="47"/>
      <c r="AG182" s="47"/>
      <c r="AH182" s="47"/>
      <c r="AI182" s="46"/>
      <c r="AJ182" s="46"/>
      <c r="AK182" s="46"/>
      <c r="AL182" s="7"/>
      <c r="AM182" s="49" t="str">
        <f aca="false">IF(OR(C182="",G182=""),"",IFERROR(DATEDIF(C182,G182,"m"),""))</f>
        <v/>
      </c>
      <c r="AN182" s="49" t="str">
        <f aca="false">IF(OR(Q182="",AM182=""),"",60+2*Q182-AM182)</f>
        <v/>
      </c>
      <c r="AO182" s="49" t="str">
        <f aca="false">IF(OR(G182="",AJ182=""),"",AJ182-G182)</f>
        <v/>
      </c>
      <c r="AP182" s="50" t="str">
        <f aca="false">IF(AND(A182="",B182=""),"",IF(J182="","Status needed",IF(OR(J182="Applied",J182="Visit booked",J182="Withdrawn"),"OK",IF(G182="","Date assessed needed",IF(C182="","Date of birth needed",IF(COUNTA(L182,M182,P182,U182,V182,X182)&lt;6,"Band missing",IF(AND(OR(J182="Decision confirmed",J182="Family told",J182="Enrolled"),AG182=""),"Recommendation needed",IF(AND(OR(J182="Family told",J182="Enrolled"),AJ182=""),"Date family told needed","OK"))))))))</f>
        <v/>
      </c>
    </row>
    <row r="183" customFormat="false" ht="15" hidden="false" customHeight="false" outlineLevel="0" collapsed="false">
      <c r="A183" s="7"/>
      <c r="B183" s="7"/>
      <c r="C183" s="46"/>
      <c r="D183" s="7"/>
      <c r="E183" s="47"/>
      <c r="F183" s="46"/>
      <c r="G183" s="46"/>
      <c r="H183" s="7"/>
      <c r="I183" s="7"/>
      <c r="J183" s="47"/>
      <c r="K183" s="47"/>
      <c r="L183" s="47"/>
      <c r="M183" s="47"/>
      <c r="N183" s="47"/>
      <c r="O183" s="10"/>
      <c r="P183" s="47"/>
      <c r="Q183" s="47"/>
      <c r="R183" s="48" t="str">
        <f aca="false">IF(Q183="","",IF(Q183=0,"below 5:00",IF(Q183&gt;=66,"16:00 or above",INT((60+2*Q183)/12)&amp;":"&amp;TEXT(MOD(60+2*Q183,12),"00"))))</f>
        <v/>
      </c>
      <c r="S183" s="47"/>
      <c r="T183" s="47"/>
      <c r="U183" s="47"/>
      <c r="V183" s="47"/>
      <c r="W183" s="47"/>
      <c r="X183" s="47"/>
      <c r="Y183" s="47"/>
      <c r="Z183" s="47"/>
      <c r="AA183" s="10"/>
      <c r="AB183" s="10"/>
      <c r="AC183" s="47"/>
      <c r="AD183" s="47"/>
      <c r="AE183" s="47"/>
      <c r="AF183" s="47"/>
      <c r="AG183" s="47"/>
      <c r="AH183" s="47"/>
      <c r="AI183" s="46"/>
      <c r="AJ183" s="46"/>
      <c r="AK183" s="46"/>
      <c r="AL183" s="7"/>
      <c r="AM183" s="49" t="str">
        <f aca="false">IF(OR(C183="",G183=""),"",IFERROR(DATEDIF(C183,G183,"m"),""))</f>
        <v/>
      </c>
      <c r="AN183" s="49" t="str">
        <f aca="false">IF(OR(Q183="",AM183=""),"",60+2*Q183-AM183)</f>
        <v/>
      </c>
      <c r="AO183" s="49" t="str">
        <f aca="false">IF(OR(G183="",AJ183=""),"",AJ183-G183)</f>
        <v/>
      </c>
      <c r="AP183" s="50" t="str">
        <f aca="false">IF(AND(A183="",B183=""),"",IF(J183="","Status needed",IF(OR(J183="Applied",J183="Visit booked",J183="Withdrawn"),"OK",IF(G183="","Date assessed needed",IF(C183="","Date of birth needed",IF(COUNTA(L183,M183,P183,U183,V183,X183)&lt;6,"Band missing",IF(AND(OR(J183="Decision confirmed",J183="Family told",J183="Enrolled"),AG183=""),"Recommendation needed",IF(AND(OR(J183="Family told",J183="Enrolled"),AJ183=""),"Date family told needed","OK"))))))))</f>
        <v/>
      </c>
    </row>
    <row r="184" customFormat="false" ht="15" hidden="false" customHeight="false" outlineLevel="0" collapsed="false">
      <c r="A184" s="7"/>
      <c r="B184" s="7"/>
      <c r="C184" s="46"/>
      <c r="D184" s="7"/>
      <c r="E184" s="47"/>
      <c r="F184" s="46"/>
      <c r="G184" s="46"/>
      <c r="H184" s="7"/>
      <c r="I184" s="7"/>
      <c r="J184" s="47"/>
      <c r="K184" s="47"/>
      <c r="L184" s="47"/>
      <c r="M184" s="47"/>
      <c r="N184" s="47"/>
      <c r="O184" s="10"/>
      <c r="P184" s="47"/>
      <c r="Q184" s="47"/>
      <c r="R184" s="48" t="str">
        <f aca="false">IF(Q184="","",IF(Q184=0,"below 5:00",IF(Q184&gt;=66,"16:00 or above",INT((60+2*Q184)/12)&amp;":"&amp;TEXT(MOD(60+2*Q184,12),"00"))))</f>
        <v/>
      </c>
      <c r="S184" s="47"/>
      <c r="T184" s="47"/>
      <c r="U184" s="47"/>
      <c r="V184" s="47"/>
      <c r="W184" s="47"/>
      <c r="X184" s="47"/>
      <c r="Y184" s="47"/>
      <c r="Z184" s="47"/>
      <c r="AA184" s="10"/>
      <c r="AB184" s="10"/>
      <c r="AC184" s="47"/>
      <c r="AD184" s="47"/>
      <c r="AE184" s="47"/>
      <c r="AF184" s="47"/>
      <c r="AG184" s="47"/>
      <c r="AH184" s="47"/>
      <c r="AI184" s="46"/>
      <c r="AJ184" s="46"/>
      <c r="AK184" s="46"/>
      <c r="AL184" s="7"/>
      <c r="AM184" s="49" t="str">
        <f aca="false">IF(OR(C184="",G184=""),"",IFERROR(DATEDIF(C184,G184,"m"),""))</f>
        <v/>
      </c>
      <c r="AN184" s="49" t="str">
        <f aca="false">IF(OR(Q184="",AM184=""),"",60+2*Q184-AM184)</f>
        <v/>
      </c>
      <c r="AO184" s="49" t="str">
        <f aca="false">IF(OR(G184="",AJ184=""),"",AJ184-G184)</f>
        <v/>
      </c>
      <c r="AP184" s="50" t="str">
        <f aca="false">IF(AND(A184="",B184=""),"",IF(J184="","Status needed",IF(OR(J184="Applied",J184="Visit booked",J184="Withdrawn"),"OK",IF(G184="","Date assessed needed",IF(C184="","Date of birth needed",IF(COUNTA(L184,M184,P184,U184,V184,X184)&lt;6,"Band missing",IF(AND(OR(J184="Decision confirmed",J184="Family told",J184="Enrolled"),AG184=""),"Recommendation needed",IF(AND(OR(J184="Family told",J184="Enrolled"),AJ184=""),"Date family told needed","OK"))))))))</f>
        <v/>
      </c>
    </row>
    <row r="185" customFormat="false" ht="15" hidden="false" customHeight="false" outlineLevel="0" collapsed="false">
      <c r="A185" s="7"/>
      <c r="B185" s="7"/>
      <c r="C185" s="46"/>
      <c r="D185" s="7"/>
      <c r="E185" s="47"/>
      <c r="F185" s="46"/>
      <c r="G185" s="46"/>
      <c r="H185" s="7"/>
      <c r="I185" s="7"/>
      <c r="J185" s="47"/>
      <c r="K185" s="47"/>
      <c r="L185" s="47"/>
      <c r="M185" s="47"/>
      <c r="N185" s="47"/>
      <c r="O185" s="10"/>
      <c r="P185" s="47"/>
      <c r="Q185" s="47"/>
      <c r="R185" s="48" t="str">
        <f aca="false">IF(Q185="","",IF(Q185=0,"below 5:00",IF(Q185&gt;=66,"16:00 or above",INT((60+2*Q185)/12)&amp;":"&amp;TEXT(MOD(60+2*Q185,12),"00"))))</f>
        <v/>
      </c>
      <c r="S185" s="47"/>
      <c r="T185" s="47"/>
      <c r="U185" s="47"/>
      <c r="V185" s="47"/>
      <c r="W185" s="47"/>
      <c r="X185" s="47"/>
      <c r="Y185" s="47"/>
      <c r="Z185" s="47"/>
      <c r="AA185" s="10"/>
      <c r="AB185" s="10"/>
      <c r="AC185" s="47"/>
      <c r="AD185" s="47"/>
      <c r="AE185" s="47"/>
      <c r="AF185" s="47"/>
      <c r="AG185" s="47"/>
      <c r="AH185" s="47"/>
      <c r="AI185" s="46"/>
      <c r="AJ185" s="46"/>
      <c r="AK185" s="46"/>
      <c r="AL185" s="7"/>
      <c r="AM185" s="49" t="str">
        <f aca="false">IF(OR(C185="",G185=""),"",IFERROR(DATEDIF(C185,G185,"m"),""))</f>
        <v/>
      </c>
      <c r="AN185" s="49" t="str">
        <f aca="false">IF(OR(Q185="",AM185=""),"",60+2*Q185-AM185)</f>
        <v/>
      </c>
      <c r="AO185" s="49" t="str">
        <f aca="false">IF(OR(G185="",AJ185=""),"",AJ185-G185)</f>
        <v/>
      </c>
      <c r="AP185" s="50" t="str">
        <f aca="false">IF(AND(A185="",B185=""),"",IF(J185="","Status needed",IF(OR(J185="Applied",J185="Visit booked",J185="Withdrawn"),"OK",IF(G185="","Date assessed needed",IF(C185="","Date of birth needed",IF(COUNTA(L185,M185,P185,U185,V185,X185)&lt;6,"Band missing",IF(AND(OR(J185="Decision confirmed",J185="Family told",J185="Enrolled"),AG185=""),"Recommendation needed",IF(AND(OR(J185="Family told",J185="Enrolled"),AJ185=""),"Date family told needed","OK"))))))))</f>
        <v/>
      </c>
    </row>
    <row r="186" customFormat="false" ht="15" hidden="false" customHeight="false" outlineLevel="0" collapsed="false">
      <c r="A186" s="7"/>
      <c r="B186" s="7"/>
      <c r="C186" s="46"/>
      <c r="D186" s="7"/>
      <c r="E186" s="47"/>
      <c r="F186" s="46"/>
      <c r="G186" s="46"/>
      <c r="H186" s="7"/>
      <c r="I186" s="7"/>
      <c r="J186" s="47"/>
      <c r="K186" s="47"/>
      <c r="L186" s="47"/>
      <c r="M186" s="47"/>
      <c r="N186" s="47"/>
      <c r="O186" s="10"/>
      <c r="P186" s="47"/>
      <c r="Q186" s="47"/>
      <c r="R186" s="48" t="str">
        <f aca="false">IF(Q186="","",IF(Q186=0,"below 5:00",IF(Q186&gt;=66,"16:00 or above",INT((60+2*Q186)/12)&amp;":"&amp;TEXT(MOD(60+2*Q186,12),"00"))))</f>
        <v/>
      </c>
      <c r="S186" s="47"/>
      <c r="T186" s="47"/>
      <c r="U186" s="47"/>
      <c r="V186" s="47"/>
      <c r="W186" s="47"/>
      <c r="X186" s="47"/>
      <c r="Y186" s="47"/>
      <c r="Z186" s="47"/>
      <c r="AA186" s="10"/>
      <c r="AB186" s="10"/>
      <c r="AC186" s="47"/>
      <c r="AD186" s="47"/>
      <c r="AE186" s="47"/>
      <c r="AF186" s="47"/>
      <c r="AG186" s="47"/>
      <c r="AH186" s="47"/>
      <c r="AI186" s="46"/>
      <c r="AJ186" s="46"/>
      <c r="AK186" s="46"/>
      <c r="AL186" s="7"/>
      <c r="AM186" s="49" t="str">
        <f aca="false">IF(OR(C186="",G186=""),"",IFERROR(DATEDIF(C186,G186,"m"),""))</f>
        <v/>
      </c>
      <c r="AN186" s="49" t="str">
        <f aca="false">IF(OR(Q186="",AM186=""),"",60+2*Q186-AM186)</f>
        <v/>
      </c>
      <c r="AO186" s="49" t="str">
        <f aca="false">IF(OR(G186="",AJ186=""),"",AJ186-G186)</f>
        <v/>
      </c>
      <c r="AP186" s="50" t="str">
        <f aca="false">IF(AND(A186="",B186=""),"",IF(J186="","Status needed",IF(OR(J186="Applied",J186="Visit booked",J186="Withdrawn"),"OK",IF(G186="","Date assessed needed",IF(C186="","Date of birth needed",IF(COUNTA(L186,M186,P186,U186,V186,X186)&lt;6,"Band missing",IF(AND(OR(J186="Decision confirmed",J186="Family told",J186="Enrolled"),AG186=""),"Recommendation needed",IF(AND(OR(J186="Family told",J186="Enrolled"),AJ186=""),"Date family told needed","OK"))))))))</f>
        <v/>
      </c>
    </row>
    <row r="187" customFormat="false" ht="15" hidden="false" customHeight="false" outlineLevel="0" collapsed="false">
      <c r="A187" s="7"/>
      <c r="B187" s="7"/>
      <c r="C187" s="46"/>
      <c r="D187" s="7"/>
      <c r="E187" s="47"/>
      <c r="F187" s="46"/>
      <c r="G187" s="46"/>
      <c r="H187" s="7"/>
      <c r="I187" s="7"/>
      <c r="J187" s="47"/>
      <c r="K187" s="47"/>
      <c r="L187" s="47"/>
      <c r="M187" s="47"/>
      <c r="N187" s="47"/>
      <c r="O187" s="10"/>
      <c r="P187" s="47"/>
      <c r="Q187" s="47"/>
      <c r="R187" s="48" t="str">
        <f aca="false">IF(Q187="","",IF(Q187=0,"below 5:00",IF(Q187&gt;=66,"16:00 or above",INT((60+2*Q187)/12)&amp;":"&amp;TEXT(MOD(60+2*Q187,12),"00"))))</f>
        <v/>
      </c>
      <c r="S187" s="47"/>
      <c r="T187" s="47"/>
      <c r="U187" s="47"/>
      <c r="V187" s="47"/>
      <c r="W187" s="47"/>
      <c r="X187" s="47"/>
      <c r="Y187" s="47"/>
      <c r="Z187" s="47"/>
      <c r="AA187" s="10"/>
      <c r="AB187" s="10"/>
      <c r="AC187" s="47"/>
      <c r="AD187" s="47"/>
      <c r="AE187" s="47"/>
      <c r="AF187" s="47"/>
      <c r="AG187" s="47"/>
      <c r="AH187" s="47"/>
      <c r="AI187" s="46"/>
      <c r="AJ187" s="46"/>
      <c r="AK187" s="46"/>
      <c r="AL187" s="7"/>
      <c r="AM187" s="49" t="str">
        <f aca="false">IF(OR(C187="",G187=""),"",IFERROR(DATEDIF(C187,G187,"m"),""))</f>
        <v/>
      </c>
      <c r="AN187" s="49" t="str">
        <f aca="false">IF(OR(Q187="",AM187=""),"",60+2*Q187-AM187)</f>
        <v/>
      </c>
      <c r="AO187" s="49" t="str">
        <f aca="false">IF(OR(G187="",AJ187=""),"",AJ187-G187)</f>
        <v/>
      </c>
      <c r="AP187" s="50" t="str">
        <f aca="false">IF(AND(A187="",B187=""),"",IF(J187="","Status needed",IF(OR(J187="Applied",J187="Visit booked",J187="Withdrawn"),"OK",IF(G187="","Date assessed needed",IF(C187="","Date of birth needed",IF(COUNTA(L187,M187,P187,U187,V187,X187)&lt;6,"Band missing",IF(AND(OR(J187="Decision confirmed",J187="Family told",J187="Enrolled"),AG187=""),"Recommendation needed",IF(AND(OR(J187="Family told",J187="Enrolled"),AJ187=""),"Date family told needed","OK"))))))))</f>
        <v/>
      </c>
    </row>
    <row r="188" customFormat="false" ht="15" hidden="false" customHeight="false" outlineLevel="0" collapsed="false">
      <c r="A188" s="7"/>
      <c r="B188" s="7"/>
      <c r="C188" s="46"/>
      <c r="D188" s="7"/>
      <c r="E188" s="47"/>
      <c r="F188" s="46"/>
      <c r="G188" s="46"/>
      <c r="H188" s="7"/>
      <c r="I188" s="7"/>
      <c r="J188" s="47"/>
      <c r="K188" s="47"/>
      <c r="L188" s="47"/>
      <c r="M188" s="47"/>
      <c r="N188" s="47"/>
      <c r="O188" s="10"/>
      <c r="P188" s="47"/>
      <c r="Q188" s="47"/>
      <c r="R188" s="48" t="str">
        <f aca="false">IF(Q188="","",IF(Q188=0,"below 5:00",IF(Q188&gt;=66,"16:00 or above",INT((60+2*Q188)/12)&amp;":"&amp;TEXT(MOD(60+2*Q188,12),"00"))))</f>
        <v/>
      </c>
      <c r="S188" s="47"/>
      <c r="T188" s="47"/>
      <c r="U188" s="47"/>
      <c r="V188" s="47"/>
      <c r="W188" s="47"/>
      <c r="X188" s="47"/>
      <c r="Y188" s="47"/>
      <c r="Z188" s="47"/>
      <c r="AA188" s="10"/>
      <c r="AB188" s="10"/>
      <c r="AC188" s="47"/>
      <c r="AD188" s="47"/>
      <c r="AE188" s="47"/>
      <c r="AF188" s="47"/>
      <c r="AG188" s="47"/>
      <c r="AH188" s="47"/>
      <c r="AI188" s="46"/>
      <c r="AJ188" s="46"/>
      <c r="AK188" s="46"/>
      <c r="AL188" s="7"/>
      <c r="AM188" s="49" t="str">
        <f aca="false">IF(OR(C188="",G188=""),"",IFERROR(DATEDIF(C188,G188,"m"),""))</f>
        <v/>
      </c>
      <c r="AN188" s="49" t="str">
        <f aca="false">IF(OR(Q188="",AM188=""),"",60+2*Q188-AM188)</f>
        <v/>
      </c>
      <c r="AO188" s="49" t="str">
        <f aca="false">IF(OR(G188="",AJ188=""),"",AJ188-G188)</f>
        <v/>
      </c>
      <c r="AP188" s="50" t="str">
        <f aca="false">IF(AND(A188="",B188=""),"",IF(J188="","Status needed",IF(OR(J188="Applied",J188="Visit booked",J188="Withdrawn"),"OK",IF(G188="","Date assessed needed",IF(C188="","Date of birth needed",IF(COUNTA(L188,M188,P188,U188,V188,X188)&lt;6,"Band missing",IF(AND(OR(J188="Decision confirmed",J188="Family told",J188="Enrolled"),AG188=""),"Recommendation needed",IF(AND(OR(J188="Family told",J188="Enrolled"),AJ188=""),"Date family told needed","OK"))))))))</f>
        <v/>
      </c>
    </row>
    <row r="189" customFormat="false" ht="15" hidden="false" customHeight="false" outlineLevel="0" collapsed="false">
      <c r="A189" s="7"/>
      <c r="B189" s="7"/>
      <c r="C189" s="46"/>
      <c r="D189" s="7"/>
      <c r="E189" s="47"/>
      <c r="F189" s="46"/>
      <c r="G189" s="46"/>
      <c r="H189" s="7"/>
      <c r="I189" s="7"/>
      <c r="J189" s="47"/>
      <c r="K189" s="47"/>
      <c r="L189" s="47"/>
      <c r="M189" s="47"/>
      <c r="N189" s="47"/>
      <c r="O189" s="10"/>
      <c r="P189" s="47"/>
      <c r="Q189" s="47"/>
      <c r="R189" s="48" t="str">
        <f aca="false">IF(Q189="","",IF(Q189=0,"below 5:00",IF(Q189&gt;=66,"16:00 or above",INT((60+2*Q189)/12)&amp;":"&amp;TEXT(MOD(60+2*Q189,12),"00"))))</f>
        <v/>
      </c>
      <c r="S189" s="47"/>
      <c r="T189" s="47"/>
      <c r="U189" s="47"/>
      <c r="V189" s="47"/>
      <c r="W189" s="47"/>
      <c r="X189" s="47"/>
      <c r="Y189" s="47"/>
      <c r="Z189" s="47"/>
      <c r="AA189" s="10"/>
      <c r="AB189" s="10"/>
      <c r="AC189" s="47"/>
      <c r="AD189" s="47"/>
      <c r="AE189" s="47"/>
      <c r="AF189" s="47"/>
      <c r="AG189" s="47"/>
      <c r="AH189" s="47"/>
      <c r="AI189" s="46"/>
      <c r="AJ189" s="46"/>
      <c r="AK189" s="46"/>
      <c r="AL189" s="7"/>
      <c r="AM189" s="49" t="str">
        <f aca="false">IF(OR(C189="",G189=""),"",IFERROR(DATEDIF(C189,G189,"m"),""))</f>
        <v/>
      </c>
      <c r="AN189" s="49" t="str">
        <f aca="false">IF(OR(Q189="",AM189=""),"",60+2*Q189-AM189)</f>
        <v/>
      </c>
      <c r="AO189" s="49" t="str">
        <f aca="false">IF(OR(G189="",AJ189=""),"",AJ189-G189)</f>
        <v/>
      </c>
      <c r="AP189" s="50" t="str">
        <f aca="false">IF(AND(A189="",B189=""),"",IF(J189="","Status needed",IF(OR(J189="Applied",J189="Visit booked",J189="Withdrawn"),"OK",IF(G189="","Date assessed needed",IF(C189="","Date of birth needed",IF(COUNTA(L189,M189,P189,U189,V189,X189)&lt;6,"Band missing",IF(AND(OR(J189="Decision confirmed",J189="Family told",J189="Enrolled"),AG189=""),"Recommendation needed",IF(AND(OR(J189="Family told",J189="Enrolled"),AJ189=""),"Date family told needed","OK"))))))))</f>
        <v/>
      </c>
    </row>
    <row r="190" customFormat="false" ht="15" hidden="false" customHeight="false" outlineLevel="0" collapsed="false">
      <c r="A190" s="7"/>
      <c r="B190" s="7"/>
      <c r="C190" s="46"/>
      <c r="D190" s="7"/>
      <c r="E190" s="47"/>
      <c r="F190" s="46"/>
      <c r="G190" s="46"/>
      <c r="H190" s="7"/>
      <c r="I190" s="7"/>
      <c r="J190" s="47"/>
      <c r="K190" s="47"/>
      <c r="L190" s="47"/>
      <c r="M190" s="47"/>
      <c r="N190" s="47"/>
      <c r="O190" s="10"/>
      <c r="P190" s="47"/>
      <c r="Q190" s="47"/>
      <c r="R190" s="48" t="str">
        <f aca="false">IF(Q190="","",IF(Q190=0,"below 5:00",IF(Q190&gt;=66,"16:00 or above",INT((60+2*Q190)/12)&amp;":"&amp;TEXT(MOD(60+2*Q190,12),"00"))))</f>
        <v/>
      </c>
      <c r="S190" s="47"/>
      <c r="T190" s="47"/>
      <c r="U190" s="47"/>
      <c r="V190" s="47"/>
      <c r="W190" s="47"/>
      <c r="X190" s="47"/>
      <c r="Y190" s="47"/>
      <c r="Z190" s="47"/>
      <c r="AA190" s="10"/>
      <c r="AB190" s="10"/>
      <c r="AC190" s="47"/>
      <c r="AD190" s="47"/>
      <c r="AE190" s="47"/>
      <c r="AF190" s="47"/>
      <c r="AG190" s="47"/>
      <c r="AH190" s="47"/>
      <c r="AI190" s="46"/>
      <c r="AJ190" s="46"/>
      <c r="AK190" s="46"/>
      <c r="AL190" s="7"/>
      <c r="AM190" s="49" t="str">
        <f aca="false">IF(OR(C190="",G190=""),"",IFERROR(DATEDIF(C190,G190,"m"),""))</f>
        <v/>
      </c>
      <c r="AN190" s="49" t="str">
        <f aca="false">IF(OR(Q190="",AM190=""),"",60+2*Q190-AM190)</f>
        <v/>
      </c>
      <c r="AO190" s="49" t="str">
        <f aca="false">IF(OR(G190="",AJ190=""),"",AJ190-G190)</f>
        <v/>
      </c>
      <c r="AP190" s="50" t="str">
        <f aca="false">IF(AND(A190="",B190=""),"",IF(J190="","Status needed",IF(OR(J190="Applied",J190="Visit booked",J190="Withdrawn"),"OK",IF(G190="","Date assessed needed",IF(C190="","Date of birth needed",IF(COUNTA(L190,M190,P190,U190,V190,X190)&lt;6,"Band missing",IF(AND(OR(J190="Decision confirmed",J190="Family told",J190="Enrolled"),AG190=""),"Recommendation needed",IF(AND(OR(J190="Family told",J190="Enrolled"),AJ190=""),"Date family told needed","OK"))))))))</f>
        <v/>
      </c>
    </row>
    <row r="191" customFormat="false" ht="15" hidden="false" customHeight="false" outlineLevel="0" collapsed="false">
      <c r="A191" s="7"/>
      <c r="B191" s="7"/>
      <c r="C191" s="46"/>
      <c r="D191" s="7"/>
      <c r="E191" s="47"/>
      <c r="F191" s="46"/>
      <c r="G191" s="46"/>
      <c r="H191" s="7"/>
      <c r="I191" s="7"/>
      <c r="J191" s="47"/>
      <c r="K191" s="47"/>
      <c r="L191" s="47"/>
      <c r="M191" s="47"/>
      <c r="N191" s="47"/>
      <c r="O191" s="10"/>
      <c r="P191" s="47"/>
      <c r="Q191" s="47"/>
      <c r="R191" s="48" t="str">
        <f aca="false">IF(Q191="","",IF(Q191=0,"below 5:00",IF(Q191&gt;=66,"16:00 or above",INT((60+2*Q191)/12)&amp;":"&amp;TEXT(MOD(60+2*Q191,12),"00"))))</f>
        <v/>
      </c>
      <c r="S191" s="47"/>
      <c r="T191" s="47"/>
      <c r="U191" s="47"/>
      <c r="V191" s="47"/>
      <c r="W191" s="47"/>
      <c r="X191" s="47"/>
      <c r="Y191" s="47"/>
      <c r="Z191" s="47"/>
      <c r="AA191" s="10"/>
      <c r="AB191" s="10"/>
      <c r="AC191" s="47"/>
      <c r="AD191" s="47"/>
      <c r="AE191" s="47"/>
      <c r="AF191" s="47"/>
      <c r="AG191" s="47"/>
      <c r="AH191" s="47"/>
      <c r="AI191" s="46"/>
      <c r="AJ191" s="46"/>
      <c r="AK191" s="46"/>
      <c r="AL191" s="7"/>
      <c r="AM191" s="49" t="str">
        <f aca="false">IF(OR(C191="",G191=""),"",IFERROR(DATEDIF(C191,G191,"m"),""))</f>
        <v/>
      </c>
      <c r="AN191" s="49" t="str">
        <f aca="false">IF(OR(Q191="",AM191=""),"",60+2*Q191-AM191)</f>
        <v/>
      </c>
      <c r="AO191" s="49" t="str">
        <f aca="false">IF(OR(G191="",AJ191=""),"",AJ191-G191)</f>
        <v/>
      </c>
      <c r="AP191" s="50" t="str">
        <f aca="false">IF(AND(A191="",B191=""),"",IF(J191="","Status needed",IF(OR(J191="Applied",J191="Visit booked",J191="Withdrawn"),"OK",IF(G191="","Date assessed needed",IF(C191="","Date of birth needed",IF(COUNTA(L191,M191,P191,U191,V191,X191)&lt;6,"Band missing",IF(AND(OR(J191="Decision confirmed",J191="Family told",J191="Enrolled"),AG191=""),"Recommendation needed",IF(AND(OR(J191="Family told",J191="Enrolled"),AJ191=""),"Date family told needed","OK"))))))))</f>
        <v/>
      </c>
    </row>
    <row r="192" customFormat="false" ht="15" hidden="false" customHeight="false" outlineLevel="0" collapsed="false">
      <c r="A192" s="7"/>
      <c r="B192" s="7"/>
      <c r="C192" s="46"/>
      <c r="D192" s="7"/>
      <c r="E192" s="47"/>
      <c r="F192" s="46"/>
      <c r="G192" s="46"/>
      <c r="H192" s="7"/>
      <c r="I192" s="7"/>
      <c r="J192" s="47"/>
      <c r="K192" s="47"/>
      <c r="L192" s="47"/>
      <c r="M192" s="47"/>
      <c r="N192" s="47"/>
      <c r="O192" s="10"/>
      <c r="P192" s="47"/>
      <c r="Q192" s="47"/>
      <c r="R192" s="48" t="str">
        <f aca="false">IF(Q192="","",IF(Q192=0,"below 5:00",IF(Q192&gt;=66,"16:00 or above",INT((60+2*Q192)/12)&amp;":"&amp;TEXT(MOD(60+2*Q192,12),"00"))))</f>
        <v/>
      </c>
      <c r="S192" s="47"/>
      <c r="T192" s="47"/>
      <c r="U192" s="47"/>
      <c r="V192" s="47"/>
      <c r="W192" s="47"/>
      <c r="X192" s="47"/>
      <c r="Y192" s="47"/>
      <c r="Z192" s="47"/>
      <c r="AA192" s="10"/>
      <c r="AB192" s="10"/>
      <c r="AC192" s="47"/>
      <c r="AD192" s="47"/>
      <c r="AE192" s="47"/>
      <c r="AF192" s="47"/>
      <c r="AG192" s="47"/>
      <c r="AH192" s="47"/>
      <c r="AI192" s="46"/>
      <c r="AJ192" s="46"/>
      <c r="AK192" s="46"/>
      <c r="AL192" s="7"/>
      <c r="AM192" s="49" t="str">
        <f aca="false">IF(OR(C192="",G192=""),"",IFERROR(DATEDIF(C192,G192,"m"),""))</f>
        <v/>
      </c>
      <c r="AN192" s="49" t="str">
        <f aca="false">IF(OR(Q192="",AM192=""),"",60+2*Q192-AM192)</f>
        <v/>
      </c>
      <c r="AO192" s="49" t="str">
        <f aca="false">IF(OR(G192="",AJ192=""),"",AJ192-G192)</f>
        <v/>
      </c>
      <c r="AP192" s="50" t="str">
        <f aca="false">IF(AND(A192="",B192=""),"",IF(J192="","Status needed",IF(OR(J192="Applied",J192="Visit booked",J192="Withdrawn"),"OK",IF(G192="","Date assessed needed",IF(C192="","Date of birth needed",IF(COUNTA(L192,M192,P192,U192,V192,X192)&lt;6,"Band missing",IF(AND(OR(J192="Decision confirmed",J192="Family told",J192="Enrolled"),AG192=""),"Recommendation needed",IF(AND(OR(J192="Family told",J192="Enrolled"),AJ192=""),"Date family told needed","OK"))))))))</f>
        <v/>
      </c>
    </row>
    <row r="193" customFormat="false" ht="15" hidden="false" customHeight="false" outlineLevel="0" collapsed="false">
      <c r="A193" s="7"/>
      <c r="B193" s="7"/>
      <c r="C193" s="46"/>
      <c r="D193" s="7"/>
      <c r="E193" s="47"/>
      <c r="F193" s="46"/>
      <c r="G193" s="46"/>
      <c r="H193" s="7"/>
      <c r="I193" s="7"/>
      <c r="J193" s="47"/>
      <c r="K193" s="47"/>
      <c r="L193" s="47"/>
      <c r="M193" s="47"/>
      <c r="N193" s="47"/>
      <c r="O193" s="10"/>
      <c r="P193" s="47"/>
      <c r="Q193" s="47"/>
      <c r="R193" s="48" t="str">
        <f aca="false">IF(Q193="","",IF(Q193=0,"below 5:00",IF(Q193&gt;=66,"16:00 or above",INT((60+2*Q193)/12)&amp;":"&amp;TEXT(MOD(60+2*Q193,12),"00"))))</f>
        <v/>
      </c>
      <c r="S193" s="47"/>
      <c r="T193" s="47"/>
      <c r="U193" s="47"/>
      <c r="V193" s="47"/>
      <c r="W193" s="47"/>
      <c r="X193" s="47"/>
      <c r="Y193" s="47"/>
      <c r="Z193" s="47"/>
      <c r="AA193" s="10"/>
      <c r="AB193" s="10"/>
      <c r="AC193" s="47"/>
      <c r="AD193" s="47"/>
      <c r="AE193" s="47"/>
      <c r="AF193" s="47"/>
      <c r="AG193" s="47"/>
      <c r="AH193" s="47"/>
      <c r="AI193" s="46"/>
      <c r="AJ193" s="46"/>
      <c r="AK193" s="46"/>
      <c r="AL193" s="7"/>
      <c r="AM193" s="49" t="str">
        <f aca="false">IF(OR(C193="",G193=""),"",IFERROR(DATEDIF(C193,G193,"m"),""))</f>
        <v/>
      </c>
      <c r="AN193" s="49" t="str">
        <f aca="false">IF(OR(Q193="",AM193=""),"",60+2*Q193-AM193)</f>
        <v/>
      </c>
      <c r="AO193" s="49" t="str">
        <f aca="false">IF(OR(G193="",AJ193=""),"",AJ193-G193)</f>
        <v/>
      </c>
      <c r="AP193" s="50" t="str">
        <f aca="false">IF(AND(A193="",B193=""),"",IF(J193="","Status needed",IF(OR(J193="Applied",J193="Visit booked",J193="Withdrawn"),"OK",IF(G193="","Date assessed needed",IF(C193="","Date of birth needed",IF(COUNTA(L193,M193,P193,U193,V193,X193)&lt;6,"Band missing",IF(AND(OR(J193="Decision confirmed",J193="Family told",J193="Enrolled"),AG193=""),"Recommendation needed",IF(AND(OR(J193="Family told",J193="Enrolled"),AJ193=""),"Date family told needed","OK"))))))))</f>
        <v/>
      </c>
    </row>
    <row r="194" customFormat="false" ht="15" hidden="false" customHeight="false" outlineLevel="0" collapsed="false">
      <c r="A194" s="7"/>
      <c r="B194" s="7"/>
      <c r="C194" s="46"/>
      <c r="D194" s="7"/>
      <c r="E194" s="47"/>
      <c r="F194" s="46"/>
      <c r="G194" s="46"/>
      <c r="H194" s="7"/>
      <c r="I194" s="7"/>
      <c r="J194" s="47"/>
      <c r="K194" s="47"/>
      <c r="L194" s="47"/>
      <c r="M194" s="47"/>
      <c r="N194" s="47"/>
      <c r="O194" s="10"/>
      <c r="P194" s="47"/>
      <c r="Q194" s="47"/>
      <c r="R194" s="48" t="str">
        <f aca="false">IF(Q194="","",IF(Q194=0,"below 5:00",IF(Q194&gt;=66,"16:00 or above",INT((60+2*Q194)/12)&amp;":"&amp;TEXT(MOD(60+2*Q194,12),"00"))))</f>
        <v/>
      </c>
      <c r="S194" s="47"/>
      <c r="T194" s="47"/>
      <c r="U194" s="47"/>
      <c r="V194" s="47"/>
      <c r="W194" s="47"/>
      <c r="X194" s="47"/>
      <c r="Y194" s="47"/>
      <c r="Z194" s="47"/>
      <c r="AA194" s="10"/>
      <c r="AB194" s="10"/>
      <c r="AC194" s="47"/>
      <c r="AD194" s="47"/>
      <c r="AE194" s="47"/>
      <c r="AF194" s="47"/>
      <c r="AG194" s="47"/>
      <c r="AH194" s="47"/>
      <c r="AI194" s="46"/>
      <c r="AJ194" s="46"/>
      <c r="AK194" s="46"/>
      <c r="AL194" s="7"/>
      <c r="AM194" s="49" t="str">
        <f aca="false">IF(OR(C194="",G194=""),"",IFERROR(DATEDIF(C194,G194,"m"),""))</f>
        <v/>
      </c>
      <c r="AN194" s="49" t="str">
        <f aca="false">IF(OR(Q194="",AM194=""),"",60+2*Q194-AM194)</f>
        <v/>
      </c>
      <c r="AO194" s="49" t="str">
        <f aca="false">IF(OR(G194="",AJ194=""),"",AJ194-G194)</f>
        <v/>
      </c>
      <c r="AP194" s="50" t="str">
        <f aca="false">IF(AND(A194="",B194=""),"",IF(J194="","Status needed",IF(OR(J194="Applied",J194="Visit booked",J194="Withdrawn"),"OK",IF(G194="","Date assessed needed",IF(C194="","Date of birth needed",IF(COUNTA(L194,M194,P194,U194,V194,X194)&lt;6,"Band missing",IF(AND(OR(J194="Decision confirmed",J194="Family told",J194="Enrolled"),AG194=""),"Recommendation needed",IF(AND(OR(J194="Family told",J194="Enrolled"),AJ194=""),"Date family told needed","OK"))))))))</f>
        <v/>
      </c>
    </row>
    <row r="195" customFormat="false" ht="15" hidden="false" customHeight="false" outlineLevel="0" collapsed="false">
      <c r="A195" s="7"/>
      <c r="B195" s="7"/>
      <c r="C195" s="46"/>
      <c r="D195" s="7"/>
      <c r="E195" s="47"/>
      <c r="F195" s="46"/>
      <c r="G195" s="46"/>
      <c r="H195" s="7"/>
      <c r="I195" s="7"/>
      <c r="J195" s="47"/>
      <c r="K195" s="47"/>
      <c r="L195" s="47"/>
      <c r="M195" s="47"/>
      <c r="N195" s="47"/>
      <c r="O195" s="10"/>
      <c r="P195" s="47"/>
      <c r="Q195" s="47"/>
      <c r="R195" s="48" t="str">
        <f aca="false">IF(Q195="","",IF(Q195=0,"below 5:00",IF(Q195&gt;=66,"16:00 or above",INT((60+2*Q195)/12)&amp;":"&amp;TEXT(MOD(60+2*Q195,12),"00"))))</f>
        <v/>
      </c>
      <c r="S195" s="47"/>
      <c r="T195" s="47"/>
      <c r="U195" s="47"/>
      <c r="V195" s="47"/>
      <c r="W195" s="47"/>
      <c r="X195" s="47"/>
      <c r="Y195" s="47"/>
      <c r="Z195" s="47"/>
      <c r="AA195" s="10"/>
      <c r="AB195" s="10"/>
      <c r="AC195" s="47"/>
      <c r="AD195" s="47"/>
      <c r="AE195" s="47"/>
      <c r="AF195" s="47"/>
      <c r="AG195" s="47"/>
      <c r="AH195" s="47"/>
      <c r="AI195" s="46"/>
      <c r="AJ195" s="46"/>
      <c r="AK195" s="46"/>
      <c r="AL195" s="7"/>
      <c r="AM195" s="49" t="str">
        <f aca="false">IF(OR(C195="",G195=""),"",IFERROR(DATEDIF(C195,G195,"m"),""))</f>
        <v/>
      </c>
      <c r="AN195" s="49" t="str">
        <f aca="false">IF(OR(Q195="",AM195=""),"",60+2*Q195-AM195)</f>
        <v/>
      </c>
      <c r="AO195" s="49" t="str">
        <f aca="false">IF(OR(G195="",AJ195=""),"",AJ195-G195)</f>
        <v/>
      </c>
      <c r="AP195" s="50" t="str">
        <f aca="false">IF(AND(A195="",B195=""),"",IF(J195="","Status needed",IF(OR(J195="Applied",J195="Visit booked",J195="Withdrawn"),"OK",IF(G195="","Date assessed needed",IF(C195="","Date of birth needed",IF(COUNTA(L195,M195,P195,U195,V195,X195)&lt;6,"Band missing",IF(AND(OR(J195="Decision confirmed",J195="Family told",J195="Enrolled"),AG195=""),"Recommendation needed",IF(AND(OR(J195="Family told",J195="Enrolled"),AJ195=""),"Date family told needed","OK"))))))))</f>
        <v/>
      </c>
    </row>
    <row r="196" customFormat="false" ht="15" hidden="false" customHeight="false" outlineLevel="0" collapsed="false">
      <c r="A196" s="7"/>
      <c r="B196" s="7"/>
      <c r="C196" s="46"/>
      <c r="D196" s="7"/>
      <c r="E196" s="47"/>
      <c r="F196" s="46"/>
      <c r="G196" s="46"/>
      <c r="H196" s="7"/>
      <c r="I196" s="7"/>
      <c r="J196" s="47"/>
      <c r="K196" s="47"/>
      <c r="L196" s="47"/>
      <c r="M196" s="47"/>
      <c r="N196" s="47"/>
      <c r="O196" s="10"/>
      <c r="P196" s="47"/>
      <c r="Q196" s="47"/>
      <c r="R196" s="48" t="str">
        <f aca="false">IF(Q196="","",IF(Q196=0,"below 5:00",IF(Q196&gt;=66,"16:00 or above",INT((60+2*Q196)/12)&amp;":"&amp;TEXT(MOD(60+2*Q196,12),"00"))))</f>
        <v/>
      </c>
      <c r="S196" s="47"/>
      <c r="T196" s="47"/>
      <c r="U196" s="47"/>
      <c r="V196" s="47"/>
      <c r="W196" s="47"/>
      <c r="X196" s="47"/>
      <c r="Y196" s="47"/>
      <c r="Z196" s="47"/>
      <c r="AA196" s="10"/>
      <c r="AB196" s="10"/>
      <c r="AC196" s="47"/>
      <c r="AD196" s="47"/>
      <c r="AE196" s="47"/>
      <c r="AF196" s="47"/>
      <c r="AG196" s="47"/>
      <c r="AH196" s="47"/>
      <c r="AI196" s="46"/>
      <c r="AJ196" s="46"/>
      <c r="AK196" s="46"/>
      <c r="AL196" s="7"/>
      <c r="AM196" s="49" t="str">
        <f aca="false">IF(OR(C196="",G196=""),"",IFERROR(DATEDIF(C196,G196,"m"),""))</f>
        <v/>
      </c>
      <c r="AN196" s="49" t="str">
        <f aca="false">IF(OR(Q196="",AM196=""),"",60+2*Q196-AM196)</f>
        <v/>
      </c>
      <c r="AO196" s="49" t="str">
        <f aca="false">IF(OR(G196="",AJ196=""),"",AJ196-G196)</f>
        <v/>
      </c>
      <c r="AP196" s="50" t="str">
        <f aca="false">IF(AND(A196="",B196=""),"",IF(J196="","Status needed",IF(OR(J196="Applied",J196="Visit booked",J196="Withdrawn"),"OK",IF(G196="","Date assessed needed",IF(C196="","Date of birth needed",IF(COUNTA(L196,M196,P196,U196,V196,X196)&lt;6,"Band missing",IF(AND(OR(J196="Decision confirmed",J196="Family told",J196="Enrolled"),AG196=""),"Recommendation needed",IF(AND(OR(J196="Family told",J196="Enrolled"),AJ196=""),"Date family told needed","OK"))))))))</f>
        <v/>
      </c>
    </row>
    <row r="197" customFormat="false" ht="15" hidden="false" customHeight="false" outlineLevel="0" collapsed="false">
      <c r="A197" s="7"/>
      <c r="B197" s="7"/>
      <c r="C197" s="46"/>
      <c r="D197" s="7"/>
      <c r="E197" s="47"/>
      <c r="F197" s="46"/>
      <c r="G197" s="46"/>
      <c r="H197" s="7"/>
      <c r="I197" s="7"/>
      <c r="J197" s="47"/>
      <c r="K197" s="47"/>
      <c r="L197" s="47"/>
      <c r="M197" s="47"/>
      <c r="N197" s="47"/>
      <c r="O197" s="10"/>
      <c r="P197" s="47"/>
      <c r="Q197" s="47"/>
      <c r="R197" s="48" t="str">
        <f aca="false">IF(Q197="","",IF(Q197=0,"below 5:00",IF(Q197&gt;=66,"16:00 or above",INT((60+2*Q197)/12)&amp;":"&amp;TEXT(MOD(60+2*Q197,12),"00"))))</f>
        <v/>
      </c>
      <c r="S197" s="47"/>
      <c r="T197" s="47"/>
      <c r="U197" s="47"/>
      <c r="V197" s="47"/>
      <c r="W197" s="47"/>
      <c r="X197" s="47"/>
      <c r="Y197" s="47"/>
      <c r="Z197" s="47"/>
      <c r="AA197" s="10"/>
      <c r="AB197" s="10"/>
      <c r="AC197" s="47"/>
      <c r="AD197" s="47"/>
      <c r="AE197" s="47"/>
      <c r="AF197" s="47"/>
      <c r="AG197" s="47"/>
      <c r="AH197" s="47"/>
      <c r="AI197" s="46"/>
      <c r="AJ197" s="46"/>
      <c r="AK197" s="46"/>
      <c r="AL197" s="7"/>
      <c r="AM197" s="49" t="str">
        <f aca="false">IF(OR(C197="",G197=""),"",IFERROR(DATEDIF(C197,G197,"m"),""))</f>
        <v/>
      </c>
      <c r="AN197" s="49" t="str">
        <f aca="false">IF(OR(Q197="",AM197=""),"",60+2*Q197-AM197)</f>
        <v/>
      </c>
      <c r="AO197" s="49" t="str">
        <f aca="false">IF(OR(G197="",AJ197=""),"",AJ197-G197)</f>
        <v/>
      </c>
      <c r="AP197" s="50" t="str">
        <f aca="false">IF(AND(A197="",B197=""),"",IF(J197="","Status needed",IF(OR(J197="Applied",J197="Visit booked",J197="Withdrawn"),"OK",IF(G197="","Date assessed needed",IF(C197="","Date of birth needed",IF(COUNTA(L197,M197,P197,U197,V197,X197)&lt;6,"Band missing",IF(AND(OR(J197="Decision confirmed",J197="Family told",J197="Enrolled"),AG197=""),"Recommendation needed",IF(AND(OR(J197="Family told",J197="Enrolled"),AJ197=""),"Date family told needed","OK"))))))))</f>
        <v/>
      </c>
    </row>
    <row r="198" customFormat="false" ht="15" hidden="false" customHeight="false" outlineLevel="0" collapsed="false">
      <c r="A198" s="7"/>
      <c r="B198" s="7"/>
      <c r="C198" s="46"/>
      <c r="D198" s="7"/>
      <c r="E198" s="47"/>
      <c r="F198" s="46"/>
      <c r="G198" s="46"/>
      <c r="H198" s="7"/>
      <c r="I198" s="7"/>
      <c r="J198" s="47"/>
      <c r="K198" s="47"/>
      <c r="L198" s="47"/>
      <c r="M198" s="47"/>
      <c r="N198" s="47"/>
      <c r="O198" s="10"/>
      <c r="P198" s="47"/>
      <c r="Q198" s="47"/>
      <c r="R198" s="48" t="str">
        <f aca="false">IF(Q198="","",IF(Q198=0,"below 5:00",IF(Q198&gt;=66,"16:00 or above",INT((60+2*Q198)/12)&amp;":"&amp;TEXT(MOD(60+2*Q198,12),"00"))))</f>
        <v/>
      </c>
      <c r="S198" s="47"/>
      <c r="T198" s="47"/>
      <c r="U198" s="47"/>
      <c r="V198" s="47"/>
      <c r="W198" s="47"/>
      <c r="X198" s="47"/>
      <c r="Y198" s="47"/>
      <c r="Z198" s="47"/>
      <c r="AA198" s="10"/>
      <c r="AB198" s="10"/>
      <c r="AC198" s="47"/>
      <c r="AD198" s="47"/>
      <c r="AE198" s="47"/>
      <c r="AF198" s="47"/>
      <c r="AG198" s="47"/>
      <c r="AH198" s="47"/>
      <c r="AI198" s="46"/>
      <c r="AJ198" s="46"/>
      <c r="AK198" s="46"/>
      <c r="AL198" s="7"/>
      <c r="AM198" s="49" t="str">
        <f aca="false">IF(OR(C198="",G198=""),"",IFERROR(DATEDIF(C198,G198,"m"),""))</f>
        <v/>
      </c>
      <c r="AN198" s="49" t="str">
        <f aca="false">IF(OR(Q198="",AM198=""),"",60+2*Q198-AM198)</f>
        <v/>
      </c>
      <c r="AO198" s="49" t="str">
        <f aca="false">IF(OR(G198="",AJ198=""),"",AJ198-G198)</f>
        <v/>
      </c>
      <c r="AP198" s="50" t="str">
        <f aca="false">IF(AND(A198="",B198=""),"",IF(J198="","Status needed",IF(OR(J198="Applied",J198="Visit booked",J198="Withdrawn"),"OK",IF(G198="","Date assessed needed",IF(C198="","Date of birth needed",IF(COUNTA(L198,M198,P198,U198,V198,X198)&lt;6,"Band missing",IF(AND(OR(J198="Decision confirmed",J198="Family told",J198="Enrolled"),AG198=""),"Recommendation needed",IF(AND(OR(J198="Family told",J198="Enrolled"),AJ198=""),"Date family told needed","OK"))))))))</f>
        <v/>
      </c>
    </row>
    <row r="199" customFormat="false" ht="15" hidden="false" customHeight="false" outlineLevel="0" collapsed="false">
      <c r="A199" s="7"/>
      <c r="B199" s="7"/>
      <c r="C199" s="46"/>
      <c r="D199" s="7"/>
      <c r="E199" s="47"/>
      <c r="F199" s="46"/>
      <c r="G199" s="46"/>
      <c r="H199" s="7"/>
      <c r="I199" s="7"/>
      <c r="J199" s="47"/>
      <c r="K199" s="47"/>
      <c r="L199" s="47"/>
      <c r="M199" s="47"/>
      <c r="N199" s="47"/>
      <c r="O199" s="10"/>
      <c r="P199" s="47"/>
      <c r="Q199" s="47"/>
      <c r="R199" s="48" t="str">
        <f aca="false">IF(Q199="","",IF(Q199=0,"below 5:00",IF(Q199&gt;=66,"16:00 or above",INT((60+2*Q199)/12)&amp;":"&amp;TEXT(MOD(60+2*Q199,12),"00"))))</f>
        <v/>
      </c>
      <c r="S199" s="47"/>
      <c r="T199" s="47"/>
      <c r="U199" s="47"/>
      <c r="V199" s="47"/>
      <c r="W199" s="47"/>
      <c r="X199" s="47"/>
      <c r="Y199" s="47"/>
      <c r="Z199" s="47"/>
      <c r="AA199" s="10"/>
      <c r="AB199" s="10"/>
      <c r="AC199" s="47"/>
      <c r="AD199" s="47"/>
      <c r="AE199" s="47"/>
      <c r="AF199" s="47"/>
      <c r="AG199" s="47"/>
      <c r="AH199" s="47"/>
      <c r="AI199" s="46"/>
      <c r="AJ199" s="46"/>
      <c r="AK199" s="46"/>
      <c r="AL199" s="7"/>
      <c r="AM199" s="49" t="str">
        <f aca="false">IF(OR(C199="",G199=""),"",IFERROR(DATEDIF(C199,G199,"m"),""))</f>
        <v/>
      </c>
      <c r="AN199" s="49" t="str">
        <f aca="false">IF(OR(Q199="",AM199=""),"",60+2*Q199-AM199)</f>
        <v/>
      </c>
      <c r="AO199" s="49" t="str">
        <f aca="false">IF(OR(G199="",AJ199=""),"",AJ199-G199)</f>
        <v/>
      </c>
      <c r="AP199" s="50" t="str">
        <f aca="false">IF(AND(A199="",B199=""),"",IF(J199="","Status needed",IF(OR(J199="Applied",J199="Visit booked",J199="Withdrawn"),"OK",IF(G199="","Date assessed needed",IF(C199="","Date of birth needed",IF(COUNTA(L199,M199,P199,U199,V199,X199)&lt;6,"Band missing",IF(AND(OR(J199="Decision confirmed",J199="Family told",J199="Enrolled"),AG199=""),"Recommendation needed",IF(AND(OR(J199="Family told",J199="Enrolled"),AJ199=""),"Date family told needed","OK"))))))))</f>
        <v/>
      </c>
    </row>
    <row r="200" customFormat="false" ht="15" hidden="false" customHeight="false" outlineLevel="0" collapsed="false">
      <c r="A200" s="7"/>
      <c r="B200" s="7"/>
      <c r="C200" s="46"/>
      <c r="D200" s="7"/>
      <c r="E200" s="47"/>
      <c r="F200" s="46"/>
      <c r="G200" s="46"/>
      <c r="H200" s="7"/>
      <c r="I200" s="7"/>
      <c r="J200" s="47"/>
      <c r="K200" s="47"/>
      <c r="L200" s="47"/>
      <c r="M200" s="47"/>
      <c r="N200" s="47"/>
      <c r="O200" s="10"/>
      <c r="P200" s="47"/>
      <c r="Q200" s="47"/>
      <c r="R200" s="48" t="str">
        <f aca="false">IF(Q200="","",IF(Q200=0,"below 5:00",IF(Q200&gt;=66,"16:00 or above",INT((60+2*Q200)/12)&amp;":"&amp;TEXT(MOD(60+2*Q200,12),"00"))))</f>
        <v/>
      </c>
      <c r="S200" s="47"/>
      <c r="T200" s="47"/>
      <c r="U200" s="47"/>
      <c r="V200" s="47"/>
      <c r="W200" s="47"/>
      <c r="X200" s="47"/>
      <c r="Y200" s="47"/>
      <c r="Z200" s="47"/>
      <c r="AA200" s="10"/>
      <c r="AB200" s="10"/>
      <c r="AC200" s="47"/>
      <c r="AD200" s="47"/>
      <c r="AE200" s="47"/>
      <c r="AF200" s="47"/>
      <c r="AG200" s="47"/>
      <c r="AH200" s="47"/>
      <c r="AI200" s="46"/>
      <c r="AJ200" s="46"/>
      <c r="AK200" s="46"/>
      <c r="AL200" s="7"/>
      <c r="AM200" s="49" t="str">
        <f aca="false">IF(OR(C200="",G200=""),"",IFERROR(DATEDIF(C200,G200,"m"),""))</f>
        <v/>
      </c>
      <c r="AN200" s="49" t="str">
        <f aca="false">IF(OR(Q200="",AM200=""),"",60+2*Q200-AM200)</f>
        <v/>
      </c>
      <c r="AO200" s="49" t="str">
        <f aca="false">IF(OR(G200="",AJ200=""),"",AJ200-G200)</f>
        <v/>
      </c>
      <c r="AP200" s="50" t="str">
        <f aca="false">IF(AND(A200="",B200=""),"",IF(J200="","Status needed",IF(OR(J200="Applied",J200="Visit booked",J200="Withdrawn"),"OK",IF(G200="","Date assessed needed",IF(C200="","Date of birth needed",IF(COUNTA(L200,M200,P200,U200,V200,X200)&lt;6,"Band missing",IF(AND(OR(J200="Decision confirmed",J200="Family told",J200="Enrolled"),AG200=""),"Recommendation needed",IF(AND(OR(J200="Family told",J200="Enrolled"),AJ200=""),"Date family told needed","OK"))))))))</f>
        <v/>
      </c>
    </row>
    <row r="201" customFormat="false" ht="15" hidden="false" customHeight="false" outlineLevel="0" collapsed="false">
      <c r="A201" s="7"/>
      <c r="B201" s="7"/>
      <c r="C201" s="46"/>
      <c r="D201" s="7"/>
      <c r="E201" s="47"/>
      <c r="F201" s="46"/>
      <c r="G201" s="46"/>
      <c r="H201" s="7"/>
      <c r="I201" s="7"/>
      <c r="J201" s="47"/>
      <c r="K201" s="47"/>
      <c r="L201" s="47"/>
      <c r="M201" s="47"/>
      <c r="N201" s="47"/>
      <c r="O201" s="10"/>
      <c r="P201" s="47"/>
      <c r="Q201" s="47"/>
      <c r="R201" s="48" t="str">
        <f aca="false">IF(Q201="","",IF(Q201=0,"below 5:00",IF(Q201&gt;=66,"16:00 or above",INT((60+2*Q201)/12)&amp;":"&amp;TEXT(MOD(60+2*Q201,12),"00"))))</f>
        <v/>
      </c>
      <c r="S201" s="47"/>
      <c r="T201" s="47"/>
      <c r="U201" s="47"/>
      <c r="V201" s="47"/>
      <c r="W201" s="47"/>
      <c r="X201" s="47"/>
      <c r="Y201" s="47"/>
      <c r="Z201" s="47"/>
      <c r="AA201" s="10"/>
      <c r="AB201" s="10"/>
      <c r="AC201" s="47"/>
      <c r="AD201" s="47"/>
      <c r="AE201" s="47"/>
      <c r="AF201" s="47"/>
      <c r="AG201" s="47"/>
      <c r="AH201" s="47"/>
      <c r="AI201" s="46"/>
      <c r="AJ201" s="46"/>
      <c r="AK201" s="46"/>
      <c r="AL201" s="7"/>
      <c r="AM201" s="49" t="str">
        <f aca="false">IF(OR(C201="",G201=""),"",IFERROR(DATEDIF(C201,G201,"m"),""))</f>
        <v/>
      </c>
      <c r="AN201" s="49" t="str">
        <f aca="false">IF(OR(Q201="",AM201=""),"",60+2*Q201-AM201)</f>
        <v/>
      </c>
      <c r="AO201" s="49" t="str">
        <f aca="false">IF(OR(G201="",AJ201=""),"",AJ201-G201)</f>
        <v/>
      </c>
      <c r="AP201" s="50" t="str">
        <f aca="false">IF(AND(A201="",B201=""),"",IF(J201="","Status needed",IF(OR(J201="Applied",J201="Visit booked",J201="Withdrawn"),"OK",IF(G201="","Date assessed needed",IF(C201="","Date of birth needed",IF(COUNTA(L201,M201,P201,U201,V201,X201)&lt;6,"Band missing",IF(AND(OR(J201="Decision confirmed",J201="Family told",J201="Enrolled"),AG201=""),"Recommendation needed",IF(AND(OR(J201="Family told",J201="Enrolled"),AJ201=""),"Date family told needed","OK"))))))))</f>
        <v/>
      </c>
    </row>
    <row r="202" customFormat="false" ht="15" hidden="false" customHeight="false" outlineLevel="0" collapsed="false">
      <c r="A202" s="7"/>
      <c r="B202" s="7"/>
      <c r="C202" s="46"/>
      <c r="D202" s="7"/>
      <c r="E202" s="47"/>
      <c r="F202" s="46"/>
      <c r="G202" s="46"/>
      <c r="H202" s="7"/>
      <c r="I202" s="7"/>
      <c r="J202" s="47"/>
      <c r="K202" s="47"/>
      <c r="L202" s="47"/>
      <c r="M202" s="47"/>
      <c r="N202" s="47"/>
      <c r="O202" s="10"/>
      <c r="P202" s="47"/>
      <c r="Q202" s="47"/>
      <c r="R202" s="48" t="str">
        <f aca="false">IF(Q202="","",IF(Q202=0,"below 5:00",IF(Q202&gt;=66,"16:00 or above",INT((60+2*Q202)/12)&amp;":"&amp;TEXT(MOD(60+2*Q202,12),"00"))))</f>
        <v/>
      </c>
      <c r="S202" s="47"/>
      <c r="T202" s="47"/>
      <c r="U202" s="47"/>
      <c r="V202" s="47"/>
      <c r="W202" s="47"/>
      <c r="X202" s="47"/>
      <c r="Y202" s="47"/>
      <c r="Z202" s="47"/>
      <c r="AA202" s="10"/>
      <c r="AB202" s="10"/>
      <c r="AC202" s="47"/>
      <c r="AD202" s="47"/>
      <c r="AE202" s="47"/>
      <c r="AF202" s="47"/>
      <c r="AG202" s="47"/>
      <c r="AH202" s="47"/>
      <c r="AI202" s="46"/>
      <c r="AJ202" s="46"/>
      <c r="AK202" s="46"/>
      <c r="AL202" s="7"/>
      <c r="AM202" s="49" t="str">
        <f aca="false">IF(OR(C202="",G202=""),"",IFERROR(DATEDIF(C202,G202,"m"),""))</f>
        <v/>
      </c>
      <c r="AN202" s="49" t="str">
        <f aca="false">IF(OR(Q202="",AM202=""),"",60+2*Q202-AM202)</f>
        <v/>
      </c>
      <c r="AO202" s="49" t="str">
        <f aca="false">IF(OR(G202="",AJ202=""),"",AJ202-G202)</f>
        <v/>
      </c>
      <c r="AP202" s="50" t="str">
        <f aca="false">IF(AND(A202="",B202=""),"",IF(J202="","Status needed",IF(OR(J202="Applied",J202="Visit booked",J202="Withdrawn"),"OK",IF(G202="","Date assessed needed",IF(C202="","Date of birth needed",IF(COUNTA(L202,M202,P202,U202,V202,X202)&lt;6,"Band missing",IF(AND(OR(J202="Decision confirmed",J202="Family told",J202="Enrolled"),AG202=""),"Recommendation needed",IF(AND(OR(J202="Family told",J202="Enrolled"),AJ202=""),"Date family told needed","OK"))))))))</f>
        <v/>
      </c>
    </row>
    <row r="203" customFormat="false" ht="15" hidden="false" customHeight="false" outlineLevel="0" collapsed="false">
      <c r="A203" s="7"/>
      <c r="B203" s="7"/>
      <c r="C203" s="46"/>
      <c r="D203" s="7"/>
      <c r="E203" s="47"/>
      <c r="F203" s="46"/>
      <c r="G203" s="46"/>
      <c r="H203" s="7"/>
      <c r="I203" s="7"/>
      <c r="J203" s="47"/>
      <c r="K203" s="47"/>
      <c r="L203" s="47"/>
      <c r="M203" s="47"/>
      <c r="N203" s="47"/>
      <c r="O203" s="10"/>
      <c r="P203" s="47"/>
      <c r="Q203" s="47"/>
      <c r="R203" s="48" t="str">
        <f aca="false">IF(Q203="","",IF(Q203=0,"below 5:00",IF(Q203&gt;=66,"16:00 or above",INT((60+2*Q203)/12)&amp;":"&amp;TEXT(MOD(60+2*Q203,12),"00"))))</f>
        <v/>
      </c>
      <c r="S203" s="47"/>
      <c r="T203" s="47"/>
      <c r="U203" s="47"/>
      <c r="V203" s="47"/>
      <c r="W203" s="47"/>
      <c r="X203" s="47"/>
      <c r="Y203" s="47"/>
      <c r="Z203" s="47"/>
      <c r="AA203" s="10"/>
      <c r="AB203" s="10"/>
      <c r="AC203" s="47"/>
      <c r="AD203" s="47"/>
      <c r="AE203" s="47"/>
      <c r="AF203" s="47"/>
      <c r="AG203" s="47"/>
      <c r="AH203" s="47"/>
      <c r="AI203" s="46"/>
      <c r="AJ203" s="46"/>
      <c r="AK203" s="46"/>
      <c r="AL203" s="7"/>
      <c r="AM203" s="49" t="str">
        <f aca="false">IF(OR(C203="",G203=""),"",IFERROR(DATEDIF(C203,G203,"m"),""))</f>
        <v/>
      </c>
      <c r="AN203" s="49" t="str">
        <f aca="false">IF(OR(Q203="",AM203=""),"",60+2*Q203-AM203)</f>
        <v/>
      </c>
      <c r="AO203" s="49" t="str">
        <f aca="false">IF(OR(G203="",AJ203=""),"",AJ203-G203)</f>
        <v/>
      </c>
      <c r="AP203" s="50" t="str">
        <f aca="false">IF(AND(A203="",B203=""),"",IF(J203="","Status needed",IF(OR(J203="Applied",J203="Visit booked",J203="Withdrawn"),"OK",IF(G203="","Date assessed needed",IF(C203="","Date of birth needed",IF(COUNTA(L203,M203,P203,U203,V203,X203)&lt;6,"Band missing",IF(AND(OR(J203="Decision confirmed",J203="Family told",J203="Enrolled"),AG203=""),"Recommendation needed",IF(AND(OR(J203="Family told",J203="Enrolled"),AJ203=""),"Date family told needed","OK"))))))))</f>
        <v/>
      </c>
    </row>
    <row r="204" customFormat="false" ht="15" hidden="false" customHeight="false" outlineLevel="0" collapsed="false">
      <c r="A204" s="7"/>
      <c r="B204" s="7"/>
      <c r="C204" s="46"/>
      <c r="D204" s="7"/>
      <c r="E204" s="47"/>
      <c r="F204" s="46"/>
      <c r="G204" s="46"/>
      <c r="H204" s="7"/>
      <c r="I204" s="7"/>
      <c r="J204" s="47"/>
      <c r="K204" s="47"/>
      <c r="L204" s="47"/>
      <c r="M204" s="47"/>
      <c r="N204" s="47"/>
      <c r="O204" s="10"/>
      <c r="P204" s="47"/>
      <c r="Q204" s="47"/>
      <c r="R204" s="48" t="str">
        <f aca="false">IF(Q204="","",IF(Q204=0,"below 5:00",IF(Q204&gt;=66,"16:00 or above",INT((60+2*Q204)/12)&amp;":"&amp;TEXT(MOD(60+2*Q204,12),"00"))))</f>
        <v/>
      </c>
      <c r="S204" s="47"/>
      <c r="T204" s="47"/>
      <c r="U204" s="47"/>
      <c r="V204" s="47"/>
      <c r="W204" s="47"/>
      <c r="X204" s="47"/>
      <c r="Y204" s="47"/>
      <c r="Z204" s="47"/>
      <c r="AA204" s="10"/>
      <c r="AB204" s="10"/>
      <c r="AC204" s="47"/>
      <c r="AD204" s="47"/>
      <c r="AE204" s="47"/>
      <c r="AF204" s="47"/>
      <c r="AG204" s="47"/>
      <c r="AH204" s="47"/>
      <c r="AI204" s="46"/>
      <c r="AJ204" s="46"/>
      <c r="AK204" s="46"/>
      <c r="AL204" s="7"/>
      <c r="AM204" s="49" t="str">
        <f aca="false">IF(OR(C204="",G204=""),"",IFERROR(DATEDIF(C204,G204,"m"),""))</f>
        <v/>
      </c>
      <c r="AN204" s="49" t="str">
        <f aca="false">IF(OR(Q204="",AM204=""),"",60+2*Q204-AM204)</f>
        <v/>
      </c>
      <c r="AO204" s="49" t="str">
        <f aca="false">IF(OR(G204="",AJ204=""),"",AJ204-G204)</f>
        <v/>
      </c>
      <c r="AP204" s="50" t="str">
        <f aca="false">IF(AND(A204="",B204=""),"",IF(J204="","Status needed",IF(OR(J204="Applied",J204="Visit booked",J204="Withdrawn"),"OK",IF(G204="","Date assessed needed",IF(C204="","Date of birth needed",IF(COUNTA(L204,M204,P204,U204,V204,X204)&lt;6,"Band missing",IF(AND(OR(J204="Decision confirmed",J204="Family told",J204="Enrolled"),AG204=""),"Recommendation needed",IF(AND(OR(J204="Family told",J204="Enrolled"),AJ204=""),"Date family told needed","OK"))))))))</f>
        <v/>
      </c>
    </row>
    <row r="205" customFormat="false" ht="15" hidden="false" customHeight="false" outlineLevel="0" collapsed="false">
      <c r="A205" s="7"/>
      <c r="B205" s="7"/>
      <c r="C205" s="46"/>
      <c r="D205" s="7"/>
      <c r="E205" s="47"/>
      <c r="F205" s="46"/>
      <c r="G205" s="46"/>
      <c r="H205" s="7"/>
      <c r="I205" s="7"/>
      <c r="J205" s="47"/>
      <c r="K205" s="47"/>
      <c r="L205" s="47"/>
      <c r="M205" s="47"/>
      <c r="N205" s="47"/>
      <c r="O205" s="10"/>
      <c r="P205" s="47"/>
      <c r="Q205" s="47"/>
      <c r="R205" s="48" t="str">
        <f aca="false">IF(Q205="","",IF(Q205=0,"below 5:00",IF(Q205&gt;=66,"16:00 or above",INT((60+2*Q205)/12)&amp;":"&amp;TEXT(MOD(60+2*Q205,12),"00"))))</f>
        <v/>
      </c>
      <c r="S205" s="47"/>
      <c r="T205" s="47"/>
      <c r="U205" s="47"/>
      <c r="V205" s="47"/>
      <c r="W205" s="47"/>
      <c r="X205" s="47"/>
      <c r="Y205" s="47"/>
      <c r="Z205" s="47"/>
      <c r="AA205" s="10"/>
      <c r="AB205" s="10"/>
      <c r="AC205" s="47"/>
      <c r="AD205" s="47"/>
      <c r="AE205" s="47"/>
      <c r="AF205" s="47"/>
      <c r="AG205" s="47"/>
      <c r="AH205" s="47"/>
      <c r="AI205" s="46"/>
      <c r="AJ205" s="46"/>
      <c r="AK205" s="46"/>
      <c r="AL205" s="7"/>
      <c r="AM205" s="49" t="str">
        <f aca="false">IF(OR(C205="",G205=""),"",IFERROR(DATEDIF(C205,G205,"m"),""))</f>
        <v/>
      </c>
      <c r="AN205" s="49" t="str">
        <f aca="false">IF(OR(Q205="",AM205=""),"",60+2*Q205-AM205)</f>
        <v/>
      </c>
      <c r="AO205" s="49" t="str">
        <f aca="false">IF(OR(G205="",AJ205=""),"",AJ205-G205)</f>
        <v/>
      </c>
      <c r="AP205" s="50" t="str">
        <f aca="false">IF(AND(A205="",B205=""),"",IF(J205="","Status needed",IF(OR(J205="Applied",J205="Visit booked",J205="Withdrawn"),"OK",IF(G205="","Date assessed needed",IF(C205="","Date of birth needed",IF(COUNTA(L205,M205,P205,U205,V205,X205)&lt;6,"Band missing",IF(AND(OR(J205="Decision confirmed",J205="Family told",J205="Enrolled"),AG205=""),"Recommendation needed",IF(AND(OR(J205="Family told",J205="Enrolled"),AJ205=""),"Date family told needed","OK"))))))))</f>
        <v/>
      </c>
    </row>
    <row r="206" customFormat="false" ht="15" hidden="false" customHeight="false" outlineLevel="0" collapsed="false">
      <c r="A206" s="7"/>
      <c r="B206" s="7"/>
      <c r="C206" s="46"/>
      <c r="D206" s="7"/>
      <c r="E206" s="47"/>
      <c r="F206" s="46"/>
      <c r="G206" s="46"/>
      <c r="H206" s="7"/>
      <c r="I206" s="7"/>
      <c r="J206" s="47"/>
      <c r="K206" s="47"/>
      <c r="L206" s="47"/>
      <c r="M206" s="47"/>
      <c r="N206" s="47"/>
      <c r="O206" s="10"/>
      <c r="P206" s="47"/>
      <c r="Q206" s="47"/>
      <c r="R206" s="48" t="str">
        <f aca="false">IF(Q206="","",IF(Q206=0,"below 5:00",IF(Q206&gt;=66,"16:00 or above",INT((60+2*Q206)/12)&amp;":"&amp;TEXT(MOD(60+2*Q206,12),"00"))))</f>
        <v/>
      </c>
      <c r="S206" s="47"/>
      <c r="T206" s="47"/>
      <c r="U206" s="47"/>
      <c r="V206" s="47"/>
      <c r="W206" s="47"/>
      <c r="X206" s="47"/>
      <c r="Y206" s="47"/>
      <c r="Z206" s="47"/>
      <c r="AA206" s="10"/>
      <c r="AB206" s="10"/>
      <c r="AC206" s="47"/>
      <c r="AD206" s="47"/>
      <c r="AE206" s="47"/>
      <c r="AF206" s="47"/>
      <c r="AG206" s="47"/>
      <c r="AH206" s="47"/>
      <c r="AI206" s="46"/>
      <c r="AJ206" s="46"/>
      <c r="AK206" s="46"/>
      <c r="AL206" s="7"/>
      <c r="AM206" s="49" t="str">
        <f aca="false">IF(OR(C206="",G206=""),"",IFERROR(DATEDIF(C206,G206,"m"),""))</f>
        <v/>
      </c>
      <c r="AN206" s="49" t="str">
        <f aca="false">IF(OR(Q206="",AM206=""),"",60+2*Q206-AM206)</f>
        <v/>
      </c>
      <c r="AO206" s="49" t="str">
        <f aca="false">IF(OR(G206="",AJ206=""),"",AJ206-G206)</f>
        <v/>
      </c>
      <c r="AP206" s="50" t="str">
        <f aca="false">IF(AND(A206="",B206=""),"",IF(J206="","Status needed",IF(OR(J206="Applied",J206="Visit booked",J206="Withdrawn"),"OK",IF(G206="","Date assessed needed",IF(C206="","Date of birth needed",IF(COUNTA(L206,M206,P206,U206,V206,X206)&lt;6,"Band missing",IF(AND(OR(J206="Decision confirmed",J206="Family told",J206="Enrolled"),AG206=""),"Recommendation needed",IF(AND(OR(J206="Family told",J206="Enrolled"),AJ206=""),"Date family told needed","OK"))))))))</f>
        <v/>
      </c>
    </row>
    <row r="207" customFormat="false" ht="15" hidden="false" customHeight="false" outlineLevel="0" collapsed="false">
      <c r="A207" s="7"/>
      <c r="B207" s="7"/>
      <c r="C207" s="46"/>
      <c r="D207" s="7"/>
      <c r="E207" s="47"/>
      <c r="F207" s="46"/>
      <c r="G207" s="46"/>
      <c r="H207" s="7"/>
      <c r="I207" s="7"/>
      <c r="J207" s="47"/>
      <c r="K207" s="47"/>
      <c r="L207" s="47"/>
      <c r="M207" s="47"/>
      <c r="N207" s="47"/>
      <c r="O207" s="10"/>
      <c r="P207" s="47"/>
      <c r="Q207" s="47"/>
      <c r="R207" s="48" t="str">
        <f aca="false">IF(Q207="","",IF(Q207=0,"below 5:00",IF(Q207&gt;=66,"16:00 or above",INT((60+2*Q207)/12)&amp;":"&amp;TEXT(MOD(60+2*Q207,12),"00"))))</f>
        <v/>
      </c>
      <c r="S207" s="47"/>
      <c r="T207" s="47"/>
      <c r="U207" s="47"/>
      <c r="V207" s="47"/>
      <c r="W207" s="47"/>
      <c r="X207" s="47"/>
      <c r="Y207" s="47"/>
      <c r="Z207" s="47"/>
      <c r="AA207" s="10"/>
      <c r="AB207" s="10"/>
      <c r="AC207" s="47"/>
      <c r="AD207" s="47"/>
      <c r="AE207" s="47"/>
      <c r="AF207" s="47"/>
      <c r="AG207" s="47"/>
      <c r="AH207" s="47"/>
      <c r="AI207" s="46"/>
      <c r="AJ207" s="46"/>
      <c r="AK207" s="46"/>
      <c r="AL207" s="7"/>
      <c r="AM207" s="49" t="str">
        <f aca="false">IF(OR(C207="",G207=""),"",IFERROR(DATEDIF(C207,G207,"m"),""))</f>
        <v/>
      </c>
      <c r="AN207" s="49" t="str">
        <f aca="false">IF(OR(Q207="",AM207=""),"",60+2*Q207-AM207)</f>
        <v/>
      </c>
      <c r="AO207" s="49" t="str">
        <f aca="false">IF(OR(G207="",AJ207=""),"",AJ207-G207)</f>
        <v/>
      </c>
      <c r="AP207" s="50" t="str">
        <f aca="false">IF(AND(A207="",B207=""),"",IF(J207="","Status needed",IF(OR(J207="Applied",J207="Visit booked",J207="Withdrawn"),"OK",IF(G207="","Date assessed needed",IF(C207="","Date of birth needed",IF(COUNTA(L207,M207,P207,U207,V207,X207)&lt;6,"Band missing",IF(AND(OR(J207="Decision confirmed",J207="Family told",J207="Enrolled"),AG207=""),"Recommendation needed",IF(AND(OR(J207="Family told",J207="Enrolled"),AJ207=""),"Date family told needed","OK"))))))))</f>
        <v/>
      </c>
    </row>
    <row r="208" customFormat="false" ht="15" hidden="false" customHeight="false" outlineLevel="0" collapsed="false">
      <c r="A208" s="7"/>
      <c r="B208" s="7"/>
      <c r="C208" s="46"/>
      <c r="D208" s="7"/>
      <c r="E208" s="47"/>
      <c r="F208" s="46"/>
      <c r="G208" s="46"/>
      <c r="H208" s="7"/>
      <c r="I208" s="7"/>
      <c r="J208" s="47"/>
      <c r="K208" s="47"/>
      <c r="L208" s="47"/>
      <c r="M208" s="47"/>
      <c r="N208" s="47"/>
      <c r="O208" s="10"/>
      <c r="P208" s="47"/>
      <c r="Q208" s="47"/>
      <c r="R208" s="48" t="str">
        <f aca="false">IF(Q208="","",IF(Q208=0,"below 5:00",IF(Q208&gt;=66,"16:00 or above",INT((60+2*Q208)/12)&amp;":"&amp;TEXT(MOD(60+2*Q208,12),"00"))))</f>
        <v/>
      </c>
      <c r="S208" s="47"/>
      <c r="T208" s="47"/>
      <c r="U208" s="47"/>
      <c r="V208" s="47"/>
      <c r="W208" s="47"/>
      <c r="X208" s="47"/>
      <c r="Y208" s="47"/>
      <c r="Z208" s="47"/>
      <c r="AA208" s="10"/>
      <c r="AB208" s="10"/>
      <c r="AC208" s="47"/>
      <c r="AD208" s="47"/>
      <c r="AE208" s="47"/>
      <c r="AF208" s="47"/>
      <c r="AG208" s="47"/>
      <c r="AH208" s="47"/>
      <c r="AI208" s="46"/>
      <c r="AJ208" s="46"/>
      <c r="AK208" s="46"/>
      <c r="AL208" s="7"/>
      <c r="AM208" s="49" t="str">
        <f aca="false">IF(OR(C208="",G208=""),"",IFERROR(DATEDIF(C208,G208,"m"),""))</f>
        <v/>
      </c>
      <c r="AN208" s="49" t="str">
        <f aca="false">IF(OR(Q208="",AM208=""),"",60+2*Q208-AM208)</f>
        <v/>
      </c>
      <c r="AO208" s="49" t="str">
        <f aca="false">IF(OR(G208="",AJ208=""),"",AJ208-G208)</f>
        <v/>
      </c>
      <c r="AP208" s="50" t="str">
        <f aca="false">IF(AND(A208="",B208=""),"",IF(J208="","Status needed",IF(OR(J208="Applied",J208="Visit booked",J208="Withdrawn"),"OK",IF(G208="","Date assessed needed",IF(C208="","Date of birth needed",IF(COUNTA(L208,M208,P208,U208,V208,X208)&lt;6,"Band missing",IF(AND(OR(J208="Decision confirmed",J208="Family told",J208="Enrolled"),AG208=""),"Recommendation needed",IF(AND(OR(J208="Family told",J208="Enrolled"),AJ208=""),"Date family told needed","OK"))))))))</f>
        <v/>
      </c>
    </row>
    <row r="209" customFormat="false" ht="15" hidden="false" customHeight="false" outlineLevel="0" collapsed="false">
      <c r="A209" s="7"/>
      <c r="B209" s="7"/>
      <c r="C209" s="46"/>
      <c r="D209" s="7"/>
      <c r="E209" s="47"/>
      <c r="F209" s="46"/>
      <c r="G209" s="46"/>
      <c r="H209" s="7"/>
      <c r="I209" s="7"/>
      <c r="J209" s="47"/>
      <c r="K209" s="47"/>
      <c r="L209" s="47"/>
      <c r="M209" s="47"/>
      <c r="N209" s="47"/>
      <c r="O209" s="10"/>
      <c r="P209" s="47"/>
      <c r="Q209" s="47"/>
      <c r="R209" s="48" t="str">
        <f aca="false">IF(Q209="","",IF(Q209=0,"below 5:00",IF(Q209&gt;=66,"16:00 or above",INT((60+2*Q209)/12)&amp;":"&amp;TEXT(MOD(60+2*Q209,12),"00"))))</f>
        <v/>
      </c>
      <c r="S209" s="47"/>
      <c r="T209" s="47"/>
      <c r="U209" s="47"/>
      <c r="V209" s="47"/>
      <c r="W209" s="47"/>
      <c r="X209" s="47"/>
      <c r="Y209" s="47"/>
      <c r="Z209" s="47"/>
      <c r="AA209" s="10"/>
      <c r="AB209" s="10"/>
      <c r="AC209" s="47"/>
      <c r="AD209" s="47"/>
      <c r="AE209" s="47"/>
      <c r="AF209" s="47"/>
      <c r="AG209" s="47"/>
      <c r="AH209" s="47"/>
      <c r="AI209" s="46"/>
      <c r="AJ209" s="46"/>
      <c r="AK209" s="46"/>
      <c r="AL209" s="7"/>
      <c r="AM209" s="49" t="str">
        <f aca="false">IF(OR(C209="",G209=""),"",IFERROR(DATEDIF(C209,G209,"m"),""))</f>
        <v/>
      </c>
      <c r="AN209" s="49" t="str">
        <f aca="false">IF(OR(Q209="",AM209=""),"",60+2*Q209-AM209)</f>
        <v/>
      </c>
      <c r="AO209" s="49" t="str">
        <f aca="false">IF(OR(G209="",AJ209=""),"",AJ209-G209)</f>
        <v/>
      </c>
      <c r="AP209" s="50" t="str">
        <f aca="false">IF(AND(A209="",B209=""),"",IF(J209="","Status needed",IF(OR(J209="Applied",J209="Visit booked",J209="Withdrawn"),"OK",IF(G209="","Date assessed needed",IF(C209="","Date of birth needed",IF(COUNTA(L209,M209,P209,U209,V209,X209)&lt;6,"Band missing",IF(AND(OR(J209="Decision confirmed",J209="Family told",J209="Enrolled"),AG209=""),"Recommendation needed",IF(AND(OR(J209="Family told",J209="Enrolled"),AJ209=""),"Date family told needed","OK"))))))))</f>
        <v/>
      </c>
    </row>
    <row r="210" customFormat="false" ht="15" hidden="false" customHeight="false" outlineLevel="0" collapsed="false">
      <c r="A210" s="7"/>
      <c r="B210" s="7"/>
      <c r="C210" s="46"/>
      <c r="D210" s="7"/>
      <c r="E210" s="47"/>
      <c r="F210" s="46"/>
      <c r="G210" s="46"/>
      <c r="H210" s="7"/>
      <c r="I210" s="7"/>
      <c r="J210" s="47"/>
      <c r="K210" s="47"/>
      <c r="L210" s="47"/>
      <c r="M210" s="47"/>
      <c r="N210" s="47"/>
      <c r="O210" s="10"/>
      <c r="P210" s="47"/>
      <c r="Q210" s="47"/>
      <c r="R210" s="48" t="str">
        <f aca="false">IF(Q210="","",IF(Q210=0,"below 5:00",IF(Q210&gt;=66,"16:00 or above",INT((60+2*Q210)/12)&amp;":"&amp;TEXT(MOD(60+2*Q210,12),"00"))))</f>
        <v/>
      </c>
      <c r="S210" s="47"/>
      <c r="T210" s="47"/>
      <c r="U210" s="47"/>
      <c r="V210" s="47"/>
      <c r="W210" s="47"/>
      <c r="X210" s="47"/>
      <c r="Y210" s="47"/>
      <c r="Z210" s="47"/>
      <c r="AA210" s="10"/>
      <c r="AB210" s="10"/>
      <c r="AC210" s="47"/>
      <c r="AD210" s="47"/>
      <c r="AE210" s="47"/>
      <c r="AF210" s="47"/>
      <c r="AG210" s="47"/>
      <c r="AH210" s="47"/>
      <c r="AI210" s="46"/>
      <c r="AJ210" s="46"/>
      <c r="AK210" s="46"/>
      <c r="AL210" s="7"/>
      <c r="AM210" s="49" t="str">
        <f aca="false">IF(OR(C210="",G210=""),"",IFERROR(DATEDIF(C210,G210,"m"),""))</f>
        <v/>
      </c>
      <c r="AN210" s="49" t="str">
        <f aca="false">IF(OR(Q210="",AM210=""),"",60+2*Q210-AM210)</f>
        <v/>
      </c>
      <c r="AO210" s="49" t="str">
        <f aca="false">IF(OR(G210="",AJ210=""),"",AJ210-G210)</f>
        <v/>
      </c>
      <c r="AP210" s="50" t="str">
        <f aca="false">IF(AND(A210="",B210=""),"",IF(J210="","Status needed",IF(OR(J210="Applied",J210="Visit booked",J210="Withdrawn"),"OK",IF(G210="","Date assessed needed",IF(C210="","Date of birth needed",IF(COUNTA(L210,M210,P210,U210,V210,X210)&lt;6,"Band missing",IF(AND(OR(J210="Decision confirmed",J210="Family told",J210="Enrolled"),AG210=""),"Recommendation needed",IF(AND(OR(J210="Family told",J210="Enrolled"),AJ210=""),"Date family told needed","OK"))))))))</f>
        <v/>
      </c>
    </row>
    <row r="211" customFormat="false" ht="15" hidden="false" customHeight="false" outlineLevel="0" collapsed="false">
      <c r="A211" s="7"/>
      <c r="B211" s="7"/>
      <c r="C211" s="46"/>
      <c r="D211" s="7"/>
      <c r="E211" s="47"/>
      <c r="F211" s="46"/>
      <c r="G211" s="46"/>
      <c r="H211" s="7"/>
      <c r="I211" s="7"/>
      <c r="J211" s="47"/>
      <c r="K211" s="47"/>
      <c r="L211" s="47"/>
      <c r="M211" s="47"/>
      <c r="N211" s="47"/>
      <c r="O211" s="10"/>
      <c r="P211" s="47"/>
      <c r="Q211" s="47"/>
      <c r="R211" s="48" t="str">
        <f aca="false">IF(Q211="","",IF(Q211=0,"below 5:00",IF(Q211&gt;=66,"16:00 or above",INT((60+2*Q211)/12)&amp;":"&amp;TEXT(MOD(60+2*Q211,12),"00"))))</f>
        <v/>
      </c>
      <c r="S211" s="47"/>
      <c r="T211" s="47"/>
      <c r="U211" s="47"/>
      <c r="V211" s="47"/>
      <c r="W211" s="47"/>
      <c r="X211" s="47"/>
      <c r="Y211" s="47"/>
      <c r="Z211" s="47"/>
      <c r="AA211" s="10"/>
      <c r="AB211" s="10"/>
      <c r="AC211" s="47"/>
      <c r="AD211" s="47"/>
      <c r="AE211" s="47"/>
      <c r="AF211" s="47"/>
      <c r="AG211" s="47"/>
      <c r="AH211" s="47"/>
      <c r="AI211" s="46"/>
      <c r="AJ211" s="46"/>
      <c r="AK211" s="46"/>
      <c r="AL211" s="7"/>
      <c r="AM211" s="49" t="str">
        <f aca="false">IF(OR(C211="",G211=""),"",IFERROR(DATEDIF(C211,G211,"m"),""))</f>
        <v/>
      </c>
      <c r="AN211" s="49" t="str">
        <f aca="false">IF(OR(Q211="",AM211=""),"",60+2*Q211-AM211)</f>
        <v/>
      </c>
      <c r="AO211" s="49" t="str">
        <f aca="false">IF(OR(G211="",AJ211=""),"",AJ211-G211)</f>
        <v/>
      </c>
      <c r="AP211" s="50" t="str">
        <f aca="false">IF(AND(A211="",B211=""),"",IF(J211="","Status needed",IF(OR(J211="Applied",J211="Visit booked",J211="Withdrawn"),"OK",IF(G211="","Date assessed needed",IF(C211="","Date of birth needed",IF(COUNTA(L211,M211,P211,U211,V211,X211)&lt;6,"Band missing",IF(AND(OR(J211="Decision confirmed",J211="Family told",J211="Enrolled"),AG211=""),"Recommendation needed",IF(AND(OR(J211="Family told",J211="Enrolled"),AJ211=""),"Date family told needed","OK"))))))))</f>
        <v/>
      </c>
    </row>
    <row r="212" customFormat="false" ht="15" hidden="false" customHeight="false" outlineLevel="0" collapsed="false">
      <c r="A212" s="7"/>
      <c r="B212" s="7"/>
      <c r="C212" s="46"/>
      <c r="D212" s="7"/>
      <c r="E212" s="47"/>
      <c r="F212" s="46"/>
      <c r="G212" s="46"/>
      <c r="H212" s="7"/>
      <c r="I212" s="7"/>
      <c r="J212" s="47"/>
      <c r="K212" s="47"/>
      <c r="L212" s="47"/>
      <c r="M212" s="47"/>
      <c r="N212" s="47"/>
      <c r="O212" s="10"/>
      <c r="P212" s="47"/>
      <c r="Q212" s="47"/>
      <c r="R212" s="48" t="str">
        <f aca="false">IF(Q212="","",IF(Q212=0,"below 5:00",IF(Q212&gt;=66,"16:00 or above",INT((60+2*Q212)/12)&amp;":"&amp;TEXT(MOD(60+2*Q212,12),"00"))))</f>
        <v/>
      </c>
      <c r="S212" s="47"/>
      <c r="T212" s="47"/>
      <c r="U212" s="47"/>
      <c r="V212" s="47"/>
      <c r="W212" s="47"/>
      <c r="X212" s="47"/>
      <c r="Y212" s="47"/>
      <c r="Z212" s="47"/>
      <c r="AA212" s="10"/>
      <c r="AB212" s="10"/>
      <c r="AC212" s="47"/>
      <c r="AD212" s="47"/>
      <c r="AE212" s="47"/>
      <c r="AF212" s="47"/>
      <c r="AG212" s="47"/>
      <c r="AH212" s="47"/>
      <c r="AI212" s="46"/>
      <c r="AJ212" s="46"/>
      <c r="AK212" s="46"/>
      <c r="AL212" s="7"/>
      <c r="AM212" s="49" t="str">
        <f aca="false">IF(OR(C212="",G212=""),"",IFERROR(DATEDIF(C212,G212,"m"),""))</f>
        <v/>
      </c>
      <c r="AN212" s="49" t="str">
        <f aca="false">IF(OR(Q212="",AM212=""),"",60+2*Q212-AM212)</f>
        <v/>
      </c>
      <c r="AO212" s="49" t="str">
        <f aca="false">IF(OR(G212="",AJ212=""),"",AJ212-G212)</f>
        <v/>
      </c>
      <c r="AP212" s="50" t="str">
        <f aca="false">IF(AND(A212="",B212=""),"",IF(J212="","Status needed",IF(OR(J212="Applied",J212="Visit booked",J212="Withdrawn"),"OK",IF(G212="","Date assessed needed",IF(C212="","Date of birth needed",IF(COUNTA(L212,M212,P212,U212,V212,X212)&lt;6,"Band missing",IF(AND(OR(J212="Decision confirmed",J212="Family told",J212="Enrolled"),AG212=""),"Recommendation needed",IF(AND(OR(J212="Family told",J212="Enrolled"),AJ212=""),"Date family told needed","OK"))))))))</f>
        <v/>
      </c>
    </row>
    <row r="213" customFormat="false" ht="15" hidden="false" customHeight="false" outlineLevel="0" collapsed="false">
      <c r="A213" s="7"/>
      <c r="B213" s="7"/>
      <c r="C213" s="46"/>
      <c r="D213" s="7"/>
      <c r="E213" s="47"/>
      <c r="F213" s="46"/>
      <c r="G213" s="46"/>
      <c r="H213" s="7"/>
      <c r="I213" s="7"/>
      <c r="J213" s="47"/>
      <c r="K213" s="47"/>
      <c r="L213" s="47"/>
      <c r="M213" s="47"/>
      <c r="N213" s="47"/>
      <c r="O213" s="10"/>
      <c r="P213" s="47"/>
      <c r="Q213" s="47"/>
      <c r="R213" s="48" t="str">
        <f aca="false">IF(Q213="","",IF(Q213=0,"below 5:00",IF(Q213&gt;=66,"16:00 or above",INT((60+2*Q213)/12)&amp;":"&amp;TEXT(MOD(60+2*Q213,12),"00"))))</f>
        <v/>
      </c>
      <c r="S213" s="47"/>
      <c r="T213" s="47"/>
      <c r="U213" s="47"/>
      <c r="V213" s="47"/>
      <c r="W213" s="47"/>
      <c r="X213" s="47"/>
      <c r="Y213" s="47"/>
      <c r="Z213" s="47"/>
      <c r="AA213" s="10"/>
      <c r="AB213" s="10"/>
      <c r="AC213" s="47"/>
      <c r="AD213" s="47"/>
      <c r="AE213" s="47"/>
      <c r="AF213" s="47"/>
      <c r="AG213" s="47"/>
      <c r="AH213" s="47"/>
      <c r="AI213" s="46"/>
      <c r="AJ213" s="46"/>
      <c r="AK213" s="46"/>
      <c r="AL213" s="7"/>
      <c r="AM213" s="49" t="str">
        <f aca="false">IF(OR(C213="",G213=""),"",IFERROR(DATEDIF(C213,G213,"m"),""))</f>
        <v/>
      </c>
      <c r="AN213" s="49" t="str">
        <f aca="false">IF(OR(Q213="",AM213=""),"",60+2*Q213-AM213)</f>
        <v/>
      </c>
      <c r="AO213" s="49" t="str">
        <f aca="false">IF(OR(G213="",AJ213=""),"",AJ213-G213)</f>
        <v/>
      </c>
      <c r="AP213" s="50" t="str">
        <f aca="false">IF(AND(A213="",B213=""),"",IF(J213="","Status needed",IF(OR(J213="Applied",J213="Visit booked",J213="Withdrawn"),"OK",IF(G213="","Date assessed needed",IF(C213="","Date of birth needed",IF(COUNTA(L213,M213,P213,U213,V213,X213)&lt;6,"Band missing",IF(AND(OR(J213="Decision confirmed",J213="Family told",J213="Enrolled"),AG213=""),"Recommendation needed",IF(AND(OR(J213="Family told",J213="Enrolled"),AJ213=""),"Date family told needed","OK"))))))))</f>
        <v/>
      </c>
    </row>
    <row r="214" customFormat="false" ht="15" hidden="false" customHeight="false" outlineLevel="0" collapsed="false">
      <c r="A214" s="7"/>
      <c r="B214" s="7"/>
      <c r="C214" s="46"/>
      <c r="D214" s="7"/>
      <c r="E214" s="47"/>
      <c r="F214" s="46"/>
      <c r="G214" s="46"/>
      <c r="H214" s="7"/>
      <c r="I214" s="7"/>
      <c r="J214" s="47"/>
      <c r="K214" s="47"/>
      <c r="L214" s="47"/>
      <c r="M214" s="47"/>
      <c r="N214" s="47"/>
      <c r="O214" s="10"/>
      <c r="P214" s="47"/>
      <c r="Q214" s="47"/>
      <c r="R214" s="48" t="str">
        <f aca="false">IF(Q214="","",IF(Q214=0,"below 5:00",IF(Q214&gt;=66,"16:00 or above",INT((60+2*Q214)/12)&amp;":"&amp;TEXT(MOD(60+2*Q214,12),"00"))))</f>
        <v/>
      </c>
      <c r="S214" s="47"/>
      <c r="T214" s="47"/>
      <c r="U214" s="47"/>
      <c r="V214" s="47"/>
      <c r="W214" s="47"/>
      <c r="X214" s="47"/>
      <c r="Y214" s="47"/>
      <c r="Z214" s="47"/>
      <c r="AA214" s="10"/>
      <c r="AB214" s="10"/>
      <c r="AC214" s="47"/>
      <c r="AD214" s="47"/>
      <c r="AE214" s="47"/>
      <c r="AF214" s="47"/>
      <c r="AG214" s="47"/>
      <c r="AH214" s="47"/>
      <c r="AI214" s="46"/>
      <c r="AJ214" s="46"/>
      <c r="AK214" s="46"/>
      <c r="AL214" s="7"/>
      <c r="AM214" s="49" t="str">
        <f aca="false">IF(OR(C214="",G214=""),"",IFERROR(DATEDIF(C214,G214,"m"),""))</f>
        <v/>
      </c>
      <c r="AN214" s="49" t="str">
        <f aca="false">IF(OR(Q214="",AM214=""),"",60+2*Q214-AM214)</f>
        <v/>
      </c>
      <c r="AO214" s="49" t="str">
        <f aca="false">IF(OR(G214="",AJ214=""),"",AJ214-G214)</f>
        <v/>
      </c>
      <c r="AP214" s="50" t="str">
        <f aca="false">IF(AND(A214="",B214=""),"",IF(J214="","Status needed",IF(OR(J214="Applied",J214="Visit booked",J214="Withdrawn"),"OK",IF(G214="","Date assessed needed",IF(C214="","Date of birth needed",IF(COUNTA(L214,M214,P214,U214,V214,X214)&lt;6,"Band missing",IF(AND(OR(J214="Decision confirmed",J214="Family told",J214="Enrolled"),AG214=""),"Recommendation needed",IF(AND(OR(J214="Family told",J214="Enrolled"),AJ214=""),"Date family told needed","OK"))))))))</f>
        <v/>
      </c>
    </row>
    <row r="215" customFormat="false" ht="15" hidden="false" customHeight="false" outlineLevel="0" collapsed="false">
      <c r="A215" s="7"/>
      <c r="B215" s="7"/>
      <c r="C215" s="46"/>
      <c r="D215" s="7"/>
      <c r="E215" s="47"/>
      <c r="F215" s="46"/>
      <c r="G215" s="46"/>
      <c r="H215" s="7"/>
      <c r="I215" s="7"/>
      <c r="J215" s="47"/>
      <c r="K215" s="47"/>
      <c r="L215" s="47"/>
      <c r="M215" s="47"/>
      <c r="N215" s="47"/>
      <c r="O215" s="10"/>
      <c r="P215" s="47"/>
      <c r="Q215" s="47"/>
      <c r="R215" s="48" t="str">
        <f aca="false">IF(Q215="","",IF(Q215=0,"below 5:00",IF(Q215&gt;=66,"16:00 or above",INT((60+2*Q215)/12)&amp;":"&amp;TEXT(MOD(60+2*Q215,12),"00"))))</f>
        <v/>
      </c>
      <c r="S215" s="47"/>
      <c r="T215" s="47"/>
      <c r="U215" s="47"/>
      <c r="V215" s="47"/>
      <c r="W215" s="47"/>
      <c r="X215" s="47"/>
      <c r="Y215" s="47"/>
      <c r="Z215" s="47"/>
      <c r="AA215" s="10"/>
      <c r="AB215" s="10"/>
      <c r="AC215" s="47"/>
      <c r="AD215" s="47"/>
      <c r="AE215" s="47"/>
      <c r="AF215" s="47"/>
      <c r="AG215" s="47"/>
      <c r="AH215" s="47"/>
      <c r="AI215" s="46"/>
      <c r="AJ215" s="46"/>
      <c r="AK215" s="46"/>
      <c r="AL215" s="7"/>
      <c r="AM215" s="49" t="str">
        <f aca="false">IF(OR(C215="",G215=""),"",IFERROR(DATEDIF(C215,G215,"m"),""))</f>
        <v/>
      </c>
      <c r="AN215" s="49" t="str">
        <f aca="false">IF(OR(Q215="",AM215=""),"",60+2*Q215-AM215)</f>
        <v/>
      </c>
      <c r="AO215" s="49" t="str">
        <f aca="false">IF(OR(G215="",AJ215=""),"",AJ215-G215)</f>
        <v/>
      </c>
      <c r="AP215" s="50" t="str">
        <f aca="false">IF(AND(A215="",B215=""),"",IF(J215="","Status needed",IF(OR(J215="Applied",J215="Visit booked",J215="Withdrawn"),"OK",IF(G215="","Date assessed needed",IF(C215="","Date of birth needed",IF(COUNTA(L215,M215,P215,U215,V215,X215)&lt;6,"Band missing",IF(AND(OR(J215="Decision confirmed",J215="Family told",J215="Enrolled"),AG215=""),"Recommendation needed",IF(AND(OR(J215="Family told",J215="Enrolled"),AJ215=""),"Date family told needed","OK"))))))))</f>
        <v/>
      </c>
    </row>
    <row r="216" customFormat="false" ht="15" hidden="false" customHeight="false" outlineLevel="0" collapsed="false">
      <c r="A216" s="7"/>
      <c r="B216" s="7"/>
      <c r="C216" s="46"/>
      <c r="D216" s="7"/>
      <c r="E216" s="47"/>
      <c r="F216" s="46"/>
      <c r="G216" s="46"/>
      <c r="H216" s="7"/>
      <c r="I216" s="7"/>
      <c r="J216" s="47"/>
      <c r="K216" s="47"/>
      <c r="L216" s="47"/>
      <c r="M216" s="47"/>
      <c r="N216" s="47"/>
      <c r="O216" s="10"/>
      <c r="P216" s="47"/>
      <c r="Q216" s="47"/>
      <c r="R216" s="48" t="str">
        <f aca="false">IF(Q216="","",IF(Q216=0,"below 5:00",IF(Q216&gt;=66,"16:00 or above",INT((60+2*Q216)/12)&amp;":"&amp;TEXT(MOD(60+2*Q216,12),"00"))))</f>
        <v/>
      </c>
      <c r="S216" s="47"/>
      <c r="T216" s="47"/>
      <c r="U216" s="47"/>
      <c r="V216" s="47"/>
      <c r="W216" s="47"/>
      <c r="X216" s="47"/>
      <c r="Y216" s="47"/>
      <c r="Z216" s="47"/>
      <c r="AA216" s="10"/>
      <c r="AB216" s="10"/>
      <c r="AC216" s="47"/>
      <c r="AD216" s="47"/>
      <c r="AE216" s="47"/>
      <c r="AF216" s="47"/>
      <c r="AG216" s="47"/>
      <c r="AH216" s="47"/>
      <c r="AI216" s="46"/>
      <c r="AJ216" s="46"/>
      <c r="AK216" s="46"/>
      <c r="AL216" s="7"/>
      <c r="AM216" s="49" t="str">
        <f aca="false">IF(OR(C216="",G216=""),"",IFERROR(DATEDIF(C216,G216,"m"),""))</f>
        <v/>
      </c>
      <c r="AN216" s="49" t="str">
        <f aca="false">IF(OR(Q216="",AM216=""),"",60+2*Q216-AM216)</f>
        <v/>
      </c>
      <c r="AO216" s="49" t="str">
        <f aca="false">IF(OR(G216="",AJ216=""),"",AJ216-G216)</f>
        <v/>
      </c>
      <c r="AP216" s="50" t="str">
        <f aca="false">IF(AND(A216="",B216=""),"",IF(J216="","Status needed",IF(OR(J216="Applied",J216="Visit booked",J216="Withdrawn"),"OK",IF(G216="","Date assessed needed",IF(C216="","Date of birth needed",IF(COUNTA(L216,M216,P216,U216,V216,X216)&lt;6,"Band missing",IF(AND(OR(J216="Decision confirmed",J216="Family told",J216="Enrolled"),AG216=""),"Recommendation needed",IF(AND(OR(J216="Family told",J216="Enrolled"),AJ216=""),"Date family told needed","OK"))))))))</f>
        <v/>
      </c>
    </row>
    <row r="217" customFormat="false" ht="15" hidden="false" customHeight="false" outlineLevel="0" collapsed="false">
      <c r="A217" s="7"/>
      <c r="B217" s="7"/>
      <c r="C217" s="46"/>
      <c r="D217" s="7"/>
      <c r="E217" s="47"/>
      <c r="F217" s="46"/>
      <c r="G217" s="46"/>
      <c r="H217" s="7"/>
      <c r="I217" s="7"/>
      <c r="J217" s="47"/>
      <c r="K217" s="47"/>
      <c r="L217" s="47"/>
      <c r="M217" s="47"/>
      <c r="N217" s="47"/>
      <c r="O217" s="10"/>
      <c r="P217" s="47"/>
      <c r="Q217" s="47"/>
      <c r="R217" s="48" t="str">
        <f aca="false">IF(Q217="","",IF(Q217=0,"below 5:00",IF(Q217&gt;=66,"16:00 or above",INT((60+2*Q217)/12)&amp;":"&amp;TEXT(MOD(60+2*Q217,12),"00"))))</f>
        <v/>
      </c>
      <c r="S217" s="47"/>
      <c r="T217" s="47"/>
      <c r="U217" s="47"/>
      <c r="V217" s="47"/>
      <c r="W217" s="47"/>
      <c r="X217" s="47"/>
      <c r="Y217" s="47"/>
      <c r="Z217" s="47"/>
      <c r="AA217" s="10"/>
      <c r="AB217" s="10"/>
      <c r="AC217" s="47"/>
      <c r="AD217" s="47"/>
      <c r="AE217" s="47"/>
      <c r="AF217" s="47"/>
      <c r="AG217" s="47"/>
      <c r="AH217" s="47"/>
      <c r="AI217" s="46"/>
      <c r="AJ217" s="46"/>
      <c r="AK217" s="46"/>
      <c r="AL217" s="7"/>
      <c r="AM217" s="49" t="str">
        <f aca="false">IF(OR(C217="",G217=""),"",IFERROR(DATEDIF(C217,G217,"m"),""))</f>
        <v/>
      </c>
      <c r="AN217" s="49" t="str">
        <f aca="false">IF(OR(Q217="",AM217=""),"",60+2*Q217-AM217)</f>
        <v/>
      </c>
      <c r="AO217" s="49" t="str">
        <f aca="false">IF(OR(G217="",AJ217=""),"",AJ217-G217)</f>
        <v/>
      </c>
      <c r="AP217" s="50" t="str">
        <f aca="false">IF(AND(A217="",B217=""),"",IF(J217="","Status needed",IF(OR(J217="Applied",J217="Visit booked",J217="Withdrawn"),"OK",IF(G217="","Date assessed needed",IF(C217="","Date of birth needed",IF(COUNTA(L217,M217,P217,U217,V217,X217)&lt;6,"Band missing",IF(AND(OR(J217="Decision confirmed",J217="Family told",J217="Enrolled"),AG217=""),"Recommendation needed",IF(AND(OR(J217="Family told",J217="Enrolled"),AJ217=""),"Date family told needed","OK"))))))))</f>
        <v/>
      </c>
    </row>
    <row r="218" customFormat="false" ht="15" hidden="false" customHeight="false" outlineLevel="0" collapsed="false">
      <c r="A218" s="7"/>
      <c r="B218" s="7"/>
      <c r="C218" s="46"/>
      <c r="D218" s="7"/>
      <c r="E218" s="47"/>
      <c r="F218" s="46"/>
      <c r="G218" s="46"/>
      <c r="H218" s="7"/>
      <c r="I218" s="7"/>
      <c r="J218" s="47"/>
      <c r="K218" s="47"/>
      <c r="L218" s="47"/>
      <c r="M218" s="47"/>
      <c r="N218" s="47"/>
      <c r="O218" s="10"/>
      <c r="P218" s="47"/>
      <c r="Q218" s="47"/>
      <c r="R218" s="48" t="str">
        <f aca="false">IF(Q218="","",IF(Q218=0,"below 5:00",IF(Q218&gt;=66,"16:00 or above",INT((60+2*Q218)/12)&amp;":"&amp;TEXT(MOD(60+2*Q218,12),"00"))))</f>
        <v/>
      </c>
      <c r="S218" s="47"/>
      <c r="T218" s="47"/>
      <c r="U218" s="47"/>
      <c r="V218" s="47"/>
      <c r="W218" s="47"/>
      <c r="X218" s="47"/>
      <c r="Y218" s="47"/>
      <c r="Z218" s="47"/>
      <c r="AA218" s="10"/>
      <c r="AB218" s="10"/>
      <c r="AC218" s="47"/>
      <c r="AD218" s="47"/>
      <c r="AE218" s="47"/>
      <c r="AF218" s="47"/>
      <c r="AG218" s="47"/>
      <c r="AH218" s="47"/>
      <c r="AI218" s="46"/>
      <c r="AJ218" s="46"/>
      <c r="AK218" s="46"/>
      <c r="AL218" s="7"/>
      <c r="AM218" s="49" t="str">
        <f aca="false">IF(OR(C218="",G218=""),"",IFERROR(DATEDIF(C218,G218,"m"),""))</f>
        <v/>
      </c>
      <c r="AN218" s="49" t="str">
        <f aca="false">IF(OR(Q218="",AM218=""),"",60+2*Q218-AM218)</f>
        <v/>
      </c>
      <c r="AO218" s="49" t="str">
        <f aca="false">IF(OR(G218="",AJ218=""),"",AJ218-G218)</f>
        <v/>
      </c>
      <c r="AP218" s="50" t="str">
        <f aca="false">IF(AND(A218="",B218=""),"",IF(J218="","Status needed",IF(OR(J218="Applied",J218="Visit booked",J218="Withdrawn"),"OK",IF(G218="","Date assessed needed",IF(C218="","Date of birth needed",IF(COUNTA(L218,M218,P218,U218,V218,X218)&lt;6,"Band missing",IF(AND(OR(J218="Decision confirmed",J218="Family told",J218="Enrolled"),AG218=""),"Recommendation needed",IF(AND(OR(J218="Family told",J218="Enrolled"),AJ218=""),"Date family told needed","OK"))))))))</f>
        <v/>
      </c>
    </row>
    <row r="219" customFormat="false" ht="15" hidden="false" customHeight="false" outlineLevel="0" collapsed="false">
      <c r="A219" s="7"/>
      <c r="B219" s="7"/>
      <c r="C219" s="46"/>
      <c r="D219" s="7"/>
      <c r="E219" s="47"/>
      <c r="F219" s="46"/>
      <c r="G219" s="46"/>
      <c r="H219" s="7"/>
      <c r="I219" s="7"/>
      <c r="J219" s="47"/>
      <c r="K219" s="47"/>
      <c r="L219" s="47"/>
      <c r="M219" s="47"/>
      <c r="N219" s="47"/>
      <c r="O219" s="10"/>
      <c r="P219" s="47"/>
      <c r="Q219" s="47"/>
      <c r="R219" s="48" t="str">
        <f aca="false">IF(Q219="","",IF(Q219=0,"below 5:00",IF(Q219&gt;=66,"16:00 or above",INT((60+2*Q219)/12)&amp;":"&amp;TEXT(MOD(60+2*Q219,12),"00"))))</f>
        <v/>
      </c>
      <c r="S219" s="47"/>
      <c r="T219" s="47"/>
      <c r="U219" s="47"/>
      <c r="V219" s="47"/>
      <c r="W219" s="47"/>
      <c r="X219" s="47"/>
      <c r="Y219" s="47"/>
      <c r="Z219" s="47"/>
      <c r="AA219" s="10"/>
      <c r="AB219" s="10"/>
      <c r="AC219" s="47"/>
      <c r="AD219" s="47"/>
      <c r="AE219" s="47"/>
      <c r="AF219" s="47"/>
      <c r="AG219" s="47"/>
      <c r="AH219" s="47"/>
      <c r="AI219" s="46"/>
      <c r="AJ219" s="46"/>
      <c r="AK219" s="46"/>
      <c r="AL219" s="7"/>
      <c r="AM219" s="49" t="str">
        <f aca="false">IF(OR(C219="",G219=""),"",IFERROR(DATEDIF(C219,G219,"m"),""))</f>
        <v/>
      </c>
      <c r="AN219" s="49" t="str">
        <f aca="false">IF(OR(Q219="",AM219=""),"",60+2*Q219-AM219)</f>
        <v/>
      </c>
      <c r="AO219" s="49" t="str">
        <f aca="false">IF(OR(G219="",AJ219=""),"",AJ219-G219)</f>
        <v/>
      </c>
      <c r="AP219" s="50" t="str">
        <f aca="false">IF(AND(A219="",B219=""),"",IF(J219="","Status needed",IF(OR(J219="Applied",J219="Visit booked",J219="Withdrawn"),"OK",IF(G219="","Date assessed needed",IF(C219="","Date of birth needed",IF(COUNTA(L219,M219,P219,U219,V219,X219)&lt;6,"Band missing",IF(AND(OR(J219="Decision confirmed",J219="Family told",J219="Enrolled"),AG219=""),"Recommendation needed",IF(AND(OR(J219="Family told",J219="Enrolled"),AJ219=""),"Date family told needed","OK"))))))))</f>
        <v/>
      </c>
    </row>
    <row r="220" customFormat="false" ht="15" hidden="false" customHeight="false" outlineLevel="0" collapsed="false">
      <c r="A220" s="7"/>
      <c r="B220" s="7"/>
      <c r="C220" s="46"/>
      <c r="D220" s="7"/>
      <c r="E220" s="47"/>
      <c r="F220" s="46"/>
      <c r="G220" s="46"/>
      <c r="H220" s="7"/>
      <c r="I220" s="7"/>
      <c r="J220" s="47"/>
      <c r="K220" s="47"/>
      <c r="L220" s="47"/>
      <c r="M220" s="47"/>
      <c r="N220" s="47"/>
      <c r="O220" s="10"/>
      <c r="P220" s="47"/>
      <c r="Q220" s="47"/>
      <c r="R220" s="48" t="str">
        <f aca="false">IF(Q220="","",IF(Q220=0,"below 5:00",IF(Q220&gt;=66,"16:00 or above",INT((60+2*Q220)/12)&amp;":"&amp;TEXT(MOD(60+2*Q220,12),"00"))))</f>
        <v/>
      </c>
      <c r="S220" s="47"/>
      <c r="T220" s="47"/>
      <c r="U220" s="47"/>
      <c r="V220" s="47"/>
      <c r="W220" s="47"/>
      <c r="X220" s="47"/>
      <c r="Y220" s="47"/>
      <c r="Z220" s="47"/>
      <c r="AA220" s="10"/>
      <c r="AB220" s="10"/>
      <c r="AC220" s="47"/>
      <c r="AD220" s="47"/>
      <c r="AE220" s="47"/>
      <c r="AF220" s="47"/>
      <c r="AG220" s="47"/>
      <c r="AH220" s="47"/>
      <c r="AI220" s="46"/>
      <c r="AJ220" s="46"/>
      <c r="AK220" s="46"/>
      <c r="AL220" s="7"/>
      <c r="AM220" s="49" t="str">
        <f aca="false">IF(OR(C220="",G220=""),"",IFERROR(DATEDIF(C220,G220,"m"),""))</f>
        <v/>
      </c>
      <c r="AN220" s="49" t="str">
        <f aca="false">IF(OR(Q220="",AM220=""),"",60+2*Q220-AM220)</f>
        <v/>
      </c>
      <c r="AO220" s="49" t="str">
        <f aca="false">IF(OR(G220="",AJ220=""),"",AJ220-G220)</f>
        <v/>
      </c>
      <c r="AP220" s="50" t="str">
        <f aca="false">IF(AND(A220="",B220=""),"",IF(J220="","Status needed",IF(OR(J220="Applied",J220="Visit booked",J220="Withdrawn"),"OK",IF(G220="","Date assessed needed",IF(C220="","Date of birth needed",IF(COUNTA(L220,M220,P220,U220,V220,X220)&lt;6,"Band missing",IF(AND(OR(J220="Decision confirmed",J220="Family told",J220="Enrolled"),AG220=""),"Recommendation needed",IF(AND(OR(J220="Family told",J220="Enrolled"),AJ220=""),"Date family told needed","OK"))))))))</f>
        <v/>
      </c>
    </row>
    <row r="221" customFormat="false" ht="15" hidden="false" customHeight="false" outlineLevel="0" collapsed="false">
      <c r="A221" s="7"/>
      <c r="B221" s="7"/>
      <c r="C221" s="46"/>
      <c r="D221" s="7"/>
      <c r="E221" s="47"/>
      <c r="F221" s="46"/>
      <c r="G221" s="46"/>
      <c r="H221" s="7"/>
      <c r="I221" s="7"/>
      <c r="J221" s="47"/>
      <c r="K221" s="47"/>
      <c r="L221" s="47"/>
      <c r="M221" s="47"/>
      <c r="N221" s="47"/>
      <c r="O221" s="10"/>
      <c r="P221" s="47"/>
      <c r="Q221" s="47"/>
      <c r="R221" s="48" t="str">
        <f aca="false">IF(Q221="","",IF(Q221=0,"below 5:00",IF(Q221&gt;=66,"16:00 or above",INT((60+2*Q221)/12)&amp;":"&amp;TEXT(MOD(60+2*Q221,12),"00"))))</f>
        <v/>
      </c>
      <c r="S221" s="47"/>
      <c r="T221" s="47"/>
      <c r="U221" s="47"/>
      <c r="V221" s="47"/>
      <c r="W221" s="47"/>
      <c r="X221" s="47"/>
      <c r="Y221" s="47"/>
      <c r="Z221" s="47"/>
      <c r="AA221" s="10"/>
      <c r="AB221" s="10"/>
      <c r="AC221" s="47"/>
      <c r="AD221" s="47"/>
      <c r="AE221" s="47"/>
      <c r="AF221" s="47"/>
      <c r="AG221" s="47"/>
      <c r="AH221" s="47"/>
      <c r="AI221" s="46"/>
      <c r="AJ221" s="46"/>
      <c r="AK221" s="46"/>
      <c r="AL221" s="7"/>
      <c r="AM221" s="49" t="str">
        <f aca="false">IF(OR(C221="",G221=""),"",IFERROR(DATEDIF(C221,G221,"m"),""))</f>
        <v/>
      </c>
      <c r="AN221" s="49" t="str">
        <f aca="false">IF(OR(Q221="",AM221=""),"",60+2*Q221-AM221)</f>
        <v/>
      </c>
      <c r="AO221" s="49" t="str">
        <f aca="false">IF(OR(G221="",AJ221=""),"",AJ221-G221)</f>
        <v/>
      </c>
      <c r="AP221" s="50" t="str">
        <f aca="false">IF(AND(A221="",B221=""),"",IF(J221="","Status needed",IF(OR(J221="Applied",J221="Visit booked",J221="Withdrawn"),"OK",IF(G221="","Date assessed needed",IF(C221="","Date of birth needed",IF(COUNTA(L221,M221,P221,U221,V221,X221)&lt;6,"Band missing",IF(AND(OR(J221="Decision confirmed",J221="Family told",J221="Enrolled"),AG221=""),"Recommendation needed",IF(AND(OR(J221="Family told",J221="Enrolled"),AJ221=""),"Date family told needed","OK"))))))))</f>
        <v/>
      </c>
    </row>
    <row r="222" customFormat="false" ht="15" hidden="false" customHeight="false" outlineLevel="0" collapsed="false">
      <c r="A222" s="7"/>
      <c r="B222" s="7"/>
      <c r="C222" s="46"/>
      <c r="D222" s="7"/>
      <c r="E222" s="47"/>
      <c r="F222" s="46"/>
      <c r="G222" s="46"/>
      <c r="H222" s="7"/>
      <c r="I222" s="7"/>
      <c r="J222" s="47"/>
      <c r="K222" s="47"/>
      <c r="L222" s="47"/>
      <c r="M222" s="47"/>
      <c r="N222" s="47"/>
      <c r="O222" s="10"/>
      <c r="P222" s="47"/>
      <c r="Q222" s="47"/>
      <c r="R222" s="48" t="str">
        <f aca="false">IF(Q222="","",IF(Q222=0,"below 5:00",IF(Q222&gt;=66,"16:00 or above",INT((60+2*Q222)/12)&amp;":"&amp;TEXT(MOD(60+2*Q222,12),"00"))))</f>
        <v/>
      </c>
      <c r="S222" s="47"/>
      <c r="T222" s="47"/>
      <c r="U222" s="47"/>
      <c r="V222" s="47"/>
      <c r="W222" s="47"/>
      <c r="X222" s="47"/>
      <c r="Y222" s="47"/>
      <c r="Z222" s="47"/>
      <c r="AA222" s="10"/>
      <c r="AB222" s="10"/>
      <c r="AC222" s="47"/>
      <c r="AD222" s="47"/>
      <c r="AE222" s="47"/>
      <c r="AF222" s="47"/>
      <c r="AG222" s="47"/>
      <c r="AH222" s="47"/>
      <c r="AI222" s="46"/>
      <c r="AJ222" s="46"/>
      <c r="AK222" s="46"/>
      <c r="AL222" s="7"/>
      <c r="AM222" s="49" t="str">
        <f aca="false">IF(OR(C222="",G222=""),"",IFERROR(DATEDIF(C222,G222,"m"),""))</f>
        <v/>
      </c>
      <c r="AN222" s="49" t="str">
        <f aca="false">IF(OR(Q222="",AM222=""),"",60+2*Q222-AM222)</f>
        <v/>
      </c>
      <c r="AO222" s="49" t="str">
        <f aca="false">IF(OR(G222="",AJ222=""),"",AJ222-G222)</f>
        <v/>
      </c>
      <c r="AP222" s="50" t="str">
        <f aca="false">IF(AND(A222="",B222=""),"",IF(J222="","Status needed",IF(OR(J222="Applied",J222="Visit booked",J222="Withdrawn"),"OK",IF(G222="","Date assessed needed",IF(C222="","Date of birth needed",IF(COUNTA(L222,M222,P222,U222,V222,X222)&lt;6,"Band missing",IF(AND(OR(J222="Decision confirmed",J222="Family told",J222="Enrolled"),AG222=""),"Recommendation needed",IF(AND(OR(J222="Family told",J222="Enrolled"),AJ222=""),"Date family told needed","OK"))))))))</f>
        <v/>
      </c>
    </row>
    <row r="223" customFormat="false" ht="15" hidden="false" customHeight="false" outlineLevel="0" collapsed="false">
      <c r="A223" s="7"/>
      <c r="B223" s="7"/>
      <c r="C223" s="46"/>
      <c r="D223" s="7"/>
      <c r="E223" s="47"/>
      <c r="F223" s="46"/>
      <c r="G223" s="46"/>
      <c r="H223" s="7"/>
      <c r="I223" s="7"/>
      <c r="J223" s="47"/>
      <c r="K223" s="47"/>
      <c r="L223" s="47"/>
      <c r="M223" s="47"/>
      <c r="N223" s="47"/>
      <c r="O223" s="10"/>
      <c r="P223" s="47"/>
      <c r="Q223" s="47"/>
      <c r="R223" s="48" t="str">
        <f aca="false">IF(Q223="","",IF(Q223=0,"below 5:00",IF(Q223&gt;=66,"16:00 or above",INT((60+2*Q223)/12)&amp;":"&amp;TEXT(MOD(60+2*Q223,12),"00"))))</f>
        <v/>
      </c>
      <c r="S223" s="47"/>
      <c r="T223" s="47"/>
      <c r="U223" s="47"/>
      <c r="V223" s="47"/>
      <c r="W223" s="47"/>
      <c r="X223" s="47"/>
      <c r="Y223" s="47"/>
      <c r="Z223" s="47"/>
      <c r="AA223" s="10"/>
      <c r="AB223" s="10"/>
      <c r="AC223" s="47"/>
      <c r="AD223" s="47"/>
      <c r="AE223" s="47"/>
      <c r="AF223" s="47"/>
      <c r="AG223" s="47"/>
      <c r="AH223" s="47"/>
      <c r="AI223" s="46"/>
      <c r="AJ223" s="46"/>
      <c r="AK223" s="46"/>
      <c r="AL223" s="7"/>
      <c r="AM223" s="49" t="str">
        <f aca="false">IF(OR(C223="",G223=""),"",IFERROR(DATEDIF(C223,G223,"m"),""))</f>
        <v/>
      </c>
      <c r="AN223" s="49" t="str">
        <f aca="false">IF(OR(Q223="",AM223=""),"",60+2*Q223-AM223)</f>
        <v/>
      </c>
      <c r="AO223" s="49" t="str">
        <f aca="false">IF(OR(G223="",AJ223=""),"",AJ223-G223)</f>
        <v/>
      </c>
      <c r="AP223" s="50" t="str">
        <f aca="false">IF(AND(A223="",B223=""),"",IF(J223="","Status needed",IF(OR(J223="Applied",J223="Visit booked",J223="Withdrawn"),"OK",IF(G223="","Date assessed needed",IF(C223="","Date of birth needed",IF(COUNTA(L223,M223,P223,U223,V223,X223)&lt;6,"Band missing",IF(AND(OR(J223="Decision confirmed",J223="Family told",J223="Enrolled"),AG223=""),"Recommendation needed",IF(AND(OR(J223="Family told",J223="Enrolled"),AJ223=""),"Date family told needed","OK"))))))))</f>
        <v/>
      </c>
    </row>
    <row r="224" customFormat="false" ht="15" hidden="false" customHeight="false" outlineLevel="0" collapsed="false">
      <c r="A224" s="7"/>
      <c r="B224" s="7"/>
      <c r="C224" s="46"/>
      <c r="D224" s="7"/>
      <c r="E224" s="47"/>
      <c r="F224" s="46"/>
      <c r="G224" s="46"/>
      <c r="H224" s="7"/>
      <c r="I224" s="7"/>
      <c r="J224" s="47"/>
      <c r="K224" s="47"/>
      <c r="L224" s="47"/>
      <c r="M224" s="47"/>
      <c r="N224" s="47"/>
      <c r="O224" s="10"/>
      <c r="P224" s="47"/>
      <c r="Q224" s="47"/>
      <c r="R224" s="48" t="str">
        <f aca="false">IF(Q224="","",IF(Q224=0,"below 5:00",IF(Q224&gt;=66,"16:00 or above",INT((60+2*Q224)/12)&amp;":"&amp;TEXT(MOD(60+2*Q224,12),"00"))))</f>
        <v/>
      </c>
      <c r="S224" s="47"/>
      <c r="T224" s="47"/>
      <c r="U224" s="47"/>
      <c r="V224" s="47"/>
      <c r="W224" s="47"/>
      <c r="X224" s="47"/>
      <c r="Y224" s="47"/>
      <c r="Z224" s="47"/>
      <c r="AA224" s="10"/>
      <c r="AB224" s="10"/>
      <c r="AC224" s="47"/>
      <c r="AD224" s="47"/>
      <c r="AE224" s="47"/>
      <c r="AF224" s="47"/>
      <c r="AG224" s="47"/>
      <c r="AH224" s="47"/>
      <c r="AI224" s="46"/>
      <c r="AJ224" s="46"/>
      <c r="AK224" s="46"/>
      <c r="AL224" s="7"/>
      <c r="AM224" s="49" t="str">
        <f aca="false">IF(OR(C224="",G224=""),"",IFERROR(DATEDIF(C224,G224,"m"),""))</f>
        <v/>
      </c>
      <c r="AN224" s="49" t="str">
        <f aca="false">IF(OR(Q224="",AM224=""),"",60+2*Q224-AM224)</f>
        <v/>
      </c>
      <c r="AO224" s="49" t="str">
        <f aca="false">IF(OR(G224="",AJ224=""),"",AJ224-G224)</f>
        <v/>
      </c>
      <c r="AP224" s="50" t="str">
        <f aca="false">IF(AND(A224="",B224=""),"",IF(J224="","Status needed",IF(OR(J224="Applied",J224="Visit booked",J224="Withdrawn"),"OK",IF(G224="","Date assessed needed",IF(C224="","Date of birth needed",IF(COUNTA(L224,M224,P224,U224,V224,X224)&lt;6,"Band missing",IF(AND(OR(J224="Decision confirmed",J224="Family told",J224="Enrolled"),AG224=""),"Recommendation needed",IF(AND(OR(J224="Family told",J224="Enrolled"),AJ224=""),"Date family told needed","OK"))))))))</f>
        <v/>
      </c>
    </row>
    <row r="225" customFormat="false" ht="15" hidden="false" customHeight="false" outlineLevel="0" collapsed="false">
      <c r="A225" s="7"/>
      <c r="B225" s="7"/>
      <c r="C225" s="46"/>
      <c r="D225" s="7"/>
      <c r="E225" s="47"/>
      <c r="F225" s="46"/>
      <c r="G225" s="46"/>
      <c r="H225" s="7"/>
      <c r="I225" s="7"/>
      <c r="J225" s="47"/>
      <c r="K225" s="47"/>
      <c r="L225" s="47"/>
      <c r="M225" s="47"/>
      <c r="N225" s="47"/>
      <c r="O225" s="10"/>
      <c r="P225" s="47"/>
      <c r="Q225" s="47"/>
      <c r="R225" s="48" t="str">
        <f aca="false">IF(Q225="","",IF(Q225=0,"below 5:00",IF(Q225&gt;=66,"16:00 or above",INT((60+2*Q225)/12)&amp;":"&amp;TEXT(MOD(60+2*Q225,12),"00"))))</f>
        <v/>
      </c>
      <c r="S225" s="47"/>
      <c r="T225" s="47"/>
      <c r="U225" s="47"/>
      <c r="V225" s="47"/>
      <c r="W225" s="47"/>
      <c r="X225" s="47"/>
      <c r="Y225" s="47"/>
      <c r="Z225" s="47"/>
      <c r="AA225" s="10"/>
      <c r="AB225" s="10"/>
      <c r="AC225" s="47"/>
      <c r="AD225" s="47"/>
      <c r="AE225" s="47"/>
      <c r="AF225" s="47"/>
      <c r="AG225" s="47"/>
      <c r="AH225" s="47"/>
      <c r="AI225" s="46"/>
      <c r="AJ225" s="46"/>
      <c r="AK225" s="46"/>
      <c r="AL225" s="7"/>
      <c r="AM225" s="49" t="str">
        <f aca="false">IF(OR(C225="",G225=""),"",IFERROR(DATEDIF(C225,G225,"m"),""))</f>
        <v/>
      </c>
      <c r="AN225" s="49" t="str">
        <f aca="false">IF(OR(Q225="",AM225=""),"",60+2*Q225-AM225)</f>
        <v/>
      </c>
      <c r="AO225" s="49" t="str">
        <f aca="false">IF(OR(G225="",AJ225=""),"",AJ225-G225)</f>
        <v/>
      </c>
      <c r="AP225" s="50" t="str">
        <f aca="false">IF(AND(A225="",B225=""),"",IF(J225="","Status needed",IF(OR(J225="Applied",J225="Visit booked",J225="Withdrawn"),"OK",IF(G225="","Date assessed needed",IF(C225="","Date of birth needed",IF(COUNTA(L225,M225,P225,U225,V225,X225)&lt;6,"Band missing",IF(AND(OR(J225="Decision confirmed",J225="Family told",J225="Enrolled"),AG225=""),"Recommendation needed",IF(AND(OR(J225="Family told",J225="Enrolled"),AJ225=""),"Date family told needed","OK"))))))))</f>
        <v/>
      </c>
    </row>
    <row r="226" customFormat="false" ht="15" hidden="false" customHeight="false" outlineLevel="0" collapsed="false">
      <c r="A226" s="7"/>
      <c r="B226" s="7"/>
      <c r="C226" s="46"/>
      <c r="D226" s="7"/>
      <c r="E226" s="47"/>
      <c r="F226" s="46"/>
      <c r="G226" s="46"/>
      <c r="H226" s="7"/>
      <c r="I226" s="7"/>
      <c r="J226" s="47"/>
      <c r="K226" s="47"/>
      <c r="L226" s="47"/>
      <c r="M226" s="47"/>
      <c r="N226" s="47"/>
      <c r="O226" s="10"/>
      <c r="P226" s="47"/>
      <c r="Q226" s="47"/>
      <c r="R226" s="48" t="str">
        <f aca="false">IF(Q226="","",IF(Q226=0,"below 5:00",IF(Q226&gt;=66,"16:00 or above",INT((60+2*Q226)/12)&amp;":"&amp;TEXT(MOD(60+2*Q226,12),"00"))))</f>
        <v/>
      </c>
      <c r="S226" s="47"/>
      <c r="T226" s="47"/>
      <c r="U226" s="47"/>
      <c r="V226" s="47"/>
      <c r="W226" s="47"/>
      <c r="X226" s="47"/>
      <c r="Y226" s="47"/>
      <c r="Z226" s="47"/>
      <c r="AA226" s="10"/>
      <c r="AB226" s="10"/>
      <c r="AC226" s="47"/>
      <c r="AD226" s="47"/>
      <c r="AE226" s="47"/>
      <c r="AF226" s="47"/>
      <c r="AG226" s="47"/>
      <c r="AH226" s="47"/>
      <c r="AI226" s="46"/>
      <c r="AJ226" s="46"/>
      <c r="AK226" s="46"/>
      <c r="AL226" s="7"/>
      <c r="AM226" s="49" t="str">
        <f aca="false">IF(OR(C226="",G226=""),"",IFERROR(DATEDIF(C226,G226,"m"),""))</f>
        <v/>
      </c>
      <c r="AN226" s="49" t="str">
        <f aca="false">IF(OR(Q226="",AM226=""),"",60+2*Q226-AM226)</f>
        <v/>
      </c>
      <c r="AO226" s="49" t="str">
        <f aca="false">IF(OR(G226="",AJ226=""),"",AJ226-G226)</f>
        <v/>
      </c>
      <c r="AP226" s="50" t="str">
        <f aca="false">IF(AND(A226="",B226=""),"",IF(J226="","Status needed",IF(OR(J226="Applied",J226="Visit booked",J226="Withdrawn"),"OK",IF(G226="","Date assessed needed",IF(C226="","Date of birth needed",IF(COUNTA(L226,M226,P226,U226,V226,X226)&lt;6,"Band missing",IF(AND(OR(J226="Decision confirmed",J226="Family told",J226="Enrolled"),AG226=""),"Recommendation needed",IF(AND(OR(J226="Family told",J226="Enrolled"),AJ226=""),"Date family told needed","OK"))))))))</f>
        <v/>
      </c>
    </row>
    <row r="227" customFormat="false" ht="15" hidden="false" customHeight="false" outlineLevel="0" collapsed="false">
      <c r="A227" s="7"/>
      <c r="B227" s="7"/>
      <c r="C227" s="46"/>
      <c r="D227" s="7"/>
      <c r="E227" s="47"/>
      <c r="F227" s="46"/>
      <c r="G227" s="46"/>
      <c r="H227" s="7"/>
      <c r="I227" s="7"/>
      <c r="J227" s="47"/>
      <c r="K227" s="47"/>
      <c r="L227" s="47"/>
      <c r="M227" s="47"/>
      <c r="N227" s="47"/>
      <c r="O227" s="10"/>
      <c r="P227" s="47"/>
      <c r="Q227" s="47"/>
      <c r="R227" s="48" t="str">
        <f aca="false">IF(Q227="","",IF(Q227=0,"below 5:00",IF(Q227&gt;=66,"16:00 or above",INT((60+2*Q227)/12)&amp;":"&amp;TEXT(MOD(60+2*Q227,12),"00"))))</f>
        <v/>
      </c>
      <c r="S227" s="47"/>
      <c r="T227" s="47"/>
      <c r="U227" s="47"/>
      <c r="V227" s="47"/>
      <c r="W227" s="47"/>
      <c r="X227" s="47"/>
      <c r="Y227" s="47"/>
      <c r="Z227" s="47"/>
      <c r="AA227" s="10"/>
      <c r="AB227" s="10"/>
      <c r="AC227" s="47"/>
      <c r="AD227" s="47"/>
      <c r="AE227" s="47"/>
      <c r="AF227" s="47"/>
      <c r="AG227" s="47"/>
      <c r="AH227" s="47"/>
      <c r="AI227" s="46"/>
      <c r="AJ227" s="46"/>
      <c r="AK227" s="46"/>
      <c r="AL227" s="7"/>
      <c r="AM227" s="49" t="str">
        <f aca="false">IF(OR(C227="",G227=""),"",IFERROR(DATEDIF(C227,G227,"m"),""))</f>
        <v/>
      </c>
      <c r="AN227" s="49" t="str">
        <f aca="false">IF(OR(Q227="",AM227=""),"",60+2*Q227-AM227)</f>
        <v/>
      </c>
      <c r="AO227" s="49" t="str">
        <f aca="false">IF(OR(G227="",AJ227=""),"",AJ227-G227)</f>
        <v/>
      </c>
      <c r="AP227" s="50" t="str">
        <f aca="false">IF(AND(A227="",B227=""),"",IF(J227="","Status needed",IF(OR(J227="Applied",J227="Visit booked",J227="Withdrawn"),"OK",IF(G227="","Date assessed needed",IF(C227="","Date of birth needed",IF(COUNTA(L227,M227,P227,U227,V227,X227)&lt;6,"Band missing",IF(AND(OR(J227="Decision confirmed",J227="Family told",J227="Enrolled"),AG227=""),"Recommendation needed",IF(AND(OR(J227="Family told",J227="Enrolled"),AJ227=""),"Date family told needed","OK"))))))))</f>
        <v/>
      </c>
    </row>
    <row r="228" customFormat="false" ht="15" hidden="false" customHeight="false" outlineLevel="0" collapsed="false">
      <c r="A228" s="7"/>
      <c r="B228" s="7"/>
      <c r="C228" s="46"/>
      <c r="D228" s="7"/>
      <c r="E228" s="47"/>
      <c r="F228" s="46"/>
      <c r="G228" s="46"/>
      <c r="H228" s="7"/>
      <c r="I228" s="7"/>
      <c r="J228" s="47"/>
      <c r="K228" s="47"/>
      <c r="L228" s="47"/>
      <c r="M228" s="47"/>
      <c r="N228" s="47"/>
      <c r="O228" s="10"/>
      <c r="P228" s="47"/>
      <c r="Q228" s="47"/>
      <c r="R228" s="48" t="str">
        <f aca="false">IF(Q228="","",IF(Q228=0,"below 5:00",IF(Q228&gt;=66,"16:00 or above",INT((60+2*Q228)/12)&amp;":"&amp;TEXT(MOD(60+2*Q228,12),"00"))))</f>
        <v/>
      </c>
      <c r="S228" s="47"/>
      <c r="T228" s="47"/>
      <c r="U228" s="47"/>
      <c r="V228" s="47"/>
      <c r="W228" s="47"/>
      <c r="X228" s="47"/>
      <c r="Y228" s="47"/>
      <c r="Z228" s="47"/>
      <c r="AA228" s="10"/>
      <c r="AB228" s="10"/>
      <c r="AC228" s="47"/>
      <c r="AD228" s="47"/>
      <c r="AE228" s="47"/>
      <c r="AF228" s="47"/>
      <c r="AG228" s="47"/>
      <c r="AH228" s="47"/>
      <c r="AI228" s="46"/>
      <c r="AJ228" s="46"/>
      <c r="AK228" s="46"/>
      <c r="AL228" s="7"/>
      <c r="AM228" s="49" t="str">
        <f aca="false">IF(OR(C228="",G228=""),"",IFERROR(DATEDIF(C228,G228,"m"),""))</f>
        <v/>
      </c>
      <c r="AN228" s="49" t="str">
        <f aca="false">IF(OR(Q228="",AM228=""),"",60+2*Q228-AM228)</f>
        <v/>
      </c>
      <c r="AO228" s="49" t="str">
        <f aca="false">IF(OR(G228="",AJ228=""),"",AJ228-G228)</f>
        <v/>
      </c>
      <c r="AP228" s="50" t="str">
        <f aca="false">IF(AND(A228="",B228=""),"",IF(J228="","Status needed",IF(OR(J228="Applied",J228="Visit booked",J228="Withdrawn"),"OK",IF(G228="","Date assessed needed",IF(C228="","Date of birth needed",IF(COUNTA(L228,M228,P228,U228,V228,X228)&lt;6,"Band missing",IF(AND(OR(J228="Decision confirmed",J228="Family told",J228="Enrolled"),AG228=""),"Recommendation needed",IF(AND(OR(J228="Family told",J228="Enrolled"),AJ228=""),"Date family told needed","OK"))))))))</f>
        <v/>
      </c>
    </row>
    <row r="229" customFormat="false" ht="15" hidden="false" customHeight="false" outlineLevel="0" collapsed="false">
      <c r="A229" s="7"/>
      <c r="B229" s="7"/>
      <c r="C229" s="46"/>
      <c r="D229" s="7"/>
      <c r="E229" s="47"/>
      <c r="F229" s="46"/>
      <c r="G229" s="46"/>
      <c r="H229" s="7"/>
      <c r="I229" s="7"/>
      <c r="J229" s="47"/>
      <c r="K229" s="47"/>
      <c r="L229" s="47"/>
      <c r="M229" s="47"/>
      <c r="N229" s="47"/>
      <c r="O229" s="10"/>
      <c r="P229" s="47"/>
      <c r="Q229" s="47"/>
      <c r="R229" s="48" t="str">
        <f aca="false">IF(Q229="","",IF(Q229=0,"below 5:00",IF(Q229&gt;=66,"16:00 or above",INT((60+2*Q229)/12)&amp;":"&amp;TEXT(MOD(60+2*Q229,12),"00"))))</f>
        <v/>
      </c>
      <c r="S229" s="47"/>
      <c r="T229" s="47"/>
      <c r="U229" s="47"/>
      <c r="V229" s="47"/>
      <c r="W229" s="47"/>
      <c r="X229" s="47"/>
      <c r="Y229" s="47"/>
      <c r="Z229" s="47"/>
      <c r="AA229" s="10"/>
      <c r="AB229" s="10"/>
      <c r="AC229" s="47"/>
      <c r="AD229" s="47"/>
      <c r="AE229" s="47"/>
      <c r="AF229" s="47"/>
      <c r="AG229" s="47"/>
      <c r="AH229" s="47"/>
      <c r="AI229" s="46"/>
      <c r="AJ229" s="46"/>
      <c r="AK229" s="46"/>
      <c r="AL229" s="7"/>
      <c r="AM229" s="49" t="str">
        <f aca="false">IF(OR(C229="",G229=""),"",IFERROR(DATEDIF(C229,G229,"m"),""))</f>
        <v/>
      </c>
      <c r="AN229" s="49" t="str">
        <f aca="false">IF(OR(Q229="",AM229=""),"",60+2*Q229-AM229)</f>
        <v/>
      </c>
      <c r="AO229" s="49" t="str">
        <f aca="false">IF(OR(G229="",AJ229=""),"",AJ229-G229)</f>
        <v/>
      </c>
      <c r="AP229" s="50" t="str">
        <f aca="false">IF(AND(A229="",B229=""),"",IF(J229="","Status needed",IF(OR(J229="Applied",J229="Visit booked",J229="Withdrawn"),"OK",IF(G229="","Date assessed needed",IF(C229="","Date of birth needed",IF(COUNTA(L229,M229,P229,U229,V229,X229)&lt;6,"Band missing",IF(AND(OR(J229="Decision confirmed",J229="Family told",J229="Enrolled"),AG229=""),"Recommendation needed",IF(AND(OR(J229="Family told",J229="Enrolled"),AJ229=""),"Date family told needed","OK"))))))))</f>
        <v/>
      </c>
    </row>
    <row r="230" customFormat="false" ht="15" hidden="false" customHeight="false" outlineLevel="0" collapsed="false">
      <c r="A230" s="7"/>
      <c r="B230" s="7"/>
      <c r="C230" s="46"/>
      <c r="D230" s="7"/>
      <c r="E230" s="47"/>
      <c r="F230" s="46"/>
      <c r="G230" s="46"/>
      <c r="H230" s="7"/>
      <c r="I230" s="7"/>
      <c r="J230" s="47"/>
      <c r="K230" s="47"/>
      <c r="L230" s="47"/>
      <c r="M230" s="47"/>
      <c r="N230" s="47"/>
      <c r="O230" s="10"/>
      <c r="P230" s="47"/>
      <c r="Q230" s="47"/>
      <c r="R230" s="48" t="str">
        <f aca="false">IF(Q230="","",IF(Q230=0,"below 5:00",IF(Q230&gt;=66,"16:00 or above",INT((60+2*Q230)/12)&amp;":"&amp;TEXT(MOD(60+2*Q230,12),"00"))))</f>
        <v/>
      </c>
      <c r="S230" s="47"/>
      <c r="T230" s="47"/>
      <c r="U230" s="47"/>
      <c r="V230" s="47"/>
      <c r="W230" s="47"/>
      <c r="X230" s="47"/>
      <c r="Y230" s="47"/>
      <c r="Z230" s="47"/>
      <c r="AA230" s="10"/>
      <c r="AB230" s="10"/>
      <c r="AC230" s="47"/>
      <c r="AD230" s="47"/>
      <c r="AE230" s="47"/>
      <c r="AF230" s="47"/>
      <c r="AG230" s="47"/>
      <c r="AH230" s="47"/>
      <c r="AI230" s="46"/>
      <c r="AJ230" s="46"/>
      <c r="AK230" s="46"/>
      <c r="AL230" s="7"/>
      <c r="AM230" s="49" t="str">
        <f aca="false">IF(OR(C230="",G230=""),"",IFERROR(DATEDIF(C230,G230,"m"),""))</f>
        <v/>
      </c>
      <c r="AN230" s="49" t="str">
        <f aca="false">IF(OR(Q230="",AM230=""),"",60+2*Q230-AM230)</f>
        <v/>
      </c>
      <c r="AO230" s="49" t="str">
        <f aca="false">IF(OR(G230="",AJ230=""),"",AJ230-G230)</f>
        <v/>
      </c>
      <c r="AP230" s="50" t="str">
        <f aca="false">IF(AND(A230="",B230=""),"",IF(J230="","Status needed",IF(OR(J230="Applied",J230="Visit booked",J230="Withdrawn"),"OK",IF(G230="","Date assessed needed",IF(C230="","Date of birth needed",IF(COUNTA(L230,M230,P230,U230,V230,X230)&lt;6,"Band missing",IF(AND(OR(J230="Decision confirmed",J230="Family told",J230="Enrolled"),AG230=""),"Recommendation needed",IF(AND(OR(J230="Family told",J230="Enrolled"),AJ230=""),"Date family told needed","OK"))))))))</f>
        <v/>
      </c>
    </row>
    <row r="231" customFormat="false" ht="15" hidden="false" customHeight="false" outlineLevel="0" collapsed="false">
      <c r="A231" s="7"/>
      <c r="B231" s="7"/>
      <c r="C231" s="46"/>
      <c r="D231" s="7"/>
      <c r="E231" s="47"/>
      <c r="F231" s="46"/>
      <c r="G231" s="46"/>
      <c r="H231" s="7"/>
      <c r="I231" s="7"/>
      <c r="J231" s="47"/>
      <c r="K231" s="47"/>
      <c r="L231" s="47"/>
      <c r="M231" s="47"/>
      <c r="N231" s="47"/>
      <c r="O231" s="10"/>
      <c r="P231" s="47"/>
      <c r="Q231" s="47"/>
      <c r="R231" s="48" t="str">
        <f aca="false">IF(Q231="","",IF(Q231=0,"below 5:00",IF(Q231&gt;=66,"16:00 or above",INT((60+2*Q231)/12)&amp;":"&amp;TEXT(MOD(60+2*Q231,12),"00"))))</f>
        <v/>
      </c>
      <c r="S231" s="47"/>
      <c r="T231" s="47"/>
      <c r="U231" s="47"/>
      <c r="V231" s="47"/>
      <c r="W231" s="47"/>
      <c r="X231" s="47"/>
      <c r="Y231" s="47"/>
      <c r="Z231" s="47"/>
      <c r="AA231" s="10"/>
      <c r="AB231" s="10"/>
      <c r="AC231" s="47"/>
      <c r="AD231" s="47"/>
      <c r="AE231" s="47"/>
      <c r="AF231" s="47"/>
      <c r="AG231" s="47"/>
      <c r="AH231" s="47"/>
      <c r="AI231" s="46"/>
      <c r="AJ231" s="46"/>
      <c r="AK231" s="46"/>
      <c r="AL231" s="7"/>
      <c r="AM231" s="49" t="str">
        <f aca="false">IF(OR(C231="",G231=""),"",IFERROR(DATEDIF(C231,G231,"m"),""))</f>
        <v/>
      </c>
      <c r="AN231" s="49" t="str">
        <f aca="false">IF(OR(Q231="",AM231=""),"",60+2*Q231-AM231)</f>
        <v/>
      </c>
      <c r="AO231" s="49" t="str">
        <f aca="false">IF(OR(G231="",AJ231=""),"",AJ231-G231)</f>
        <v/>
      </c>
      <c r="AP231" s="50" t="str">
        <f aca="false">IF(AND(A231="",B231=""),"",IF(J231="","Status needed",IF(OR(J231="Applied",J231="Visit booked",J231="Withdrawn"),"OK",IF(G231="","Date assessed needed",IF(C231="","Date of birth needed",IF(COUNTA(L231,M231,P231,U231,V231,X231)&lt;6,"Band missing",IF(AND(OR(J231="Decision confirmed",J231="Family told",J231="Enrolled"),AG231=""),"Recommendation needed",IF(AND(OR(J231="Family told",J231="Enrolled"),AJ231=""),"Date family told needed","OK"))))))))</f>
        <v/>
      </c>
    </row>
    <row r="232" customFormat="false" ht="15" hidden="false" customHeight="false" outlineLevel="0" collapsed="false">
      <c r="A232" s="7"/>
      <c r="B232" s="7"/>
      <c r="C232" s="46"/>
      <c r="D232" s="7"/>
      <c r="E232" s="47"/>
      <c r="F232" s="46"/>
      <c r="G232" s="46"/>
      <c r="H232" s="7"/>
      <c r="I232" s="7"/>
      <c r="J232" s="47"/>
      <c r="K232" s="47"/>
      <c r="L232" s="47"/>
      <c r="M232" s="47"/>
      <c r="N232" s="47"/>
      <c r="O232" s="10"/>
      <c r="P232" s="47"/>
      <c r="Q232" s="47"/>
      <c r="R232" s="48" t="str">
        <f aca="false">IF(Q232="","",IF(Q232=0,"below 5:00",IF(Q232&gt;=66,"16:00 or above",INT((60+2*Q232)/12)&amp;":"&amp;TEXT(MOD(60+2*Q232,12),"00"))))</f>
        <v/>
      </c>
      <c r="S232" s="47"/>
      <c r="T232" s="47"/>
      <c r="U232" s="47"/>
      <c r="V232" s="47"/>
      <c r="W232" s="47"/>
      <c r="X232" s="47"/>
      <c r="Y232" s="47"/>
      <c r="Z232" s="47"/>
      <c r="AA232" s="10"/>
      <c r="AB232" s="10"/>
      <c r="AC232" s="47"/>
      <c r="AD232" s="47"/>
      <c r="AE232" s="47"/>
      <c r="AF232" s="47"/>
      <c r="AG232" s="47"/>
      <c r="AH232" s="47"/>
      <c r="AI232" s="46"/>
      <c r="AJ232" s="46"/>
      <c r="AK232" s="46"/>
      <c r="AL232" s="7"/>
      <c r="AM232" s="49" t="str">
        <f aca="false">IF(OR(C232="",G232=""),"",IFERROR(DATEDIF(C232,G232,"m"),""))</f>
        <v/>
      </c>
      <c r="AN232" s="49" t="str">
        <f aca="false">IF(OR(Q232="",AM232=""),"",60+2*Q232-AM232)</f>
        <v/>
      </c>
      <c r="AO232" s="49" t="str">
        <f aca="false">IF(OR(G232="",AJ232=""),"",AJ232-G232)</f>
        <v/>
      </c>
      <c r="AP232" s="50" t="str">
        <f aca="false">IF(AND(A232="",B232=""),"",IF(J232="","Status needed",IF(OR(J232="Applied",J232="Visit booked",J232="Withdrawn"),"OK",IF(G232="","Date assessed needed",IF(C232="","Date of birth needed",IF(COUNTA(L232,M232,P232,U232,V232,X232)&lt;6,"Band missing",IF(AND(OR(J232="Decision confirmed",J232="Family told",J232="Enrolled"),AG232=""),"Recommendation needed",IF(AND(OR(J232="Family told",J232="Enrolled"),AJ232=""),"Date family told needed","OK"))))))))</f>
        <v/>
      </c>
    </row>
    <row r="233" customFormat="false" ht="15" hidden="false" customHeight="false" outlineLevel="0" collapsed="false">
      <c r="A233" s="7"/>
      <c r="B233" s="7"/>
      <c r="C233" s="46"/>
      <c r="D233" s="7"/>
      <c r="E233" s="47"/>
      <c r="F233" s="46"/>
      <c r="G233" s="46"/>
      <c r="H233" s="7"/>
      <c r="I233" s="7"/>
      <c r="J233" s="47"/>
      <c r="K233" s="47"/>
      <c r="L233" s="47"/>
      <c r="M233" s="47"/>
      <c r="N233" s="47"/>
      <c r="O233" s="10"/>
      <c r="P233" s="47"/>
      <c r="Q233" s="47"/>
      <c r="R233" s="48" t="str">
        <f aca="false">IF(Q233="","",IF(Q233=0,"below 5:00",IF(Q233&gt;=66,"16:00 or above",INT((60+2*Q233)/12)&amp;":"&amp;TEXT(MOD(60+2*Q233,12),"00"))))</f>
        <v/>
      </c>
      <c r="S233" s="47"/>
      <c r="T233" s="47"/>
      <c r="U233" s="47"/>
      <c r="V233" s="47"/>
      <c r="W233" s="47"/>
      <c r="X233" s="47"/>
      <c r="Y233" s="47"/>
      <c r="Z233" s="47"/>
      <c r="AA233" s="10"/>
      <c r="AB233" s="10"/>
      <c r="AC233" s="47"/>
      <c r="AD233" s="47"/>
      <c r="AE233" s="47"/>
      <c r="AF233" s="47"/>
      <c r="AG233" s="47"/>
      <c r="AH233" s="47"/>
      <c r="AI233" s="46"/>
      <c r="AJ233" s="46"/>
      <c r="AK233" s="46"/>
      <c r="AL233" s="7"/>
      <c r="AM233" s="49" t="str">
        <f aca="false">IF(OR(C233="",G233=""),"",IFERROR(DATEDIF(C233,G233,"m"),""))</f>
        <v/>
      </c>
      <c r="AN233" s="49" t="str">
        <f aca="false">IF(OR(Q233="",AM233=""),"",60+2*Q233-AM233)</f>
        <v/>
      </c>
      <c r="AO233" s="49" t="str">
        <f aca="false">IF(OR(G233="",AJ233=""),"",AJ233-G233)</f>
        <v/>
      </c>
      <c r="AP233" s="50" t="str">
        <f aca="false">IF(AND(A233="",B233=""),"",IF(J233="","Status needed",IF(OR(J233="Applied",J233="Visit booked",J233="Withdrawn"),"OK",IF(G233="","Date assessed needed",IF(C233="","Date of birth needed",IF(COUNTA(L233,M233,P233,U233,V233,X233)&lt;6,"Band missing",IF(AND(OR(J233="Decision confirmed",J233="Family told",J233="Enrolled"),AG233=""),"Recommendation needed",IF(AND(OR(J233="Family told",J233="Enrolled"),AJ233=""),"Date family told needed","OK"))))))))</f>
        <v/>
      </c>
    </row>
    <row r="234" customFormat="false" ht="15" hidden="false" customHeight="false" outlineLevel="0" collapsed="false">
      <c r="A234" s="7"/>
      <c r="B234" s="7"/>
      <c r="C234" s="46"/>
      <c r="D234" s="7"/>
      <c r="E234" s="47"/>
      <c r="F234" s="46"/>
      <c r="G234" s="46"/>
      <c r="H234" s="7"/>
      <c r="I234" s="7"/>
      <c r="J234" s="47"/>
      <c r="K234" s="47"/>
      <c r="L234" s="47"/>
      <c r="M234" s="47"/>
      <c r="N234" s="47"/>
      <c r="O234" s="10"/>
      <c r="P234" s="47"/>
      <c r="Q234" s="47"/>
      <c r="R234" s="48" t="str">
        <f aca="false">IF(Q234="","",IF(Q234=0,"below 5:00",IF(Q234&gt;=66,"16:00 or above",INT((60+2*Q234)/12)&amp;":"&amp;TEXT(MOD(60+2*Q234,12),"00"))))</f>
        <v/>
      </c>
      <c r="S234" s="47"/>
      <c r="T234" s="47"/>
      <c r="U234" s="47"/>
      <c r="V234" s="47"/>
      <c r="W234" s="47"/>
      <c r="X234" s="47"/>
      <c r="Y234" s="47"/>
      <c r="Z234" s="47"/>
      <c r="AA234" s="10"/>
      <c r="AB234" s="10"/>
      <c r="AC234" s="47"/>
      <c r="AD234" s="47"/>
      <c r="AE234" s="47"/>
      <c r="AF234" s="47"/>
      <c r="AG234" s="47"/>
      <c r="AH234" s="47"/>
      <c r="AI234" s="46"/>
      <c r="AJ234" s="46"/>
      <c r="AK234" s="46"/>
      <c r="AL234" s="7"/>
      <c r="AM234" s="49" t="str">
        <f aca="false">IF(OR(C234="",G234=""),"",IFERROR(DATEDIF(C234,G234,"m"),""))</f>
        <v/>
      </c>
      <c r="AN234" s="49" t="str">
        <f aca="false">IF(OR(Q234="",AM234=""),"",60+2*Q234-AM234)</f>
        <v/>
      </c>
      <c r="AO234" s="49" t="str">
        <f aca="false">IF(OR(G234="",AJ234=""),"",AJ234-G234)</f>
        <v/>
      </c>
      <c r="AP234" s="50" t="str">
        <f aca="false">IF(AND(A234="",B234=""),"",IF(J234="","Status needed",IF(OR(J234="Applied",J234="Visit booked",J234="Withdrawn"),"OK",IF(G234="","Date assessed needed",IF(C234="","Date of birth needed",IF(COUNTA(L234,M234,P234,U234,V234,X234)&lt;6,"Band missing",IF(AND(OR(J234="Decision confirmed",J234="Family told",J234="Enrolled"),AG234=""),"Recommendation needed",IF(AND(OR(J234="Family told",J234="Enrolled"),AJ234=""),"Date family told needed","OK"))))))))</f>
        <v/>
      </c>
    </row>
    <row r="235" customFormat="false" ht="15" hidden="false" customHeight="false" outlineLevel="0" collapsed="false">
      <c r="A235" s="7"/>
      <c r="B235" s="7"/>
      <c r="C235" s="46"/>
      <c r="D235" s="7"/>
      <c r="E235" s="47"/>
      <c r="F235" s="46"/>
      <c r="G235" s="46"/>
      <c r="H235" s="7"/>
      <c r="I235" s="7"/>
      <c r="J235" s="47"/>
      <c r="K235" s="47"/>
      <c r="L235" s="47"/>
      <c r="M235" s="47"/>
      <c r="N235" s="47"/>
      <c r="O235" s="10"/>
      <c r="P235" s="47"/>
      <c r="Q235" s="47"/>
      <c r="R235" s="48" t="str">
        <f aca="false">IF(Q235="","",IF(Q235=0,"below 5:00",IF(Q235&gt;=66,"16:00 or above",INT((60+2*Q235)/12)&amp;":"&amp;TEXT(MOD(60+2*Q235,12),"00"))))</f>
        <v/>
      </c>
      <c r="S235" s="47"/>
      <c r="T235" s="47"/>
      <c r="U235" s="47"/>
      <c r="V235" s="47"/>
      <c r="W235" s="47"/>
      <c r="X235" s="47"/>
      <c r="Y235" s="47"/>
      <c r="Z235" s="47"/>
      <c r="AA235" s="10"/>
      <c r="AB235" s="10"/>
      <c r="AC235" s="47"/>
      <c r="AD235" s="47"/>
      <c r="AE235" s="47"/>
      <c r="AF235" s="47"/>
      <c r="AG235" s="47"/>
      <c r="AH235" s="47"/>
      <c r="AI235" s="46"/>
      <c r="AJ235" s="46"/>
      <c r="AK235" s="46"/>
      <c r="AL235" s="7"/>
      <c r="AM235" s="49" t="str">
        <f aca="false">IF(OR(C235="",G235=""),"",IFERROR(DATEDIF(C235,G235,"m"),""))</f>
        <v/>
      </c>
      <c r="AN235" s="49" t="str">
        <f aca="false">IF(OR(Q235="",AM235=""),"",60+2*Q235-AM235)</f>
        <v/>
      </c>
      <c r="AO235" s="49" t="str">
        <f aca="false">IF(OR(G235="",AJ235=""),"",AJ235-G235)</f>
        <v/>
      </c>
      <c r="AP235" s="50" t="str">
        <f aca="false">IF(AND(A235="",B235=""),"",IF(J235="","Status needed",IF(OR(J235="Applied",J235="Visit booked",J235="Withdrawn"),"OK",IF(G235="","Date assessed needed",IF(C235="","Date of birth needed",IF(COUNTA(L235,M235,P235,U235,V235,X235)&lt;6,"Band missing",IF(AND(OR(J235="Decision confirmed",J235="Family told",J235="Enrolled"),AG235=""),"Recommendation needed",IF(AND(OR(J235="Family told",J235="Enrolled"),AJ235=""),"Date family told needed","OK"))))))))</f>
        <v/>
      </c>
    </row>
    <row r="236" customFormat="false" ht="15" hidden="false" customHeight="false" outlineLevel="0" collapsed="false">
      <c r="A236" s="7"/>
      <c r="B236" s="7"/>
      <c r="C236" s="46"/>
      <c r="D236" s="7"/>
      <c r="E236" s="47"/>
      <c r="F236" s="46"/>
      <c r="G236" s="46"/>
      <c r="H236" s="7"/>
      <c r="I236" s="7"/>
      <c r="J236" s="47"/>
      <c r="K236" s="47"/>
      <c r="L236" s="47"/>
      <c r="M236" s="47"/>
      <c r="N236" s="47"/>
      <c r="O236" s="10"/>
      <c r="P236" s="47"/>
      <c r="Q236" s="47"/>
      <c r="R236" s="48" t="str">
        <f aca="false">IF(Q236="","",IF(Q236=0,"below 5:00",IF(Q236&gt;=66,"16:00 or above",INT((60+2*Q236)/12)&amp;":"&amp;TEXT(MOD(60+2*Q236,12),"00"))))</f>
        <v/>
      </c>
      <c r="S236" s="47"/>
      <c r="T236" s="47"/>
      <c r="U236" s="47"/>
      <c r="V236" s="47"/>
      <c r="W236" s="47"/>
      <c r="X236" s="47"/>
      <c r="Y236" s="47"/>
      <c r="Z236" s="47"/>
      <c r="AA236" s="10"/>
      <c r="AB236" s="10"/>
      <c r="AC236" s="47"/>
      <c r="AD236" s="47"/>
      <c r="AE236" s="47"/>
      <c r="AF236" s="47"/>
      <c r="AG236" s="47"/>
      <c r="AH236" s="47"/>
      <c r="AI236" s="46"/>
      <c r="AJ236" s="46"/>
      <c r="AK236" s="46"/>
      <c r="AL236" s="7"/>
      <c r="AM236" s="49" t="str">
        <f aca="false">IF(OR(C236="",G236=""),"",IFERROR(DATEDIF(C236,G236,"m"),""))</f>
        <v/>
      </c>
      <c r="AN236" s="49" t="str">
        <f aca="false">IF(OR(Q236="",AM236=""),"",60+2*Q236-AM236)</f>
        <v/>
      </c>
      <c r="AO236" s="49" t="str">
        <f aca="false">IF(OR(G236="",AJ236=""),"",AJ236-G236)</f>
        <v/>
      </c>
      <c r="AP236" s="50" t="str">
        <f aca="false">IF(AND(A236="",B236=""),"",IF(J236="","Status needed",IF(OR(J236="Applied",J236="Visit booked",J236="Withdrawn"),"OK",IF(G236="","Date assessed needed",IF(C236="","Date of birth needed",IF(COUNTA(L236,M236,P236,U236,V236,X236)&lt;6,"Band missing",IF(AND(OR(J236="Decision confirmed",J236="Family told",J236="Enrolled"),AG236=""),"Recommendation needed",IF(AND(OR(J236="Family told",J236="Enrolled"),AJ236=""),"Date family told needed","OK"))))))))</f>
        <v/>
      </c>
    </row>
    <row r="237" customFormat="false" ht="15" hidden="false" customHeight="false" outlineLevel="0" collapsed="false">
      <c r="A237" s="7"/>
      <c r="B237" s="7"/>
      <c r="C237" s="46"/>
      <c r="D237" s="7"/>
      <c r="E237" s="47"/>
      <c r="F237" s="46"/>
      <c r="G237" s="46"/>
      <c r="H237" s="7"/>
      <c r="I237" s="7"/>
      <c r="J237" s="47"/>
      <c r="K237" s="47"/>
      <c r="L237" s="47"/>
      <c r="M237" s="47"/>
      <c r="N237" s="47"/>
      <c r="O237" s="10"/>
      <c r="P237" s="47"/>
      <c r="Q237" s="47"/>
      <c r="R237" s="48" t="str">
        <f aca="false">IF(Q237="","",IF(Q237=0,"below 5:00",IF(Q237&gt;=66,"16:00 or above",INT((60+2*Q237)/12)&amp;":"&amp;TEXT(MOD(60+2*Q237,12),"00"))))</f>
        <v/>
      </c>
      <c r="S237" s="47"/>
      <c r="T237" s="47"/>
      <c r="U237" s="47"/>
      <c r="V237" s="47"/>
      <c r="W237" s="47"/>
      <c r="X237" s="47"/>
      <c r="Y237" s="47"/>
      <c r="Z237" s="47"/>
      <c r="AA237" s="10"/>
      <c r="AB237" s="10"/>
      <c r="AC237" s="47"/>
      <c r="AD237" s="47"/>
      <c r="AE237" s="47"/>
      <c r="AF237" s="47"/>
      <c r="AG237" s="47"/>
      <c r="AH237" s="47"/>
      <c r="AI237" s="46"/>
      <c r="AJ237" s="46"/>
      <c r="AK237" s="46"/>
      <c r="AL237" s="7"/>
      <c r="AM237" s="49" t="str">
        <f aca="false">IF(OR(C237="",G237=""),"",IFERROR(DATEDIF(C237,G237,"m"),""))</f>
        <v/>
      </c>
      <c r="AN237" s="49" t="str">
        <f aca="false">IF(OR(Q237="",AM237=""),"",60+2*Q237-AM237)</f>
        <v/>
      </c>
      <c r="AO237" s="49" t="str">
        <f aca="false">IF(OR(G237="",AJ237=""),"",AJ237-G237)</f>
        <v/>
      </c>
      <c r="AP237" s="50" t="str">
        <f aca="false">IF(AND(A237="",B237=""),"",IF(J237="","Status needed",IF(OR(J237="Applied",J237="Visit booked",J237="Withdrawn"),"OK",IF(G237="","Date assessed needed",IF(C237="","Date of birth needed",IF(COUNTA(L237,M237,P237,U237,V237,X237)&lt;6,"Band missing",IF(AND(OR(J237="Decision confirmed",J237="Family told",J237="Enrolled"),AG237=""),"Recommendation needed",IF(AND(OR(J237="Family told",J237="Enrolled"),AJ237=""),"Date family told needed","OK"))))))))</f>
        <v/>
      </c>
    </row>
    <row r="238" customFormat="false" ht="15" hidden="false" customHeight="false" outlineLevel="0" collapsed="false">
      <c r="A238" s="7"/>
      <c r="B238" s="7"/>
      <c r="C238" s="46"/>
      <c r="D238" s="7"/>
      <c r="E238" s="47"/>
      <c r="F238" s="46"/>
      <c r="G238" s="46"/>
      <c r="H238" s="7"/>
      <c r="I238" s="7"/>
      <c r="J238" s="47"/>
      <c r="K238" s="47"/>
      <c r="L238" s="47"/>
      <c r="M238" s="47"/>
      <c r="N238" s="47"/>
      <c r="O238" s="10"/>
      <c r="P238" s="47"/>
      <c r="Q238" s="47"/>
      <c r="R238" s="48" t="str">
        <f aca="false">IF(Q238="","",IF(Q238=0,"below 5:00",IF(Q238&gt;=66,"16:00 or above",INT((60+2*Q238)/12)&amp;":"&amp;TEXT(MOD(60+2*Q238,12),"00"))))</f>
        <v/>
      </c>
      <c r="S238" s="47"/>
      <c r="T238" s="47"/>
      <c r="U238" s="47"/>
      <c r="V238" s="47"/>
      <c r="W238" s="47"/>
      <c r="X238" s="47"/>
      <c r="Y238" s="47"/>
      <c r="Z238" s="47"/>
      <c r="AA238" s="10"/>
      <c r="AB238" s="10"/>
      <c r="AC238" s="47"/>
      <c r="AD238" s="47"/>
      <c r="AE238" s="47"/>
      <c r="AF238" s="47"/>
      <c r="AG238" s="47"/>
      <c r="AH238" s="47"/>
      <c r="AI238" s="46"/>
      <c r="AJ238" s="46"/>
      <c r="AK238" s="46"/>
      <c r="AL238" s="7"/>
      <c r="AM238" s="49" t="str">
        <f aca="false">IF(OR(C238="",G238=""),"",IFERROR(DATEDIF(C238,G238,"m"),""))</f>
        <v/>
      </c>
      <c r="AN238" s="49" t="str">
        <f aca="false">IF(OR(Q238="",AM238=""),"",60+2*Q238-AM238)</f>
        <v/>
      </c>
      <c r="AO238" s="49" t="str">
        <f aca="false">IF(OR(G238="",AJ238=""),"",AJ238-G238)</f>
        <v/>
      </c>
      <c r="AP238" s="50" t="str">
        <f aca="false">IF(AND(A238="",B238=""),"",IF(J238="","Status needed",IF(OR(J238="Applied",J238="Visit booked",J238="Withdrawn"),"OK",IF(G238="","Date assessed needed",IF(C238="","Date of birth needed",IF(COUNTA(L238,M238,P238,U238,V238,X238)&lt;6,"Band missing",IF(AND(OR(J238="Decision confirmed",J238="Family told",J238="Enrolled"),AG238=""),"Recommendation needed",IF(AND(OR(J238="Family told",J238="Enrolled"),AJ238=""),"Date family told needed","OK"))))))))</f>
        <v/>
      </c>
    </row>
    <row r="239" customFormat="false" ht="15" hidden="false" customHeight="false" outlineLevel="0" collapsed="false">
      <c r="A239" s="7"/>
      <c r="B239" s="7"/>
      <c r="C239" s="46"/>
      <c r="D239" s="7"/>
      <c r="E239" s="47"/>
      <c r="F239" s="46"/>
      <c r="G239" s="46"/>
      <c r="H239" s="7"/>
      <c r="I239" s="7"/>
      <c r="J239" s="47"/>
      <c r="K239" s="47"/>
      <c r="L239" s="47"/>
      <c r="M239" s="47"/>
      <c r="N239" s="47"/>
      <c r="O239" s="10"/>
      <c r="P239" s="47"/>
      <c r="Q239" s="47"/>
      <c r="R239" s="48" t="str">
        <f aca="false">IF(Q239="","",IF(Q239=0,"below 5:00",IF(Q239&gt;=66,"16:00 or above",INT((60+2*Q239)/12)&amp;":"&amp;TEXT(MOD(60+2*Q239,12),"00"))))</f>
        <v/>
      </c>
      <c r="S239" s="47"/>
      <c r="T239" s="47"/>
      <c r="U239" s="47"/>
      <c r="V239" s="47"/>
      <c r="W239" s="47"/>
      <c r="X239" s="47"/>
      <c r="Y239" s="47"/>
      <c r="Z239" s="47"/>
      <c r="AA239" s="10"/>
      <c r="AB239" s="10"/>
      <c r="AC239" s="47"/>
      <c r="AD239" s="47"/>
      <c r="AE239" s="47"/>
      <c r="AF239" s="47"/>
      <c r="AG239" s="47"/>
      <c r="AH239" s="47"/>
      <c r="AI239" s="46"/>
      <c r="AJ239" s="46"/>
      <c r="AK239" s="46"/>
      <c r="AL239" s="7"/>
      <c r="AM239" s="49" t="str">
        <f aca="false">IF(OR(C239="",G239=""),"",IFERROR(DATEDIF(C239,G239,"m"),""))</f>
        <v/>
      </c>
      <c r="AN239" s="49" t="str">
        <f aca="false">IF(OR(Q239="",AM239=""),"",60+2*Q239-AM239)</f>
        <v/>
      </c>
      <c r="AO239" s="49" t="str">
        <f aca="false">IF(OR(G239="",AJ239=""),"",AJ239-G239)</f>
        <v/>
      </c>
      <c r="AP239" s="50" t="str">
        <f aca="false">IF(AND(A239="",B239=""),"",IF(J239="","Status needed",IF(OR(J239="Applied",J239="Visit booked",J239="Withdrawn"),"OK",IF(G239="","Date assessed needed",IF(C239="","Date of birth needed",IF(COUNTA(L239,M239,P239,U239,V239,X239)&lt;6,"Band missing",IF(AND(OR(J239="Decision confirmed",J239="Family told",J239="Enrolled"),AG239=""),"Recommendation needed",IF(AND(OR(J239="Family told",J239="Enrolled"),AJ239=""),"Date family told needed","OK"))))))))</f>
        <v/>
      </c>
    </row>
    <row r="240" customFormat="false" ht="15" hidden="false" customHeight="false" outlineLevel="0" collapsed="false">
      <c r="A240" s="7"/>
      <c r="B240" s="7"/>
      <c r="C240" s="46"/>
      <c r="D240" s="7"/>
      <c r="E240" s="47"/>
      <c r="F240" s="46"/>
      <c r="G240" s="46"/>
      <c r="H240" s="7"/>
      <c r="I240" s="7"/>
      <c r="J240" s="47"/>
      <c r="K240" s="47"/>
      <c r="L240" s="47"/>
      <c r="M240" s="47"/>
      <c r="N240" s="47"/>
      <c r="O240" s="10"/>
      <c r="P240" s="47"/>
      <c r="Q240" s="47"/>
      <c r="R240" s="48" t="str">
        <f aca="false">IF(Q240="","",IF(Q240=0,"below 5:00",IF(Q240&gt;=66,"16:00 or above",INT((60+2*Q240)/12)&amp;":"&amp;TEXT(MOD(60+2*Q240,12),"00"))))</f>
        <v/>
      </c>
      <c r="S240" s="47"/>
      <c r="T240" s="47"/>
      <c r="U240" s="47"/>
      <c r="V240" s="47"/>
      <c r="W240" s="47"/>
      <c r="X240" s="47"/>
      <c r="Y240" s="47"/>
      <c r="Z240" s="47"/>
      <c r="AA240" s="10"/>
      <c r="AB240" s="10"/>
      <c r="AC240" s="47"/>
      <c r="AD240" s="47"/>
      <c r="AE240" s="47"/>
      <c r="AF240" s="47"/>
      <c r="AG240" s="47"/>
      <c r="AH240" s="47"/>
      <c r="AI240" s="46"/>
      <c r="AJ240" s="46"/>
      <c r="AK240" s="46"/>
      <c r="AL240" s="7"/>
      <c r="AM240" s="49" t="str">
        <f aca="false">IF(OR(C240="",G240=""),"",IFERROR(DATEDIF(C240,G240,"m"),""))</f>
        <v/>
      </c>
      <c r="AN240" s="49" t="str">
        <f aca="false">IF(OR(Q240="",AM240=""),"",60+2*Q240-AM240)</f>
        <v/>
      </c>
      <c r="AO240" s="49" t="str">
        <f aca="false">IF(OR(G240="",AJ240=""),"",AJ240-G240)</f>
        <v/>
      </c>
      <c r="AP240" s="50" t="str">
        <f aca="false">IF(AND(A240="",B240=""),"",IF(J240="","Status needed",IF(OR(J240="Applied",J240="Visit booked",J240="Withdrawn"),"OK",IF(G240="","Date assessed needed",IF(C240="","Date of birth needed",IF(COUNTA(L240,M240,P240,U240,V240,X240)&lt;6,"Band missing",IF(AND(OR(J240="Decision confirmed",J240="Family told",J240="Enrolled"),AG240=""),"Recommendation needed",IF(AND(OR(J240="Family told",J240="Enrolled"),AJ240=""),"Date family told needed","OK"))))))))</f>
        <v/>
      </c>
    </row>
    <row r="241" customFormat="false" ht="15" hidden="false" customHeight="false" outlineLevel="0" collapsed="false">
      <c r="A241" s="7"/>
      <c r="B241" s="7"/>
      <c r="C241" s="46"/>
      <c r="D241" s="7"/>
      <c r="E241" s="47"/>
      <c r="F241" s="46"/>
      <c r="G241" s="46"/>
      <c r="H241" s="7"/>
      <c r="I241" s="7"/>
      <c r="J241" s="47"/>
      <c r="K241" s="47"/>
      <c r="L241" s="47"/>
      <c r="M241" s="47"/>
      <c r="N241" s="47"/>
      <c r="O241" s="10"/>
      <c r="P241" s="47"/>
      <c r="Q241" s="47"/>
      <c r="R241" s="48" t="str">
        <f aca="false">IF(Q241="","",IF(Q241=0,"below 5:00",IF(Q241&gt;=66,"16:00 or above",INT((60+2*Q241)/12)&amp;":"&amp;TEXT(MOD(60+2*Q241,12),"00"))))</f>
        <v/>
      </c>
      <c r="S241" s="47"/>
      <c r="T241" s="47"/>
      <c r="U241" s="47"/>
      <c r="V241" s="47"/>
      <c r="W241" s="47"/>
      <c r="X241" s="47"/>
      <c r="Y241" s="47"/>
      <c r="Z241" s="47"/>
      <c r="AA241" s="10"/>
      <c r="AB241" s="10"/>
      <c r="AC241" s="47"/>
      <c r="AD241" s="47"/>
      <c r="AE241" s="47"/>
      <c r="AF241" s="47"/>
      <c r="AG241" s="47"/>
      <c r="AH241" s="47"/>
      <c r="AI241" s="46"/>
      <c r="AJ241" s="46"/>
      <c r="AK241" s="46"/>
      <c r="AL241" s="7"/>
      <c r="AM241" s="49" t="str">
        <f aca="false">IF(OR(C241="",G241=""),"",IFERROR(DATEDIF(C241,G241,"m"),""))</f>
        <v/>
      </c>
      <c r="AN241" s="49" t="str">
        <f aca="false">IF(OR(Q241="",AM241=""),"",60+2*Q241-AM241)</f>
        <v/>
      </c>
      <c r="AO241" s="49" t="str">
        <f aca="false">IF(OR(G241="",AJ241=""),"",AJ241-G241)</f>
        <v/>
      </c>
      <c r="AP241" s="50" t="str">
        <f aca="false">IF(AND(A241="",B241=""),"",IF(J241="","Status needed",IF(OR(J241="Applied",J241="Visit booked",J241="Withdrawn"),"OK",IF(G241="","Date assessed needed",IF(C241="","Date of birth needed",IF(COUNTA(L241,M241,P241,U241,V241,X241)&lt;6,"Band missing",IF(AND(OR(J241="Decision confirmed",J241="Family told",J241="Enrolled"),AG241=""),"Recommendation needed",IF(AND(OR(J241="Family told",J241="Enrolled"),AJ241=""),"Date family told needed","OK"))))))))</f>
        <v/>
      </c>
    </row>
    <row r="242" customFormat="false" ht="15" hidden="false" customHeight="false" outlineLevel="0" collapsed="false">
      <c r="A242" s="7"/>
      <c r="B242" s="7"/>
      <c r="C242" s="46"/>
      <c r="D242" s="7"/>
      <c r="E242" s="47"/>
      <c r="F242" s="46"/>
      <c r="G242" s="46"/>
      <c r="H242" s="7"/>
      <c r="I242" s="7"/>
      <c r="J242" s="47"/>
      <c r="K242" s="47"/>
      <c r="L242" s="47"/>
      <c r="M242" s="47"/>
      <c r="N242" s="47"/>
      <c r="O242" s="10"/>
      <c r="P242" s="47"/>
      <c r="Q242" s="47"/>
      <c r="R242" s="48" t="str">
        <f aca="false">IF(Q242="","",IF(Q242=0,"below 5:00",IF(Q242&gt;=66,"16:00 or above",INT((60+2*Q242)/12)&amp;":"&amp;TEXT(MOD(60+2*Q242,12),"00"))))</f>
        <v/>
      </c>
      <c r="S242" s="47"/>
      <c r="T242" s="47"/>
      <c r="U242" s="47"/>
      <c r="V242" s="47"/>
      <c r="W242" s="47"/>
      <c r="X242" s="47"/>
      <c r="Y242" s="47"/>
      <c r="Z242" s="47"/>
      <c r="AA242" s="10"/>
      <c r="AB242" s="10"/>
      <c r="AC242" s="47"/>
      <c r="AD242" s="47"/>
      <c r="AE242" s="47"/>
      <c r="AF242" s="47"/>
      <c r="AG242" s="47"/>
      <c r="AH242" s="47"/>
      <c r="AI242" s="46"/>
      <c r="AJ242" s="46"/>
      <c r="AK242" s="46"/>
      <c r="AL242" s="7"/>
      <c r="AM242" s="49" t="str">
        <f aca="false">IF(OR(C242="",G242=""),"",IFERROR(DATEDIF(C242,G242,"m"),""))</f>
        <v/>
      </c>
      <c r="AN242" s="49" t="str">
        <f aca="false">IF(OR(Q242="",AM242=""),"",60+2*Q242-AM242)</f>
        <v/>
      </c>
      <c r="AO242" s="49" t="str">
        <f aca="false">IF(OR(G242="",AJ242=""),"",AJ242-G242)</f>
        <v/>
      </c>
      <c r="AP242" s="50" t="str">
        <f aca="false">IF(AND(A242="",B242=""),"",IF(J242="","Status needed",IF(OR(J242="Applied",J242="Visit booked",J242="Withdrawn"),"OK",IF(G242="","Date assessed needed",IF(C242="","Date of birth needed",IF(COUNTA(L242,M242,P242,U242,V242,X242)&lt;6,"Band missing",IF(AND(OR(J242="Decision confirmed",J242="Family told",J242="Enrolled"),AG242=""),"Recommendation needed",IF(AND(OR(J242="Family told",J242="Enrolled"),AJ242=""),"Date family told needed","OK"))))))))</f>
        <v/>
      </c>
    </row>
    <row r="243" customFormat="false" ht="15" hidden="false" customHeight="false" outlineLevel="0" collapsed="false">
      <c r="A243" s="7"/>
      <c r="B243" s="7"/>
      <c r="C243" s="46"/>
      <c r="D243" s="7"/>
      <c r="E243" s="47"/>
      <c r="F243" s="46"/>
      <c r="G243" s="46"/>
      <c r="H243" s="7"/>
      <c r="I243" s="7"/>
      <c r="J243" s="47"/>
      <c r="K243" s="47"/>
      <c r="L243" s="47"/>
      <c r="M243" s="47"/>
      <c r="N243" s="47"/>
      <c r="O243" s="10"/>
      <c r="P243" s="47"/>
      <c r="Q243" s="47"/>
      <c r="R243" s="48" t="str">
        <f aca="false">IF(Q243="","",IF(Q243=0,"below 5:00",IF(Q243&gt;=66,"16:00 or above",INT((60+2*Q243)/12)&amp;":"&amp;TEXT(MOD(60+2*Q243,12),"00"))))</f>
        <v/>
      </c>
      <c r="S243" s="47"/>
      <c r="T243" s="47"/>
      <c r="U243" s="47"/>
      <c r="V243" s="47"/>
      <c r="W243" s="47"/>
      <c r="X243" s="47"/>
      <c r="Y243" s="47"/>
      <c r="Z243" s="47"/>
      <c r="AA243" s="10"/>
      <c r="AB243" s="10"/>
      <c r="AC243" s="47"/>
      <c r="AD243" s="47"/>
      <c r="AE243" s="47"/>
      <c r="AF243" s="47"/>
      <c r="AG243" s="47"/>
      <c r="AH243" s="47"/>
      <c r="AI243" s="46"/>
      <c r="AJ243" s="46"/>
      <c r="AK243" s="46"/>
      <c r="AL243" s="7"/>
      <c r="AM243" s="49" t="str">
        <f aca="false">IF(OR(C243="",G243=""),"",IFERROR(DATEDIF(C243,G243,"m"),""))</f>
        <v/>
      </c>
      <c r="AN243" s="49" t="str">
        <f aca="false">IF(OR(Q243="",AM243=""),"",60+2*Q243-AM243)</f>
        <v/>
      </c>
      <c r="AO243" s="49" t="str">
        <f aca="false">IF(OR(G243="",AJ243=""),"",AJ243-G243)</f>
        <v/>
      </c>
      <c r="AP243" s="50" t="str">
        <f aca="false">IF(AND(A243="",B243=""),"",IF(J243="","Status needed",IF(OR(J243="Applied",J243="Visit booked",J243="Withdrawn"),"OK",IF(G243="","Date assessed needed",IF(C243="","Date of birth needed",IF(COUNTA(L243,M243,P243,U243,V243,X243)&lt;6,"Band missing",IF(AND(OR(J243="Decision confirmed",J243="Family told",J243="Enrolled"),AG243=""),"Recommendation needed",IF(AND(OR(J243="Family told",J243="Enrolled"),AJ243=""),"Date family told needed","OK"))))))))</f>
        <v/>
      </c>
    </row>
    <row r="244" customFormat="false" ht="15" hidden="false" customHeight="false" outlineLevel="0" collapsed="false">
      <c r="A244" s="7"/>
      <c r="B244" s="7"/>
      <c r="C244" s="46"/>
      <c r="D244" s="7"/>
      <c r="E244" s="47"/>
      <c r="F244" s="46"/>
      <c r="G244" s="46"/>
      <c r="H244" s="7"/>
      <c r="I244" s="7"/>
      <c r="J244" s="47"/>
      <c r="K244" s="47"/>
      <c r="L244" s="47"/>
      <c r="M244" s="47"/>
      <c r="N244" s="47"/>
      <c r="O244" s="10"/>
      <c r="P244" s="47"/>
      <c r="Q244" s="47"/>
      <c r="R244" s="48" t="str">
        <f aca="false">IF(Q244="","",IF(Q244=0,"below 5:00",IF(Q244&gt;=66,"16:00 or above",INT((60+2*Q244)/12)&amp;":"&amp;TEXT(MOD(60+2*Q244,12),"00"))))</f>
        <v/>
      </c>
      <c r="S244" s="47"/>
      <c r="T244" s="47"/>
      <c r="U244" s="47"/>
      <c r="V244" s="47"/>
      <c r="W244" s="47"/>
      <c r="X244" s="47"/>
      <c r="Y244" s="47"/>
      <c r="Z244" s="47"/>
      <c r="AA244" s="10"/>
      <c r="AB244" s="10"/>
      <c r="AC244" s="47"/>
      <c r="AD244" s="47"/>
      <c r="AE244" s="47"/>
      <c r="AF244" s="47"/>
      <c r="AG244" s="47"/>
      <c r="AH244" s="47"/>
      <c r="AI244" s="46"/>
      <c r="AJ244" s="46"/>
      <c r="AK244" s="46"/>
      <c r="AL244" s="7"/>
      <c r="AM244" s="49" t="str">
        <f aca="false">IF(OR(C244="",G244=""),"",IFERROR(DATEDIF(C244,G244,"m"),""))</f>
        <v/>
      </c>
      <c r="AN244" s="49" t="str">
        <f aca="false">IF(OR(Q244="",AM244=""),"",60+2*Q244-AM244)</f>
        <v/>
      </c>
      <c r="AO244" s="49" t="str">
        <f aca="false">IF(OR(G244="",AJ244=""),"",AJ244-G244)</f>
        <v/>
      </c>
      <c r="AP244" s="50" t="str">
        <f aca="false">IF(AND(A244="",B244=""),"",IF(J244="","Status needed",IF(OR(J244="Applied",J244="Visit booked",J244="Withdrawn"),"OK",IF(G244="","Date assessed needed",IF(C244="","Date of birth needed",IF(COUNTA(L244,M244,P244,U244,V244,X244)&lt;6,"Band missing",IF(AND(OR(J244="Decision confirmed",J244="Family told",J244="Enrolled"),AG244=""),"Recommendation needed",IF(AND(OR(J244="Family told",J244="Enrolled"),AJ244=""),"Date family told needed","OK"))))))))</f>
        <v/>
      </c>
    </row>
    <row r="245" customFormat="false" ht="15" hidden="false" customHeight="false" outlineLevel="0" collapsed="false">
      <c r="A245" s="7"/>
      <c r="B245" s="7"/>
      <c r="C245" s="46"/>
      <c r="D245" s="7"/>
      <c r="E245" s="47"/>
      <c r="F245" s="46"/>
      <c r="G245" s="46"/>
      <c r="H245" s="7"/>
      <c r="I245" s="7"/>
      <c r="J245" s="47"/>
      <c r="K245" s="47"/>
      <c r="L245" s="47"/>
      <c r="M245" s="47"/>
      <c r="N245" s="47"/>
      <c r="O245" s="10"/>
      <c r="P245" s="47"/>
      <c r="Q245" s="47"/>
      <c r="R245" s="48" t="str">
        <f aca="false">IF(Q245="","",IF(Q245=0,"below 5:00",IF(Q245&gt;=66,"16:00 or above",INT((60+2*Q245)/12)&amp;":"&amp;TEXT(MOD(60+2*Q245,12),"00"))))</f>
        <v/>
      </c>
      <c r="S245" s="47"/>
      <c r="T245" s="47"/>
      <c r="U245" s="47"/>
      <c r="V245" s="47"/>
      <c r="W245" s="47"/>
      <c r="X245" s="47"/>
      <c r="Y245" s="47"/>
      <c r="Z245" s="47"/>
      <c r="AA245" s="10"/>
      <c r="AB245" s="10"/>
      <c r="AC245" s="47"/>
      <c r="AD245" s="47"/>
      <c r="AE245" s="47"/>
      <c r="AF245" s="47"/>
      <c r="AG245" s="47"/>
      <c r="AH245" s="47"/>
      <c r="AI245" s="46"/>
      <c r="AJ245" s="46"/>
      <c r="AK245" s="46"/>
      <c r="AL245" s="7"/>
      <c r="AM245" s="49" t="str">
        <f aca="false">IF(OR(C245="",G245=""),"",IFERROR(DATEDIF(C245,G245,"m"),""))</f>
        <v/>
      </c>
      <c r="AN245" s="49" t="str">
        <f aca="false">IF(OR(Q245="",AM245=""),"",60+2*Q245-AM245)</f>
        <v/>
      </c>
      <c r="AO245" s="49" t="str">
        <f aca="false">IF(OR(G245="",AJ245=""),"",AJ245-G245)</f>
        <v/>
      </c>
      <c r="AP245" s="50" t="str">
        <f aca="false">IF(AND(A245="",B245=""),"",IF(J245="","Status needed",IF(OR(J245="Applied",J245="Visit booked",J245="Withdrawn"),"OK",IF(G245="","Date assessed needed",IF(C245="","Date of birth needed",IF(COUNTA(L245,M245,P245,U245,V245,X245)&lt;6,"Band missing",IF(AND(OR(J245="Decision confirmed",J245="Family told",J245="Enrolled"),AG245=""),"Recommendation needed",IF(AND(OR(J245="Family told",J245="Enrolled"),AJ245=""),"Date family told needed","OK"))))))))</f>
        <v/>
      </c>
    </row>
    <row r="246" customFormat="false" ht="15" hidden="false" customHeight="false" outlineLevel="0" collapsed="false">
      <c r="A246" s="7"/>
      <c r="B246" s="7"/>
      <c r="C246" s="46"/>
      <c r="D246" s="7"/>
      <c r="E246" s="47"/>
      <c r="F246" s="46"/>
      <c r="G246" s="46"/>
      <c r="H246" s="7"/>
      <c r="I246" s="7"/>
      <c r="J246" s="47"/>
      <c r="K246" s="47"/>
      <c r="L246" s="47"/>
      <c r="M246" s="47"/>
      <c r="N246" s="47"/>
      <c r="O246" s="10"/>
      <c r="P246" s="47"/>
      <c r="Q246" s="47"/>
      <c r="R246" s="48" t="str">
        <f aca="false">IF(Q246="","",IF(Q246=0,"below 5:00",IF(Q246&gt;=66,"16:00 or above",INT((60+2*Q246)/12)&amp;":"&amp;TEXT(MOD(60+2*Q246,12),"00"))))</f>
        <v/>
      </c>
      <c r="S246" s="47"/>
      <c r="T246" s="47"/>
      <c r="U246" s="47"/>
      <c r="V246" s="47"/>
      <c r="W246" s="47"/>
      <c r="X246" s="47"/>
      <c r="Y246" s="47"/>
      <c r="Z246" s="47"/>
      <c r="AA246" s="10"/>
      <c r="AB246" s="10"/>
      <c r="AC246" s="47"/>
      <c r="AD246" s="47"/>
      <c r="AE246" s="47"/>
      <c r="AF246" s="47"/>
      <c r="AG246" s="47"/>
      <c r="AH246" s="47"/>
      <c r="AI246" s="46"/>
      <c r="AJ246" s="46"/>
      <c r="AK246" s="46"/>
      <c r="AL246" s="7"/>
      <c r="AM246" s="49" t="str">
        <f aca="false">IF(OR(C246="",G246=""),"",IFERROR(DATEDIF(C246,G246,"m"),""))</f>
        <v/>
      </c>
      <c r="AN246" s="49" t="str">
        <f aca="false">IF(OR(Q246="",AM246=""),"",60+2*Q246-AM246)</f>
        <v/>
      </c>
      <c r="AO246" s="49" t="str">
        <f aca="false">IF(OR(G246="",AJ246=""),"",AJ246-G246)</f>
        <v/>
      </c>
      <c r="AP246" s="50" t="str">
        <f aca="false">IF(AND(A246="",B246=""),"",IF(J246="","Status needed",IF(OR(J246="Applied",J246="Visit booked",J246="Withdrawn"),"OK",IF(G246="","Date assessed needed",IF(C246="","Date of birth needed",IF(COUNTA(L246,M246,P246,U246,V246,X246)&lt;6,"Band missing",IF(AND(OR(J246="Decision confirmed",J246="Family told",J246="Enrolled"),AG246=""),"Recommendation needed",IF(AND(OR(J246="Family told",J246="Enrolled"),AJ246=""),"Date family told needed","OK"))))))))</f>
        <v/>
      </c>
    </row>
    <row r="247" customFormat="false" ht="15" hidden="false" customHeight="false" outlineLevel="0" collapsed="false">
      <c r="A247" s="7"/>
      <c r="B247" s="7"/>
      <c r="C247" s="46"/>
      <c r="D247" s="7"/>
      <c r="E247" s="47"/>
      <c r="F247" s="46"/>
      <c r="G247" s="46"/>
      <c r="H247" s="7"/>
      <c r="I247" s="7"/>
      <c r="J247" s="47"/>
      <c r="K247" s="47"/>
      <c r="L247" s="47"/>
      <c r="M247" s="47"/>
      <c r="N247" s="47"/>
      <c r="O247" s="10"/>
      <c r="P247" s="47"/>
      <c r="Q247" s="47"/>
      <c r="R247" s="48" t="str">
        <f aca="false">IF(Q247="","",IF(Q247=0,"below 5:00",IF(Q247&gt;=66,"16:00 or above",INT((60+2*Q247)/12)&amp;":"&amp;TEXT(MOD(60+2*Q247,12),"00"))))</f>
        <v/>
      </c>
      <c r="S247" s="47"/>
      <c r="T247" s="47"/>
      <c r="U247" s="47"/>
      <c r="V247" s="47"/>
      <c r="W247" s="47"/>
      <c r="X247" s="47"/>
      <c r="Y247" s="47"/>
      <c r="Z247" s="47"/>
      <c r="AA247" s="10"/>
      <c r="AB247" s="10"/>
      <c r="AC247" s="47"/>
      <c r="AD247" s="47"/>
      <c r="AE247" s="47"/>
      <c r="AF247" s="47"/>
      <c r="AG247" s="47"/>
      <c r="AH247" s="47"/>
      <c r="AI247" s="46"/>
      <c r="AJ247" s="46"/>
      <c r="AK247" s="46"/>
      <c r="AL247" s="7"/>
      <c r="AM247" s="49" t="str">
        <f aca="false">IF(OR(C247="",G247=""),"",IFERROR(DATEDIF(C247,G247,"m"),""))</f>
        <v/>
      </c>
      <c r="AN247" s="49" t="str">
        <f aca="false">IF(OR(Q247="",AM247=""),"",60+2*Q247-AM247)</f>
        <v/>
      </c>
      <c r="AO247" s="49" t="str">
        <f aca="false">IF(OR(G247="",AJ247=""),"",AJ247-G247)</f>
        <v/>
      </c>
      <c r="AP247" s="50" t="str">
        <f aca="false">IF(AND(A247="",B247=""),"",IF(J247="","Status needed",IF(OR(J247="Applied",J247="Visit booked",J247="Withdrawn"),"OK",IF(G247="","Date assessed needed",IF(C247="","Date of birth needed",IF(COUNTA(L247,M247,P247,U247,V247,X247)&lt;6,"Band missing",IF(AND(OR(J247="Decision confirmed",J247="Family told",J247="Enrolled"),AG247=""),"Recommendation needed",IF(AND(OR(J247="Family told",J247="Enrolled"),AJ247=""),"Date family told needed","OK"))))))))</f>
        <v/>
      </c>
    </row>
    <row r="248" customFormat="false" ht="15" hidden="false" customHeight="false" outlineLevel="0" collapsed="false">
      <c r="A248" s="7"/>
      <c r="B248" s="7"/>
      <c r="C248" s="46"/>
      <c r="D248" s="7"/>
      <c r="E248" s="47"/>
      <c r="F248" s="46"/>
      <c r="G248" s="46"/>
      <c r="H248" s="7"/>
      <c r="I248" s="7"/>
      <c r="J248" s="47"/>
      <c r="K248" s="47"/>
      <c r="L248" s="47"/>
      <c r="M248" s="47"/>
      <c r="N248" s="47"/>
      <c r="O248" s="10"/>
      <c r="P248" s="47"/>
      <c r="Q248" s="47"/>
      <c r="R248" s="48" t="str">
        <f aca="false">IF(Q248="","",IF(Q248=0,"below 5:00",IF(Q248&gt;=66,"16:00 or above",INT((60+2*Q248)/12)&amp;":"&amp;TEXT(MOD(60+2*Q248,12),"00"))))</f>
        <v/>
      </c>
      <c r="S248" s="47"/>
      <c r="T248" s="47"/>
      <c r="U248" s="47"/>
      <c r="V248" s="47"/>
      <c r="W248" s="47"/>
      <c r="X248" s="47"/>
      <c r="Y248" s="47"/>
      <c r="Z248" s="47"/>
      <c r="AA248" s="10"/>
      <c r="AB248" s="10"/>
      <c r="AC248" s="47"/>
      <c r="AD248" s="47"/>
      <c r="AE248" s="47"/>
      <c r="AF248" s="47"/>
      <c r="AG248" s="47"/>
      <c r="AH248" s="47"/>
      <c r="AI248" s="46"/>
      <c r="AJ248" s="46"/>
      <c r="AK248" s="46"/>
      <c r="AL248" s="7"/>
      <c r="AM248" s="49" t="str">
        <f aca="false">IF(OR(C248="",G248=""),"",IFERROR(DATEDIF(C248,G248,"m"),""))</f>
        <v/>
      </c>
      <c r="AN248" s="49" t="str">
        <f aca="false">IF(OR(Q248="",AM248=""),"",60+2*Q248-AM248)</f>
        <v/>
      </c>
      <c r="AO248" s="49" t="str">
        <f aca="false">IF(OR(G248="",AJ248=""),"",AJ248-G248)</f>
        <v/>
      </c>
      <c r="AP248" s="50" t="str">
        <f aca="false">IF(AND(A248="",B248=""),"",IF(J248="","Status needed",IF(OR(J248="Applied",J248="Visit booked",J248="Withdrawn"),"OK",IF(G248="","Date assessed needed",IF(C248="","Date of birth needed",IF(COUNTA(L248,M248,P248,U248,V248,X248)&lt;6,"Band missing",IF(AND(OR(J248="Decision confirmed",J248="Family told",J248="Enrolled"),AG248=""),"Recommendation needed",IF(AND(OR(J248="Family told",J248="Enrolled"),AJ248=""),"Date family told needed","OK"))))))))</f>
        <v/>
      </c>
    </row>
    <row r="249" customFormat="false" ht="15" hidden="false" customHeight="false" outlineLevel="0" collapsed="false">
      <c r="A249" s="7"/>
      <c r="B249" s="7"/>
      <c r="C249" s="46"/>
      <c r="D249" s="7"/>
      <c r="E249" s="47"/>
      <c r="F249" s="46"/>
      <c r="G249" s="46"/>
      <c r="H249" s="7"/>
      <c r="I249" s="7"/>
      <c r="J249" s="47"/>
      <c r="K249" s="47"/>
      <c r="L249" s="47"/>
      <c r="M249" s="47"/>
      <c r="N249" s="47"/>
      <c r="O249" s="10"/>
      <c r="P249" s="47"/>
      <c r="Q249" s="47"/>
      <c r="R249" s="48" t="str">
        <f aca="false">IF(Q249="","",IF(Q249=0,"below 5:00",IF(Q249&gt;=66,"16:00 or above",INT((60+2*Q249)/12)&amp;":"&amp;TEXT(MOD(60+2*Q249,12),"00"))))</f>
        <v/>
      </c>
      <c r="S249" s="47"/>
      <c r="T249" s="47"/>
      <c r="U249" s="47"/>
      <c r="V249" s="47"/>
      <c r="W249" s="47"/>
      <c r="X249" s="47"/>
      <c r="Y249" s="47"/>
      <c r="Z249" s="47"/>
      <c r="AA249" s="10"/>
      <c r="AB249" s="10"/>
      <c r="AC249" s="47"/>
      <c r="AD249" s="47"/>
      <c r="AE249" s="47"/>
      <c r="AF249" s="47"/>
      <c r="AG249" s="47"/>
      <c r="AH249" s="47"/>
      <c r="AI249" s="46"/>
      <c r="AJ249" s="46"/>
      <c r="AK249" s="46"/>
      <c r="AL249" s="7"/>
      <c r="AM249" s="49" t="str">
        <f aca="false">IF(OR(C249="",G249=""),"",IFERROR(DATEDIF(C249,G249,"m"),""))</f>
        <v/>
      </c>
      <c r="AN249" s="49" t="str">
        <f aca="false">IF(OR(Q249="",AM249=""),"",60+2*Q249-AM249)</f>
        <v/>
      </c>
      <c r="AO249" s="49" t="str">
        <f aca="false">IF(OR(G249="",AJ249=""),"",AJ249-G249)</f>
        <v/>
      </c>
      <c r="AP249" s="50" t="str">
        <f aca="false">IF(AND(A249="",B249=""),"",IF(J249="","Status needed",IF(OR(J249="Applied",J249="Visit booked",J249="Withdrawn"),"OK",IF(G249="","Date assessed needed",IF(C249="","Date of birth needed",IF(COUNTA(L249,M249,P249,U249,V249,X249)&lt;6,"Band missing",IF(AND(OR(J249="Decision confirmed",J249="Family told",J249="Enrolled"),AG249=""),"Recommendation needed",IF(AND(OR(J249="Family told",J249="Enrolled"),AJ249=""),"Date family told needed","OK"))))))))</f>
        <v/>
      </c>
    </row>
    <row r="250" customFormat="false" ht="15" hidden="false" customHeight="false" outlineLevel="0" collapsed="false">
      <c r="A250" s="7"/>
      <c r="B250" s="7"/>
      <c r="C250" s="46"/>
      <c r="D250" s="7"/>
      <c r="E250" s="47"/>
      <c r="F250" s="46"/>
      <c r="G250" s="46"/>
      <c r="H250" s="7"/>
      <c r="I250" s="7"/>
      <c r="J250" s="47"/>
      <c r="K250" s="47"/>
      <c r="L250" s="47"/>
      <c r="M250" s="47"/>
      <c r="N250" s="47"/>
      <c r="O250" s="10"/>
      <c r="P250" s="47"/>
      <c r="Q250" s="47"/>
      <c r="R250" s="48" t="str">
        <f aca="false">IF(Q250="","",IF(Q250=0,"below 5:00",IF(Q250&gt;=66,"16:00 or above",INT((60+2*Q250)/12)&amp;":"&amp;TEXT(MOD(60+2*Q250,12),"00"))))</f>
        <v/>
      </c>
      <c r="S250" s="47"/>
      <c r="T250" s="47"/>
      <c r="U250" s="47"/>
      <c r="V250" s="47"/>
      <c r="W250" s="47"/>
      <c r="X250" s="47"/>
      <c r="Y250" s="47"/>
      <c r="Z250" s="47"/>
      <c r="AA250" s="10"/>
      <c r="AB250" s="10"/>
      <c r="AC250" s="47"/>
      <c r="AD250" s="47"/>
      <c r="AE250" s="47"/>
      <c r="AF250" s="47"/>
      <c r="AG250" s="47"/>
      <c r="AH250" s="47"/>
      <c r="AI250" s="46"/>
      <c r="AJ250" s="46"/>
      <c r="AK250" s="46"/>
      <c r="AL250" s="7"/>
      <c r="AM250" s="49" t="str">
        <f aca="false">IF(OR(C250="",G250=""),"",IFERROR(DATEDIF(C250,G250,"m"),""))</f>
        <v/>
      </c>
      <c r="AN250" s="49" t="str">
        <f aca="false">IF(OR(Q250="",AM250=""),"",60+2*Q250-AM250)</f>
        <v/>
      </c>
      <c r="AO250" s="49" t="str">
        <f aca="false">IF(OR(G250="",AJ250=""),"",AJ250-G250)</f>
        <v/>
      </c>
      <c r="AP250" s="50" t="str">
        <f aca="false">IF(AND(A250="",B250=""),"",IF(J250="","Status needed",IF(OR(J250="Applied",J250="Visit booked",J250="Withdrawn"),"OK",IF(G250="","Date assessed needed",IF(C250="","Date of birth needed",IF(COUNTA(L250,M250,P250,U250,V250,X250)&lt;6,"Band missing",IF(AND(OR(J250="Decision confirmed",J250="Family told",J250="Enrolled"),AG250=""),"Recommendation needed",IF(AND(OR(J250="Family told",J250="Enrolled"),AJ250=""),"Date family told needed","OK"))))))))</f>
        <v/>
      </c>
    </row>
    <row r="251" customFormat="false" ht="15" hidden="false" customHeight="false" outlineLevel="0" collapsed="false">
      <c r="A251" s="7"/>
      <c r="B251" s="7"/>
      <c r="C251" s="46"/>
      <c r="D251" s="7"/>
      <c r="E251" s="47"/>
      <c r="F251" s="46"/>
      <c r="G251" s="46"/>
      <c r="H251" s="7"/>
      <c r="I251" s="7"/>
      <c r="J251" s="47"/>
      <c r="K251" s="47"/>
      <c r="L251" s="47"/>
      <c r="M251" s="47"/>
      <c r="N251" s="47"/>
      <c r="O251" s="10"/>
      <c r="P251" s="47"/>
      <c r="Q251" s="47"/>
      <c r="R251" s="48" t="str">
        <f aca="false">IF(Q251="","",IF(Q251=0,"below 5:00",IF(Q251&gt;=66,"16:00 or above",INT((60+2*Q251)/12)&amp;":"&amp;TEXT(MOD(60+2*Q251,12),"00"))))</f>
        <v/>
      </c>
      <c r="S251" s="47"/>
      <c r="T251" s="47"/>
      <c r="U251" s="47"/>
      <c r="V251" s="47"/>
      <c r="W251" s="47"/>
      <c r="X251" s="47"/>
      <c r="Y251" s="47"/>
      <c r="Z251" s="47"/>
      <c r="AA251" s="10"/>
      <c r="AB251" s="10"/>
      <c r="AC251" s="47"/>
      <c r="AD251" s="47"/>
      <c r="AE251" s="47"/>
      <c r="AF251" s="47"/>
      <c r="AG251" s="47"/>
      <c r="AH251" s="47"/>
      <c r="AI251" s="46"/>
      <c r="AJ251" s="46"/>
      <c r="AK251" s="46"/>
      <c r="AL251" s="7"/>
      <c r="AM251" s="49" t="str">
        <f aca="false">IF(OR(C251="",G251=""),"",IFERROR(DATEDIF(C251,G251,"m"),""))</f>
        <v/>
      </c>
      <c r="AN251" s="49" t="str">
        <f aca="false">IF(OR(Q251="",AM251=""),"",60+2*Q251-AM251)</f>
        <v/>
      </c>
      <c r="AO251" s="49" t="str">
        <f aca="false">IF(OR(G251="",AJ251=""),"",AJ251-G251)</f>
        <v/>
      </c>
      <c r="AP251" s="50" t="str">
        <f aca="false">IF(AND(A251="",B251=""),"",IF(J251="","Status needed",IF(OR(J251="Applied",J251="Visit booked",J251="Withdrawn"),"OK",IF(G251="","Date assessed needed",IF(C251="","Date of birth needed",IF(COUNTA(L251,M251,P251,U251,V251,X251)&lt;6,"Band missing",IF(AND(OR(J251="Decision confirmed",J251="Family told",J251="Enrolled"),AG251=""),"Recommendation needed",IF(AND(OR(J251="Family told",J251="Enrolled"),AJ251=""),"Date family told needed","OK"))))))))</f>
        <v/>
      </c>
    </row>
    <row r="252" customFormat="false" ht="15" hidden="false" customHeight="false" outlineLevel="0" collapsed="false">
      <c r="A252" s="7"/>
      <c r="B252" s="7"/>
      <c r="C252" s="46"/>
      <c r="D252" s="7"/>
      <c r="E252" s="47"/>
      <c r="F252" s="46"/>
      <c r="G252" s="46"/>
      <c r="H252" s="7"/>
      <c r="I252" s="7"/>
      <c r="J252" s="47"/>
      <c r="K252" s="47"/>
      <c r="L252" s="47"/>
      <c r="M252" s="47"/>
      <c r="N252" s="47"/>
      <c r="O252" s="10"/>
      <c r="P252" s="47"/>
      <c r="Q252" s="47"/>
      <c r="R252" s="48" t="str">
        <f aca="false">IF(Q252="","",IF(Q252=0,"below 5:00",IF(Q252&gt;=66,"16:00 or above",INT((60+2*Q252)/12)&amp;":"&amp;TEXT(MOD(60+2*Q252,12),"00"))))</f>
        <v/>
      </c>
      <c r="S252" s="47"/>
      <c r="T252" s="47"/>
      <c r="U252" s="47"/>
      <c r="V252" s="47"/>
      <c r="W252" s="47"/>
      <c r="X252" s="47"/>
      <c r="Y252" s="47"/>
      <c r="Z252" s="47"/>
      <c r="AA252" s="10"/>
      <c r="AB252" s="10"/>
      <c r="AC252" s="47"/>
      <c r="AD252" s="47"/>
      <c r="AE252" s="47"/>
      <c r="AF252" s="47"/>
      <c r="AG252" s="47"/>
      <c r="AH252" s="47"/>
      <c r="AI252" s="46"/>
      <c r="AJ252" s="46"/>
      <c r="AK252" s="46"/>
      <c r="AL252" s="7"/>
      <c r="AM252" s="49" t="str">
        <f aca="false">IF(OR(C252="",G252=""),"",IFERROR(DATEDIF(C252,G252,"m"),""))</f>
        <v/>
      </c>
      <c r="AN252" s="49" t="str">
        <f aca="false">IF(OR(Q252="",AM252=""),"",60+2*Q252-AM252)</f>
        <v/>
      </c>
      <c r="AO252" s="49" t="str">
        <f aca="false">IF(OR(G252="",AJ252=""),"",AJ252-G252)</f>
        <v/>
      </c>
      <c r="AP252" s="50" t="str">
        <f aca="false">IF(AND(A252="",B252=""),"",IF(J252="","Status needed",IF(OR(J252="Applied",J252="Visit booked",J252="Withdrawn"),"OK",IF(G252="","Date assessed needed",IF(C252="","Date of birth needed",IF(COUNTA(L252,M252,P252,U252,V252,X252)&lt;6,"Band missing",IF(AND(OR(J252="Decision confirmed",J252="Family told",J252="Enrolled"),AG252=""),"Recommendation needed",IF(AND(OR(J252="Family told",J252="Enrolled"),AJ252=""),"Date family told needed","OK"))))))))</f>
        <v/>
      </c>
    </row>
    <row r="253" customFormat="false" ht="15" hidden="false" customHeight="false" outlineLevel="0" collapsed="false">
      <c r="A253" s="7"/>
      <c r="B253" s="7"/>
      <c r="C253" s="46"/>
      <c r="D253" s="7"/>
      <c r="E253" s="47"/>
      <c r="F253" s="46"/>
      <c r="G253" s="46"/>
      <c r="H253" s="7"/>
      <c r="I253" s="7"/>
      <c r="J253" s="47"/>
      <c r="K253" s="47"/>
      <c r="L253" s="47"/>
      <c r="M253" s="47"/>
      <c r="N253" s="47"/>
      <c r="O253" s="10"/>
      <c r="P253" s="47"/>
      <c r="Q253" s="47"/>
      <c r="R253" s="48" t="str">
        <f aca="false">IF(Q253="","",IF(Q253=0,"below 5:00",IF(Q253&gt;=66,"16:00 or above",INT((60+2*Q253)/12)&amp;":"&amp;TEXT(MOD(60+2*Q253,12),"00"))))</f>
        <v/>
      </c>
      <c r="S253" s="47"/>
      <c r="T253" s="47"/>
      <c r="U253" s="47"/>
      <c r="V253" s="47"/>
      <c r="W253" s="47"/>
      <c r="X253" s="47"/>
      <c r="Y253" s="47"/>
      <c r="Z253" s="47"/>
      <c r="AA253" s="10"/>
      <c r="AB253" s="10"/>
      <c r="AC253" s="47"/>
      <c r="AD253" s="47"/>
      <c r="AE253" s="47"/>
      <c r="AF253" s="47"/>
      <c r="AG253" s="47"/>
      <c r="AH253" s="47"/>
      <c r="AI253" s="46"/>
      <c r="AJ253" s="46"/>
      <c r="AK253" s="46"/>
      <c r="AL253" s="7"/>
      <c r="AM253" s="49" t="str">
        <f aca="false">IF(OR(C253="",G253=""),"",IFERROR(DATEDIF(C253,G253,"m"),""))</f>
        <v/>
      </c>
      <c r="AN253" s="49" t="str">
        <f aca="false">IF(OR(Q253="",AM253=""),"",60+2*Q253-AM253)</f>
        <v/>
      </c>
      <c r="AO253" s="49" t="str">
        <f aca="false">IF(OR(G253="",AJ253=""),"",AJ253-G253)</f>
        <v/>
      </c>
      <c r="AP253" s="50" t="str">
        <f aca="false">IF(AND(A253="",B253=""),"",IF(J253="","Status needed",IF(OR(J253="Applied",J253="Visit booked",J253="Withdrawn"),"OK",IF(G253="","Date assessed needed",IF(C253="","Date of birth needed",IF(COUNTA(L253,M253,P253,U253,V253,X253)&lt;6,"Band missing",IF(AND(OR(J253="Decision confirmed",J253="Family told",J253="Enrolled"),AG253=""),"Recommendation needed",IF(AND(OR(J253="Family told",J253="Enrolled"),AJ253=""),"Date family told needed","OK"))))))))</f>
        <v/>
      </c>
    </row>
    <row r="254" customFormat="false" ht="15" hidden="false" customHeight="false" outlineLevel="0" collapsed="false">
      <c r="A254" s="7"/>
      <c r="B254" s="7"/>
      <c r="C254" s="46"/>
      <c r="D254" s="7"/>
      <c r="E254" s="47"/>
      <c r="F254" s="46"/>
      <c r="G254" s="46"/>
      <c r="H254" s="7"/>
      <c r="I254" s="7"/>
      <c r="J254" s="47"/>
      <c r="K254" s="47"/>
      <c r="L254" s="47"/>
      <c r="M254" s="47"/>
      <c r="N254" s="47"/>
      <c r="O254" s="10"/>
      <c r="P254" s="47"/>
      <c r="Q254" s="47"/>
      <c r="R254" s="48" t="str">
        <f aca="false">IF(Q254="","",IF(Q254=0,"below 5:00",IF(Q254&gt;=66,"16:00 or above",INT((60+2*Q254)/12)&amp;":"&amp;TEXT(MOD(60+2*Q254,12),"00"))))</f>
        <v/>
      </c>
      <c r="S254" s="47"/>
      <c r="T254" s="47"/>
      <c r="U254" s="47"/>
      <c r="V254" s="47"/>
      <c r="W254" s="47"/>
      <c r="X254" s="47"/>
      <c r="Y254" s="47"/>
      <c r="Z254" s="47"/>
      <c r="AA254" s="10"/>
      <c r="AB254" s="10"/>
      <c r="AC254" s="47"/>
      <c r="AD254" s="47"/>
      <c r="AE254" s="47"/>
      <c r="AF254" s="47"/>
      <c r="AG254" s="47"/>
      <c r="AH254" s="47"/>
      <c r="AI254" s="46"/>
      <c r="AJ254" s="46"/>
      <c r="AK254" s="46"/>
      <c r="AL254" s="7"/>
      <c r="AM254" s="49" t="str">
        <f aca="false">IF(OR(C254="",G254=""),"",IFERROR(DATEDIF(C254,G254,"m"),""))</f>
        <v/>
      </c>
      <c r="AN254" s="49" t="str">
        <f aca="false">IF(OR(Q254="",AM254=""),"",60+2*Q254-AM254)</f>
        <v/>
      </c>
      <c r="AO254" s="49" t="str">
        <f aca="false">IF(OR(G254="",AJ254=""),"",AJ254-G254)</f>
        <v/>
      </c>
      <c r="AP254" s="50" t="str">
        <f aca="false">IF(AND(A254="",B254=""),"",IF(J254="","Status needed",IF(OR(J254="Applied",J254="Visit booked",J254="Withdrawn"),"OK",IF(G254="","Date assessed needed",IF(C254="","Date of birth needed",IF(COUNTA(L254,M254,P254,U254,V254,X254)&lt;6,"Band missing",IF(AND(OR(J254="Decision confirmed",J254="Family told",J254="Enrolled"),AG254=""),"Recommendation needed",IF(AND(OR(J254="Family told",J254="Enrolled"),AJ254=""),"Date family told needed","OK"))))))))</f>
        <v/>
      </c>
    </row>
    <row r="255" customFormat="false" ht="15" hidden="false" customHeight="false" outlineLevel="0" collapsed="false">
      <c r="A255" s="7"/>
      <c r="B255" s="7"/>
      <c r="C255" s="46"/>
      <c r="D255" s="7"/>
      <c r="E255" s="47"/>
      <c r="F255" s="46"/>
      <c r="G255" s="46"/>
      <c r="H255" s="7"/>
      <c r="I255" s="7"/>
      <c r="J255" s="47"/>
      <c r="K255" s="47"/>
      <c r="L255" s="47"/>
      <c r="M255" s="47"/>
      <c r="N255" s="47"/>
      <c r="O255" s="10"/>
      <c r="P255" s="47"/>
      <c r="Q255" s="47"/>
      <c r="R255" s="48" t="str">
        <f aca="false">IF(Q255="","",IF(Q255=0,"below 5:00",IF(Q255&gt;=66,"16:00 or above",INT((60+2*Q255)/12)&amp;":"&amp;TEXT(MOD(60+2*Q255,12),"00"))))</f>
        <v/>
      </c>
      <c r="S255" s="47"/>
      <c r="T255" s="47"/>
      <c r="U255" s="47"/>
      <c r="V255" s="47"/>
      <c r="W255" s="47"/>
      <c r="X255" s="47"/>
      <c r="Y255" s="47"/>
      <c r="Z255" s="47"/>
      <c r="AA255" s="10"/>
      <c r="AB255" s="10"/>
      <c r="AC255" s="47"/>
      <c r="AD255" s="47"/>
      <c r="AE255" s="47"/>
      <c r="AF255" s="47"/>
      <c r="AG255" s="47"/>
      <c r="AH255" s="47"/>
      <c r="AI255" s="46"/>
      <c r="AJ255" s="46"/>
      <c r="AK255" s="46"/>
      <c r="AL255" s="7"/>
      <c r="AM255" s="49" t="str">
        <f aca="false">IF(OR(C255="",G255=""),"",IFERROR(DATEDIF(C255,G255,"m"),""))</f>
        <v/>
      </c>
      <c r="AN255" s="49" t="str">
        <f aca="false">IF(OR(Q255="",AM255=""),"",60+2*Q255-AM255)</f>
        <v/>
      </c>
      <c r="AO255" s="49" t="str">
        <f aca="false">IF(OR(G255="",AJ255=""),"",AJ255-G255)</f>
        <v/>
      </c>
      <c r="AP255" s="50" t="str">
        <f aca="false">IF(AND(A255="",B255=""),"",IF(J255="","Status needed",IF(OR(J255="Applied",J255="Visit booked",J255="Withdrawn"),"OK",IF(G255="","Date assessed needed",IF(C255="","Date of birth needed",IF(COUNTA(L255,M255,P255,U255,V255,X255)&lt;6,"Band missing",IF(AND(OR(J255="Decision confirmed",J255="Family told",J255="Enrolled"),AG255=""),"Recommendation needed",IF(AND(OR(J255="Family told",J255="Enrolled"),AJ255=""),"Date family told needed","OK"))))))))</f>
        <v/>
      </c>
    </row>
    <row r="256" customFormat="false" ht="15" hidden="false" customHeight="false" outlineLevel="0" collapsed="false">
      <c r="A256" s="7"/>
      <c r="B256" s="7"/>
      <c r="C256" s="46"/>
      <c r="D256" s="7"/>
      <c r="E256" s="47"/>
      <c r="F256" s="46"/>
      <c r="G256" s="46"/>
      <c r="H256" s="7"/>
      <c r="I256" s="7"/>
      <c r="J256" s="47"/>
      <c r="K256" s="47"/>
      <c r="L256" s="47"/>
      <c r="M256" s="47"/>
      <c r="N256" s="47"/>
      <c r="O256" s="10"/>
      <c r="P256" s="47"/>
      <c r="Q256" s="47"/>
      <c r="R256" s="48" t="str">
        <f aca="false">IF(Q256="","",IF(Q256=0,"below 5:00",IF(Q256&gt;=66,"16:00 or above",INT((60+2*Q256)/12)&amp;":"&amp;TEXT(MOD(60+2*Q256,12),"00"))))</f>
        <v/>
      </c>
      <c r="S256" s="47"/>
      <c r="T256" s="47"/>
      <c r="U256" s="47"/>
      <c r="V256" s="47"/>
      <c r="W256" s="47"/>
      <c r="X256" s="47"/>
      <c r="Y256" s="47"/>
      <c r="Z256" s="47"/>
      <c r="AA256" s="10"/>
      <c r="AB256" s="10"/>
      <c r="AC256" s="47"/>
      <c r="AD256" s="47"/>
      <c r="AE256" s="47"/>
      <c r="AF256" s="47"/>
      <c r="AG256" s="47"/>
      <c r="AH256" s="47"/>
      <c r="AI256" s="46"/>
      <c r="AJ256" s="46"/>
      <c r="AK256" s="46"/>
      <c r="AL256" s="7"/>
      <c r="AM256" s="49" t="str">
        <f aca="false">IF(OR(C256="",G256=""),"",IFERROR(DATEDIF(C256,G256,"m"),""))</f>
        <v/>
      </c>
      <c r="AN256" s="49" t="str">
        <f aca="false">IF(OR(Q256="",AM256=""),"",60+2*Q256-AM256)</f>
        <v/>
      </c>
      <c r="AO256" s="49" t="str">
        <f aca="false">IF(OR(G256="",AJ256=""),"",AJ256-G256)</f>
        <v/>
      </c>
      <c r="AP256" s="50" t="str">
        <f aca="false">IF(AND(A256="",B256=""),"",IF(J256="","Status needed",IF(OR(J256="Applied",J256="Visit booked",J256="Withdrawn"),"OK",IF(G256="","Date assessed needed",IF(C256="","Date of birth needed",IF(COUNTA(L256,M256,P256,U256,V256,X256)&lt;6,"Band missing",IF(AND(OR(J256="Decision confirmed",J256="Family told",J256="Enrolled"),AG256=""),"Recommendation needed",IF(AND(OR(J256="Family told",J256="Enrolled"),AJ256=""),"Date family told needed","OK"))))))))</f>
        <v/>
      </c>
    </row>
    <row r="257" customFormat="false" ht="15" hidden="false" customHeight="false" outlineLevel="0" collapsed="false">
      <c r="A257" s="7"/>
      <c r="B257" s="7"/>
      <c r="C257" s="46"/>
      <c r="D257" s="7"/>
      <c r="E257" s="47"/>
      <c r="F257" s="46"/>
      <c r="G257" s="46"/>
      <c r="H257" s="7"/>
      <c r="I257" s="7"/>
      <c r="J257" s="47"/>
      <c r="K257" s="47"/>
      <c r="L257" s="47"/>
      <c r="M257" s="47"/>
      <c r="N257" s="47"/>
      <c r="O257" s="10"/>
      <c r="P257" s="47"/>
      <c r="Q257" s="47"/>
      <c r="R257" s="48" t="str">
        <f aca="false">IF(Q257="","",IF(Q257=0,"below 5:00",IF(Q257&gt;=66,"16:00 or above",INT((60+2*Q257)/12)&amp;":"&amp;TEXT(MOD(60+2*Q257,12),"00"))))</f>
        <v/>
      </c>
      <c r="S257" s="47"/>
      <c r="T257" s="47"/>
      <c r="U257" s="47"/>
      <c r="V257" s="47"/>
      <c r="W257" s="47"/>
      <c r="X257" s="47"/>
      <c r="Y257" s="47"/>
      <c r="Z257" s="47"/>
      <c r="AA257" s="10"/>
      <c r="AB257" s="10"/>
      <c r="AC257" s="47"/>
      <c r="AD257" s="47"/>
      <c r="AE257" s="47"/>
      <c r="AF257" s="47"/>
      <c r="AG257" s="47"/>
      <c r="AH257" s="47"/>
      <c r="AI257" s="46"/>
      <c r="AJ257" s="46"/>
      <c r="AK257" s="46"/>
      <c r="AL257" s="7"/>
      <c r="AM257" s="49" t="str">
        <f aca="false">IF(OR(C257="",G257=""),"",IFERROR(DATEDIF(C257,G257,"m"),""))</f>
        <v/>
      </c>
      <c r="AN257" s="49" t="str">
        <f aca="false">IF(OR(Q257="",AM257=""),"",60+2*Q257-AM257)</f>
        <v/>
      </c>
      <c r="AO257" s="49" t="str">
        <f aca="false">IF(OR(G257="",AJ257=""),"",AJ257-G257)</f>
        <v/>
      </c>
      <c r="AP257" s="50" t="str">
        <f aca="false">IF(AND(A257="",B257=""),"",IF(J257="","Status needed",IF(OR(J257="Applied",J257="Visit booked",J257="Withdrawn"),"OK",IF(G257="","Date assessed needed",IF(C257="","Date of birth needed",IF(COUNTA(L257,M257,P257,U257,V257,X257)&lt;6,"Band missing",IF(AND(OR(J257="Decision confirmed",J257="Family told",J257="Enrolled"),AG257=""),"Recommendation needed",IF(AND(OR(J257="Family told",J257="Enrolled"),AJ257=""),"Date family told needed","OK"))))))))</f>
        <v/>
      </c>
    </row>
    <row r="258" customFormat="false" ht="15" hidden="false" customHeight="false" outlineLevel="0" collapsed="false">
      <c r="A258" s="7"/>
      <c r="B258" s="7"/>
      <c r="C258" s="46"/>
      <c r="D258" s="7"/>
      <c r="E258" s="47"/>
      <c r="F258" s="46"/>
      <c r="G258" s="46"/>
      <c r="H258" s="7"/>
      <c r="I258" s="7"/>
      <c r="J258" s="47"/>
      <c r="K258" s="47"/>
      <c r="L258" s="47"/>
      <c r="M258" s="47"/>
      <c r="N258" s="47"/>
      <c r="O258" s="10"/>
      <c r="P258" s="47"/>
      <c r="Q258" s="47"/>
      <c r="R258" s="48" t="str">
        <f aca="false">IF(Q258="","",IF(Q258=0,"below 5:00",IF(Q258&gt;=66,"16:00 or above",INT((60+2*Q258)/12)&amp;":"&amp;TEXT(MOD(60+2*Q258,12),"00"))))</f>
        <v/>
      </c>
      <c r="S258" s="47"/>
      <c r="T258" s="47"/>
      <c r="U258" s="47"/>
      <c r="V258" s="47"/>
      <c r="W258" s="47"/>
      <c r="X258" s="47"/>
      <c r="Y258" s="47"/>
      <c r="Z258" s="47"/>
      <c r="AA258" s="10"/>
      <c r="AB258" s="10"/>
      <c r="AC258" s="47"/>
      <c r="AD258" s="47"/>
      <c r="AE258" s="47"/>
      <c r="AF258" s="47"/>
      <c r="AG258" s="47"/>
      <c r="AH258" s="47"/>
      <c r="AI258" s="46"/>
      <c r="AJ258" s="46"/>
      <c r="AK258" s="46"/>
      <c r="AL258" s="7"/>
      <c r="AM258" s="49" t="str">
        <f aca="false">IF(OR(C258="",G258=""),"",IFERROR(DATEDIF(C258,G258,"m"),""))</f>
        <v/>
      </c>
      <c r="AN258" s="49" t="str">
        <f aca="false">IF(OR(Q258="",AM258=""),"",60+2*Q258-AM258)</f>
        <v/>
      </c>
      <c r="AO258" s="49" t="str">
        <f aca="false">IF(OR(G258="",AJ258=""),"",AJ258-G258)</f>
        <v/>
      </c>
      <c r="AP258" s="50" t="str">
        <f aca="false">IF(AND(A258="",B258=""),"",IF(J258="","Status needed",IF(OR(J258="Applied",J258="Visit booked",J258="Withdrawn"),"OK",IF(G258="","Date assessed needed",IF(C258="","Date of birth needed",IF(COUNTA(L258,M258,P258,U258,V258,X258)&lt;6,"Band missing",IF(AND(OR(J258="Decision confirmed",J258="Family told",J258="Enrolled"),AG258=""),"Recommendation needed",IF(AND(OR(J258="Family told",J258="Enrolled"),AJ258=""),"Date family told needed","OK"))))))))</f>
        <v/>
      </c>
    </row>
    <row r="259" customFormat="false" ht="15" hidden="false" customHeight="false" outlineLevel="0" collapsed="false">
      <c r="A259" s="7"/>
      <c r="B259" s="7"/>
      <c r="C259" s="46"/>
      <c r="D259" s="7"/>
      <c r="E259" s="47"/>
      <c r="F259" s="46"/>
      <c r="G259" s="46"/>
      <c r="H259" s="7"/>
      <c r="I259" s="7"/>
      <c r="J259" s="47"/>
      <c r="K259" s="47"/>
      <c r="L259" s="47"/>
      <c r="M259" s="47"/>
      <c r="N259" s="47"/>
      <c r="O259" s="10"/>
      <c r="P259" s="47"/>
      <c r="Q259" s="47"/>
      <c r="R259" s="48" t="str">
        <f aca="false">IF(Q259="","",IF(Q259=0,"below 5:00",IF(Q259&gt;=66,"16:00 or above",INT((60+2*Q259)/12)&amp;":"&amp;TEXT(MOD(60+2*Q259,12),"00"))))</f>
        <v/>
      </c>
      <c r="S259" s="47"/>
      <c r="T259" s="47"/>
      <c r="U259" s="47"/>
      <c r="V259" s="47"/>
      <c r="W259" s="47"/>
      <c r="X259" s="47"/>
      <c r="Y259" s="47"/>
      <c r="Z259" s="47"/>
      <c r="AA259" s="10"/>
      <c r="AB259" s="10"/>
      <c r="AC259" s="47"/>
      <c r="AD259" s="47"/>
      <c r="AE259" s="47"/>
      <c r="AF259" s="47"/>
      <c r="AG259" s="47"/>
      <c r="AH259" s="47"/>
      <c r="AI259" s="46"/>
      <c r="AJ259" s="46"/>
      <c r="AK259" s="46"/>
      <c r="AL259" s="7"/>
      <c r="AM259" s="49" t="str">
        <f aca="false">IF(OR(C259="",G259=""),"",IFERROR(DATEDIF(C259,G259,"m"),""))</f>
        <v/>
      </c>
      <c r="AN259" s="49" t="str">
        <f aca="false">IF(OR(Q259="",AM259=""),"",60+2*Q259-AM259)</f>
        <v/>
      </c>
      <c r="AO259" s="49" t="str">
        <f aca="false">IF(OR(G259="",AJ259=""),"",AJ259-G259)</f>
        <v/>
      </c>
      <c r="AP259" s="50" t="str">
        <f aca="false">IF(AND(A259="",B259=""),"",IF(J259="","Status needed",IF(OR(J259="Applied",J259="Visit booked",J259="Withdrawn"),"OK",IF(G259="","Date assessed needed",IF(C259="","Date of birth needed",IF(COUNTA(L259,M259,P259,U259,V259,X259)&lt;6,"Band missing",IF(AND(OR(J259="Decision confirmed",J259="Family told",J259="Enrolled"),AG259=""),"Recommendation needed",IF(AND(OR(J259="Family told",J259="Enrolled"),AJ259=""),"Date family told needed","OK"))))))))</f>
        <v/>
      </c>
    </row>
    <row r="260" customFormat="false" ht="15" hidden="false" customHeight="false" outlineLevel="0" collapsed="false">
      <c r="A260" s="7"/>
      <c r="B260" s="7"/>
      <c r="C260" s="46"/>
      <c r="D260" s="7"/>
      <c r="E260" s="47"/>
      <c r="F260" s="46"/>
      <c r="G260" s="46"/>
      <c r="H260" s="7"/>
      <c r="I260" s="7"/>
      <c r="J260" s="47"/>
      <c r="K260" s="47"/>
      <c r="L260" s="47"/>
      <c r="M260" s="47"/>
      <c r="N260" s="47"/>
      <c r="O260" s="10"/>
      <c r="P260" s="47"/>
      <c r="Q260" s="47"/>
      <c r="R260" s="48" t="str">
        <f aca="false">IF(Q260="","",IF(Q260=0,"below 5:00",IF(Q260&gt;=66,"16:00 or above",INT((60+2*Q260)/12)&amp;":"&amp;TEXT(MOD(60+2*Q260,12),"00"))))</f>
        <v/>
      </c>
      <c r="S260" s="47"/>
      <c r="T260" s="47"/>
      <c r="U260" s="47"/>
      <c r="V260" s="47"/>
      <c r="W260" s="47"/>
      <c r="X260" s="47"/>
      <c r="Y260" s="47"/>
      <c r="Z260" s="47"/>
      <c r="AA260" s="10"/>
      <c r="AB260" s="10"/>
      <c r="AC260" s="47"/>
      <c r="AD260" s="47"/>
      <c r="AE260" s="47"/>
      <c r="AF260" s="47"/>
      <c r="AG260" s="47"/>
      <c r="AH260" s="47"/>
      <c r="AI260" s="46"/>
      <c r="AJ260" s="46"/>
      <c r="AK260" s="46"/>
      <c r="AL260" s="7"/>
      <c r="AM260" s="49" t="str">
        <f aca="false">IF(OR(C260="",G260=""),"",IFERROR(DATEDIF(C260,G260,"m"),""))</f>
        <v/>
      </c>
      <c r="AN260" s="49" t="str">
        <f aca="false">IF(OR(Q260="",AM260=""),"",60+2*Q260-AM260)</f>
        <v/>
      </c>
      <c r="AO260" s="49" t="str">
        <f aca="false">IF(OR(G260="",AJ260=""),"",AJ260-G260)</f>
        <v/>
      </c>
      <c r="AP260" s="50" t="str">
        <f aca="false">IF(AND(A260="",B260=""),"",IF(J260="","Status needed",IF(OR(J260="Applied",J260="Visit booked",J260="Withdrawn"),"OK",IF(G260="","Date assessed needed",IF(C260="","Date of birth needed",IF(COUNTA(L260,M260,P260,U260,V260,X260)&lt;6,"Band missing",IF(AND(OR(J260="Decision confirmed",J260="Family told",J260="Enrolled"),AG260=""),"Recommendation needed",IF(AND(OR(J260="Family told",J260="Enrolled"),AJ260=""),"Date family told needed","OK"))))))))</f>
        <v/>
      </c>
    </row>
    <row r="261" customFormat="false" ht="15" hidden="false" customHeight="false" outlineLevel="0" collapsed="false">
      <c r="A261" s="7"/>
      <c r="B261" s="7"/>
      <c r="C261" s="46"/>
      <c r="D261" s="7"/>
      <c r="E261" s="47"/>
      <c r="F261" s="46"/>
      <c r="G261" s="46"/>
      <c r="H261" s="7"/>
      <c r="I261" s="7"/>
      <c r="J261" s="47"/>
      <c r="K261" s="47"/>
      <c r="L261" s="47"/>
      <c r="M261" s="47"/>
      <c r="N261" s="47"/>
      <c r="O261" s="10"/>
      <c r="P261" s="47"/>
      <c r="Q261" s="47"/>
      <c r="R261" s="48" t="str">
        <f aca="false">IF(Q261="","",IF(Q261=0,"below 5:00",IF(Q261&gt;=66,"16:00 or above",INT((60+2*Q261)/12)&amp;":"&amp;TEXT(MOD(60+2*Q261,12),"00"))))</f>
        <v/>
      </c>
      <c r="S261" s="47"/>
      <c r="T261" s="47"/>
      <c r="U261" s="47"/>
      <c r="V261" s="47"/>
      <c r="W261" s="47"/>
      <c r="X261" s="47"/>
      <c r="Y261" s="47"/>
      <c r="Z261" s="47"/>
      <c r="AA261" s="10"/>
      <c r="AB261" s="10"/>
      <c r="AC261" s="47"/>
      <c r="AD261" s="47"/>
      <c r="AE261" s="47"/>
      <c r="AF261" s="47"/>
      <c r="AG261" s="47"/>
      <c r="AH261" s="47"/>
      <c r="AI261" s="46"/>
      <c r="AJ261" s="46"/>
      <c r="AK261" s="46"/>
      <c r="AL261" s="7"/>
      <c r="AM261" s="49" t="str">
        <f aca="false">IF(OR(C261="",G261=""),"",IFERROR(DATEDIF(C261,G261,"m"),""))</f>
        <v/>
      </c>
      <c r="AN261" s="49" t="str">
        <f aca="false">IF(OR(Q261="",AM261=""),"",60+2*Q261-AM261)</f>
        <v/>
      </c>
      <c r="AO261" s="49" t="str">
        <f aca="false">IF(OR(G261="",AJ261=""),"",AJ261-G261)</f>
        <v/>
      </c>
      <c r="AP261" s="50" t="str">
        <f aca="false">IF(AND(A261="",B261=""),"",IF(J261="","Status needed",IF(OR(J261="Applied",J261="Visit booked",J261="Withdrawn"),"OK",IF(G261="","Date assessed needed",IF(C261="","Date of birth needed",IF(COUNTA(L261,M261,P261,U261,V261,X261)&lt;6,"Band missing",IF(AND(OR(J261="Decision confirmed",J261="Family told",J261="Enrolled"),AG261=""),"Recommendation needed",IF(AND(OR(J261="Family told",J261="Enrolled"),AJ261=""),"Date family told needed","OK"))))))))</f>
        <v/>
      </c>
    </row>
    <row r="262" customFormat="false" ht="15" hidden="false" customHeight="false" outlineLevel="0" collapsed="false">
      <c r="A262" s="7"/>
      <c r="B262" s="7"/>
      <c r="C262" s="46"/>
      <c r="D262" s="7"/>
      <c r="E262" s="47"/>
      <c r="F262" s="46"/>
      <c r="G262" s="46"/>
      <c r="H262" s="7"/>
      <c r="I262" s="7"/>
      <c r="J262" s="47"/>
      <c r="K262" s="47"/>
      <c r="L262" s="47"/>
      <c r="M262" s="47"/>
      <c r="N262" s="47"/>
      <c r="O262" s="10"/>
      <c r="P262" s="47"/>
      <c r="Q262" s="47"/>
      <c r="R262" s="48" t="str">
        <f aca="false">IF(Q262="","",IF(Q262=0,"below 5:00",IF(Q262&gt;=66,"16:00 or above",INT((60+2*Q262)/12)&amp;":"&amp;TEXT(MOD(60+2*Q262,12),"00"))))</f>
        <v/>
      </c>
      <c r="S262" s="47"/>
      <c r="T262" s="47"/>
      <c r="U262" s="47"/>
      <c r="V262" s="47"/>
      <c r="W262" s="47"/>
      <c r="X262" s="47"/>
      <c r="Y262" s="47"/>
      <c r="Z262" s="47"/>
      <c r="AA262" s="10"/>
      <c r="AB262" s="10"/>
      <c r="AC262" s="47"/>
      <c r="AD262" s="47"/>
      <c r="AE262" s="47"/>
      <c r="AF262" s="47"/>
      <c r="AG262" s="47"/>
      <c r="AH262" s="47"/>
      <c r="AI262" s="46"/>
      <c r="AJ262" s="46"/>
      <c r="AK262" s="46"/>
      <c r="AL262" s="7"/>
      <c r="AM262" s="49" t="str">
        <f aca="false">IF(OR(C262="",G262=""),"",IFERROR(DATEDIF(C262,G262,"m"),""))</f>
        <v/>
      </c>
      <c r="AN262" s="49" t="str">
        <f aca="false">IF(OR(Q262="",AM262=""),"",60+2*Q262-AM262)</f>
        <v/>
      </c>
      <c r="AO262" s="49" t="str">
        <f aca="false">IF(OR(G262="",AJ262=""),"",AJ262-G262)</f>
        <v/>
      </c>
      <c r="AP262" s="50" t="str">
        <f aca="false">IF(AND(A262="",B262=""),"",IF(J262="","Status needed",IF(OR(J262="Applied",J262="Visit booked",J262="Withdrawn"),"OK",IF(G262="","Date assessed needed",IF(C262="","Date of birth needed",IF(COUNTA(L262,M262,P262,U262,V262,X262)&lt;6,"Band missing",IF(AND(OR(J262="Decision confirmed",J262="Family told",J262="Enrolled"),AG262=""),"Recommendation needed",IF(AND(OR(J262="Family told",J262="Enrolled"),AJ262=""),"Date family told needed","OK"))))))))</f>
        <v/>
      </c>
    </row>
    <row r="263" customFormat="false" ht="15" hidden="false" customHeight="false" outlineLevel="0" collapsed="false">
      <c r="A263" s="7"/>
      <c r="B263" s="7"/>
      <c r="C263" s="46"/>
      <c r="D263" s="7"/>
      <c r="E263" s="47"/>
      <c r="F263" s="46"/>
      <c r="G263" s="46"/>
      <c r="H263" s="7"/>
      <c r="I263" s="7"/>
      <c r="J263" s="47"/>
      <c r="K263" s="47"/>
      <c r="L263" s="47"/>
      <c r="M263" s="47"/>
      <c r="N263" s="47"/>
      <c r="O263" s="10"/>
      <c r="P263" s="47"/>
      <c r="Q263" s="47"/>
      <c r="R263" s="48" t="str">
        <f aca="false">IF(Q263="","",IF(Q263=0,"below 5:00",IF(Q263&gt;=66,"16:00 or above",INT((60+2*Q263)/12)&amp;":"&amp;TEXT(MOD(60+2*Q263,12),"00"))))</f>
        <v/>
      </c>
      <c r="S263" s="47"/>
      <c r="T263" s="47"/>
      <c r="U263" s="47"/>
      <c r="V263" s="47"/>
      <c r="W263" s="47"/>
      <c r="X263" s="47"/>
      <c r="Y263" s="47"/>
      <c r="Z263" s="47"/>
      <c r="AA263" s="10"/>
      <c r="AB263" s="10"/>
      <c r="AC263" s="47"/>
      <c r="AD263" s="47"/>
      <c r="AE263" s="47"/>
      <c r="AF263" s="47"/>
      <c r="AG263" s="47"/>
      <c r="AH263" s="47"/>
      <c r="AI263" s="46"/>
      <c r="AJ263" s="46"/>
      <c r="AK263" s="46"/>
      <c r="AL263" s="7"/>
      <c r="AM263" s="49" t="str">
        <f aca="false">IF(OR(C263="",G263=""),"",IFERROR(DATEDIF(C263,G263,"m"),""))</f>
        <v/>
      </c>
      <c r="AN263" s="49" t="str">
        <f aca="false">IF(OR(Q263="",AM263=""),"",60+2*Q263-AM263)</f>
        <v/>
      </c>
      <c r="AO263" s="49" t="str">
        <f aca="false">IF(OR(G263="",AJ263=""),"",AJ263-G263)</f>
        <v/>
      </c>
      <c r="AP263" s="50" t="str">
        <f aca="false">IF(AND(A263="",B263=""),"",IF(J263="","Status needed",IF(OR(J263="Applied",J263="Visit booked",J263="Withdrawn"),"OK",IF(G263="","Date assessed needed",IF(C263="","Date of birth needed",IF(COUNTA(L263,M263,P263,U263,V263,X263)&lt;6,"Band missing",IF(AND(OR(J263="Decision confirmed",J263="Family told",J263="Enrolled"),AG263=""),"Recommendation needed",IF(AND(OR(J263="Family told",J263="Enrolled"),AJ263=""),"Date family told needed","OK"))))))))</f>
        <v/>
      </c>
    </row>
    <row r="264" customFormat="false" ht="15" hidden="false" customHeight="false" outlineLevel="0" collapsed="false">
      <c r="A264" s="7"/>
      <c r="B264" s="7"/>
      <c r="C264" s="46"/>
      <c r="D264" s="7"/>
      <c r="E264" s="47"/>
      <c r="F264" s="46"/>
      <c r="G264" s="46"/>
      <c r="H264" s="7"/>
      <c r="I264" s="7"/>
      <c r="J264" s="47"/>
      <c r="K264" s="47"/>
      <c r="L264" s="47"/>
      <c r="M264" s="47"/>
      <c r="N264" s="47"/>
      <c r="O264" s="10"/>
      <c r="P264" s="47"/>
      <c r="Q264" s="47"/>
      <c r="R264" s="48" t="str">
        <f aca="false">IF(Q264="","",IF(Q264=0,"below 5:00",IF(Q264&gt;=66,"16:00 or above",INT((60+2*Q264)/12)&amp;":"&amp;TEXT(MOD(60+2*Q264,12),"00"))))</f>
        <v/>
      </c>
      <c r="S264" s="47"/>
      <c r="T264" s="47"/>
      <c r="U264" s="47"/>
      <c r="V264" s="47"/>
      <c r="W264" s="47"/>
      <c r="X264" s="47"/>
      <c r="Y264" s="47"/>
      <c r="Z264" s="47"/>
      <c r="AA264" s="10"/>
      <c r="AB264" s="10"/>
      <c r="AC264" s="47"/>
      <c r="AD264" s="47"/>
      <c r="AE264" s="47"/>
      <c r="AF264" s="47"/>
      <c r="AG264" s="47"/>
      <c r="AH264" s="47"/>
      <c r="AI264" s="46"/>
      <c r="AJ264" s="46"/>
      <c r="AK264" s="46"/>
      <c r="AL264" s="7"/>
      <c r="AM264" s="49" t="str">
        <f aca="false">IF(OR(C264="",G264=""),"",IFERROR(DATEDIF(C264,G264,"m"),""))</f>
        <v/>
      </c>
      <c r="AN264" s="49" t="str">
        <f aca="false">IF(OR(Q264="",AM264=""),"",60+2*Q264-AM264)</f>
        <v/>
      </c>
      <c r="AO264" s="49" t="str">
        <f aca="false">IF(OR(G264="",AJ264=""),"",AJ264-G264)</f>
        <v/>
      </c>
      <c r="AP264" s="50" t="str">
        <f aca="false">IF(AND(A264="",B264=""),"",IF(J264="","Status needed",IF(OR(J264="Applied",J264="Visit booked",J264="Withdrawn"),"OK",IF(G264="","Date assessed needed",IF(C264="","Date of birth needed",IF(COUNTA(L264,M264,P264,U264,V264,X264)&lt;6,"Band missing",IF(AND(OR(J264="Decision confirmed",J264="Family told",J264="Enrolled"),AG264=""),"Recommendation needed",IF(AND(OR(J264="Family told",J264="Enrolled"),AJ264=""),"Date family told needed","OK"))))))))</f>
        <v/>
      </c>
    </row>
    <row r="265" customFormat="false" ht="15" hidden="false" customHeight="false" outlineLevel="0" collapsed="false">
      <c r="A265" s="7"/>
      <c r="B265" s="7"/>
      <c r="C265" s="46"/>
      <c r="D265" s="7"/>
      <c r="E265" s="47"/>
      <c r="F265" s="46"/>
      <c r="G265" s="46"/>
      <c r="H265" s="7"/>
      <c r="I265" s="7"/>
      <c r="J265" s="47"/>
      <c r="K265" s="47"/>
      <c r="L265" s="47"/>
      <c r="M265" s="47"/>
      <c r="N265" s="47"/>
      <c r="O265" s="10"/>
      <c r="P265" s="47"/>
      <c r="Q265" s="47"/>
      <c r="R265" s="48" t="str">
        <f aca="false">IF(Q265="","",IF(Q265=0,"below 5:00",IF(Q265&gt;=66,"16:00 or above",INT((60+2*Q265)/12)&amp;":"&amp;TEXT(MOD(60+2*Q265,12),"00"))))</f>
        <v/>
      </c>
      <c r="S265" s="47"/>
      <c r="T265" s="47"/>
      <c r="U265" s="47"/>
      <c r="V265" s="47"/>
      <c r="W265" s="47"/>
      <c r="X265" s="47"/>
      <c r="Y265" s="47"/>
      <c r="Z265" s="47"/>
      <c r="AA265" s="10"/>
      <c r="AB265" s="10"/>
      <c r="AC265" s="47"/>
      <c r="AD265" s="47"/>
      <c r="AE265" s="47"/>
      <c r="AF265" s="47"/>
      <c r="AG265" s="47"/>
      <c r="AH265" s="47"/>
      <c r="AI265" s="46"/>
      <c r="AJ265" s="46"/>
      <c r="AK265" s="46"/>
      <c r="AL265" s="7"/>
      <c r="AM265" s="49" t="str">
        <f aca="false">IF(OR(C265="",G265=""),"",IFERROR(DATEDIF(C265,G265,"m"),""))</f>
        <v/>
      </c>
      <c r="AN265" s="49" t="str">
        <f aca="false">IF(OR(Q265="",AM265=""),"",60+2*Q265-AM265)</f>
        <v/>
      </c>
      <c r="AO265" s="49" t="str">
        <f aca="false">IF(OR(G265="",AJ265=""),"",AJ265-G265)</f>
        <v/>
      </c>
      <c r="AP265" s="50" t="str">
        <f aca="false">IF(AND(A265="",B265=""),"",IF(J265="","Status needed",IF(OR(J265="Applied",J265="Visit booked",J265="Withdrawn"),"OK",IF(G265="","Date assessed needed",IF(C265="","Date of birth needed",IF(COUNTA(L265,M265,P265,U265,V265,X265)&lt;6,"Band missing",IF(AND(OR(J265="Decision confirmed",J265="Family told",J265="Enrolled"),AG265=""),"Recommendation needed",IF(AND(OR(J265="Family told",J265="Enrolled"),AJ265=""),"Date family told needed","OK"))))))))</f>
        <v/>
      </c>
    </row>
    <row r="266" customFormat="false" ht="15" hidden="false" customHeight="false" outlineLevel="0" collapsed="false">
      <c r="A266" s="7"/>
      <c r="B266" s="7"/>
      <c r="C266" s="46"/>
      <c r="D266" s="7"/>
      <c r="E266" s="47"/>
      <c r="F266" s="46"/>
      <c r="G266" s="46"/>
      <c r="H266" s="7"/>
      <c r="I266" s="7"/>
      <c r="J266" s="47"/>
      <c r="K266" s="47"/>
      <c r="L266" s="47"/>
      <c r="M266" s="47"/>
      <c r="N266" s="47"/>
      <c r="O266" s="10"/>
      <c r="P266" s="47"/>
      <c r="Q266" s="47"/>
      <c r="R266" s="48" t="str">
        <f aca="false">IF(Q266="","",IF(Q266=0,"below 5:00",IF(Q266&gt;=66,"16:00 or above",INT((60+2*Q266)/12)&amp;":"&amp;TEXT(MOD(60+2*Q266,12),"00"))))</f>
        <v/>
      </c>
      <c r="S266" s="47"/>
      <c r="T266" s="47"/>
      <c r="U266" s="47"/>
      <c r="V266" s="47"/>
      <c r="W266" s="47"/>
      <c r="X266" s="47"/>
      <c r="Y266" s="47"/>
      <c r="Z266" s="47"/>
      <c r="AA266" s="10"/>
      <c r="AB266" s="10"/>
      <c r="AC266" s="47"/>
      <c r="AD266" s="47"/>
      <c r="AE266" s="47"/>
      <c r="AF266" s="47"/>
      <c r="AG266" s="47"/>
      <c r="AH266" s="47"/>
      <c r="AI266" s="46"/>
      <c r="AJ266" s="46"/>
      <c r="AK266" s="46"/>
      <c r="AL266" s="7"/>
      <c r="AM266" s="49" t="str">
        <f aca="false">IF(OR(C266="",G266=""),"",IFERROR(DATEDIF(C266,G266,"m"),""))</f>
        <v/>
      </c>
      <c r="AN266" s="49" t="str">
        <f aca="false">IF(OR(Q266="",AM266=""),"",60+2*Q266-AM266)</f>
        <v/>
      </c>
      <c r="AO266" s="49" t="str">
        <f aca="false">IF(OR(G266="",AJ266=""),"",AJ266-G266)</f>
        <v/>
      </c>
      <c r="AP266" s="50" t="str">
        <f aca="false">IF(AND(A266="",B266=""),"",IF(J266="","Status needed",IF(OR(J266="Applied",J266="Visit booked",J266="Withdrawn"),"OK",IF(G266="","Date assessed needed",IF(C266="","Date of birth needed",IF(COUNTA(L266,M266,P266,U266,V266,X266)&lt;6,"Band missing",IF(AND(OR(J266="Decision confirmed",J266="Family told",J266="Enrolled"),AG266=""),"Recommendation needed",IF(AND(OR(J266="Family told",J266="Enrolled"),AJ266=""),"Date family told needed","OK"))))))))</f>
        <v/>
      </c>
    </row>
    <row r="267" customFormat="false" ht="15" hidden="false" customHeight="false" outlineLevel="0" collapsed="false">
      <c r="A267" s="7"/>
      <c r="B267" s="7"/>
      <c r="C267" s="46"/>
      <c r="D267" s="7"/>
      <c r="E267" s="47"/>
      <c r="F267" s="46"/>
      <c r="G267" s="46"/>
      <c r="H267" s="7"/>
      <c r="I267" s="7"/>
      <c r="J267" s="47"/>
      <c r="K267" s="47"/>
      <c r="L267" s="47"/>
      <c r="M267" s="47"/>
      <c r="N267" s="47"/>
      <c r="O267" s="10"/>
      <c r="P267" s="47"/>
      <c r="Q267" s="47"/>
      <c r="R267" s="48" t="str">
        <f aca="false">IF(Q267="","",IF(Q267=0,"below 5:00",IF(Q267&gt;=66,"16:00 or above",INT((60+2*Q267)/12)&amp;":"&amp;TEXT(MOD(60+2*Q267,12),"00"))))</f>
        <v/>
      </c>
      <c r="S267" s="47"/>
      <c r="T267" s="47"/>
      <c r="U267" s="47"/>
      <c r="V267" s="47"/>
      <c r="W267" s="47"/>
      <c r="X267" s="47"/>
      <c r="Y267" s="47"/>
      <c r="Z267" s="47"/>
      <c r="AA267" s="10"/>
      <c r="AB267" s="10"/>
      <c r="AC267" s="47"/>
      <c r="AD267" s="47"/>
      <c r="AE267" s="47"/>
      <c r="AF267" s="47"/>
      <c r="AG267" s="47"/>
      <c r="AH267" s="47"/>
      <c r="AI267" s="46"/>
      <c r="AJ267" s="46"/>
      <c r="AK267" s="46"/>
      <c r="AL267" s="7"/>
      <c r="AM267" s="49" t="str">
        <f aca="false">IF(OR(C267="",G267=""),"",IFERROR(DATEDIF(C267,G267,"m"),""))</f>
        <v/>
      </c>
      <c r="AN267" s="49" t="str">
        <f aca="false">IF(OR(Q267="",AM267=""),"",60+2*Q267-AM267)</f>
        <v/>
      </c>
      <c r="AO267" s="49" t="str">
        <f aca="false">IF(OR(G267="",AJ267=""),"",AJ267-G267)</f>
        <v/>
      </c>
      <c r="AP267" s="50" t="str">
        <f aca="false">IF(AND(A267="",B267=""),"",IF(J267="","Status needed",IF(OR(J267="Applied",J267="Visit booked",J267="Withdrawn"),"OK",IF(G267="","Date assessed needed",IF(C267="","Date of birth needed",IF(COUNTA(L267,M267,P267,U267,V267,X267)&lt;6,"Band missing",IF(AND(OR(J267="Decision confirmed",J267="Family told",J267="Enrolled"),AG267=""),"Recommendation needed",IF(AND(OR(J267="Family told",J267="Enrolled"),AJ267=""),"Date family told needed","OK"))))))))</f>
        <v/>
      </c>
    </row>
    <row r="268" customFormat="false" ht="15" hidden="false" customHeight="false" outlineLevel="0" collapsed="false">
      <c r="A268" s="7"/>
      <c r="B268" s="7"/>
      <c r="C268" s="46"/>
      <c r="D268" s="7"/>
      <c r="E268" s="47"/>
      <c r="F268" s="46"/>
      <c r="G268" s="46"/>
      <c r="H268" s="7"/>
      <c r="I268" s="7"/>
      <c r="J268" s="47"/>
      <c r="K268" s="47"/>
      <c r="L268" s="47"/>
      <c r="M268" s="47"/>
      <c r="N268" s="47"/>
      <c r="O268" s="10"/>
      <c r="P268" s="47"/>
      <c r="Q268" s="47"/>
      <c r="R268" s="48" t="str">
        <f aca="false">IF(Q268="","",IF(Q268=0,"below 5:00",IF(Q268&gt;=66,"16:00 or above",INT((60+2*Q268)/12)&amp;":"&amp;TEXT(MOD(60+2*Q268,12),"00"))))</f>
        <v/>
      </c>
      <c r="S268" s="47"/>
      <c r="T268" s="47"/>
      <c r="U268" s="47"/>
      <c r="V268" s="47"/>
      <c r="W268" s="47"/>
      <c r="X268" s="47"/>
      <c r="Y268" s="47"/>
      <c r="Z268" s="47"/>
      <c r="AA268" s="10"/>
      <c r="AB268" s="10"/>
      <c r="AC268" s="47"/>
      <c r="AD268" s="47"/>
      <c r="AE268" s="47"/>
      <c r="AF268" s="47"/>
      <c r="AG268" s="47"/>
      <c r="AH268" s="47"/>
      <c r="AI268" s="46"/>
      <c r="AJ268" s="46"/>
      <c r="AK268" s="46"/>
      <c r="AL268" s="7"/>
      <c r="AM268" s="49" t="str">
        <f aca="false">IF(OR(C268="",G268=""),"",IFERROR(DATEDIF(C268,G268,"m"),""))</f>
        <v/>
      </c>
      <c r="AN268" s="49" t="str">
        <f aca="false">IF(OR(Q268="",AM268=""),"",60+2*Q268-AM268)</f>
        <v/>
      </c>
      <c r="AO268" s="49" t="str">
        <f aca="false">IF(OR(G268="",AJ268=""),"",AJ268-G268)</f>
        <v/>
      </c>
      <c r="AP268" s="50" t="str">
        <f aca="false">IF(AND(A268="",B268=""),"",IF(J268="","Status needed",IF(OR(J268="Applied",J268="Visit booked",J268="Withdrawn"),"OK",IF(G268="","Date assessed needed",IF(C268="","Date of birth needed",IF(COUNTA(L268,M268,P268,U268,V268,X268)&lt;6,"Band missing",IF(AND(OR(J268="Decision confirmed",J268="Family told",J268="Enrolled"),AG268=""),"Recommendation needed",IF(AND(OR(J268="Family told",J268="Enrolled"),AJ268=""),"Date family told needed","OK"))))))))</f>
        <v/>
      </c>
    </row>
    <row r="269" customFormat="false" ht="15" hidden="false" customHeight="false" outlineLevel="0" collapsed="false">
      <c r="A269" s="7"/>
      <c r="B269" s="7"/>
      <c r="C269" s="46"/>
      <c r="D269" s="7"/>
      <c r="E269" s="47"/>
      <c r="F269" s="46"/>
      <c r="G269" s="46"/>
      <c r="H269" s="7"/>
      <c r="I269" s="7"/>
      <c r="J269" s="47"/>
      <c r="K269" s="47"/>
      <c r="L269" s="47"/>
      <c r="M269" s="47"/>
      <c r="N269" s="47"/>
      <c r="O269" s="10"/>
      <c r="P269" s="47"/>
      <c r="Q269" s="47"/>
      <c r="R269" s="48" t="str">
        <f aca="false">IF(Q269="","",IF(Q269=0,"below 5:00",IF(Q269&gt;=66,"16:00 or above",INT((60+2*Q269)/12)&amp;":"&amp;TEXT(MOD(60+2*Q269,12),"00"))))</f>
        <v/>
      </c>
      <c r="S269" s="47"/>
      <c r="T269" s="47"/>
      <c r="U269" s="47"/>
      <c r="V269" s="47"/>
      <c r="W269" s="47"/>
      <c r="X269" s="47"/>
      <c r="Y269" s="47"/>
      <c r="Z269" s="47"/>
      <c r="AA269" s="10"/>
      <c r="AB269" s="10"/>
      <c r="AC269" s="47"/>
      <c r="AD269" s="47"/>
      <c r="AE269" s="47"/>
      <c r="AF269" s="47"/>
      <c r="AG269" s="47"/>
      <c r="AH269" s="47"/>
      <c r="AI269" s="46"/>
      <c r="AJ269" s="46"/>
      <c r="AK269" s="46"/>
      <c r="AL269" s="7"/>
      <c r="AM269" s="49" t="str">
        <f aca="false">IF(OR(C269="",G269=""),"",IFERROR(DATEDIF(C269,G269,"m"),""))</f>
        <v/>
      </c>
      <c r="AN269" s="49" t="str">
        <f aca="false">IF(OR(Q269="",AM269=""),"",60+2*Q269-AM269)</f>
        <v/>
      </c>
      <c r="AO269" s="49" t="str">
        <f aca="false">IF(OR(G269="",AJ269=""),"",AJ269-G269)</f>
        <v/>
      </c>
      <c r="AP269" s="50" t="str">
        <f aca="false">IF(AND(A269="",B269=""),"",IF(J269="","Status needed",IF(OR(J269="Applied",J269="Visit booked",J269="Withdrawn"),"OK",IF(G269="","Date assessed needed",IF(C269="","Date of birth needed",IF(COUNTA(L269,M269,P269,U269,V269,X269)&lt;6,"Band missing",IF(AND(OR(J269="Decision confirmed",J269="Family told",J269="Enrolled"),AG269=""),"Recommendation needed",IF(AND(OR(J269="Family told",J269="Enrolled"),AJ269=""),"Date family told needed","OK"))))))))</f>
        <v/>
      </c>
    </row>
    <row r="270" customFormat="false" ht="15" hidden="false" customHeight="false" outlineLevel="0" collapsed="false">
      <c r="A270" s="7"/>
      <c r="B270" s="7"/>
      <c r="C270" s="46"/>
      <c r="D270" s="7"/>
      <c r="E270" s="47"/>
      <c r="F270" s="46"/>
      <c r="G270" s="46"/>
      <c r="H270" s="7"/>
      <c r="I270" s="7"/>
      <c r="J270" s="47"/>
      <c r="K270" s="47"/>
      <c r="L270" s="47"/>
      <c r="M270" s="47"/>
      <c r="N270" s="47"/>
      <c r="O270" s="10"/>
      <c r="P270" s="47"/>
      <c r="Q270" s="47"/>
      <c r="R270" s="48" t="str">
        <f aca="false">IF(Q270="","",IF(Q270=0,"below 5:00",IF(Q270&gt;=66,"16:00 or above",INT((60+2*Q270)/12)&amp;":"&amp;TEXT(MOD(60+2*Q270,12),"00"))))</f>
        <v/>
      </c>
      <c r="S270" s="47"/>
      <c r="T270" s="47"/>
      <c r="U270" s="47"/>
      <c r="V270" s="47"/>
      <c r="W270" s="47"/>
      <c r="X270" s="47"/>
      <c r="Y270" s="47"/>
      <c r="Z270" s="47"/>
      <c r="AA270" s="10"/>
      <c r="AB270" s="10"/>
      <c r="AC270" s="47"/>
      <c r="AD270" s="47"/>
      <c r="AE270" s="47"/>
      <c r="AF270" s="47"/>
      <c r="AG270" s="47"/>
      <c r="AH270" s="47"/>
      <c r="AI270" s="46"/>
      <c r="AJ270" s="46"/>
      <c r="AK270" s="46"/>
      <c r="AL270" s="7"/>
      <c r="AM270" s="49" t="str">
        <f aca="false">IF(OR(C270="",G270=""),"",IFERROR(DATEDIF(C270,G270,"m"),""))</f>
        <v/>
      </c>
      <c r="AN270" s="49" t="str">
        <f aca="false">IF(OR(Q270="",AM270=""),"",60+2*Q270-AM270)</f>
        <v/>
      </c>
      <c r="AO270" s="49" t="str">
        <f aca="false">IF(OR(G270="",AJ270=""),"",AJ270-G270)</f>
        <v/>
      </c>
      <c r="AP270" s="50" t="str">
        <f aca="false">IF(AND(A270="",B270=""),"",IF(J270="","Status needed",IF(OR(J270="Applied",J270="Visit booked",J270="Withdrawn"),"OK",IF(G270="","Date assessed needed",IF(C270="","Date of birth needed",IF(COUNTA(L270,M270,P270,U270,V270,X270)&lt;6,"Band missing",IF(AND(OR(J270="Decision confirmed",J270="Family told",J270="Enrolled"),AG270=""),"Recommendation needed",IF(AND(OR(J270="Family told",J270="Enrolled"),AJ270=""),"Date family told needed","OK"))))))))</f>
        <v/>
      </c>
    </row>
    <row r="271" customFormat="false" ht="15" hidden="false" customHeight="false" outlineLevel="0" collapsed="false">
      <c r="A271" s="7"/>
      <c r="B271" s="7"/>
      <c r="C271" s="46"/>
      <c r="D271" s="7"/>
      <c r="E271" s="47"/>
      <c r="F271" s="46"/>
      <c r="G271" s="46"/>
      <c r="H271" s="7"/>
      <c r="I271" s="7"/>
      <c r="J271" s="47"/>
      <c r="K271" s="47"/>
      <c r="L271" s="47"/>
      <c r="M271" s="47"/>
      <c r="N271" s="47"/>
      <c r="O271" s="10"/>
      <c r="P271" s="47"/>
      <c r="Q271" s="47"/>
      <c r="R271" s="48" t="str">
        <f aca="false">IF(Q271="","",IF(Q271=0,"below 5:00",IF(Q271&gt;=66,"16:00 or above",INT((60+2*Q271)/12)&amp;":"&amp;TEXT(MOD(60+2*Q271,12),"00"))))</f>
        <v/>
      </c>
      <c r="S271" s="47"/>
      <c r="T271" s="47"/>
      <c r="U271" s="47"/>
      <c r="V271" s="47"/>
      <c r="W271" s="47"/>
      <c r="X271" s="47"/>
      <c r="Y271" s="47"/>
      <c r="Z271" s="47"/>
      <c r="AA271" s="10"/>
      <c r="AB271" s="10"/>
      <c r="AC271" s="47"/>
      <c r="AD271" s="47"/>
      <c r="AE271" s="47"/>
      <c r="AF271" s="47"/>
      <c r="AG271" s="47"/>
      <c r="AH271" s="47"/>
      <c r="AI271" s="46"/>
      <c r="AJ271" s="46"/>
      <c r="AK271" s="46"/>
      <c r="AL271" s="7"/>
      <c r="AM271" s="49" t="str">
        <f aca="false">IF(OR(C271="",G271=""),"",IFERROR(DATEDIF(C271,G271,"m"),""))</f>
        <v/>
      </c>
      <c r="AN271" s="49" t="str">
        <f aca="false">IF(OR(Q271="",AM271=""),"",60+2*Q271-AM271)</f>
        <v/>
      </c>
      <c r="AO271" s="49" t="str">
        <f aca="false">IF(OR(G271="",AJ271=""),"",AJ271-G271)</f>
        <v/>
      </c>
      <c r="AP271" s="50" t="str">
        <f aca="false">IF(AND(A271="",B271=""),"",IF(J271="","Status needed",IF(OR(J271="Applied",J271="Visit booked",J271="Withdrawn"),"OK",IF(G271="","Date assessed needed",IF(C271="","Date of birth needed",IF(COUNTA(L271,M271,P271,U271,V271,X271)&lt;6,"Band missing",IF(AND(OR(J271="Decision confirmed",J271="Family told",J271="Enrolled"),AG271=""),"Recommendation needed",IF(AND(OR(J271="Family told",J271="Enrolled"),AJ271=""),"Date family told needed","OK"))))))))</f>
        <v/>
      </c>
    </row>
    <row r="272" customFormat="false" ht="15" hidden="false" customHeight="false" outlineLevel="0" collapsed="false">
      <c r="A272" s="7"/>
      <c r="B272" s="7"/>
      <c r="C272" s="46"/>
      <c r="D272" s="7"/>
      <c r="E272" s="47"/>
      <c r="F272" s="46"/>
      <c r="G272" s="46"/>
      <c r="H272" s="7"/>
      <c r="I272" s="7"/>
      <c r="J272" s="47"/>
      <c r="K272" s="47"/>
      <c r="L272" s="47"/>
      <c r="M272" s="47"/>
      <c r="N272" s="47"/>
      <c r="O272" s="10"/>
      <c r="P272" s="47"/>
      <c r="Q272" s="47"/>
      <c r="R272" s="48" t="str">
        <f aca="false">IF(Q272="","",IF(Q272=0,"below 5:00",IF(Q272&gt;=66,"16:00 or above",INT((60+2*Q272)/12)&amp;":"&amp;TEXT(MOD(60+2*Q272,12),"00"))))</f>
        <v/>
      </c>
      <c r="S272" s="47"/>
      <c r="T272" s="47"/>
      <c r="U272" s="47"/>
      <c r="V272" s="47"/>
      <c r="W272" s="47"/>
      <c r="X272" s="47"/>
      <c r="Y272" s="47"/>
      <c r="Z272" s="47"/>
      <c r="AA272" s="10"/>
      <c r="AB272" s="10"/>
      <c r="AC272" s="47"/>
      <c r="AD272" s="47"/>
      <c r="AE272" s="47"/>
      <c r="AF272" s="47"/>
      <c r="AG272" s="47"/>
      <c r="AH272" s="47"/>
      <c r="AI272" s="46"/>
      <c r="AJ272" s="46"/>
      <c r="AK272" s="46"/>
      <c r="AL272" s="7"/>
      <c r="AM272" s="49" t="str">
        <f aca="false">IF(OR(C272="",G272=""),"",IFERROR(DATEDIF(C272,G272,"m"),""))</f>
        <v/>
      </c>
      <c r="AN272" s="49" t="str">
        <f aca="false">IF(OR(Q272="",AM272=""),"",60+2*Q272-AM272)</f>
        <v/>
      </c>
      <c r="AO272" s="49" t="str">
        <f aca="false">IF(OR(G272="",AJ272=""),"",AJ272-G272)</f>
        <v/>
      </c>
      <c r="AP272" s="50" t="str">
        <f aca="false">IF(AND(A272="",B272=""),"",IF(J272="","Status needed",IF(OR(J272="Applied",J272="Visit booked",J272="Withdrawn"),"OK",IF(G272="","Date assessed needed",IF(C272="","Date of birth needed",IF(COUNTA(L272,M272,P272,U272,V272,X272)&lt;6,"Band missing",IF(AND(OR(J272="Decision confirmed",J272="Family told",J272="Enrolled"),AG272=""),"Recommendation needed",IF(AND(OR(J272="Family told",J272="Enrolled"),AJ272=""),"Date family told needed","OK"))))))))</f>
        <v/>
      </c>
    </row>
    <row r="273" customFormat="false" ht="15" hidden="false" customHeight="false" outlineLevel="0" collapsed="false">
      <c r="A273" s="7"/>
      <c r="B273" s="7"/>
      <c r="C273" s="46"/>
      <c r="D273" s="7"/>
      <c r="E273" s="47"/>
      <c r="F273" s="46"/>
      <c r="G273" s="46"/>
      <c r="H273" s="7"/>
      <c r="I273" s="7"/>
      <c r="J273" s="47"/>
      <c r="K273" s="47"/>
      <c r="L273" s="47"/>
      <c r="M273" s="47"/>
      <c r="N273" s="47"/>
      <c r="O273" s="10"/>
      <c r="P273" s="47"/>
      <c r="Q273" s="47"/>
      <c r="R273" s="48" t="str">
        <f aca="false">IF(Q273="","",IF(Q273=0,"below 5:00",IF(Q273&gt;=66,"16:00 or above",INT((60+2*Q273)/12)&amp;":"&amp;TEXT(MOD(60+2*Q273,12),"00"))))</f>
        <v/>
      </c>
      <c r="S273" s="47"/>
      <c r="T273" s="47"/>
      <c r="U273" s="47"/>
      <c r="V273" s="47"/>
      <c r="W273" s="47"/>
      <c r="X273" s="47"/>
      <c r="Y273" s="47"/>
      <c r="Z273" s="47"/>
      <c r="AA273" s="10"/>
      <c r="AB273" s="10"/>
      <c r="AC273" s="47"/>
      <c r="AD273" s="47"/>
      <c r="AE273" s="47"/>
      <c r="AF273" s="47"/>
      <c r="AG273" s="47"/>
      <c r="AH273" s="47"/>
      <c r="AI273" s="46"/>
      <c r="AJ273" s="46"/>
      <c r="AK273" s="46"/>
      <c r="AL273" s="7"/>
      <c r="AM273" s="49" t="str">
        <f aca="false">IF(OR(C273="",G273=""),"",IFERROR(DATEDIF(C273,G273,"m"),""))</f>
        <v/>
      </c>
      <c r="AN273" s="49" t="str">
        <f aca="false">IF(OR(Q273="",AM273=""),"",60+2*Q273-AM273)</f>
        <v/>
      </c>
      <c r="AO273" s="49" t="str">
        <f aca="false">IF(OR(G273="",AJ273=""),"",AJ273-G273)</f>
        <v/>
      </c>
      <c r="AP273" s="50" t="str">
        <f aca="false">IF(AND(A273="",B273=""),"",IF(J273="","Status needed",IF(OR(J273="Applied",J273="Visit booked",J273="Withdrawn"),"OK",IF(G273="","Date assessed needed",IF(C273="","Date of birth needed",IF(COUNTA(L273,M273,P273,U273,V273,X273)&lt;6,"Band missing",IF(AND(OR(J273="Decision confirmed",J273="Family told",J273="Enrolled"),AG273=""),"Recommendation needed",IF(AND(OR(J273="Family told",J273="Enrolled"),AJ273=""),"Date family told needed","OK"))))))))</f>
        <v/>
      </c>
    </row>
    <row r="274" customFormat="false" ht="15" hidden="false" customHeight="false" outlineLevel="0" collapsed="false">
      <c r="A274" s="7"/>
      <c r="B274" s="7"/>
      <c r="C274" s="46"/>
      <c r="D274" s="7"/>
      <c r="E274" s="47"/>
      <c r="F274" s="46"/>
      <c r="G274" s="46"/>
      <c r="H274" s="7"/>
      <c r="I274" s="7"/>
      <c r="J274" s="47"/>
      <c r="K274" s="47"/>
      <c r="L274" s="47"/>
      <c r="M274" s="47"/>
      <c r="N274" s="47"/>
      <c r="O274" s="10"/>
      <c r="P274" s="47"/>
      <c r="Q274" s="47"/>
      <c r="R274" s="48" t="str">
        <f aca="false">IF(Q274="","",IF(Q274=0,"below 5:00",IF(Q274&gt;=66,"16:00 or above",INT((60+2*Q274)/12)&amp;":"&amp;TEXT(MOD(60+2*Q274,12),"00"))))</f>
        <v/>
      </c>
      <c r="S274" s="47"/>
      <c r="T274" s="47"/>
      <c r="U274" s="47"/>
      <c r="V274" s="47"/>
      <c r="W274" s="47"/>
      <c r="X274" s="47"/>
      <c r="Y274" s="47"/>
      <c r="Z274" s="47"/>
      <c r="AA274" s="10"/>
      <c r="AB274" s="10"/>
      <c r="AC274" s="47"/>
      <c r="AD274" s="47"/>
      <c r="AE274" s="47"/>
      <c r="AF274" s="47"/>
      <c r="AG274" s="47"/>
      <c r="AH274" s="47"/>
      <c r="AI274" s="46"/>
      <c r="AJ274" s="46"/>
      <c r="AK274" s="46"/>
      <c r="AL274" s="7"/>
      <c r="AM274" s="49" t="str">
        <f aca="false">IF(OR(C274="",G274=""),"",IFERROR(DATEDIF(C274,G274,"m"),""))</f>
        <v/>
      </c>
      <c r="AN274" s="49" t="str">
        <f aca="false">IF(OR(Q274="",AM274=""),"",60+2*Q274-AM274)</f>
        <v/>
      </c>
      <c r="AO274" s="49" t="str">
        <f aca="false">IF(OR(G274="",AJ274=""),"",AJ274-G274)</f>
        <v/>
      </c>
      <c r="AP274" s="50" t="str">
        <f aca="false">IF(AND(A274="",B274=""),"",IF(J274="","Status needed",IF(OR(J274="Applied",J274="Visit booked",J274="Withdrawn"),"OK",IF(G274="","Date assessed needed",IF(C274="","Date of birth needed",IF(COUNTA(L274,M274,P274,U274,V274,X274)&lt;6,"Band missing",IF(AND(OR(J274="Decision confirmed",J274="Family told",J274="Enrolled"),AG274=""),"Recommendation needed",IF(AND(OR(J274="Family told",J274="Enrolled"),AJ274=""),"Date family told needed","OK"))))))))</f>
        <v/>
      </c>
    </row>
    <row r="275" customFormat="false" ht="15" hidden="false" customHeight="false" outlineLevel="0" collapsed="false">
      <c r="A275" s="7"/>
      <c r="B275" s="7"/>
      <c r="C275" s="46"/>
      <c r="D275" s="7"/>
      <c r="E275" s="47"/>
      <c r="F275" s="46"/>
      <c r="G275" s="46"/>
      <c r="H275" s="7"/>
      <c r="I275" s="7"/>
      <c r="J275" s="47"/>
      <c r="K275" s="47"/>
      <c r="L275" s="47"/>
      <c r="M275" s="47"/>
      <c r="N275" s="47"/>
      <c r="O275" s="10"/>
      <c r="P275" s="47"/>
      <c r="Q275" s="47"/>
      <c r="R275" s="48" t="str">
        <f aca="false">IF(Q275="","",IF(Q275=0,"below 5:00",IF(Q275&gt;=66,"16:00 or above",INT((60+2*Q275)/12)&amp;":"&amp;TEXT(MOD(60+2*Q275,12),"00"))))</f>
        <v/>
      </c>
      <c r="S275" s="47"/>
      <c r="T275" s="47"/>
      <c r="U275" s="47"/>
      <c r="V275" s="47"/>
      <c r="W275" s="47"/>
      <c r="X275" s="47"/>
      <c r="Y275" s="47"/>
      <c r="Z275" s="47"/>
      <c r="AA275" s="10"/>
      <c r="AB275" s="10"/>
      <c r="AC275" s="47"/>
      <c r="AD275" s="47"/>
      <c r="AE275" s="47"/>
      <c r="AF275" s="47"/>
      <c r="AG275" s="47"/>
      <c r="AH275" s="47"/>
      <c r="AI275" s="46"/>
      <c r="AJ275" s="46"/>
      <c r="AK275" s="46"/>
      <c r="AL275" s="7"/>
      <c r="AM275" s="49" t="str">
        <f aca="false">IF(OR(C275="",G275=""),"",IFERROR(DATEDIF(C275,G275,"m"),""))</f>
        <v/>
      </c>
      <c r="AN275" s="49" t="str">
        <f aca="false">IF(OR(Q275="",AM275=""),"",60+2*Q275-AM275)</f>
        <v/>
      </c>
      <c r="AO275" s="49" t="str">
        <f aca="false">IF(OR(G275="",AJ275=""),"",AJ275-G275)</f>
        <v/>
      </c>
      <c r="AP275" s="50" t="str">
        <f aca="false">IF(AND(A275="",B275=""),"",IF(J275="","Status needed",IF(OR(J275="Applied",J275="Visit booked",J275="Withdrawn"),"OK",IF(G275="","Date assessed needed",IF(C275="","Date of birth needed",IF(COUNTA(L275,M275,P275,U275,V275,X275)&lt;6,"Band missing",IF(AND(OR(J275="Decision confirmed",J275="Family told",J275="Enrolled"),AG275=""),"Recommendation needed",IF(AND(OR(J275="Family told",J275="Enrolled"),AJ275=""),"Date family told needed","OK"))))))))</f>
        <v/>
      </c>
    </row>
    <row r="276" customFormat="false" ht="15" hidden="false" customHeight="false" outlineLevel="0" collapsed="false">
      <c r="A276" s="7"/>
      <c r="B276" s="7"/>
      <c r="C276" s="46"/>
      <c r="D276" s="7"/>
      <c r="E276" s="47"/>
      <c r="F276" s="46"/>
      <c r="G276" s="46"/>
      <c r="H276" s="7"/>
      <c r="I276" s="7"/>
      <c r="J276" s="47"/>
      <c r="K276" s="47"/>
      <c r="L276" s="47"/>
      <c r="M276" s="47"/>
      <c r="N276" s="47"/>
      <c r="O276" s="10"/>
      <c r="P276" s="47"/>
      <c r="Q276" s="47"/>
      <c r="R276" s="48" t="str">
        <f aca="false">IF(Q276="","",IF(Q276=0,"below 5:00",IF(Q276&gt;=66,"16:00 or above",INT((60+2*Q276)/12)&amp;":"&amp;TEXT(MOD(60+2*Q276,12),"00"))))</f>
        <v/>
      </c>
      <c r="S276" s="47"/>
      <c r="T276" s="47"/>
      <c r="U276" s="47"/>
      <c r="V276" s="47"/>
      <c r="W276" s="47"/>
      <c r="X276" s="47"/>
      <c r="Y276" s="47"/>
      <c r="Z276" s="47"/>
      <c r="AA276" s="10"/>
      <c r="AB276" s="10"/>
      <c r="AC276" s="47"/>
      <c r="AD276" s="47"/>
      <c r="AE276" s="47"/>
      <c r="AF276" s="47"/>
      <c r="AG276" s="47"/>
      <c r="AH276" s="47"/>
      <c r="AI276" s="46"/>
      <c r="AJ276" s="46"/>
      <c r="AK276" s="46"/>
      <c r="AL276" s="7"/>
      <c r="AM276" s="49" t="str">
        <f aca="false">IF(OR(C276="",G276=""),"",IFERROR(DATEDIF(C276,G276,"m"),""))</f>
        <v/>
      </c>
      <c r="AN276" s="49" t="str">
        <f aca="false">IF(OR(Q276="",AM276=""),"",60+2*Q276-AM276)</f>
        <v/>
      </c>
      <c r="AO276" s="49" t="str">
        <f aca="false">IF(OR(G276="",AJ276=""),"",AJ276-G276)</f>
        <v/>
      </c>
      <c r="AP276" s="50" t="str">
        <f aca="false">IF(AND(A276="",B276=""),"",IF(J276="","Status needed",IF(OR(J276="Applied",J276="Visit booked",J276="Withdrawn"),"OK",IF(G276="","Date assessed needed",IF(C276="","Date of birth needed",IF(COUNTA(L276,M276,P276,U276,V276,X276)&lt;6,"Band missing",IF(AND(OR(J276="Decision confirmed",J276="Family told",J276="Enrolled"),AG276=""),"Recommendation needed",IF(AND(OR(J276="Family told",J276="Enrolled"),AJ276=""),"Date family told needed","OK"))))))))</f>
        <v/>
      </c>
    </row>
    <row r="277" customFormat="false" ht="15" hidden="false" customHeight="false" outlineLevel="0" collapsed="false">
      <c r="A277" s="7"/>
      <c r="B277" s="7"/>
      <c r="C277" s="46"/>
      <c r="D277" s="7"/>
      <c r="E277" s="47"/>
      <c r="F277" s="46"/>
      <c r="G277" s="46"/>
      <c r="H277" s="7"/>
      <c r="I277" s="7"/>
      <c r="J277" s="47"/>
      <c r="K277" s="47"/>
      <c r="L277" s="47"/>
      <c r="M277" s="47"/>
      <c r="N277" s="47"/>
      <c r="O277" s="10"/>
      <c r="P277" s="47"/>
      <c r="Q277" s="47"/>
      <c r="R277" s="48" t="str">
        <f aca="false">IF(Q277="","",IF(Q277=0,"below 5:00",IF(Q277&gt;=66,"16:00 or above",INT((60+2*Q277)/12)&amp;":"&amp;TEXT(MOD(60+2*Q277,12),"00"))))</f>
        <v/>
      </c>
      <c r="S277" s="47"/>
      <c r="T277" s="47"/>
      <c r="U277" s="47"/>
      <c r="V277" s="47"/>
      <c r="W277" s="47"/>
      <c r="X277" s="47"/>
      <c r="Y277" s="47"/>
      <c r="Z277" s="47"/>
      <c r="AA277" s="10"/>
      <c r="AB277" s="10"/>
      <c r="AC277" s="47"/>
      <c r="AD277" s="47"/>
      <c r="AE277" s="47"/>
      <c r="AF277" s="47"/>
      <c r="AG277" s="47"/>
      <c r="AH277" s="47"/>
      <c r="AI277" s="46"/>
      <c r="AJ277" s="46"/>
      <c r="AK277" s="46"/>
      <c r="AL277" s="7"/>
      <c r="AM277" s="49" t="str">
        <f aca="false">IF(OR(C277="",G277=""),"",IFERROR(DATEDIF(C277,G277,"m"),""))</f>
        <v/>
      </c>
      <c r="AN277" s="49" t="str">
        <f aca="false">IF(OR(Q277="",AM277=""),"",60+2*Q277-AM277)</f>
        <v/>
      </c>
      <c r="AO277" s="49" t="str">
        <f aca="false">IF(OR(G277="",AJ277=""),"",AJ277-G277)</f>
        <v/>
      </c>
      <c r="AP277" s="50" t="str">
        <f aca="false">IF(AND(A277="",B277=""),"",IF(J277="","Status needed",IF(OR(J277="Applied",J277="Visit booked",J277="Withdrawn"),"OK",IF(G277="","Date assessed needed",IF(C277="","Date of birth needed",IF(COUNTA(L277,M277,P277,U277,V277,X277)&lt;6,"Band missing",IF(AND(OR(J277="Decision confirmed",J277="Family told",J277="Enrolled"),AG277=""),"Recommendation needed",IF(AND(OR(J277="Family told",J277="Enrolled"),AJ277=""),"Date family told needed","OK"))))))))</f>
        <v/>
      </c>
    </row>
    <row r="278" customFormat="false" ht="15" hidden="false" customHeight="false" outlineLevel="0" collapsed="false">
      <c r="A278" s="7"/>
      <c r="B278" s="7"/>
      <c r="C278" s="46"/>
      <c r="D278" s="7"/>
      <c r="E278" s="47"/>
      <c r="F278" s="46"/>
      <c r="G278" s="46"/>
      <c r="H278" s="7"/>
      <c r="I278" s="7"/>
      <c r="J278" s="47"/>
      <c r="K278" s="47"/>
      <c r="L278" s="47"/>
      <c r="M278" s="47"/>
      <c r="N278" s="47"/>
      <c r="O278" s="10"/>
      <c r="P278" s="47"/>
      <c r="Q278" s="47"/>
      <c r="R278" s="48" t="str">
        <f aca="false">IF(Q278="","",IF(Q278=0,"below 5:00",IF(Q278&gt;=66,"16:00 or above",INT((60+2*Q278)/12)&amp;":"&amp;TEXT(MOD(60+2*Q278,12),"00"))))</f>
        <v/>
      </c>
      <c r="S278" s="47"/>
      <c r="T278" s="47"/>
      <c r="U278" s="47"/>
      <c r="V278" s="47"/>
      <c r="W278" s="47"/>
      <c r="X278" s="47"/>
      <c r="Y278" s="47"/>
      <c r="Z278" s="47"/>
      <c r="AA278" s="10"/>
      <c r="AB278" s="10"/>
      <c r="AC278" s="47"/>
      <c r="AD278" s="47"/>
      <c r="AE278" s="47"/>
      <c r="AF278" s="47"/>
      <c r="AG278" s="47"/>
      <c r="AH278" s="47"/>
      <c r="AI278" s="46"/>
      <c r="AJ278" s="46"/>
      <c r="AK278" s="46"/>
      <c r="AL278" s="7"/>
      <c r="AM278" s="49" t="str">
        <f aca="false">IF(OR(C278="",G278=""),"",IFERROR(DATEDIF(C278,G278,"m"),""))</f>
        <v/>
      </c>
      <c r="AN278" s="49" t="str">
        <f aca="false">IF(OR(Q278="",AM278=""),"",60+2*Q278-AM278)</f>
        <v/>
      </c>
      <c r="AO278" s="49" t="str">
        <f aca="false">IF(OR(G278="",AJ278=""),"",AJ278-G278)</f>
        <v/>
      </c>
      <c r="AP278" s="50" t="str">
        <f aca="false">IF(AND(A278="",B278=""),"",IF(J278="","Status needed",IF(OR(J278="Applied",J278="Visit booked",J278="Withdrawn"),"OK",IF(G278="","Date assessed needed",IF(C278="","Date of birth needed",IF(COUNTA(L278,M278,P278,U278,V278,X278)&lt;6,"Band missing",IF(AND(OR(J278="Decision confirmed",J278="Family told",J278="Enrolled"),AG278=""),"Recommendation needed",IF(AND(OR(J278="Family told",J278="Enrolled"),AJ278=""),"Date family told needed","OK"))))))))</f>
        <v/>
      </c>
    </row>
    <row r="279" customFormat="false" ht="15" hidden="false" customHeight="false" outlineLevel="0" collapsed="false">
      <c r="A279" s="7"/>
      <c r="B279" s="7"/>
      <c r="C279" s="46"/>
      <c r="D279" s="7"/>
      <c r="E279" s="47"/>
      <c r="F279" s="46"/>
      <c r="G279" s="46"/>
      <c r="H279" s="7"/>
      <c r="I279" s="7"/>
      <c r="J279" s="47"/>
      <c r="K279" s="47"/>
      <c r="L279" s="47"/>
      <c r="M279" s="47"/>
      <c r="N279" s="47"/>
      <c r="O279" s="10"/>
      <c r="P279" s="47"/>
      <c r="Q279" s="47"/>
      <c r="R279" s="48" t="str">
        <f aca="false">IF(Q279="","",IF(Q279=0,"below 5:00",IF(Q279&gt;=66,"16:00 or above",INT((60+2*Q279)/12)&amp;":"&amp;TEXT(MOD(60+2*Q279,12),"00"))))</f>
        <v/>
      </c>
      <c r="S279" s="47"/>
      <c r="T279" s="47"/>
      <c r="U279" s="47"/>
      <c r="V279" s="47"/>
      <c r="W279" s="47"/>
      <c r="X279" s="47"/>
      <c r="Y279" s="47"/>
      <c r="Z279" s="47"/>
      <c r="AA279" s="10"/>
      <c r="AB279" s="10"/>
      <c r="AC279" s="47"/>
      <c r="AD279" s="47"/>
      <c r="AE279" s="47"/>
      <c r="AF279" s="47"/>
      <c r="AG279" s="47"/>
      <c r="AH279" s="47"/>
      <c r="AI279" s="46"/>
      <c r="AJ279" s="46"/>
      <c r="AK279" s="46"/>
      <c r="AL279" s="7"/>
      <c r="AM279" s="49" t="str">
        <f aca="false">IF(OR(C279="",G279=""),"",IFERROR(DATEDIF(C279,G279,"m"),""))</f>
        <v/>
      </c>
      <c r="AN279" s="49" t="str">
        <f aca="false">IF(OR(Q279="",AM279=""),"",60+2*Q279-AM279)</f>
        <v/>
      </c>
      <c r="AO279" s="49" t="str">
        <f aca="false">IF(OR(G279="",AJ279=""),"",AJ279-G279)</f>
        <v/>
      </c>
      <c r="AP279" s="50" t="str">
        <f aca="false">IF(AND(A279="",B279=""),"",IF(J279="","Status needed",IF(OR(J279="Applied",J279="Visit booked",J279="Withdrawn"),"OK",IF(G279="","Date assessed needed",IF(C279="","Date of birth needed",IF(COUNTA(L279,M279,P279,U279,V279,X279)&lt;6,"Band missing",IF(AND(OR(J279="Decision confirmed",J279="Family told",J279="Enrolled"),AG279=""),"Recommendation needed",IF(AND(OR(J279="Family told",J279="Enrolled"),AJ279=""),"Date family told needed","OK"))))))))</f>
        <v/>
      </c>
    </row>
    <row r="280" customFormat="false" ht="15" hidden="false" customHeight="false" outlineLevel="0" collapsed="false">
      <c r="A280" s="7"/>
      <c r="B280" s="7"/>
      <c r="C280" s="46"/>
      <c r="D280" s="7"/>
      <c r="E280" s="47"/>
      <c r="F280" s="46"/>
      <c r="G280" s="46"/>
      <c r="H280" s="7"/>
      <c r="I280" s="7"/>
      <c r="J280" s="47"/>
      <c r="K280" s="47"/>
      <c r="L280" s="47"/>
      <c r="M280" s="47"/>
      <c r="N280" s="47"/>
      <c r="O280" s="10"/>
      <c r="P280" s="47"/>
      <c r="Q280" s="47"/>
      <c r="R280" s="48" t="str">
        <f aca="false">IF(Q280="","",IF(Q280=0,"below 5:00",IF(Q280&gt;=66,"16:00 or above",INT((60+2*Q280)/12)&amp;":"&amp;TEXT(MOD(60+2*Q280,12),"00"))))</f>
        <v/>
      </c>
      <c r="S280" s="47"/>
      <c r="T280" s="47"/>
      <c r="U280" s="47"/>
      <c r="V280" s="47"/>
      <c r="W280" s="47"/>
      <c r="X280" s="47"/>
      <c r="Y280" s="47"/>
      <c r="Z280" s="47"/>
      <c r="AA280" s="10"/>
      <c r="AB280" s="10"/>
      <c r="AC280" s="47"/>
      <c r="AD280" s="47"/>
      <c r="AE280" s="47"/>
      <c r="AF280" s="47"/>
      <c r="AG280" s="47"/>
      <c r="AH280" s="47"/>
      <c r="AI280" s="46"/>
      <c r="AJ280" s="46"/>
      <c r="AK280" s="46"/>
      <c r="AL280" s="7"/>
      <c r="AM280" s="49" t="str">
        <f aca="false">IF(OR(C280="",G280=""),"",IFERROR(DATEDIF(C280,G280,"m"),""))</f>
        <v/>
      </c>
      <c r="AN280" s="49" t="str">
        <f aca="false">IF(OR(Q280="",AM280=""),"",60+2*Q280-AM280)</f>
        <v/>
      </c>
      <c r="AO280" s="49" t="str">
        <f aca="false">IF(OR(G280="",AJ280=""),"",AJ280-G280)</f>
        <v/>
      </c>
      <c r="AP280" s="50" t="str">
        <f aca="false">IF(AND(A280="",B280=""),"",IF(J280="","Status needed",IF(OR(J280="Applied",J280="Visit booked",J280="Withdrawn"),"OK",IF(G280="","Date assessed needed",IF(C280="","Date of birth needed",IF(COUNTA(L280,M280,P280,U280,V280,X280)&lt;6,"Band missing",IF(AND(OR(J280="Decision confirmed",J280="Family told",J280="Enrolled"),AG280=""),"Recommendation needed",IF(AND(OR(J280="Family told",J280="Enrolled"),AJ280=""),"Date family told needed","OK"))))))))</f>
        <v/>
      </c>
    </row>
    <row r="281" customFormat="false" ht="15" hidden="false" customHeight="false" outlineLevel="0" collapsed="false">
      <c r="A281" s="7"/>
      <c r="B281" s="7"/>
      <c r="C281" s="46"/>
      <c r="D281" s="7"/>
      <c r="E281" s="47"/>
      <c r="F281" s="46"/>
      <c r="G281" s="46"/>
      <c r="H281" s="7"/>
      <c r="I281" s="7"/>
      <c r="J281" s="47"/>
      <c r="K281" s="47"/>
      <c r="L281" s="47"/>
      <c r="M281" s="47"/>
      <c r="N281" s="47"/>
      <c r="O281" s="10"/>
      <c r="P281" s="47"/>
      <c r="Q281" s="47"/>
      <c r="R281" s="48" t="str">
        <f aca="false">IF(Q281="","",IF(Q281=0,"below 5:00",IF(Q281&gt;=66,"16:00 or above",INT((60+2*Q281)/12)&amp;":"&amp;TEXT(MOD(60+2*Q281,12),"00"))))</f>
        <v/>
      </c>
      <c r="S281" s="47"/>
      <c r="T281" s="47"/>
      <c r="U281" s="47"/>
      <c r="V281" s="47"/>
      <c r="W281" s="47"/>
      <c r="X281" s="47"/>
      <c r="Y281" s="47"/>
      <c r="Z281" s="47"/>
      <c r="AA281" s="10"/>
      <c r="AB281" s="10"/>
      <c r="AC281" s="47"/>
      <c r="AD281" s="47"/>
      <c r="AE281" s="47"/>
      <c r="AF281" s="47"/>
      <c r="AG281" s="47"/>
      <c r="AH281" s="47"/>
      <c r="AI281" s="46"/>
      <c r="AJ281" s="46"/>
      <c r="AK281" s="46"/>
      <c r="AL281" s="7"/>
      <c r="AM281" s="49" t="str">
        <f aca="false">IF(OR(C281="",G281=""),"",IFERROR(DATEDIF(C281,G281,"m"),""))</f>
        <v/>
      </c>
      <c r="AN281" s="49" t="str">
        <f aca="false">IF(OR(Q281="",AM281=""),"",60+2*Q281-AM281)</f>
        <v/>
      </c>
      <c r="AO281" s="49" t="str">
        <f aca="false">IF(OR(G281="",AJ281=""),"",AJ281-G281)</f>
        <v/>
      </c>
      <c r="AP281" s="50" t="str">
        <f aca="false">IF(AND(A281="",B281=""),"",IF(J281="","Status needed",IF(OR(J281="Applied",J281="Visit booked",J281="Withdrawn"),"OK",IF(G281="","Date assessed needed",IF(C281="","Date of birth needed",IF(COUNTA(L281,M281,P281,U281,V281,X281)&lt;6,"Band missing",IF(AND(OR(J281="Decision confirmed",J281="Family told",J281="Enrolled"),AG281=""),"Recommendation needed",IF(AND(OR(J281="Family told",J281="Enrolled"),AJ281=""),"Date family told needed","OK"))))))))</f>
        <v/>
      </c>
    </row>
    <row r="282" customFormat="false" ht="15" hidden="false" customHeight="false" outlineLevel="0" collapsed="false">
      <c r="A282" s="7"/>
      <c r="B282" s="7"/>
      <c r="C282" s="46"/>
      <c r="D282" s="7"/>
      <c r="E282" s="47"/>
      <c r="F282" s="46"/>
      <c r="G282" s="46"/>
      <c r="H282" s="7"/>
      <c r="I282" s="7"/>
      <c r="J282" s="47"/>
      <c r="K282" s="47"/>
      <c r="L282" s="47"/>
      <c r="M282" s="47"/>
      <c r="N282" s="47"/>
      <c r="O282" s="10"/>
      <c r="P282" s="47"/>
      <c r="Q282" s="47"/>
      <c r="R282" s="48" t="str">
        <f aca="false">IF(Q282="","",IF(Q282=0,"below 5:00",IF(Q282&gt;=66,"16:00 or above",INT((60+2*Q282)/12)&amp;":"&amp;TEXT(MOD(60+2*Q282,12),"00"))))</f>
        <v/>
      </c>
      <c r="S282" s="47"/>
      <c r="T282" s="47"/>
      <c r="U282" s="47"/>
      <c r="V282" s="47"/>
      <c r="W282" s="47"/>
      <c r="X282" s="47"/>
      <c r="Y282" s="47"/>
      <c r="Z282" s="47"/>
      <c r="AA282" s="10"/>
      <c r="AB282" s="10"/>
      <c r="AC282" s="47"/>
      <c r="AD282" s="47"/>
      <c r="AE282" s="47"/>
      <c r="AF282" s="47"/>
      <c r="AG282" s="47"/>
      <c r="AH282" s="47"/>
      <c r="AI282" s="46"/>
      <c r="AJ282" s="46"/>
      <c r="AK282" s="46"/>
      <c r="AL282" s="7"/>
      <c r="AM282" s="49" t="str">
        <f aca="false">IF(OR(C282="",G282=""),"",IFERROR(DATEDIF(C282,G282,"m"),""))</f>
        <v/>
      </c>
      <c r="AN282" s="49" t="str">
        <f aca="false">IF(OR(Q282="",AM282=""),"",60+2*Q282-AM282)</f>
        <v/>
      </c>
      <c r="AO282" s="49" t="str">
        <f aca="false">IF(OR(G282="",AJ282=""),"",AJ282-G282)</f>
        <v/>
      </c>
      <c r="AP282" s="50" t="str">
        <f aca="false">IF(AND(A282="",B282=""),"",IF(J282="","Status needed",IF(OR(J282="Applied",J282="Visit booked",J282="Withdrawn"),"OK",IF(G282="","Date assessed needed",IF(C282="","Date of birth needed",IF(COUNTA(L282,M282,P282,U282,V282,X282)&lt;6,"Band missing",IF(AND(OR(J282="Decision confirmed",J282="Family told",J282="Enrolled"),AG282=""),"Recommendation needed",IF(AND(OR(J282="Family told",J282="Enrolled"),AJ282=""),"Date family told needed","OK"))))))))</f>
        <v/>
      </c>
    </row>
    <row r="283" customFormat="false" ht="15" hidden="false" customHeight="false" outlineLevel="0" collapsed="false">
      <c r="A283" s="7"/>
      <c r="B283" s="7"/>
      <c r="C283" s="46"/>
      <c r="D283" s="7"/>
      <c r="E283" s="47"/>
      <c r="F283" s="46"/>
      <c r="G283" s="46"/>
      <c r="H283" s="7"/>
      <c r="I283" s="7"/>
      <c r="J283" s="47"/>
      <c r="K283" s="47"/>
      <c r="L283" s="47"/>
      <c r="M283" s="47"/>
      <c r="N283" s="47"/>
      <c r="O283" s="10"/>
      <c r="P283" s="47"/>
      <c r="Q283" s="47"/>
      <c r="R283" s="48" t="str">
        <f aca="false">IF(Q283="","",IF(Q283=0,"below 5:00",IF(Q283&gt;=66,"16:00 or above",INT((60+2*Q283)/12)&amp;":"&amp;TEXT(MOD(60+2*Q283,12),"00"))))</f>
        <v/>
      </c>
      <c r="S283" s="47"/>
      <c r="T283" s="47"/>
      <c r="U283" s="47"/>
      <c r="V283" s="47"/>
      <c r="W283" s="47"/>
      <c r="X283" s="47"/>
      <c r="Y283" s="47"/>
      <c r="Z283" s="47"/>
      <c r="AA283" s="10"/>
      <c r="AB283" s="10"/>
      <c r="AC283" s="47"/>
      <c r="AD283" s="47"/>
      <c r="AE283" s="47"/>
      <c r="AF283" s="47"/>
      <c r="AG283" s="47"/>
      <c r="AH283" s="47"/>
      <c r="AI283" s="46"/>
      <c r="AJ283" s="46"/>
      <c r="AK283" s="46"/>
      <c r="AL283" s="7"/>
      <c r="AM283" s="49" t="str">
        <f aca="false">IF(OR(C283="",G283=""),"",IFERROR(DATEDIF(C283,G283,"m"),""))</f>
        <v/>
      </c>
      <c r="AN283" s="49" t="str">
        <f aca="false">IF(OR(Q283="",AM283=""),"",60+2*Q283-AM283)</f>
        <v/>
      </c>
      <c r="AO283" s="49" t="str">
        <f aca="false">IF(OR(G283="",AJ283=""),"",AJ283-G283)</f>
        <v/>
      </c>
      <c r="AP283" s="50" t="str">
        <f aca="false">IF(AND(A283="",B283=""),"",IF(J283="","Status needed",IF(OR(J283="Applied",J283="Visit booked",J283="Withdrawn"),"OK",IF(G283="","Date assessed needed",IF(C283="","Date of birth needed",IF(COUNTA(L283,M283,P283,U283,V283,X283)&lt;6,"Band missing",IF(AND(OR(J283="Decision confirmed",J283="Family told",J283="Enrolled"),AG283=""),"Recommendation needed",IF(AND(OR(J283="Family told",J283="Enrolled"),AJ283=""),"Date family told needed","OK"))))))))</f>
        <v/>
      </c>
    </row>
    <row r="284" customFormat="false" ht="15" hidden="false" customHeight="false" outlineLevel="0" collapsed="false">
      <c r="A284" s="7"/>
      <c r="B284" s="7"/>
      <c r="C284" s="46"/>
      <c r="D284" s="7"/>
      <c r="E284" s="47"/>
      <c r="F284" s="46"/>
      <c r="G284" s="46"/>
      <c r="H284" s="7"/>
      <c r="I284" s="7"/>
      <c r="J284" s="47"/>
      <c r="K284" s="47"/>
      <c r="L284" s="47"/>
      <c r="M284" s="47"/>
      <c r="N284" s="47"/>
      <c r="O284" s="10"/>
      <c r="P284" s="47"/>
      <c r="Q284" s="47"/>
      <c r="R284" s="48" t="str">
        <f aca="false">IF(Q284="","",IF(Q284=0,"below 5:00",IF(Q284&gt;=66,"16:00 or above",INT((60+2*Q284)/12)&amp;":"&amp;TEXT(MOD(60+2*Q284,12),"00"))))</f>
        <v/>
      </c>
      <c r="S284" s="47"/>
      <c r="T284" s="47"/>
      <c r="U284" s="47"/>
      <c r="V284" s="47"/>
      <c r="W284" s="47"/>
      <c r="X284" s="47"/>
      <c r="Y284" s="47"/>
      <c r="Z284" s="47"/>
      <c r="AA284" s="10"/>
      <c r="AB284" s="10"/>
      <c r="AC284" s="47"/>
      <c r="AD284" s="47"/>
      <c r="AE284" s="47"/>
      <c r="AF284" s="47"/>
      <c r="AG284" s="47"/>
      <c r="AH284" s="47"/>
      <c r="AI284" s="46"/>
      <c r="AJ284" s="46"/>
      <c r="AK284" s="46"/>
      <c r="AL284" s="7"/>
      <c r="AM284" s="49" t="str">
        <f aca="false">IF(OR(C284="",G284=""),"",IFERROR(DATEDIF(C284,G284,"m"),""))</f>
        <v/>
      </c>
      <c r="AN284" s="49" t="str">
        <f aca="false">IF(OR(Q284="",AM284=""),"",60+2*Q284-AM284)</f>
        <v/>
      </c>
      <c r="AO284" s="49" t="str">
        <f aca="false">IF(OR(G284="",AJ284=""),"",AJ284-G284)</f>
        <v/>
      </c>
      <c r="AP284" s="50" t="str">
        <f aca="false">IF(AND(A284="",B284=""),"",IF(J284="","Status needed",IF(OR(J284="Applied",J284="Visit booked",J284="Withdrawn"),"OK",IF(G284="","Date assessed needed",IF(C284="","Date of birth needed",IF(COUNTA(L284,M284,P284,U284,V284,X284)&lt;6,"Band missing",IF(AND(OR(J284="Decision confirmed",J284="Family told",J284="Enrolled"),AG284=""),"Recommendation needed",IF(AND(OR(J284="Family told",J284="Enrolled"),AJ284=""),"Date family told needed","OK"))))))))</f>
        <v/>
      </c>
    </row>
    <row r="285" customFormat="false" ht="15" hidden="false" customHeight="false" outlineLevel="0" collapsed="false">
      <c r="A285" s="7"/>
      <c r="B285" s="7"/>
      <c r="C285" s="46"/>
      <c r="D285" s="7"/>
      <c r="E285" s="47"/>
      <c r="F285" s="46"/>
      <c r="G285" s="46"/>
      <c r="H285" s="7"/>
      <c r="I285" s="7"/>
      <c r="J285" s="47"/>
      <c r="K285" s="47"/>
      <c r="L285" s="47"/>
      <c r="M285" s="47"/>
      <c r="N285" s="47"/>
      <c r="O285" s="10"/>
      <c r="P285" s="47"/>
      <c r="Q285" s="47"/>
      <c r="R285" s="48" t="str">
        <f aca="false">IF(Q285="","",IF(Q285=0,"below 5:00",IF(Q285&gt;=66,"16:00 or above",INT((60+2*Q285)/12)&amp;":"&amp;TEXT(MOD(60+2*Q285,12),"00"))))</f>
        <v/>
      </c>
      <c r="S285" s="47"/>
      <c r="T285" s="47"/>
      <c r="U285" s="47"/>
      <c r="V285" s="47"/>
      <c r="W285" s="47"/>
      <c r="X285" s="47"/>
      <c r="Y285" s="47"/>
      <c r="Z285" s="47"/>
      <c r="AA285" s="10"/>
      <c r="AB285" s="10"/>
      <c r="AC285" s="47"/>
      <c r="AD285" s="47"/>
      <c r="AE285" s="47"/>
      <c r="AF285" s="47"/>
      <c r="AG285" s="47"/>
      <c r="AH285" s="47"/>
      <c r="AI285" s="46"/>
      <c r="AJ285" s="46"/>
      <c r="AK285" s="46"/>
      <c r="AL285" s="7"/>
      <c r="AM285" s="49" t="str">
        <f aca="false">IF(OR(C285="",G285=""),"",IFERROR(DATEDIF(C285,G285,"m"),""))</f>
        <v/>
      </c>
      <c r="AN285" s="49" t="str">
        <f aca="false">IF(OR(Q285="",AM285=""),"",60+2*Q285-AM285)</f>
        <v/>
      </c>
      <c r="AO285" s="49" t="str">
        <f aca="false">IF(OR(G285="",AJ285=""),"",AJ285-G285)</f>
        <v/>
      </c>
      <c r="AP285" s="50" t="str">
        <f aca="false">IF(AND(A285="",B285=""),"",IF(J285="","Status needed",IF(OR(J285="Applied",J285="Visit booked",J285="Withdrawn"),"OK",IF(G285="","Date assessed needed",IF(C285="","Date of birth needed",IF(COUNTA(L285,M285,P285,U285,V285,X285)&lt;6,"Band missing",IF(AND(OR(J285="Decision confirmed",J285="Family told",J285="Enrolled"),AG285=""),"Recommendation needed",IF(AND(OR(J285="Family told",J285="Enrolled"),AJ285=""),"Date family told needed","OK"))))))))</f>
        <v/>
      </c>
    </row>
    <row r="286" customFormat="false" ht="15" hidden="false" customHeight="false" outlineLevel="0" collapsed="false">
      <c r="A286" s="7"/>
      <c r="B286" s="7"/>
      <c r="C286" s="46"/>
      <c r="D286" s="7"/>
      <c r="E286" s="47"/>
      <c r="F286" s="46"/>
      <c r="G286" s="46"/>
      <c r="H286" s="7"/>
      <c r="I286" s="7"/>
      <c r="J286" s="47"/>
      <c r="K286" s="47"/>
      <c r="L286" s="47"/>
      <c r="M286" s="47"/>
      <c r="N286" s="47"/>
      <c r="O286" s="10"/>
      <c r="P286" s="47"/>
      <c r="Q286" s="47"/>
      <c r="R286" s="48" t="str">
        <f aca="false">IF(Q286="","",IF(Q286=0,"below 5:00",IF(Q286&gt;=66,"16:00 or above",INT((60+2*Q286)/12)&amp;":"&amp;TEXT(MOD(60+2*Q286,12),"00"))))</f>
        <v/>
      </c>
      <c r="S286" s="47"/>
      <c r="T286" s="47"/>
      <c r="U286" s="47"/>
      <c r="V286" s="47"/>
      <c r="W286" s="47"/>
      <c r="X286" s="47"/>
      <c r="Y286" s="47"/>
      <c r="Z286" s="47"/>
      <c r="AA286" s="10"/>
      <c r="AB286" s="10"/>
      <c r="AC286" s="47"/>
      <c r="AD286" s="47"/>
      <c r="AE286" s="47"/>
      <c r="AF286" s="47"/>
      <c r="AG286" s="47"/>
      <c r="AH286" s="47"/>
      <c r="AI286" s="46"/>
      <c r="AJ286" s="46"/>
      <c r="AK286" s="46"/>
      <c r="AL286" s="7"/>
      <c r="AM286" s="49" t="str">
        <f aca="false">IF(OR(C286="",G286=""),"",IFERROR(DATEDIF(C286,G286,"m"),""))</f>
        <v/>
      </c>
      <c r="AN286" s="49" t="str">
        <f aca="false">IF(OR(Q286="",AM286=""),"",60+2*Q286-AM286)</f>
        <v/>
      </c>
      <c r="AO286" s="49" t="str">
        <f aca="false">IF(OR(G286="",AJ286=""),"",AJ286-G286)</f>
        <v/>
      </c>
      <c r="AP286" s="50" t="str">
        <f aca="false">IF(AND(A286="",B286=""),"",IF(J286="","Status needed",IF(OR(J286="Applied",J286="Visit booked",J286="Withdrawn"),"OK",IF(G286="","Date assessed needed",IF(C286="","Date of birth needed",IF(COUNTA(L286,M286,P286,U286,V286,X286)&lt;6,"Band missing",IF(AND(OR(J286="Decision confirmed",J286="Family told",J286="Enrolled"),AG286=""),"Recommendation needed",IF(AND(OR(J286="Family told",J286="Enrolled"),AJ286=""),"Date family told needed","OK"))))))))</f>
        <v/>
      </c>
    </row>
    <row r="287" customFormat="false" ht="15" hidden="false" customHeight="false" outlineLevel="0" collapsed="false">
      <c r="A287" s="7"/>
      <c r="B287" s="7"/>
      <c r="C287" s="46"/>
      <c r="D287" s="7"/>
      <c r="E287" s="47"/>
      <c r="F287" s="46"/>
      <c r="G287" s="46"/>
      <c r="H287" s="7"/>
      <c r="I287" s="7"/>
      <c r="J287" s="47"/>
      <c r="K287" s="47"/>
      <c r="L287" s="47"/>
      <c r="M287" s="47"/>
      <c r="N287" s="47"/>
      <c r="O287" s="10"/>
      <c r="P287" s="47"/>
      <c r="Q287" s="47"/>
      <c r="R287" s="48" t="str">
        <f aca="false">IF(Q287="","",IF(Q287=0,"below 5:00",IF(Q287&gt;=66,"16:00 or above",INT((60+2*Q287)/12)&amp;":"&amp;TEXT(MOD(60+2*Q287,12),"00"))))</f>
        <v/>
      </c>
      <c r="S287" s="47"/>
      <c r="T287" s="47"/>
      <c r="U287" s="47"/>
      <c r="V287" s="47"/>
      <c r="W287" s="47"/>
      <c r="X287" s="47"/>
      <c r="Y287" s="47"/>
      <c r="Z287" s="47"/>
      <c r="AA287" s="10"/>
      <c r="AB287" s="10"/>
      <c r="AC287" s="47"/>
      <c r="AD287" s="47"/>
      <c r="AE287" s="47"/>
      <c r="AF287" s="47"/>
      <c r="AG287" s="47"/>
      <c r="AH287" s="47"/>
      <c r="AI287" s="46"/>
      <c r="AJ287" s="46"/>
      <c r="AK287" s="46"/>
      <c r="AL287" s="7"/>
      <c r="AM287" s="49" t="str">
        <f aca="false">IF(OR(C287="",G287=""),"",IFERROR(DATEDIF(C287,G287,"m"),""))</f>
        <v/>
      </c>
      <c r="AN287" s="49" t="str">
        <f aca="false">IF(OR(Q287="",AM287=""),"",60+2*Q287-AM287)</f>
        <v/>
      </c>
      <c r="AO287" s="49" t="str">
        <f aca="false">IF(OR(G287="",AJ287=""),"",AJ287-G287)</f>
        <v/>
      </c>
      <c r="AP287" s="50" t="str">
        <f aca="false">IF(AND(A287="",B287=""),"",IF(J287="","Status needed",IF(OR(J287="Applied",J287="Visit booked",J287="Withdrawn"),"OK",IF(G287="","Date assessed needed",IF(C287="","Date of birth needed",IF(COUNTA(L287,M287,P287,U287,V287,X287)&lt;6,"Band missing",IF(AND(OR(J287="Decision confirmed",J287="Family told",J287="Enrolled"),AG287=""),"Recommendation needed",IF(AND(OR(J287="Family told",J287="Enrolled"),AJ287=""),"Date family told needed","OK"))))))))</f>
        <v/>
      </c>
    </row>
    <row r="288" customFormat="false" ht="15" hidden="false" customHeight="false" outlineLevel="0" collapsed="false">
      <c r="A288" s="7"/>
      <c r="B288" s="7"/>
      <c r="C288" s="46"/>
      <c r="D288" s="7"/>
      <c r="E288" s="47"/>
      <c r="F288" s="46"/>
      <c r="G288" s="46"/>
      <c r="H288" s="7"/>
      <c r="I288" s="7"/>
      <c r="J288" s="47"/>
      <c r="K288" s="47"/>
      <c r="L288" s="47"/>
      <c r="M288" s="47"/>
      <c r="N288" s="47"/>
      <c r="O288" s="10"/>
      <c r="P288" s="47"/>
      <c r="Q288" s="47"/>
      <c r="R288" s="48" t="str">
        <f aca="false">IF(Q288="","",IF(Q288=0,"below 5:00",IF(Q288&gt;=66,"16:00 or above",INT((60+2*Q288)/12)&amp;":"&amp;TEXT(MOD(60+2*Q288,12),"00"))))</f>
        <v/>
      </c>
      <c r="S288" s="47"/>
      <c r="T288" s="47"/>
      <c r="U288" s="47"/>
      <c r="V288" s="47"/>
      <c r="W288" s="47"/>
      <c r="X288" s="47"/>
      <c r="Y288" s="47"/>
      <c r="Z288" s="47"/>
      <c r="AA288" s="10"/>
      <c r="AB288" s="10"/>
      <c r="AC288" s="47"/>
      <c r="AD288" s="47"/>
      <c r="AE288" s="47"/>
      <c r="AF288" s="47"/>
      <c r="AG288" s="47"/>
      <c r="AH288" s="47"/>
      <c r="AI288" s="46"/>
      <c r="AJ288" s="46"/>
      <c r="AK288" s="46"/>
      <c r="AL288" s="7"/>
      <c r="AM288" s="49" t="str">
        <f aca="false">IF(OR(C288="",G288=""),"",IFERROR(DATEDIF(C288,G288,"m"),""))</f>
        <v/>
      </c>
      <c r="AN288" s="49" t="str">
        <f aca="false">IF(OR(Q288="",AM288=""),"",60+2*Q288-AM288)</f>
        <v/>
      </c>
      <c r="AO288" s="49" t="str">
        <f aca="false">IF(OR(G288="",AJ288=""),"",AJ288-G288)</f>
        <v/>
      </c>
      <c r="AP288" s="50" t="str">
        <f aca="false">IF(AND(A288="",B288=""),"",IF(J288="","Status needed",IF(OR(J288="Applied",J288="Visit booked",J288="Withdrawn"),"OK",IF(G288="","Date assessed needed",IF(C288="","Date of birth needed",IF(COUNTA(L288,M288,P288,U288,V288,X288)&lt;6,"Band missing",IF(AND(OR(J288="Decision confirmed",J288="Family told",J288="Enrolled"),AG288=""),"Recommendation needed",IF(AND(OR(J288="Family told",J288="Enrolled"),AJ288=""),"Date family told needed","OK"))))))))</f>
        <v/>
      </c>
    </row>
    <row r="289" customFormat="false" ht="15" hidden="false" customHeight="false" outlineLevel="0" collapsed="false">
      <c r="A289" s="7"/>
      <c r="B289" s="7"/>
      <c r="C289" s="46"/>
      <c r="D289" s="7"/>
      <c r="E289" s="47"/>
      <c r="F289" s="46"/>
      <c r="G289" s="46"/>
      <c r="H289" s="7"/>
      <c r="I289" s="7"/>
      <c r="J289" s="47"/>
      <c r="K289" s="47"/>
      <c r="L289" s="47"/>
      <c r="M289" s="47"/>
      <c r="N289" s="47"/>
      <c r="O289" s="10"/>
      <c r="P289" s="47"/>
      <c r="Q289" s="47"/>
      <c r="R289" s="48" t="str">
        <f aca="false">IF(Q289="","",IF(Q289=0,"below 5:00",IF(Q289&gt;=66,"16:00 or above",INT((60+2*Q289)/12)&amp;":"&amp;TEXT(MOD(60+2*Q289,12),"00"))))</f>
        <v/>
      </c>
      <c r="S289" s="47"/>
      <c r="T289" s="47"/>
      <c r="U289" s="47"/>
      <c r="V289" s="47"/>
      <c r="W289" s="47"/>
      <c r="X289" s="47"/>
      <c r="Y289" s="47"/>
      <c r="Z289" s="47"/>
      <c r="AA289" s="10"/>
      <c r="AB289" s="10"/>
      <c r="AC289" s="47"/>
      <c r="AD289" s="47"/>
      <c r="AE289" s="47"/>
      <c r="AF289" s="47"/>
      <c r="AG289" s="47"/>
      <c r="AH289" s="47"/>
      <c r="AI289" s="46"/>
      <c r="AJ289" s="46"/>
      <c r="AK289" s="46"/>
      <c r="AL289" s="7"/>
      <c r="AM289" s="49" t="str">
        <f aca="false">IF(OR(C289="",G289=""),"",IFERROR(DATEDIF(C289,G289,"m"),""))</f>
        <v/>
      </c>
      <c r="AN289" s="49" t="str">
        <f aca="false">IF(OR(Q289="",AM289=""),"",60+2*Q289-AM289)</f>
        <v/>
      </c>
      <c r="AO289" s="49" t="str">
        <f aca="false">IF(OR(G289="",AJ289=""),"",AJ289-G289)</f>
        <v/>
      </c>
      <c r="AP289" s="50" t="str">
        <f aca="false">IF(AND(A289="",B289=""),"",IF(J289="","Status needed",IF(OR(J289="Applied",J289="Visit booked",J289="Withdrawn"),"OK",IF(G289="","Date assessed needed",IF(C289="","Date of birth needed",IF(COUNTA(L289,M289,P289,U289,V289,X289)&lt;6,"Band missing",IF(AND(OR(J289="Decision confirmed",J289="Family told",J289="Enrolled"),AG289=""),"Recommendation needed",IF(AND(OR(J289="Family told",J289="Enrolled"),AJ289=""),"Date family told needed","OK"))))))))</f>
        <v/>
      </c>
    </row>
    <row r="290" customFormat="false" ht="15" hidden="false" customHeight="false" outlineLevel="0" collapsed="false">
      <c r="A290" s="7"/>
      <c r="B290" s="7"/>
      <c r="C290" s="46"/>
      <c r="D290" s="7"/>
      <c r="E290" s="47"/>
      <c r="F290" s="46"/>
      <c r="G290" s="46"/>
      <c r="H290" s="7"/>
      <c r="I290" s="7"/>
      <c r="J290" s="47"/>
      <c r="K290" s="47"/>
      <c r="L290" s="47"/>
      <c r="M290" s="47"/>
      <c r="N290" s="47"/>
      <c r="O290" s="10"/>
      <c r="P290" s="47"/>
      <c r="Q290" s="47"/>
      <c r="R290" s="48" t="str">
        <f aca="false">IF(Q290="","",IF(Q290=0,"below 5:00",IF(Q290&gt;=66,"16:00 or above",INT((60+2*Q290)/12)&amp;":"&amp;TEXT(MOD(60+2*Q290,12),"00"))))</f>
        <v/>
      </c>
      <c r="S290" s="47"/>
      <c r="T290" s="47"/>
      <c r="U290" s="47"/>
      <c r="V290" s="47"/>
      <c r="W290" s="47"/>
      <c r="X290" s="47"/>
      <c r="Y290" s="47"/>
      <c r="Z290" s="47"/>
      <c r="AA290" s="10"/>
      <c r="AB290" s="10"/>
      <c r="AC290" s="47"/>
      <c r="AD290" s="47"/>
      <c r="AE290" s="47"/>
      <c r="AF290" s="47"/>
      <c r="AG290" s="47"/>
      <c r="AH290" s="47"/>
      <c r="AI290" s="46"/>
      <c r="AJ290" s="46"/>
      <c r="AK290" s="46"/>
      <c r="AL290" s="7"/>
      <c r="AM290" s="49" t="str">
        <f aca="false">IF(OR(C290="",G290=""),"",IFERROR(DATEDIF(C290,G290,"m"),""))</f>
        <v/>
      </c>
      <c r="AN290" s="49" t="str">
        <f aca="false">IF(OR(Q290="",AM290=""),"",60+2*Q290-AM290)</f>
        <v/>
      </c>
      <c r="AO290" s="49" t="str">
        <f aca="false">IF(OR(G290="",AJ290=""),"",AJ290-G290)</f>
        <v/>
      </c>
      <c r="AP290" s="50" t="str">
        <f aca="false">IF(AND(A290="",B290=""),"",IF(J290="","Status needed",IF(OR(J290="Applied",J290="Visit booked",J290="Withdrawn"),"OK",IF(G290="","Date assessed needed",IF(C290="","Date of birth needed",IF(COUNTA(L290,M290,P290,U290,V290,X290)&lt;6,"Band missing",IF(AND(OR(J290="Decision confirmed",J290="Family told",J290="Enrolled"),AG290=""),"Recommendation needed",IF(AND(OR(J290="Family told",J290="Enrolled"),AJ290=""),"Date family told needed","OK"))))))))</f>
        <v/>
      </c>
    </row>
    <row r="291" customFormat="false" ht="15" hidden="false" customHeight="false" outlineLevel="0" collapsed="false">
      <c r="A291" s="7"/>
      <c r="B291" s="7"/>
      <c r="C291" s="46"/>
      <c r="D291" s="7"/>
      <c r="E291" s="47"/>
      <c r="F291" s="46"/>
      <c r="G291" s="46"/>
      <c r="H291" s="7"/>
      <c r="I291" s="7"/>
      <c r="J291" s="47"/>
      <c r="K291" s="47"/>
      <c r="L291" s="47"/>
      <c r="M291" s="47"/>
      <c r="N291" s="47"/>
      <c r="O291" s="10"/>
      <c r="P291" s="47"/>
      <c r="Q291" s="47"/>
      <c r="R291" s="48" t="str">
        <f aca="false">IF(Q291="","",IF(Q291=0,"below 5:00",IF(Q291&gt;=66,"16:00 or above",INT((60+2*Q291)/12)&amp;":"&amp;TEXT(MOD(60+2*Q291,12),"00"))))</f>
        <v/>
      </c>
      <c r="S291" s="47"/>
      <c r="T291" s="47"/>
      <c r="U291" s="47"/>
      <c r="V291" s="47"/>
      <c r="W291" s="47"/>
      <c r="X291" s="47"/>
      <c r="Y291" s="47"/>
      <c r="Z291" s="47"/>
      <c r="AA291" s="10"/>
      <c r="AB291" s="10"/>
      <c r="AC291" s="47"/>
      <c r="AD291" s="47"/>
      <c r="AE291" s="47"/>
      <c r="AF291" s="47"/>
      <c r="AG291" s="47"/>
      <c r="AH291" s="47"/>
      <c r="AI291" s="46"/>
      <c r="AJ291" s="46"/>
      <c r="AK291" s="46"/>
      <c r="AL291" s="7"/>
      <c r="AM291" s="49" t="str">
        <f aca="false">IF(OR(C291="",G291=""),"",IFERROR(DATEDIF(C291,G291,"m"),""))</f>
        <v/>
      </c>
      <c r="AN291" s="49" t="str">
        <f aca="false">IF(OR(Q291="",AM291=""),"",60+2*Q291-AM291)</f>
        <v/>
      </c>
      <c r="AO291" s="49" t="str">
        <f aca="false">IF(OR(G291="",AJ291=""),"",AJ291-G291)</f>
        <v/>
      </c>
      <c r="AP291" s="50" t="str">
        <f aca="false">IF(AND(A291="",B291=""),"",IF(J291="","Status needed",IF(OR(J291="Applied",J291="Visit booked",J291="Withdrawn"),"OK",IF(G291="","Date assessed needed",IF(C291="","Date of birth needed",IF(COUNTA(L291,M291,P291,U291,V291,X291)&lt;6,"Band missing",IF(AND(OR(J291="Decision confirmed",J291="Family told",J291="Enrolled"),AG291=""),"Recommendation needed",IF(AND(OR(J291="Family told",J291="Enrolled"),AJ291=""),"Date family told needed","OK"))))))))</f>
        <v/>
      </c>
    </row>
    <row r="292" customFormat="false" ht="15" hidden="false" customHeight="false" outlineLevel="0" collapsed="false">
      <c r="A292" s="7"/>
      <c r="B292" s="7"/>
      <c r="C292" s="46"/>
      <c r="D292" s="7"/>
      <c r="E292" s="47"/>
      <c r="F292" s="46"/>
      <c r="G292" s="46"/>
      <c r="H292" s="7"/>
      <c r="I292" s="7"/>
      <c r="J292" s="47"/>
      <c r="K292" s="47"/>
      <c r="L292" s="47"/>
      <c r="M292" s="47"/>
      <c r="N292" s="47"/>
      <c r="O292" s="10"/>
      <c r="P292" s="47"/>
      <c r="Q292" s="47"/>
      <c r="R292" s="48" t="str">
        <f aca="false">IF(Q292="","",IF(Q292=0,"below 5:00",IF(Q292&gt;=66,"16:00 or above",INT((60+2*Q292)/12)&amp;":"&amp;TEXT(MOD(60+2*Q292,12),"00"))))</f>
        <v/>
      </c>
      <c r="S292" s="47"/>
      <c r="T292" s="47"/>
      <c r="U292" s="47"/>
      <c r="V292" s="47"/>
      <c r="W292" s="47"/>
      <c r="X292" s="47"/>
      <c r="Y292" s="47"/>
      <c r="Z292" s="47"/>
      <c r="AA292" s="10"/>
      <c r="AB292" s="10"/>
      <c r="AC292" s="47"/>
      <c r="AD292" s="47"/>
      <c r="AE292" s="47"/>
      <c r="AF292" s="47"/>
      <c r="AG292" s="47"/>
      <c r="AH292" s="47"/>
      <c r="AI292" s="46"/>
      <c r="AJ292" s="46"/>
      <c r="AK292" s="46"/>
      <c r="AL292" s="7"/>
      <c r="AM292" s="49" t="str">
        <f aca="false">IF(OR(C292="",G292=""),"",IFERROR(DATEDIF(C292,G292,"m"),""))</f>
        <v/>
      </c>
      <c r="AN292" s="49" t="str">
        <f aca="false">IF(OR(Q292="",AM292=""),"",60+2*Q292-AM292)</f>
        <v/>
      </c>
      <c r="AO292" s="49" t="str">
        <f aca="false">IF(OR(G292="",AJ292=""),"",AJ292-G292)</f>
        <v/>
      </c>
      <c r="AP292" s="50" t="str">
        <f aca="false">IF(AND(A292="",B292=""),"",IF(J292="","Status needed",IF(OR(J292="Applied",J292="Visit booked",J292="Withdrawn"),"OK",IF(G292="","Date assessed needed",IF(C292="","Date of birth needed",IF(COUNTA(L292,M292,P292,U292,V292,X292)&lt;6,"Band missing",IF(AND(OR(J292="Decision confirmed",J292="Family told",J292="Enrolled"),AG292=""),"Recommendation needed",IF(AND(OR(J292="Family told",J292="Enrolled"),AJ292=""),"Date family told needed","OK"))))))))</f>
        <v/>
      </c>
    </row>
    <row r="293" customFormat="false" ht="15" hidden="false" customHeight="false" outlineLevel="0" collapsed="false">
      <c r="A293" s="7"/>
      <c r="B293" s="7"/>
      <c r="C293" s="46"/>
      <c r="D293" s="7"/>
      <c r="E293" s="47"/>
      <c r="F293" s="46"/>
      <c r="G293" s="46"/>
      <c r="H293" s="7"/>
      <c r="I293" s="7"/>
      <c r="J293" s="47"/>
      <c r="K293" s="47"/>
      <c r="L293" s="47"/>
      <c r="M293" s="47"/>
      <c r="N293" s="47"/>
      <c r="O293" s="10"/>
      <c r="P293" s="47"/>
      <c r="Q293" s="47"/>
      <c r="R293" s="48" t="str">
        <f aca="false">IF(Q293="","",IF(Q293=0,"below 5:00",IF(Q293&gt;=66,"16:00 or above",INT((60+2*Q293)/12)&amp;":"&amp;TEXT(MOD(60+2*Q293,12),"00"))))</f>
        <v/>
      </c>
      <c r="S293" s="47"/>
      <c r="T293" s="47"/>
      <c r="U293" s="47"/>
      <c r="V293" s="47"/>
      <c r="W293" s="47"/>
      <c r="X293" s="47"/>
      <c r="Y293" s="47"/>
      <c r="Z293" s="47"/>
      <c r="AA293" s="10"/>
      <c r="AB293" s="10"/>
      <c r="AC293" s="47"/>
      <c r="AD293" s="47"/>
      <c r="AE293" s="47"/>
      <c r="AF293" s="47"/>
      <c r="AG293" s="47"/>
      <c r="AH293" s="47"/>
      <c r="AI293" s="46"/>
      <c r="AJ293" s="46"/>
      <c r="AK293" s="46"/>
      <c r="AL293" s="7"/>
      <c r="AM293" s="49" t="str">
        <f aca="false">IF(OR(C293="",G293=""),"",IFERROR(DATEDIF(C293,G293,"m"),""))</f>
        <v/>
      </c>
      <c r="AN293" s="49" t="str">
        <f aca="false">IF(OR(Q293="",AM293=""),"",60+2*Q293-AM293)</f>
        <v/>
      </c>
      <c r="AO293" s="49" t="str">
        <f aca="false">IF(OR(G293="",AJ293=""),"",AJ293-G293)</f>
        <v/>
      </c>
      <c r="AP293" s="50" t="str">
        <f aca="false">IF(AND(A293="",B293=""),"",IF(J293="","Status needed",IF(OR(J293="Applied",J293="Visit booked",J293="Withdrawn"),"OK",IF(G293="","Date assessed needed",IF(C293="","Date of birth needed",IF(COUNTA(L293,M293,P293,U293,V293,X293)&lt;6,"Band missing",IF(AND(OR(J293="Decision confirmed",J293="Family told",J293="Enrolled"),AG293=""),"Recommendation needed",IF(AND(OR(J293="Family told",J293="Enrolled"),AJ293=""),"Date family told needed","OK"))))))))</f>
        <v/>
      </c>
    </row>
    <row r="294" customFormat="false" ht="15" hidden="false" customHeight="false" outlineLevel="0" collapsed="false">
      <c r="A294" s="7"/>
      <c r="B294" s="7"/>
      <c r="C294" s="46"/>
      <c r="D294" s="7"/>
      <c r="E294" s="47"/>
      <c r="F294" s="46"/>
      <c r="G294" s="46"/>
      <c r="H294" s="7"/>
      <c r="I294" s="7"/>
      <c r="J294" s="47"/>
      <c r="K294" s="47"/>
      <c r="L294" s="47"/>
      <c r="M294" s="47"/>
      <c r="N294" s="47"/>
      <c r="O294" s="10"/>
      <c r="P294" s="47"/>
      <c r="Q294" s="47"/>
      <c r="R294" s="48" t="str">
        <f aca="false">IF(Q294="","",IF(Q294=0,"below 5:00",IF(Q294&gt;=66,"16:00 or above",INT((60+2*Q294)/12)&amp;":"&amp;TEXT(MOD(60+2*Q294,12),"00"))))</f>
        <v/>
      </c>
      <c r="S294" s="47"/>
      <c r="T294" s="47"/>
      <c r="U294" s="47"/>
      <c r="V294" s="47"/>
      <c r="W294" s="47"/>
      <c r="X294" s="47"/>
      <c r="Y294" s="47"/>
      <c r="Z294" s="47"/>
      <c r="AA294" s="10"/>
      <c r="AB294" s="10"/>
      <c r="AC294" s="47"/>
      <c r="AD294" s="47"/>
      <c r="AE294" s="47"/>
      <c r="AF294" s="47"/>
      <c r="AG294" s="47"/>
      <c r="AH294" s="47"/>
      <c r="AI294" s="46"/>
      <c r="AJ294" s="46"/>
      <c r="AK294" s="46"/>
      <c r="AL294" s="7"/>
      <c r="AM294" s="49" t="str">
        <f aca="false">IF(OR(C294="",G294=""),"",IFERROR(DATEDIF(C294,G294,"m"),""))</f>
        <v/>
      </c>
      <c r="AN294" s="49" t="str">
        <f aca="false">IF(OR(Q294="",AM294=""),"",60+2*Q294-AM294)</f>
        <v/>
      </c>
      <c r="AO294" s="49" t="str">
        <f aca="false">IF(OR(G294="",AJ294=""),"",AJ294-G294)</f>
        <v/>
      </c>
      <c r="AP294" s="50" t="str">
        <f aca="false">IF(AND(A294="",B294=""),"",IF(J294="","Status needed",IF(OR(J294="Applied",J294="Visit booked",J294="Withdrawn"),"OK",IF(G294="","Date assessed needed",IF(C294="","Date of birth needed",IF(COUNTA(L294,M294,P294,U294,V294,X294)&lt;6,"Band missing",IF(AND(OR(J294="Decision confirmed",J294="Family told",J294="Enrolled"),AG294=""),"Recommendation needed",IF(AND(OR(J294="Family told",J294="Enrolled"),AJ294=""),"Date family told needed","OK"))))))))</f>
        <v/>
      </c>
    </row>
    <row r="295" customFormat="false" ht="15" hidden="false" customHeight="false" outlineLevel="0" collapsed="false">
      <c r="A295" s="7"/>
      <c r="B295" s="7"/>
      <c r="C295" s="46"/>
      <c r="D295" s="7"/>
      <c r="E295" s="47"/>
      <c r="F295" s="46"/>
      <c r="G295" s="46"/>
      <c r="H295" s="7"/>
      <c r="I295" s="7"/>
      <c r="J295" s="47"/>
      <c r="K295" s="47"/>
      <c r="L295" s="47"/>
      <c r="M295" s="47"/>
      <c r="N295" s="47"/>
      <c r="O295" s="10"/>
      <c r="P295" s="47"/>
      <c r="Q295" s="47"/>
      <c r="R295" s="48" t="str">
        <f aca="false">IF(Q295="","",IF(Q295=0,"below 5:00",IF(Q295&gt;=66,"16:00 or above",INT((60+2*Q295)/12)&amp;":"&amp;TEXT(MOD(60+2*Q295,12),"00"))))</f>
        <v/>
      </c>
      <c r="S295" s="47"/>
      <c r="T295" s="47"/>
      <c r="U295" s="47"/>
      <c r="V295" s="47"/>
      <c r="W295" s="47"/>
      <c r="X295" s="47"/>
      <c r="Y295" s="47"/>
      <c r="Z295" s="47"/>
      <c r="AA295" s="10"/>
      <c r="AB295" s="10"/>
      <c r="AC295" s="47"/>
      <c r="AD295" s="47"/>
      <c r="AE295" s="47"/>
      <c r="AF295" s="47"/>
      <c r="AG295" s="47"/>
      <c r="AH295" s="47"/>
      <c r="AI295" s="46"/>
      <c r="AJ295" s="46"/>
      <c r="AK295" s="46"/>
      <c r="AL295" s="7"/>
      <c r="AM295" s="49" t="str">
        <f aca="false">IF(OR(C295="",G295=""),"",IFERROR(DATEDIF(C295,G295,"m"),""))</f>
        <v/>
      </c>
      <c r="AN295" s="49" t="str">
        <f aca="false">IF(OR(Q295="",AM295=""),"",60+2*Q295-AM295)</f>
        <v/>
      </c>
      <c r="AO295" s="49" t="str">
        <f aca="false">IF(OR(G295="",AJ295=""),"",AJ295-G295)</f>
        <v/>
      </c>
      <c r="AP295" s="50" t="str">
        <f aca="false">IF(AND(A295="",B295=""),"",IF(J295="","Status needed",IF(OR(J295="Applied",J295="Visit booked",J295="Withdrawn"),"OK",IF(G295="","Date assessed needed",IF(C295="","Date of birth needed",IF(COUNTA(L295,M295,P295,U295,V295,X295)&lt;6,"Band missing",IF(AND(OR(J295="Decision confirmed",J295="Family told",J295="Enrolled"),AG295=""),"Recommendation needed",IF(AND(OR(J295="Family told",J295="Enrolled"),AJ295=""),"Date family told needed","OK"))))))))</f>
        <v/>
      </c>
    </row>
    <row r="296" customFormat="false" ht="15" hidden="false" customHeight="false" outlineLevel="0" collapsed="false">
      <c r="A296" s="7"/>
      <c r="B296" s="7"/>
      <c r="C296" s="46"/>
      <c r="D296" s="7"/>
      <c r="E296" s="47"/>
      <c r="F296" s="46"/>
      <c r="G296" s="46"/>
      <c r="H296" s="7"/>
      <c r="I296" s="7"/>
      <c r="J296" s="47"/>
      <c r="K296" s="47"/>
      <c r="L296" s="47"/>
      <c r="M296" s="47"/>
      <c r="N296" s="47"/>
      <c r="O296" s="10"/>
      <c r="P296" s="47"/>
      <c r="Q296" s="47"/>
      <c r="R296" s="48" t="str">
        <f aca="false">IF(Q296="","",IF(Q296=0,"below 5:00",IF(Q296&gt;=66,"16:00 or above",INT((60+2*Q296)/12)&amp;":"&amp;TEXT(MOD(60+2*Q296,12),"00"))))</f>
        <v/>
      </c>
      <c r="S296" s="47"/>
      <c r="T296" s="47"/>
      <c r="U296" s="47"/>
      <c r="V296" s="47"/>
      <c r="W296" s="47"/>
      <c r="X296" s="47"/>
      <c r="Y296" s="47"/>
      <c r="Z296" s="47"/>
      <c r="AA296" s="10"/>
      <c r="AB296" s="10"/>
      <c r="AC296" s="47"/>
      <c r="AD296" s="47"/>
      <c r="AE296" s="47"/>
      <c r="AF296" s="47"/>
      <c r="AG296" s="47"/>
      <c r="AH296" s="47"/>
      <c r="AI296" s="46"/>
      <c r="AJ296" s="46"/>
      <c r="AK296" s="46"/>
      <c r="AL296" s="7"/>
      <c r="AM296" s="49" t="str">
        <f aca="false">IF(OR(C296="",G296=""),"",IFERROR(DATEDIF(C296,G296,"m"),""))</f>
        <v/>
      </c>
      <c r="AN296" s="49" t="str">
        <f aca="false">IF(OR(Q296="",AM296=""),"",60+2*Q296-AM296)</f>
        <v/>
      </c>
      <c r="AO296" s="49" t="str">
        <f aca="false">IF(OR(G296="",AJ296=""),"",AJ296-G296)</f>
        <v/>
      </c>
      <c r="AP296" s="50" t="str">
        <f aca="false">IF(AND(A296="",B296=""),"",IF(J296="","Status needed",IF(OR(J296="Applied",J296="Visit booked",J296="Withdrawn"),"OK",IF(G296="","Date assessed needed",IF(C296="","Date of birth needed",IF(COUNTA(L296,M296,P296,U296,V296,X296)&lt;6,"Band missing",IF(AND(OR(J296="Decision confirmed",J296="Family told",J296="Enrolled"),AG296=""),"Recommendation needed",IF(AND(OR(J296="Family told",J296="Enrolled"),AJ296=""),"Date family told needed","OK"))))))))</f>
        <v/>
      </c>
    </row>
    <row r="297" customFormat="false" ht="15" hidden="false" customHeight="false" outlineLevel="0" collapsed="false">
      <c r="A297" s="7"/>
      <c r="B297" s="7"/>
      <c r="C297" s="46"/>
      <c r="D297" s="7"/>
      <c r="E297" s="47"/>
      <c r="F297" s="46"/>
      <c r="G297" s="46"/>
      <c r="H297" s="7"/>
      <c r="I297" s="7"/>
      <c r="J297" s="47"/>
      <c r="K297" s="47"/>
      <c r="L297" s="47"/>
      <c r="M297" s="47"/>
      <c r="N297" s="47"/>
      <c r="O297" s="10"/>
      <c r="P297" s="47"/>
      <c r="Q297" s="47"/>
      <c r="R297" s="48" t="str">
        <f aca="false">IF(Q297="","",IF(Q297=0,"below 5:00",IF(Q297&gt;=66,"16:00 or above",INT((60+2*Q297)/12)&amp;":"&amp;TEXT(MOD(60+2*Q297,12),"00"))))</f>
        <v/>
      </c>
      <c r="S297" s="47"/>
      <c r="T297" s="47"/>
      <c r="U297" s="47"/>
      <c r="V297" s="47"/>
      <c r="W297" s="47"/>
      <c r="X297" s="47"/>
      <c r="Y297" s="47"/>
      <c r="Z297" s="47"/>
      <c r="AA297" s="10"/>
      <c r="AB297" s="10"/>
      <c r="AC297" s="47"/>
      <c r="AD297" s="47"/>
      <c r="AE297" s="47"/>
      <c r="AF297" s="47"/>
      <c r="AG297" s="47"/>
      <c r="AH297" s="47"/>
      <c r="AI297" s="46"/>
      <c r="AJ297" s="46"/>
      <c r="AK297" s="46"/>
      <c r="AL297" s="7"/>
      <c r="AM297" s="49" t="str">
        <f aca="false">IF(OR(C297="",G297=""),"",IFERROR(DATEDIF(C297,G297,"m"),""))</f>
        <v/>
      </c>
      <c r="AN297" s="49" t="str">
        <f aca="false">IF(OR(Q297="",AM297=""),"",60+2*Q297-AM297)</f>
        <v/>
      </c>
      <c r="AO297" s="49" t="str">
        <f aca="false">IF(OR(G297="",AJ297=""),"",AJ297-G297)</f>
        <v/>
      </c>
      <c r="AP297" s="50" t="str">
        <f aca="false">IF(AND(A297="",B297=""),"",IF(J297="","Status needed",IF(OR(J297="Applied",J297="Visit booked",J297="Withdrawn"),"OK",IF(G297="","Date assessed needed",IF(C297="","Date of birth needed",IF(COUNTA(L297,M297,P297,U297,V297,X297)&lt;6,"Band missing",IF(AND(OR(J297="Decision confirmed",J297="Family told",J297="Enrolled"),AG297=""),"Recommendation needed",IF(AND(OR(J297="Family told",J297="Enrolled"),AJ297=""),"Date family told needed","OK"))))))))</f>
        <v/>
      </c>
    </row>
    <row r="298" customFormat="false" ht="15" hidden="false" customHeight="false" outlineLevel="0" collapsed="false">
      <c r="A298" s="7"/>
      <c r="B298" s="7"/>
      <c r="C298" s="46"/>
      <c r="D298" s="7"/>
      <c r="E298" s="47"/>
      <c r="F298" s="46"/>
      <c r="G298" s="46"/>
      <c r="H298" s="7"/>
      <c r="I298" s="7"/>
      <c r="J298" s="47"/>
      <c r="K298" s="47"/>
      <c r="L298" s="47"/>
      <c r="M298" s="47"/>
      <c r="N298" s="47"/>
      <c r="O298" s="10"/>
      <c r="P298" s="47"/>
      <c r="Q298" s="47"/>
      <c r="R298" s="48" t="str">
        <f aca="false">IF(Q298="","",IF(Q298=0,"below 5:00",IF(Q298&gt;=66,"16:00 or above",INT((60+2*Q298)/12)&amp;":"&amp;TEXT(MOD(60+2*Q298,12),"00"))))</f>
        <v/>
      </c>
      <c r="S298" s="47"/>
      <c r="T298" s="47"/>
      <c r="U298" s="47"/>
      <c r="V298" s="47"/>
      <c r="W298" s="47"/>
      <c r="X298" s="47"/>
      <c r="Y298" s="47"/>
      <c r="Z298" s="47"/>
      <c r="AA298" s="10"/>
      <c r="AB298" s="10"/>
      <c r="AC298" s="47"/>
      <c r="AD298" s="47"/>
      <c r="AE298" s="47"/>
      <c r="AF298" s="47"/>
      <c r="AG298" s="47"/>
      <c r="AH298" s="47"/>
      <c r="AI298" s="46"/>
      <c r="AJ298" s="46"/>
      <c r="AK298" s="46"/>
      <c r="AL298" s="7"/>
      <c r="AM298" s="49" t="str">
        <f aca="false">IF(OR(C298="",G298=""),"",IFERROR(DATEDIF(C298,G298,"m"),""))</f>
        <v/>
      </c>
      <c r="AN298" s="49" t="str">
        <f aca="false">IF(OR(Q298="",AM298=""),"",60+2*Q298-AM298)</f>
        <v/>
      </c>
      <c r="AO298" s="49" t="str">
        <f aca="false">IF(OR(G298="",AJ298=""),"",AJ298-G298)</f>
        <v/>
      </c>
      <c r="AP298" s="50" t="str">
        <f aca="false">IF(AND(A298="",B298=""),"",IF(J298="","Status needed",IF(OR(J298="Applied",J298="Visit booked",J298="Withdrawn"),"OK",IF(G298="","Date assessed needed",IF(C298="","Date of birth needed",IF(COUNTA(L298,M298,P298,U298,V298,X298)&lt;6,"Band missing",IF(AND(OR(J298="Decision confirmed",J298="Family told",J298="Enrolled"),AG298=""),"Recommendation needed",IF(AND(OR(J298="Family told",J298="Enrolled"),AJ298=""),"Date family told needed","OK"))))))))</f>
        <v/>
      </c>
    </row>
    <row r="299" customFormat="false" ht="15" hidden="false" customHeight="false" outlineLevel="0" collapsed="false">
      <c r="A299" s="7"/>
      <c r="B299" s="7"/>
      <c r="C299" s="46"/>
      <c r="D299" s="7"/>
      <c r="E299" s="47"/>
      <c r="F299" s="46"/>
      <c r="G299" s="46"/>
      <c r="H299" s="7"/>
      <c r="I299" s="7"/>
      <c r="J299" s="47"/>
      <c r="K299" s="47"/>
      <c r="L299" s="47"/>
      <c r="M299" s="47"/>
      <c r="N299" s="47"/>
      <c r="O299" s="10"/>
      <c r="P299" s="47"/>
      <c r="Q299" s="47"/>
      <c r="R299" s="48" t="str">
        <f aca="false">IF(Q299="","",IF(Q299=0,"below 5:00",IF(Q299&gt;=66,"16:00 or above",INT((60+2*Q299)/12)&amp;":"&amp;TEXT(MOD(60+2*Q299,12),"00"))))</f>
        <v/>
      </c>
      <c r="S299" s="47"/>
      <c r="T299" s="47"/>
      <c r="U299" s="47"/>
      <c r="V299" s="47"/>
      <c r="W299" s="47"/>
      <c r="X299" s="47"/>
      <c r="Y299" s="47"/>
      <c r="Z299" s="47"/>
      <c r="AA299" s="10"/>
      <c r="AB299" s="10"/>
      <c r="AC299" s="47"/>
      <c r="AD299" s="47"/>
      <c r="AE299" s="47"/>
      <c r="AF299" s="47"/>
      <c r="AG299" s="47"/>
      <c r="AH299" s="47"/>
      <c r="AI299" s="46"/>
      <c r="AJ299" s="46"/>
      <c r="AK299" s="46"/>
      <c r="AL299" s="7"/>
      <c r="AM299" s="49" t="str">
        <f aca="false">IF(OR(C299="",G299=""),"",IFERROR(DATEDIF(C299,G299,"m"),""))</f>
        <v/>
      </c>
      <c r="AN299" s="49" t="str">
        <f aca="false">IF(OR(Q299="",AM299=""),"",60+2*Q299-AM299)</f>
        <v/>
      </c>
      <c r="AO299" s="49" t="str">
        <f aca="false">IF(OR(G299="",AJ299=""),"",AJ299-G299)</f>
        <v/>
      </c>
      <c r="AP299" s="50" t="str">
        <f aca="false">IF(AND(A299="",B299=""),"",IF(J299="","Status needed",IF(OR(J299="Applied",J299="Visit booked",J299="Withdrawn"),"OK",IF(G299="","Date assessed needed",IF(C299="","Date of birth needed",IF(COUNTA(L299,M299,P299,U299,V299,X299)&lt;6,"Band missing",IF(AND(OR(J299="Decision confirmed",J299="Family told",J299="Enrolled"),AG299=""),"Recommendation needed",IF(AND(OR(J299="Family told",J299="Enrolled"),AJ299=""),"Date family told needed","OK"))))))))</f>
        <v/>
      </c>
    </row>
    <row r="300" customFormat="false" ht="15" hidden="false" customHeight="false" outlineLevel="0" collapsed="false">
      <c r="A300" s="7"/>
      <c r="B300" s="7"/>
      <c r="C300" s="46"/>
      <c r="D300" s="7"/>
      <c r="E300" s="47"/>
      <c r="F300" s="46"/>
      <c r="G300" s="46"/>
      <c r="H300" s="7"/>
      <c r="I300" s="7"/>
      <c r="J300" s="47"/>
      <c r="K300" s="47"/>
      <c r="L300" s="47"/>
      <c r="M300" s="47"/>
      <c r="N300" s="47"/>
      <c r="O300" s="10"/>
      <c r="P300" s="47"/>
      <c r="Q300" s="47"/>
      <c r="R300" s="48" t="str">
        <f aca="false">IF(Q300="","",IF(Q300=0,"below 5:00",IF(Q300&gt;=66,"16:00 or above",INT((60+2*Q300)/12)&amp;":"&amp;TEXT(MOD(60+2*Q300,12),"00"))))</f>
        <v/>
      </c>
      <c r="S300" s="47"/>
      <c r="T300" s="47"/>
      <c r="U300" s="47"/>
      <c r="V300" s="47"/>
      <c r="W300" s="47"/>
      <c r="X300" s="47"/>
      <c r="Y300" s="47"/>
      <c r="Z300" s="47"/>
      <c r="AA300" s="10"/>
      <c r="AB300" s="10"/>
      <c r="AC300" s="47"/>
      <c r="AD300" s="47"/>
      <c r="AE300" s="47"/>
      <c r="AF300" s="47"/>
      <c r="AG300" s="47"/>
      <c r="AH300" s="47"/>
      <c r="AI300" s="46"/>
      <c r="AJ300" s="46"/>
      <c r="AK300" s="46"/>
      <c r="AL300" s="7"/>
      <c r="AM300" s="49" t="str">
        <f aca="false">IF(OR(C300="",G300=""),"",IFERROR(DATEDIF(C300,G300,"m"),""))</f>
        <v/>
      </c>
      <c r="AN300" s="49" t="str">
        <f aca="false">IF(OR(Q300="",AM300=""),"",60+2*Q300-AM300)</f>
        <v/>
      </c>
      <c r="AO300" s="49" t="str">
        <f aca="false">IF(OR(G300="",AJ300=""),"",AJ300-G300)</f>
        <v/>
      </c>
      <c r="AP300" s="50" t="str">
        <f aca="false">IF(AND(A300="",B300=""),"",IF(J300="","Status needed",IF(OR(J300="Applied",J300="Visit booked",J300="Withdrawn"),"OK",IF(G300="","Date assessed needed",IF(C300="","Date of birth needed",IF(COUNTA(L300,M300,P300,U300,V300,X300)&lt;6,"Band missing",IF(AND(OR(J300="Decision confirmed",J300="Family told",J300="Enrolled"),AG300=""),"Recommendation needed",IF(AND(OR(J300="Family told",J300="Enrolled"),AJ300=""),"Date family told needed","OK"))))))))</f>
        <v/>
      </c>
    </row>
    <row r="301" customFormat="false" ht="15" hidden="false" customHeight="false" outlineLevel="0" collapsed="false">
      <c r="A301" s="7"/>
      <c r="B301" s="7"/>
      <c r="C301" s="46"/>
      <c r="D301" s="7"/>
      <c r="E301" s="47"/>
      <c r="F301" s="46"/>
      <c r="G301" s="46"/>
      <c r="H301" s="7"/>
      <c r="I301" s="7"/>
      <c r="J301" s="47"/>
      <c r="K301" s="47"/>
      <c r="L301" s="47"/>
      <c r="M301" s="47"/>
      <c r="N301" s="47"/>
      <c r="O301" s="10"/>
      <c r="P301" s="47"/>
      <c r="Q301" s="47"/>
      <c r="R301" s="48" t="str">
        <f aca="false">IF(Q301="","",IF(Q301=0,"below 5:00",IF(Q301&gt;=66,"16:00 or above",INT((60+2*Q301)/12)&amp;":"&amp;TEXT(MOD(60+2*Q301,12),"00"))))</f>
        <v/>
      </c>
      <c r="S301" s="47"/>
      <c r="T301" s="47"/>
      <c r="U301" s="47"/>
      <c r="V301" s="47"/>
      <c r="W301" s="47"/>
      <c r="X301" s="47"/>
      <c r="Y301" s="47"/>
      <c r="Z301" s="47"/>
      <c r="AA301" s="10"/>
      <c r="AB301" s="10"/>
      <c r="AC301" s="47"/>
      <c r="AD301" s="47"/>
      <c r="AE301" s="47"/>
      <c r="AF301" s="47"/>
      <c r="AG301" s="47"/>
      <c r="AH301" s="47"/>
      <c r="AI301" s="46"/>
      <c r="AJ301" s="46"/>
      <c r="AK301" s="46"/>
      <c r="AL301" s="7"/>
      <c r="AM301" s="49" t="str">
        <f aca="false">IF(OR(C301="",G301=""),"",IFERROR(DATEDIF(C301,G301,"m"),""))</f>
        <v/>
      </c>
      <c r="AN301" s="49" t="str">
        <f aca="false">IF(OR(Q301="",AM301=""),"",60+2*Q301-AM301)</f>
        <v/>
      </c>
      <c r="AO301" s="49" t="str">
        <f aca="false">IF(OR(G301="",AJ301=""),"",AJ301-G301)</f>
        <v/>
      </c>
      <c r="AP301" s="50" t="str">
        <f aca="false">IF(AND(A301="",B301=""),"",IF(J301="","Status needed",IF(OR(J301="Applied",J301="Visit booked",J301="Withdrawn"),"OK",IF(G301="","Date assessed needed",IF(C301="","Date of birth needed",IF(COUNTA(L301,M301,P301,U301,V301,X301)&lt;6,"Band missing",IF(AND(OR(J301="Decision confirmed",J301="Family told",J301="Enrolled"),AG301=""),"Recommendation needed",IF(AND(OR(J301="Family told",J301="Enrolled"),AJ301=""),"Date family told needed","OK"))))))))</f>
        <v/>
      </c>
    </row>
    <row r="302" customFormat="false" ht="15" hidden="false" customHeight="false" outlineLevel="0" collapsed="false">
      <c r="A302" s="7"/>
      <c r="B302" s="7"/>
      <c r="C302" s="46"/>
      <c r="D302" s="7"/>
      <c r="E302" s="47"/>
      <c r="F302" s="46"/>
      <c r="G302" s="46"/>
      <c r="H302" s="7"/>
      <c r="I302" s="7"/>
      <c r="J302" s="47"/>
      <c r="K302" s="47"/>
      <c r="L302" s="47"/>
      <c r="M302" s="47"/>
      <c r="N302" s="47"/>
      <c r="O302" s="10"/>
      <c r="P302" s="47"/>
      <c r="Q302" s="47"/>
      <c r="R302" s="48" t="str">
        <f aca="false">IF(Q302="","",IF(Q302=0,"below 5:00",IF(Q302&gt;=66,"16:00 or above",INT((60+2*Q302)/12)&amp;":"&amp;TEXT(MOD(60+2*Q302,12),"00"))))</f>
        <v/>
      </c>
      <c r="S302" s="47"/>
      <c r="T302" s="47"/>
      <c r="U302" s="47"/>
      <c r="V302" s="47"/>
      <c r="W302" s="47"/>
      <c r="X302" s="47"/>
      <c r="Y302" s="47"/>
      <c r="Z302" s="47"/>
      <c r="AA302" s="10"/>
      <c r="AB302" s="10"/>
      <c r="AC302" s="47"/>
      <c r="AD302" s="47"/>
      <c r="AE302" s="47"/>
      <c r="AF302" s="47"/>
      <c r="AG302" s="47"/>
      <c r="AH302" s="47"/>
      <c r="AI302" s="46"/>
      <c r="AJ302" s="46"/>
      <c r="AK302" s="46"/>
      <c r="AL302" s="7"/>
      <c r="AM302" s="49" t="str">
        <f aca="false">IF(OR(C302="",G302=""),"",IFERROR(DATEDIF(C302,G302,"m"),""))</f>
        <v/>
      </c>
      <c r="AN302" s="49" t="str">
        <f aca="false">IF(OR(Q302="",AM302=""),"",60+2*Q302-AM302)</f>
        <v/>
      </c>
      <c r="AO302" s="49" t="str">
        <f aca="false">IF(OR(G302="",AJ302=""),"",AJ302-G302)</f>
        <v/>
      </c>
      <c r="AP302" s="50" t="str">
        <f aca="false">IF(AND(A302="",B302=""),"",IF(J302="","Status needed",IF(OR(J302="Applied",J302="Visit booked",J302="Withdrawn"),"OK",IF(G302="","Date assessed needed",IF(C302="","Date of birth needed",IF(COUNTA(L302,M302,P302,U302,V302,X302)&lt;6,"Band missing",IF(AND(OR(J302="Decision confirmed",J302="Family told",J302="Enrolled"),AG302=""),"Recommendation needed",IF(AND(OR(J302="Family told",J302="Enrolled"),AJ302=""),"Date family told needed","OK"))))))))</f>
        <v/>
      </c>
    </row>
    <row r="303" customFormat="false" ht="15" hidden="false" customHeight="false" outlineLevel="0" collapsed="false">
      <c r="A303" s="7"/>
      <c r="B303" s="7"/>
      <c r="C303" s="46"/>
      <c r="D303" s="7"/>
      <c r="E303" s="47"/>
      <c r="F303" s="46"/>
      <c r="G303" s="46"/>
      <c r="H303" s="7"/>
      <c r="I303" s="7"/>
      <c r="J303" s="47"/>
      <c r="K303" s="47"/>
      <c r="L303" s="47"/>
      <c r="M303" s="47"/>
      <c r="N303" s="47"/>
      <c r="O303" s="10"/>
      <c r="P303" s="47"/>
      <c r="Q303" s="47"/>
      <c r="R303" s="48" t="str">
        <f aca="false">IF(Q303="","",IF(Q303=0,"below 5:00",IF(Q303&gt;=66,"16:00 or above",INT((60+2*Q303)/12)&amp;":"&amp;TEXT(MOD(60+2*Q303,12),"00"))))</f>
        <v/>
      </c>
      <c r="S303" s="47"/>
      <c r="T303" s="47"/>
      <c r="U303" s="47"/>
      <c r="V303" s="47"/>
      <c r="W303" s="47"/>
      <c r="X303" s="47"/>
      <c r="Y303" s="47"/>
      <c r="Z303" s="47"/>
      <c r="AA303" s="10"/>
      <c r="AB303" s="10"/>
      <c r="AC303" s="47"/>
      <c r="AD303" s="47"/>
      <c r="AE303" s="47"/>
      <c r="AF303" s="47"/>
      <c r="AG303" s="47"/>
      <c r="AH303" s="47"/>
      <c r="AI303" s="46"/>
      <c r="AJ303" s="46"/>
      <c r="AK303" s="46"/>
      <c r="AL303" s="7"/>
      <c r="AM303" s="49" t="str">
        <f aca="false">IF(OR(C303="",G303=""),"",IFERROR(DATEDIF(C303,G303,"m"),""))</f>
        <v/>
      </c>
      <c r="AN303" s="49" t="str">
        <f aca="false">IF(OR(Q303="",AM303=""),"",60+2*Q303-AM303)</f>
        <v/>
      </c>
      <c r="AO303" s="49" t="str">
        <f aca="false">IF(OR(G303="",AJ303=""),"",AJ303-G303)</f>
        <v/>
      </c>
      <c r="AP303" s="50" t="str">
        <f aca="false">IF(AND(A303="",B303=""),"",IF(J303="","Status needed",IF(OR(J303="Applied",J303="Visit booked",J303="Withdrawn"),"OK",IF(G303="","Date assessed needed",IF(C303="","Date of birth needed",IF(COUNTA(L303,M303,P303,U303,V303,X303)&lt;6,"Band missing",IF(AND(OR(J303="Decision confirmed",J303="Family told",J303="Enrolled"),AG303=""),"Recommendation needed",IF(AND(OR(J303="Family told",J303="Enrolled"),AJ303=""),"Date family told needed","OK"))))))))</f>
        <v/>
      </c>
    </row>
    <row r="304" customFormat="false" ht="15" hidden="false" customHeight="false" outlineLevel="0" collapsed="false">
      <c r="A304" s="7"/>
      <c r="B304" s="7"/>
      <c r="C304" s="46"/>
      <c r="D304" s="7"/>
      <c r="E304" s="47"/>
      <c r="F304" s="46"/>
      <c r="G304" s="46"/>
      <c r="H304" s="7"/>
      <c r="I304" s="7"/>
      <c r="J304" s="47"/>
      <c r="K304" s="47"/>
      <c r="L304" s="47"/>
      <c r="M304" s="47"/>
      <c r="N304" s="47"/>
      <c r="O304" s="10"/>
      <c r="P304" s="47"/>
      <c r="Q304" s="47"/>
      <c r="R304" s="48" t="str">
        <f aca="false">IF(Q304="","",IF(Q304=0,"below 5:00",IF(Q304&gt;=66,"16:00 or above",INT((60+2*Q304)/12)&amp;":"&amp;TEXT(MOD(60+2*Q304,12),"00"))))</f>
        <v/>
      </c>
      <c r="S304" s="47"/>
      <c r="T304" s="47"/>
      <c r="U304" s="47"/>
      <c r="V304" s="47"/>
      <c r="W304" s="47"/>
      <c r="X304" s="47"/>
      <c r="Y304" s="47"/>
      <c r="Z304" s="47"/>
      <c r="AA304" s="10"/>
      <c r="AB304" s="10"/>
      <c r="AC304" s="47"/>
      <c r="AD304" s="47"/>
      <c r="AE304" s="47"/>
      <c r="AF304" s="47"/>
      <c r="AG304" s="47"/>
      <c r="AH304" s="47"/>
      <c r="AI304" s="46"/>
      <c r="AJ304" s="46"/>
      <c r="AK304" s="46"/>
      <c r="AL304" s="7"/>
      <c r="AM304" s="49" t="str">
        <f aca="false">IF(OR(C304="",G304=""),"",IFERROR(DATEDIF(C304,G304,"m"),""))</f>
        <v/>
      </c>
      <c r="AN304" s="49" t="str">
        <f aca="false">IF(OR(Q304="",AM304=""),"",60+2*Q304-AM304)</f>
        <v/>
      </c>
      <c r="AO304" s="49" t="str">
        <f aca="false">IF(OR(G304="",AJ304=""),"",AJ304-G304)</f>
        <v/>
      </c>
      <c r="AP304" s="50" t="str">
        <f aca="false">IF(AND(A304="",B304=""),"",IF(J304="","Status needed",IF(OR(J304="Applied",J304="Visit booked",J304="Withdrawn"),"OK",IF(G304="","Date assessed needed",IF(C304="","Date of birth needed",IF(COUNTA(L304,M304,P304,U304,V304,X304)&lt;6,"Band missing",IF(AND(OR(J304="Decision confirmed",J304="Family told",J304="Enrolled"),AG304=""),"Recommendation needed",IF(AND(OR(J304="Family told",J304="Enrolled"),AJ304=""),"Date family told needed","OK"))))))))</f>
        <v/>
      </c>
    </row>
    <row r="305" customFormat="false" ht="15" hidden="false" customHeight="false" outlineLevel="0" collapsed="false">
      <c r="A305" s="7"/>
      <c r="B305" s="7"/>
      <c r="C305" s="46"/>
      <c r="D305" s="7"/>
      <c r="E305" s="47"/>
      <c r="F305" s="46"/>
      <c r="G305" s="46"/>
      <c r="H305" s="7"/>
      <c r="I305" s="7"/>
      <c r="J305" s="47"/>
      <c r="K305" s="47"/>
      <c r="L305" s="47"/>
      <c r="M305" s="47"/>
      <c r="N305" s="47"/>
      <c r="O305" s="10"/>
      <c r="P305" s="47"/>
      <c r="Q305" s="47"/>
      <c r="R305" s="48" t="str">
        <f aca="false">IF(Q305="","",IF(Q305=0,"below 5:00",IF(Q305&gt;=66,"16:00 or above",INT((60+2*Q305)/12)&amp;":"&amp;TEXT(MOD(60+2*Q305,12),"00"))))</f>
        <v/>
      </c>
      <c r="S305" s="47"/>
      <c r="T305" s="47"/>
      <c r="U305" s="47"/>
      <c r="V305" s="47"/>
      <c r="W305" s="47"/>
      <c r="X305" s="47"/>
      <c r="Y305" s="47"/>
      <c r="Z305" s="47"/>
      <c r="AA305" s="10"/>
      <c r="AB305" s="10"/>
      <c r="AC305" s="47"/>
      <c r="AD305" s="47"/>
      <c r="AE305" s="47"/>
      <c r="AF305" s="47"/>
      <c r="AG305" s="47"/>
      <c r="AH305" s="47"/>
      <c r="AI305" s="46"/>
      <c r="AJ305" s="46"/>
      <c r="AK305" s="46"/>
      <c r="AL305" s="7"/>
      <c r="AM305" s="49" t="str">
        <f aca="false">IF(OR(C305="",G305=""),"",IFERROR(DATEDIF(C305,G305,"m"),""))</f>
        <v/>
      </c>
      <c r="AN305" s="49" t="str">
        <f aca="false">IF(OR(Q305="",AM305=""),"",60+2*Q305-AM305)</f>
        <v/>
      </c>
      <c r="AO305" s="49" t="str">
        <f aca="false">IF(OR(G305="",AJ305=""),"",AJ305-G305)</f>
        <v/>
      </c>
      <c r="AP305" s="50" t="str">
        <f aca="false">IF(AND(A305="",B305=""),"",IF(J305="","Status needed",IF(OR(J305="Applied",J305="Visit booked",J305="Withdrawn"),"OK",IF(G305="","Date assessed needed",IF(C305="","Date of birth needed",IF(COUNTA(L305,M305,P305,U305,V305,X305)&lt;6,"Band missing",IF(AND(OR(J305="Decision confirmed",J305="Family told",J305="Enrolled"),AG305=""),"Recommendation needed",IF(AND(OR(J305="Family told",J305="Enrolled"),AJ305=""),"Date family told needed","OK"))))))))</f>
        <v/>
      </c>
    </row>
  </sheetData>
  <autoFilter ref="A5:AP305"/>
  <mergeCells count="7">
    <mergeCell ref="A4:E4"/>
    <mergeCell ref="F4:J4"/>
    <mergeCell ref="K4:V4"/>
    <mergeCell ref="W4:AB4"/>
    <mergeCell ref="AC4:AF4"/>
    <mergeCell ref="AG4:AL4"/>
    <mergeCell ref="AM4:AP4"/>
  </mergeCells>
  <conditionalFormatting sqref="L6:L305">
    <cfRule type="cellIs" priority="2" operator="equal" aboveAverage="0" equalAverage="0" bottom="0" percent="0" rank="0" text="" dxfId="13">
      <formula>"A"</formula>
    </cfRule>
    <cfRule type="cellIs" priority="3" operator="equal" aboveAverage="0" equalAverage="0" bottom="0" percent="0" rank="0" text="" dxfId="14">
      <formula>"B"</formula>
    </cfRule>
    <cfRule type="cellIs" priority="4" operator="equal" aboveAverage="0" equalAverage="0" bottom="0" percent="0" rank="0" text="" dxfId="15">
      <formula>"C"</formula>
    </cfRule>
    <cfRule type="cellIs" priority="5" operator="equal" aboveAverage="0" equalAverage="0" bottom="0" percent="0" rank="0" text="" dxfId="16">
      <formula>"D"</formula>
    </cfRule>
    <cfRule type="cellIs" priority="6" operator="equal" aboveAverage="0" equalAverage="0" bottom="0" percent="0" rank="0" text="" dxfId="17">
      <formula>"E"</formula>
    </cfRule>
  </conditionalFormatting>
  <conditionalFormatting sqref="M6:M305">
    <cfRule type="cellIs" priority="7" operator="equal" aboveAverage="0" equalAverage="0" bottom="0" percent="0" rank="0" text="" dxfId="13">
      <formula>"A"</formula>
    </cfRule>
    <cfRule type="cellIs" priority="8" operator="equal" aboveAverage="0" equalAverage="0" bottom="0" percent="0" rank="0" text="" dxfId="14">
      <formula>"B"</formula>
    </cfRule>
    <cfRule type="cellIs" priority="9" operator="equal" aboveAverage="0" equalAverage="0" bottom="0" percent="0" rank="0" text="" dxfId="15">
      <formula>"C"</formula>
    </cfRule>
    <cfRule type="cellIs" priority="10" operator="equal" aboveAverage="0" equalAverage="0" bottom="0" percent="0" rank="0" text="" dxfId="16">
      <formula>"D"</formula>
    </cfRule>
    <cfRule type="cellIs" priority="11" operator="equal" aboveAverage="0" equalAverage="0" bottom="0" percent="0" rank="0" text="" dxfId="17">
      <formula>"E"</formula>
    </cfRule>
  </conditionalFormatting>
  <conditionalFormatting sqref="P6:P305">
    <cfRule type="cellIs" priority="12" operator="equal" aboveAverage="0" equalAverage="0" bottom="0" percent="0" rank="0" text="" dxfId="13">
      <formula>"A"</formula>
    </cfRule>
    <cfRule type="cellIs" priority="13" operator="equal" aboveAverage="0" equalAverage="0" bottom="0" percent="0" rank="0" text="" dxfId="14">
      <formula>"B"</formula>
    </cfRule>
    <cfRule type="cellIs" priority="14" operator="equal" aboveAverage="0" equalAverage="0" bottom="0" percent="0" rank="0" text="" dxfId="15">
      <formula>"C"</formula>
    </cfRule>
    <cfRule type="cellIs" priority="15" operator="equal" aboveAverage="0" equalAverage="0" bottom="0" percent="0" rank="0" text="" dxfId="16">
      <formula>"D"</formula>
    </cfRule>
    <cfRule type="cellIs" priority="16" operator="equal" aboveAverage="0" equalAverage="0" bottom="0" percent="0" rank="0" text="" dxfId="17">
      <formula>"E"</formula>
    </cfRule>
  </conditionalFormatting>
  <conditionalFormatting sqref="S6:S305">
    <cfRule type="cellIs" priority="17" operator="equal" aboveAverage="0" equalAverage="0" bottom="0" percent="0" rank="0" text="" dxfId="13">
      <formula>"A"</formula>
    </cfRule>
    <cfRule type="cellIs" priority="18" operator="equal" aboveAverage="0" equalAverage="0" bottom="0" percent="0" rank="0" text="" dxfId="14">
      <formula>"B"</formula>
    </cfRule>
    <cfRule type="cellIs" priority="19" operator="equal" aboveAverage="0" equalAverage="0" bottom="0" percent="0" rank="0" text="" dxfId="15">
      <formula>"C"</formula>
    </cfRule>
    <cfRule type="cellIs" priority="20" operator="equal" aboveAverage="0" equalAverage="0" bottom="0" percent="0" rank="0" text="" dxfId="16">
      <formula>"D"</formula>
    </cfRule>
    <cfRule type="cellIs" priority="21" operator="equal" aboveAverage="0" equalAverage="0" bottom="0" percent="0" rank="0" text="" dxfId="17">
      <formula>"E"</formula>
    </cfRule>
  </conditionalFormatting>
  <conditionalFormatting sqref="U6:U305">
    <cfRule type="cellIs" priority="22" operator="equal" aboveAverage="0" equalAverage="0" bottom="0" percent="0" rank="0" text="" dxfId="13">
      <formula>"A"</formula>
    </cfRule>
    <cfRule type="cellIs" priority="23" operator="equal" aboveAverage="0" equalAverage="0" bottom="0" percent="0" rank="0" text="" dxfId="14">
      <formula>"B"</formula>
    </cfRule>
    <cfRule type="cellIs" priority="24" operator="equal" aboveAverage="0" equalAverage="0" bottom="0" percent="0" rank="0" text="" dxfId="15">
      <formula>"C"</formula>
    </cfRule>
    <cfRule type="cellIs" priority="25" operator="equal" aboveAverage="0" equalAverage="0" bottom="0" percent="0" rank="0" text="" dxfId="16">
      <formula>"D"</formula>
    </cfRule>
    <cfRule type="cellIs" priority="26" operator="equal" aboveAverage="0" equalAverage="0" bottom="0" percent="0" rank="0" text="" dxfId="17">
      <formula>"E"</formula>
    </cfRule>
  </conditionalFormatting>
  <conditionalFormatting sqref="V6:V305">
    <cfRule type="cellIs" priority="27" operator="equal" aboveAverage="0" equalAverage="0" bottom="0" percent="0" rank="0" text="" dxfId="13">
      <formula>"A"</formula>
    </cfRule>
    <cfRule type="cellIs" priority="28" operator="equal" aboveAverage="0" equalAverage="0" bottom="0" percent="0" rank="0" text="" dxfId="14">
      <formula>"B"</formula>
    </cfRule>
    <cfRule type="cellIs" priority="29" operator="equal" aboveAverage="0" equalAverage="0" bottom="0" percent="0" rank="0" text="" dxfId="15">
      <formula>"C"</formula>
    </cfRule>
    <cfRule type="cellIs" priority="30" operator="equal" aboveAverage="0" equalAverage="0" bottom="0" percent="0" rank="0" text="" dxfId="16">
      <formula>"D"</formula>
    </cfRule>
    <cfRule type="cellIs" priority="31" operator="equal" aboveAverage="0" equalAverage="0" bottom="0" percent="0" rank="0" text="" dxfId="17">
      <formula>"E"</formula>
    </cfRule>
  </conditionalFormatting>
  <conditionalFormatting sqref="X6:X305">
    <cfRule type="cellIs" priority="32" operator="equal" aboveAverage="0" equalAverage="0" bottom="0" percent="0" rank="0" text="" dxfId="13">
      <formula>1</formula>
    </cfRule>
    <cfRule type="cellIs" priority="33" operator="equal" aboveAverage="0" equalAverage="0" bottom="0" percent="0" rank="0" text="" dxfId="14">
      <formula>2</formula>
    </cfRule>
    <cfRule type="cellIs" priority="34" operator="equal" aboveAverage="0" equalAverage="0" bottom="0" percent="0" rank="0" text="" dxfId="16">
      <formula>3</formula>
    </cfRule>
    <cfRule type="cellIs" priority="35" operator="equal" aboveAverage="0" equalAverage="0" bottom="0" percent="0" rank="0" text="" dxfId="17">
      <formula>4</formula>
    </cfRule>
  </conditionalFormatting>
  <conditionalFormatting sqref="AC6:AC305">
    <cfRule type="cellIs" priority="36" operator="equal" aboveAverage="0" equalAverage="0" bottom="0" percent="0" rank="0" text="" dxfId="13">
      <formula>1</formula>
    </cfRule>
    <cfRule type="cellIs" priority="37" operator="equal" aboveAverage="0" equalAverage="0" bottom="0" percent="0" rank="0" text="" dxfId="14">
      <formula>2</formula>
    </cfRule>
  </conditionalFormatting>
  <conditionalFormatting sqref="AD6:AD305">
    <cfRule type="cellIs" priority="38" operator="equal" aboveAverage="0" equalAverage="0" bottom="0" percent="0" rank="0" text="" dxfId="14">
      <formula>"Y"</formula>
    </cfRule>
  </conditionalFormatting>
  <conditionalFormatting sqref="AE6:AE305">
    <cfRule type="cellIs" priority="39" operator="equal" aboveAverage="0" equalAverage="0" bottom="0" percent="0" rank="0" text="" dxfId="14">
      <formula>"Y"</formula>
    </cfRule>
  </conditionalFormatting>
  <conditionalFormatting sqref="AF6:AF305">
    <cfRule type="cellIs" priority="40" operator="equal" aboveAverage="0" equalAverage="0" bottom="0" percent="0" rank="0" text="" dxfId="14">
      <formula>"Y"</formula>
    </cfRule>
  </conditionalFormatting>
  <conditionalFormatting sqref="Z6:Z305">
    <cfRule type="cellIs" priority="41" operator="equal" aboveAverage="0" equalAverage="0" bottom="0" percent="0" rank="0" text="" dxfId="14">
      <formula>"Yes"</formula>
    </cfRule>
  </conditionalFormatting>
  <conditionalFormatting sqref="AN6:AN305">
    <cfRule type="cellIs" priority="42" operator="lessThanOrEqual" aboveAverage="0" equalAverage="0" bottom="0" percent="0" rank="0" text="" dxfId="14">
      <formula>-12</formula>
    </cfRule>
  </conditionalFormatting>
  <conditionalFormatting sqref="J6:J305">
    <cfRule type="cellIs" priority="43" operator="equal" aboveAverage="0" equalAverage="0" bottom="0" percent="0" rank="0" text="" dxfId="18">
      <formula>"Withdrawn"</formula>
    </cfRule>
  </conditionalFormatting>
  <conditionalFormatting sqref="AP6:AP305">
    <cfRule type="expression" priority="44" aboveAverage="0" equalAverage="0" bottom="0" percent="0" rank="0" text="" dxfId="19">
      <formula>AND(AP6&lt;&gt;"",AP6&lt;&gt;"OK")</formula>
    </cfRule>
    <cfRule type="expression" priority="45" aboveAverage="0" equalAverage="0" bottom="0" percent="0" rank="0" text="" dxfId="20">
      <formula>AP6="OK"</formula>
    </cfRule>
  </conditionalFormatting>
  <dataValidations count="23">
    <dataValidation allowBlank="true" error="Enter a date, day first, for example 14/10/2026." errorStyle="stop" errorTitle="Date" operator="between" showDropDown="false" showErrorMessage="true" showInputMessage="false" sqref="C6:C305 F6:G305 AI6:AK305" type="date">
      <formula1>36526</formula1>
      <formula2>73050</formula2>
    </dataValidation>
    <dataValidation allowBlank="true" error="Enter the lowest strand rating on the Interview sheet: 1, 2, 3 or 4." errorStyle="stop" errorTitle="Rating" operator="between" showDropDown="false" showErrorMessage="true" showInputMessage="false" sqref="AC6:AC305" type="whole">
      <formula1>1</formula1>
      <formula2>4</formula2>
    </dataValidation>
    <dataValidation allowBlank="true" error="Enter Y or N, or leave blank." errorStyle="stop" errorTitle="Y or N" operator="between" showDropDown="false" showErrorMessage="true" showInputMessage="false" sqref="E6:E305" type="list">
      <formula1>"Y,N"</formula1>
      <formula2>0</formula2>
    </dataValidation>
    <dataValidation allowBlank="true" error="Choose a status from the list." errorStyle="stop" errorTitle="Status" operator="between" showDropDown="false" showErrorMessage="true" showInputMessage="false" sqref="J6:J305" type="list">
      <formula1>Lists!$A$2:$A$8</formula1>
      <formula2>0</formula2>
    </dataValidation>
    <dataValidation allowBlank="true" error="Enter a whole number from 0 to the maximum shown in row 3 of this column." errorStyle="stop" errorTitle="Score" operator="between" showDropDown="false" showErrorMessage="true" showInputMessage="false" sqref="K6:K305" type="whole">
      <formula1>0</formula1>
      <formula2>$K$3</formula2>
    </dataValidation>
    <dataValidation allowBlank="true" error="Enter a band from the list: A, B, C, D or E." errorStyle="stop" errorTitle="Band" operator="between" showDropDown="false" showErrorMessage="true" showInputMessage="false" sqref="L6:L305" type="list">
      <formula1>"A,B,C,D,E"</formula1>
      <formula2>0</formula2>
    </dataValidation>
    <dataValidation allowBlank="true" error="Enter a band from the list: A, B, C, D or E." errorStyle="stop" errorTitle="Band" operator="between" showDropDown="false" showErrorMessage="true" showInputMessage="false" sqref="M6:M305" type="list">
      <formula1>"A,B,C,D,E"</formula1>
      <formula2>0</formula2>
    </dataValidation>
    <dataValidation allowBlank="true" error="Choose the book band from the list." errorStyle="stop" errorTitle="Book band" operator="between" showDropDown="false" showErrorMessage="true" showInputMessage="false" sqref="N6:N305" type="list">
      <formula1>Lists!$D$2:$D$10</formula1>
      <formula2>0</formula2>
    </dataValidation>
    <dataValidation allowBlank="true" error="Enter a band from the list: A, B, C, D or E." errorStyle="stop" errorTitle="Band" operator="between" showDropDown="false" showErrorMessage="true" showInputMessage="false" sqref="P6:P305" type="list">
      <formula1>"A,B,C,D,E"</formula1>
      <formula2>0</formula2>
    </dataValidation>
    <dataValidation allowBlank="true" error="Enter a whole number from 0 to the maximum shown in row 3 of this column." errorStyle="stop" errorTitle="Score" operator="between" showDropDown="false" showErrorMessage="true" showInputMessage="false" sqref="Q6:Q305" type="whole">
      <formula1>0</formula1>
      <formula2>$Q$3</formula2>
    </dataValidation>
    <dataValidation allowBlank="true" error="Enter a band from the list: A, B, C, D or E." errorStyle="stop" errorTitle="Band" operator="between" showDropDown="false" showErrorMessage="true" showInputMessage="false" sqref="S6:S305" type="list">
      <formula1>"A,B,C,D,E"</formula1>
      <formula2>0</formula2>
    </dataValidation>
    <dataValidation allowBlank="true" error="Enter a whole number from 0 to the maximum shown in row 3 of this column." errorStyle="stop" errorTitle="Score" operator="between" showDropDown="false" showErrorMessage="true" showInputMessage="false" sqref="T6:T305" type="whole">
      <formula1>0</formula1>
      <formula2>$T$3</formula2>
    </dataValidation>
    <dataValidation allowBlank="true" error="Enter a band from the list: A, B, C, D or E." errorStyle="stop" errorTitle="Band" operator="between" showDropDown="false" showErrorMessage="true" showInputMessage="false" sqref="U6:U305" type="list">
      <formula1>"A,B,C,D,E"</formula1>
      <formula2>0</formula2>
    </dataValidation>
    <dataValidation allowBlank="true" error="Enter a band from the list: A, B, C, D or E." errorStyle="stop" errorTitle="Band" operator="between" showDropDown="false" showErrorMessage="true" showInputMessage="false" sqref="V6:V305" type="list">
      <formula1>"A,B,C,D,E"</formula1>
      <formula2>0</formula2>
    </dataValidation>
    <dataValidation allowBlank="true" error="Enter a whole number from 0 to the maximum shown in row 3 of this column." errorStyle="stop" errorTitle="Score" operator="between" showDropDown="false" showErrorMessage="true" showInputMessage="false" sqref="W6:W305" type="whole">
      <formula1>0</formula1>
      <formula2>$W$3</formula2>
    </dataValidation>
    <dataValidation allowBlank="true" error="Enter a band from the list: 1, 2, 3 or 4." errorStyle="stop" errorTitle="Band" operator="between" showDropDown="false" showErrorMessage="true" showInputMessage="false" sqref="X6:X305" type="list">
      <formula1>"1,2,3,4"</formula1>
      <formula2>0</formula2>
    </dataValidation>
    <dataValidation allowBlank="true" error="Enter a whole number from 0 to the maximum shown in row 3 of this column." errorStyle="stop" errorTitle="Score" operator="between" showDropDown="false" showErrorMessage="true" showInputMessage="false" sqref="Y6:Y305" type="whole">
      <formula1>0</formula1>
      <formula2>$Y$3</formula2>
    </dataValidation>
    <dataValidation allowBlank="true" error="Choose Yes, No or Unsure." errorStyle="stop" errorTitle="English barrier in maths" operator="between" showDropDown="false" showErrorMessage="true" showInputMessage="false" sqref="Z6:Z305" type="list">
      <formula1>Lists!$E$2:$E$4</formula1>
      <formula2>0</formula2>
    </dataValidation>
    <dataValidation allowBlank="true" error="Enter Y or N, or leave blank." errorStyle="stop" errorTitle="Y or N" operator="between" showDropDown="false" showErrorMessage="true" showInputMessage="false" sqref="AD6:AD305" type="list">
      <formula1>"Y,N"</formula1>
      <formula2>0</formula2>
    </dataValidation>
    <dataValidation allowBlank="true" error="Enter Y or N, or leave blank." errorStyle="stop" errorTitle="Y or N" operator="between" showDropDown="false" showErrorMessage="true" showInputMessage="false" sqref="AE6:AE305" type="list">
      <formula1>"Y,N"</formula1>
      <formula2>0</formula2>
    </dataValidation>
    <dataValidation allowBlank="true" error="Enter Y or N, or leave blank." errorStyle="stop" errorTitle="Y or N" operator="between" showDropDown="false" showErrorMessage="true" showInputMessage="false" sqref="AF6:AF305" type="list">
      <formula1>"Y,N"</formula1>
      <formula2>0</formula2>
    </dataValidation>
    <dataValidation allowBlank="true" error="Choose a recommendation from the list." errorStyle="stop" errorTitle="Recommendation" operator="between" showDropDown="false" showErrorMessage="true" showInputMessage="false" sqref="AG6:AG305" type="list">
      <formula1>Lists!$B$2:$B$6</formula1>
      <formula2>0</formula2>
    </dataValidation>
    <dataValidation allowBlank="true" error="Choose a support level from the list." errorStyle="stop" errorTitle="English support level" operator="between" showDropDown="false" showErrorMessage="true" showInputMessage="false" sqref="AH6:AH305" type="list">
      <formula1>Lists!$C$2:$C$5</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78D6"/>
    <pageSetUpPr fitToPage="true"/>
  </sheetPr>
  <dimension ref="A1:AP3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4"/>
    <col collapsed="false" customWidth="true" hidden="false" outlineLevel="0" max="3" min="3" style="0" width="12"/>
    <col collapsed="false" customWidth="true" hidden="false" outlineLevel="0" max="4" min="4" style="0" width="24"/>
    <col collapsed="false" customWidth="true" hidden="false" outlineLevel="0" max="5" min="5" style="0" width="9"/>
    <col collapsed="false" customWidth="true" hidden="false" outlineLevel="0" max="7" min="6" style="0" width="12"/>
    <col collapsed="false" customWidth="true" hidden="false" outlineLevel="0" max="8" min="8" style="0" width="10"/>
    <col collapsed="false" customWidth="true" hidden="false" outlineLevel="0" max="9" min="9" style="0" width="9"/>
    <col collapsed="false" customWidth="true" hidden="false" outlineLevel="0" max="10" min="10" style="0" width="18"/>
    <col collapsed="false" customWidth="true" hidden="false" outlineLevel="0" max="13" min="11" style="0" width="9"/>
    <col collapsed="false" customWidth="true" hidden="false" outlineLevel="0" max="14" min="14" style="0" width="17"/>
    <col collapsed="false" customWidth="true" hidden="false" outlineLevel="0" max="15" min="15" style="0" width="10"/>
    <col collapsed="false" customWidth="true" hidden="false" outlineLevel="0" max="16" min="16" style="0" width="9"/>
    <col collapsed="false" customWidth="true" hidden="false" outlineLevel="0" max="17" min="17" style="0" width="10"/>
    <col collapsed="false" customWidth="true" hidden="false" outlineLevel="0" max="18" min="18" style="0" width="11"/>
    <col collapsed="false" customWidth="true" hidden="false" outlineLevel="0" max="19" min="19" style="0" width="10"/>
    <col collapsed="false" customWidth="true" hidden="false" outlineLevel="0" max="24" min="20" style="0" width="9"/>
    <col collapsed="false" customWidth="true" hidden="false" outlineLevel="0" max="25" min="25" style="0" width="10"/>
    <col collapsed="false" customWidth="true" hidden="false" outlineLevel="0" max="26" min="26" style="0" width="11"/>
    <col collapsed="false" customWidth="true" hidden="false" outlineLevel="0" max="28" min="27" style="0" width="9"/>
    <col collapsed="false" customWidth="true" hidden="false" outlineLevel="0" max="29" min="29" style="0" width="11"/>
    <col collapsed="false" customWidth="true" hidden="false" outlineLevel="0" max="31" min="30" style="0" width="10"/>
    <col collapsed="false" customWidth="true" hidden="false" outlineLevel="0" max="32" min="32" style="0" width="11"/>
    <col collapsed="false" customWidth="true" hidden="false" outlineLevel="0" max="33" min="33" style="0" width="32"/>
    <col collapsed="false" customWidth="true" hidden="false" outlineLevel="0" max="34" min="34" style="0" width="28"/>
    <col collapsed="false" customWidth="true" hidden="false" outlineLevel="0" max="37" min="35" style="0" width="12"/>
    <col collapsed="false" customWidth="true" hidden="false" outlineLevel="0" max="38" min="38" style="0" width="36"/>
    <col collapsed="false" customWidth="true" hidden="false" outlineLevel="0" max="39" min="39" style="0" width="11"/>
    <col collapsed="false" customWidth="true" hidden="false" outlineLevel="0" max="41" min="40" style="0" width="12"/>
    <col collapsed="false" customWidth="true" hidden="false" outlineLevel="0" max="42" min="42" style="0" width="26"/>
  </cols>
  <sheetData>
    <row r="1" customFormat="false" ht="17.35" hidden="false" customHeight="false" outlineLevel="0" collapsed="false">
      <c r="A1" s="38" t="s">
        <v>318</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row>
    <row r="2" customFormat="false" ht="15" hidden="false" customHeight="false" outlineLevel="0" collapsed="false">
      <c r="A2" s="18" t="s">
        <v>286</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row>
    <row r="3" customFormat="false" ht="15" hidden="false" customHeight="false" outlineLevel="0" collapsed="false">
      <c r="A3" s="1"/>
      <c r="B3" s="39" t="s">
        <v>319</v>
      </c>
      <c r="C3" s="1"/>
      <c r="D3" s="1"/>
      <c r="E3" s="1"/>
      <c r="F3" s="1"/>
      <c r="G3" s="1"/>
      <c r="H3" s="1"/>
      <c r="I3" s="1"/>
      <c r="J3" s="1"/>
      <c r="K3" s="40" t="n">
        <v>10</v>
      </c>
      <c r="L3" s="1"/>
      <c r="M3" s="1"/>
      <c r="N3" s="1"/>
      <c r="O3" s="41" t="s">
        <v>288</v>
      </c>
      <c r="P3" s="1"/>
      <c r="Q3" s="40" t="n">
        <v>72</v>
      </c>
      <c r="R3" s="1"/>
      <c r="S3" s="1"/>
      <c r="T3" s="40" t="n">
        <v>16</v>
      </c>
      <c r="U3" s="1"/>
      <c r="V3" s="1"/>
      <c r="W3" s="40" t="n">
        <v>20</v>
      </c>
      <c r="X3" s="1"/>
      <c r="Y3" s="40" t="n">
        <v>5</v>
      </c>
      <c r="Z3" s="1"/>
      <c r="AA3" s="41" t="s">
        <v>288</v>
      </c>
      <c r="AB3" s="41" t="s">
        <v>288</v>
      </c>
      <c r="AC3" s="1"/>
      <c r="AD3" s="1"/>
      <c r="AE3" s="1"/>
      <c r="AF3" s="1"/>
      <c r="AG3" s="1"/>
      <c r="AH3" s="1"/>
      <c r="AI3" s="1"/>
      <c r="AJ3" s="1"/>
      <c r="AK3" s="1"/>
      <c r="AL3" s="1"/>
      <c r="AM3" s="1"/>
      <c r="AN3" s="1"/>
      <c r="AO3" s="1"/>
      <c r="AP3" s="1"/>
    </row>
    <row r="4" customFormat="false" ht="19.5" hidden="false" customHeight="true" outlineLevel="0" collapsed="false">
      <c r="A4" s="42" t="s">
        <v>289</v>
      </c>
      <c r="B4" s="42"/>
      <c r="C4" s="42"/>
      <c r="D4" s="42"/>
      <c r="E4" s="42"/>
      <c r="F4" s="42" t="s">
        <v>290</v>
      </c>
      <c r="G4" s="42"/>
      <c r="H4" s="42"/>
      <c r="I4" s="42"/>
      <c r="J4" s="42"/>
      <c r="K4" s="42" t="s">
        <v>291</v>
      </c>
      <c r="L4" s="42"/>
      <c r="M4" s="42"/>
      <c r="N4" s="42"/>
      <c r="O4" s="42"/>
      <c r="P4" s="42"/>
      <c r="Q4" s="42"/>
      <c r="R4" s="42"/>
      <c r="S4" s="42"/>
      <c r="T4" s="42"/>
      <c r="U4" s="42"/>
      <c r="V4" s="42"/>
      <c r="W4" s="42" t="s">
        <v>292</v>
      </c>
      <c r="X4" s="42"/>
      <c r="Y4" s="42"/>
      <c r="Z4" s="42"/>
      <c r="AA4" s="42"/>
      <c r="AB4" s="42"/>
      <c r="AC4" s="42" t="s">
        <v>293</v>
      </c>
      <c r="AD4" s="42"/>
      <c r="AE4" s="42"/>
      <c r="AF4" s="42"/>
      <c r="AG4" s="42" t="s">
        <v>294</v>
      </c>
      <c r="AH4" s="42"/>
      <c r="AI4" s="42"/>
      <c r="AJ4" s="42"/>
      <c r="AK4" s="42"/>
      <c r="AL4" s="42"/>
      <c r="AM4" s="43" t="s">
        <v>295</v>
      </c>
      <c r="AN4" s="43"/>
      <c r="AO4" s="43"/>
      <c r="AP4" s="43"/>
    </row>
    <row r="5" customFormat="false" ht="61.5" hidden="false" customHeight="true" outlineLevel="0" collapsed="false">
      <c r="A5" s="44" t="s">
        <v>55</v>
      </c>
      <c r="B5" s="44" t="s">
        <v>59</v>
      </c>
      <c r="C5" s="44" t="s">
        <v>62</v>
      </c>
      <c r="D5" s="44" t="s">
        <v>65</v>
      </c>
      <c r="E5" s="44" t="s">
        <v>68</v>
      </c>
      <c r="F5" s="44" t="s">
        <v>72</v>
      </c>
      <c r="G5" s="44" t="s">
        <v>76</v>
      </c>
      <c r="H5" s="44" t="s">
        <v>79</v>
      </c>
      <c r="I5" s="44" t="s">
        <v>83</v>
      </c>
      <c r="J5" s="44" t="s">
        <v>86</v>
      </c>
      <c r="K5" s="44" t="s">
        <v>88</v>
      </c>
      <c r="L5" s="44" t="s">
        <v>91</v>
      </c>
      <c r="M5" s="44" t="s">
        <v>95</v>
      </c>
      <c r="N5" s="44" t="s">
        <v>98</v>
      </c>
      <c r="O5" s="45" t="s">
        <v>102</v>
      </c>
      <c r="P5" s="44" t="s">
        <v>106</v>
      </c>
      <c r="Q5" s="44" t="s">
        <v>109</v>
      </c>
      <c r="R5" s="44" t="s">
        <v>113</v>
      </c>
      <c r="S5" s="44" t="s">
        <v>117</v>
      </c>
      <c r="T5" s="44" t="s">
        <v>120</v>
      </c>
      <c r="U5" s="44" t="s">
        <v>123</v>
      </c>
      <c r="V5" s="44" t="s">
        <v>125</v>
      </c>
      <c r="W5" s="44" t="s">
        <v>127</v>
      </c>
      <c r="X5" s="44" t="s">
        <v>130</v>
      </c>
      <c r="Y5" s="44" t="s">
        <v>134</v>
      </c>
      <c r="Z5" s="44" t="s">
        <v>136</v>
      </c>
      <c r="AA5" s="45" t="s">
        <v>139</v>
      </c>
      <c r="AB5" s="45" t="s">
        <v>141</v>
      </c>
      <c r="AC5" s="44" t="s">
        <v>143</v>
      </c>
      <c r="AD5" s="44" t="s">
        <v>146</v>
      </c>
      <c r="AE5" s="44" t="s">
        <v>149</v>
      </c>
      <c r="AF5" s="44" t="s">
        <v>151</v>
      </c>
      <c r="AG5" s="44" t="s">
        <v>48</v>
      </c>
      <c r="AH5" s="44" t="s">
        <v>156</v>
      </c>
      <c r="AI5" s="44" t="s">
        <v>160</v>
      </c>
      <c r="AJ5" s="44" t="s">
        <v>164</v>
      </c>
      <c r="AK5" s="44" t="s">
        <v>167</v>
      </c>
      <c r="AL5" s="44" t="s">
        <v>170</v>
      </c>
      <c r="AM5" s="44" t="s">
        <v>173</v>
      </c>
      <c r="AN5" s="44" t="s">
        <v>176</v>
      </c>
      <c r="AO5" s="44" t="s">
        <v>179</v>
      </c>
      <c r="AP5" s="44" t="s">
        <v>181</v>
      </c>
    </row>
    <row r="6" customFormat="false" ht="15" hidden="false" customHeight="false" outlineLevel="0" collapsed="false">
      <c r="A6" s="7" t="s">
        <v>320</v>
      </c>
      <c r="B6" s="7" t="s">
        <v>321</v>
      </c>
      <c r="C6" s="46" t="n">
        <v>43810</v>
      </c>
      <c r="D6" s="7" t="s">
        <v>303</v>
      </c>
      <c r="E6" s="47" t="s">
        <v>69</v>
      </c>
      <c r="F6" s="46" t="n">
        <v>46284</v>
      </c>
      <c r="G6" s="46"/>
      <c r="H6" s="7"/>
      <c r="I6" s="7" t="s">
        <v>84</v>
      </c>
      <c r="J6" s="47" t="s">
        <v>27</v>
      </c>
      <c r="K6" s="47"/>
      <c r="L6" s="47"/>
      <c r="M6" s="47"/>
      <c r="N6" s="47"/>
      <c r="O6" s="10"/>
      <c r="P6" s="47"/>
      <c r="Q6" s="47"/>
      <c r="R6" s="48" t="str">
        <f aca="false">IF(Q6="","",IF(Q6=0,"below 5:00",IF(Q6&gt;=66,"16:00 or above",INT((60+2*Q6)/12)&amp;":"&amp;TEXT(MOD(60+2*Q6,12),"00"))))</f>
        <v/>
      </c>
      <c r="S6" s="47"/>
      <c r="T6" s="47"/>
      <c r="U6" s="47"/>
      <c r="V6" s="47"/>
      <c r="W6" s="47"/>
      <c r="X6" s="47"/>
      <c r="Y6" s="47"/>
      <c r="Z6" s="47"/>
      <c r="AA6" s="10"/>
      <c r="AB6" s="10"/>
      <c r="AC6" s="47"/>
      <c r="AD6" s="47"/>
      <c r="AE6" s="47"/>
      <c r="AF6" s="47"/>
      <c r="AG6" s="47"/>
      <c r="AH6" s="47"/>
      <c r="AI6" s="46"/>
      <c r="AJ6" s="46"/>
      <c r="AK6" s="46"/>
      <c r="AL6" s="7"/>
      <c r="AM6" s="49" t="str">
        <f aca="false">IF(OR(C6="",G6=""),"",IFERROR(DATEDIF(C6,G6,"m"),""))</f>
        <v/>
      </c>
      <c r="AN6" s="49" t="str">
        <f aca="false">IF(OR(Q6="",AM6=""),"",60+2*Q6-AM6)</f>
        <v/>
      </c>
      <c r="AO6" s="49" t="str">
        <f aca="false">IF(OR(G6="",AJ6=""),"",AJ6-G6)</f>
        <v/>
      </c>
      <c r="AP6" s="50" t="str">
        <f aca="false">IF(AND(A6="",B6=""),"",IF(J6="","Status needed",IF(OR(J6="Applied",J6="Visit booked",J6="Withdrawn"),"OK",IF(G6="","Date assessed needed",IF(C6="","Date of birth needed",IF(COUNTA(L6,M6,P6,U6,V6,X6)&lt;6,"Band missing",IF(AND(OR(J6="Decision confirmed",J6="Family told",J6="Enrolled"),AG6=""),"Recommendation needed",IF(AND(OR(J6="Family told",J6="Enrolled"),AJ6=""),"Date family told needed","OK"))))))))</f>
        <v>OK</v>
      </c>
    </row>
    <row r="7" customFormat="false" ht="15" hidden="false" customHeight="false" outlineLevel="0" collapsed="false">
      <c r="A7" s="7" t="s">
        <v>322</v>
      </c>
      <c r="B7" s="7" t="s">
        <v>323</v>
      </c>
      <c r="C7" s="46" t="n">
        <v>43853</v>
      </c>
      <c r="D7" s="7" t="s">
        <v>307</v>
      </c>
      <c r="E7" s="47" t="s">
        <v>69</v>
      </c>
      <c r="F7" s="46" t="n">
        <v>46242</v>
      </c>
      <c r="G7" s="46" t="n">
        <v>46280</v>
      </c>
      <c r="H7" s="7" t="s">
        <v>299</v>
      </c>
      <c r="I7" s="7" t="s">
        <v>84</v>
      </c>
      <c r="J7" s="47" t="s">
        <v>35</v>
      </c>
      <c r="K7" s="47" t="n">
        <v>7</v>
      </c>
      <c r="L7" s="47" t="s">
        <v>118</v>
      </c>
      <c r="M7" s="47" t="s">
        <v>118</v>
      </c>
      <c r="N7" s="47" t="s">
        <v>324</v>
      </c>
      <c r="O7" s="10"/>
      <c r="P7" s="47" t="s">
        <v>118</v>
      </c>
      <c r="Q7" s="47" t="n">
        <v>17</v>
      </c>
      <c r="R7" s="48" t="str">
        <f aca="false">IF(Q7="","",IF(Q7=0,"below 5:00",IF(Q7&gt;=66,"16:00 or above",INT((60+2*Q7)/12)&amp;":"&amp;TEXT(MOD(60+2*Q7,12),"00"))))</f>
        <v>7:10</v>
      </c>
      <c r="S7" s="47" t="s">
        <v>222</v>
      </c>
      <c r="T7" s="47" t="n">
        <v>10</v>
      </c>
      <c r="U7" s="47" t="s">
        <v>92</v>
      </c>
      <c r="V7" s="47" t="s">
        <v>118</v>
      </c>
      <c r="W7" s="47" t="n">
        <v>10</v>
      </c>
      <c r="X7" s="47" t="n">
        <v>2</v>
      </c>
      <c r="Y7" s="47" t="n">
        <v>3</v>
      </c>
      <c r="Z7" s="47"/>
      <c r="AA7" s="10"/>
      <c r="AB7" s="10"/>
      <c r="AC7" s="47" t="n">
        <v>4</v>
      </c>
      <c r="AD7" s="47"/>
      <c r="AE7" s="47"/>
      <c r="AF7" s="47"/>
      <c r="AG7" s="47" t="s">
        <v>229</v>
      </c>
      <c r="AH7" s="47" t="s">
        <v>253</v>
      </c>
      <c r="AI7" s="46" t="n">
        <v>46285</v>
      </c>
      <c r="AJ7" s="46" t="n">
        <v>46287</v>
      </c>
      <c r="AK7" s="46" t="n">
        <v>46287</v>
      </c>
      <c r="AL7" s="7"/>
      <c r="AM7" s="49" t="n">
        <f aca="false">IF(OR(C7="",G7=""),"",IFERROR(DATEDIF(C7,G7,"m"),""))</f>
        <v>79</v>
      </c>
      <c r="AN7" s="49" t="n">
        <f aca="false">IF(OR(Q7="",AM7=""),"",60+2*Q7-AM7)</f>
        <v>15</v>
      </c>
      <c r="AO7" s="49" t="n">
        <f aca="false">IF(OR(G7="",AJ7=""),"",AJ7-G7)</f>
        <v>7</v>
      </c>
      <c r="AP7" s="50" t="str">
        <f aca="false">IF(AND(A7="",B7=""),"",IF(J7="","Status needed",IF(OR(J7="Applied",J7="Visit booked",J7="Withdrawn"),"OK",IF(G7="","Date assessed needed",IF(C7="","Date of birth needed",IF(COUNTA(L7,M7,P7,U7,V7,X7)&lt;6,"Band missing",IF(AND(OR(J7="Decision confirmed",J7="Family told",J7="Enrolled"),AG7=""),"Recommendation needed",IF(AND(OR(J7="Family told",J7="Enrolled"),AJ7=""),"Date family told needed","OK"))))))))</f>
        <v>OK</v>
      </c>
    </row>
    <row r="8" customFormat="false" ht="15" hidden="false" customHeight="false" outlineLevel="0" collapsed="false">
      <c r="A8" s="7" t="s">
        <v>325</v>
      </c>
      <c r="B8" s="7" t="s">
        <v>326</v>
      </c>
      <c r="C8" s="46" t="n">
        <v>43957</v>
      </c>
      <c r="D8" s="7" t="s">
        <v>298</v>
      </c>
      <c r="E8" s="47" t="s">
        <v>69</v>
      </c>
      <c r="F8" s="46" t="n">
        <v>46257</v>
      </c>
      <c r="G8" s="46" t="n">
        <v>46314</v>
      </c>
      <c r="H8" s="7" t="s">
        <v>80</v>
      </c>
      <c r="I8" s="7" t="s">
        <v>84</v>
      </c>
      <c r="J8" s="47" t="s">
        <v>31</v>
      </c>
      <c r="K8" s="47" t="n">
        <v>7</v>
      </c>
      <c r="L8" s="47" t="s">
        <v>118</v>
      </c>
      <c r="M8" s="47" t="s">
        <v>118</v>
      </c>
      <c r="N8" s="47" t="s">
        <v>99</v>
      </c>
      <c r="O8" s="10"/>
      <c r="P8" s="47" t="s">
        <v>92</v>
      </c>
      <c r="Q8" s="47" t="n">
        <v>25</v>
      </c>
      <c r="R8" s="48" t="str">
        <f aca="false">IF(Q8="","",IF(Q8=0,"below 5:00",IF(Q8&gt;=66,"16:00 or above",INT((60+2*Q8)/12)&amp;":"&amp;TEXT(MOD(60+2*Q8,12),"00"))))</f>
        <v>9:02</v>
      </c>
      <c r="S8" s="47" t="s">
        <v>222</v>
      </c>
      <c r="T8" s="47" t="n">
        <v>9</v>
      </c>
      <c r="U8" s="47" t="s">
        <v>92</v>
      </c>
      <c r="V8" s="47" t="s">
        <v>92</v>
      </c>
      <c r="W8" s="47" t="n">
        <v>11</v>
      </c>
      <c r="X8" s="47" t="n">
        <v>3</v>
      </c>
      <c r="Y8" s="47" t="n">
        <v>2</v>
      </c>
      <c r="Z8" s="47"/>
      <c r="AA8" s="10"/>
      <c r="AB8" s="10"/>
      <c r="AC8" s="47" t="n">
        <v>4</v>
      </c>
      <c r="AD8" s="47"/>
      <c r="AE8" s="47"/>
      <c r="AF8" s="47"/>
      <c r="AG8" s="47"/>
      <c r="AH8" s="47"/>
      <c r="AI8" s="46"/>
      <c r="AJ8" s="46"/>
      <c r="AK8" s="46"/>
      <c r="AL8" s="7"/>
      <c r="AM8" s="49" t="n">
        <f aca="false">IF(OR(C8="",G8=""),"",IFERROR(DATEDIF(C8,G8,"m"),""))</f>
        <v>77</v>
      </c>
      <c r="AN8" s="49" t="n">
        <f aca="false">IF(OR(Q8="",AM8=""),"",60+2*Q8-AM8)</f>
        <v>33</v>
      </c>
      <c r="AO8" s="49" t="str">
        <f aca="false">IF(OR(G8="",AJ8=""),"",AJ8-G8)</f>
        <v/>
      </c>
      <c r="AP8" s="50" t="str">
        <f aca="false">IF(AND(A8="",B8=""),"",IF(J8="","Status needed",IF(OR(J8="Applied",J8="Visit booked",J8="Withdrawn"),"OK",IF(G8="","Date assessed needed",IF(C8="","Date of birth needed",IF(COUNTA(L8,M8,P8,U8,V8,X8)&lt;6,"Band missing",IF(AND(OR(J8="Decision confirmed",J8="Family told",J8="Enrolled"),AG8=""),"Recommendation needed",IF(AND(OR(J8="Family told",J8="Enrolled"),AJ8=""),"Date family told needed","OK"))))))))</f>
        <v>OK</v>
      </c>
    </row>
    <row r="9" customFormat="false" ht="15" hidden="false" customHeight="false" outlineLevel="0" collapsed="false">
      <c r="A9" s="7" t="s">
        <v>327</v>
      </c>
      <c r="B9" s="7" t="s">
        <v>328</v>
      </c>
      <c r="C9" s="46" t="n">
        <v>44039</v>
      </c>
      <c r="D9" s="7" t="s">
        <v>298</v>
      </c>
      <c r="E9" s="47" t="s">
        <v>311</v>
      </c>
      <c r="F9" s="46" t="n">
        <v>46241</v>
      </c>
      <c r="G9" s="46" t="n">
        <v>46283</v>
      </c>
      <c r="H9" s="7" t="s">
        <v>80</v>
      </c>
      <c r="I9" s="7" t="s">
        <v>84</v>
      </c>
      <c r="J9" s="47" t="s">
        <v>35</v>
      </c>
      <c r="K9" s="47" t="n">
        <v>7</v>
      </c>
      <c r="L9" s="47" t="s">
        <v>118</v>
      </c>
      <c r="M9" s="47" t="s">
        <v>92</v>
      </c>
      <c r="N9" s="47" t="s">
        <v>99</v>
      </c>
      <c r="O9" s="10"/>
      <c r="P9" s="47" t="s">
        <v>92</v>
      </c>
      <c r="Q9" s="47" t="n">
        <v>23</v>
      </c>
      <c r="R9" s="48" t="str">
        <f aca="false">IF(Q9="","",IF(Q9=0,"below 5:00",IF(Q9&gt;=66,"16:00 or above",INT((60+2*Q9)/12)&amp;":"&amp;TEXT(MOD(60+2*Q9,12),"00"))))</f>
        <v>8:10</v>
      </c>
      <c r="S9" s="47" t="s">
        <v>222</v>
      </c>
      <c r="T9" s="47" t="n">
        <v>10</v>
      </c>
      <c r="U9" s="47" t="s">
        <v>118</v>
      </c>
      <c r="V9" s="47" t="s">
        <v>92</v>
      </c>
      <c r="W9" s="47" t="n">
        <v>13</v>
      </c>
      <c r="X9" s="47" t="n">
        <v>3</v>
      </c>
      <c r="Y9" s="47" t="n">
        <v>3</v>
      </c>
      <c r="Z9" s="47"/>
      <c r="AA9" s="10"/>
      <c r="AB9" s="10"/>
      <c r="AC9" s="47" t="n">
        <v>3</v>
      </c>
      <c r="AD9" s="47"/>
      <c r="AE9" s="47"/>
      <c r="AF9" s="47"/>
      <c r="AG9" s="47" t="s">
        <v>153</v>
      </c>
      <c r="AH9" s="47" t="s">
        <v>157</v>
      </c>
      <c r="AI9" s="46" t="n">
        <v>46286</v>
      </c>
      <c r="AJ9" s="46" t="n">
        <v>46288</v>
      </c>
      <c r="AK9" s="46" t="n">
        <v>46288</v>
      </c>
      <c r="AL9" s="7"/>
      <c r="AM9" s="49" t="n">
        <f aca="false">IF(OR(C9="",G9=""),"",IFERROR(DATEDIF(C9,G9,"m"),""))</f>
        <v>73</v>
      </c>
      <c r="AN9" s="49" t="n">
        <f aca="false">IF(OR(Q9="",AM9=""),"",60+2*Q9-AM9)</f>
        <v>33</v>
      </c>
      <c r="AO9" s="49" t="n">
        <f aca="false">IF(OR(G9="",AJ9=""),"",AJ9-G9)</f>
        <v>5</v>
      </c>
      <c r="AP9" s="50" t="str">
        <f aca="false">IF(AND(A9="",B9=""),"",IF(J9="","Status needed",IF(OR(J9="Applied",J9="Visit booked",J9="Withdrawn"),"OK",IF(G9="","Date assessed needed",IF(C9="","Date of birth needed",IF(COUNTA(L9,M9,P9,U9,V9,X9)&lt;6,"Band missing",IF(AND(OR(J9="Decision confirmed",J9="Family told",J9="Enrolled"),AG9=""),"Recommendation needed",IF(AND(OR(J9="Family told",J9="Enrolled"),AJ9=""),"Date family told needed","OK"))))))))</f>
        <v>OK</v>
      </c>
    </row>
    <row r="10" customFormat="false" ht="15" hidden="false" customHeight="false" outlineLevel="0" collapsed="false">
      <c r="A10" s="7" t="s">
        <v>329</v>
      </c>
      <c r="B10" s="7" t="s">
        <v>330</v>
      </c>
      <c r="C10" s="46" t="n">
        <v>43892</v>
      </c>
      <c r="D10" s="7" t="s">
        <v>307</v>
      </c>
      <c r="E10" s="47" t="s">
        <v>311</v>
      </c>
      <c r="F10" s="46" t="n">
        <v>46244</v>
      </c>
      <c r="G10" s="46" t="n">
        <v>46301</v>
      </c>
      <c r="H10" s="7" t="s">
        <v>314</v>
      </c>
      <c r="I10" s="7" t="s">
        <v>84</v>
      </c>
      <c r="J10" s="47" t="s">
        <v>33</v>
      </c>
      <c r="K10" s="47" t="n">
        <v>5</v>
      </c>
      <c r="L10" s="47" t="s">
        <v>92</v>
      </c>
      <c r="M10" s="47" t="s">
        <v>92</v>
      </c>
      <c r="N10" s="47" t="s">
        <v>304</v>
      </c>
      <c r="O10" s="10"/>
      <c r="P10" s="47" t="s">
        <v>221</v>
      </c>
      <c r="Q10" s="47" t="n">
        <v>4</v>
      </c>
      <c r="R10" s="48" t="str">
        <f aca="false">IF(Q10="","",IF(Q10=0,"below 5:00",IF(Q10&gt;=66,"16:00 or above",INT((60+2*Q10)/12)&amp;":"&amp;TEXT(MOD(60+2*Q10,12),"00"))))</f>
        <v>5:08</v>
      </c>
      <c r="S10" s="47" t="s">
        <v>118</v>
      </c>
      <c r="T10" s="47" t="n">
        <v>8</v>
      </c>
      <c r="U10" s="47" t="s">
        <v>92</v>
      </c>
      <c r="V10" s="47" t="s">
        <v>92</v>
      </c>
      <c r="W10" s="47" t="n">
        <v>12</v>
      </c>
      <c r="X10" s="47" t="n">
        <v>3</v>
      </c>
      <c r="Y10" s="47" t="n">
        <v>3</v>
      </c>
      <c r="Z10" s="47"/>
      <c r="AA10" s="10"/>
      <c r="AB10" s="10"/>
      <c r="AC10" s="47" t="n">
        <v>4</v>
      </c>
      <c r="AD10" s="47" t="s">
        <v>311</v>
      </c>
      <c r="AE10" s="47" t="s">
        <v>311</v>
      </c>
      <c r="AF10" s="47"/>
      <c r="AG10" s="47" t="s">
        <v>153</v>
      </c>
      <c r="AH10" s="47" t="s">
        <v>157</v>
      </c>
      <c r="AI10" s="46" t="n">
        <v>46305</v>
      </c>
      <c r="AJ10" s="46"/>
      <c r="AK10" s="46"/>
      <c r="AL10" s="7"/>
      <c r="AM10" s="49" t="n">
        <f aca="false">IF(OR(C10="",G10=""),"",IFERROR(DATEDIF(C10,G10,"m"),""))</f>
        <v>79</v>
      </c>
      <c r="AN10" s="49" t="n">
        <f aca="false">IF(OR(Q10="",AM10=""),"",60+2*Q10-AM10)</f>
        <v>-11</v>
      </c>
      <c r="AO10" s="49" t="str">
        <f aca="false">IF(OR(G10="",AJ10=""),"",AJ10-G10)</f>
        <v/>
      </c>
      <c r="AP10" s="50" t="str">
        <f aca="false">IF(AND(A10="",B10=""),"",IF(J10="","Status needed",IF(OR(J10="Applied",J10="Visit booked",J10="Withdrawn"),"OK",IF(G10="","Date assessed needed",IF(C10="","Date of birth needed",IF(COUNTA(L10,M10,P10,U10,V10,X10)&lt;6,"Band missing",IF(AND(OR(J10="Decision confirmed",J10="Family told",J10="Enrolled"),AG10=""),"Recommendation needed",IF(AND(OR(J10="Family told",J10="Enrolled"),AJ10=""),"Date family told needed","OK"))))))))</f>
        <v>OK</v>
      </c>
    </row>
    <row r="11" customFormat="false" ht="15" hidden="false" customHeight="false" outlineLevel="0" collapsed="false">
      <c r="A11" s="7" t="s">
        <v>331</v>
      </c>
      <c r="B11" s="7" t="s">
        <v>332</v>
      </c>
      <c r="C11" s="46" t="n">
        <v>43861</v>
      </c>
      <c r="D11" s="7" t="s">
        <v>307</v>
      </c>
      <c r="E11" s="47" t="s">
        <v>69</v>
      </c>
      <c r="F11" s="46" t="n">
        <v>46250</v>
      </c>
      <c r="G11" s="46"/>
      <c r="H11" s="7"/>
      <c r="I11" s="7" t="s">
        <v>84</v>
      </c>
      <c r="J11" s="47" t="s">
        <v>39</v>
      </c>
      <c r="K11" s="47"/>
      <c r="L11" s="47"/>
      <c r="M11" s="47"/>
      <c r="N11" s="47"/>
      <c r="O11" s="10"/>
      <c r="P11" s="47"/>
      <c r="Q11" s="47"/>
      <c r="R11" s="48" t="str">
        <f aca="false">IF(Q11="","",IF(Q11=0,"below 5:00",IF(Q11&gt;=66,"16:00 or above",INT((60+2*Q11)/12)&amp;":"&amp;TEXT(MOD(60+2*Q11,12),"00"))))</f>
        <v/>
      </c>
      <c r="S11" s="47"/>
      <c r="T11" s="47"/>
      <c r="U11" s="47"/>
      <c r="V11" s="47"/>
      <c r="W11" s="47"/>
      <c r="X11" s="47"/>
      <c r="Y11" s="47"/>
      <c r="Z11" s="47"/>
      <c r="AA11" s="10"/>
      <c r="AB11" s="10"/>
      <c r="AC11" s="47"/>
      <c r="AD11" s="47"/>
      <c r="AE11" s="47"/>
      <c r="AF11" s="47"/>
      <c r="AG11" s="47"/>
      <c r="AH11" s="47"/>
      <c r="AI11" s="46"/>
      <c r="AJ11" s="46"/>
      <c r="AK11" s="46"/>
      <c r="AL11" s="7" t="s">
        <v>333</v>
      </c>
      <c r="AM11" s="49" t="str">
        <f aca="false">IF(OR(C11="",G11=""),"",IFERROR(DATEDIF(C11,G11,"m"),""))</f>
        <v/>
      </c>
      <c r="AN11" s="49" t="str">
        <f aca="false">IF(OR(Q11="",AM11=""),"",60+2*Q11-AM11)</f>
        <v/>
      </c>
      <c r="AO11" s="49" t="str">
        <f aca="false">IF(OR(G11="",AJ11=""),"",AJ11-G11)</f>
        <v/>
      </c>
      <c r="AP11" s="50" t="str">
        <f aca="false">IF(AND(A11="",B11=""),"",IF(J11="","Status needed",IF(OR(J11="Applied",J11="Visit booked",J11="Withdrawn"),"OK",IF(G11="","Date assessed needed",IF(C11="","Date of birth needed",IF(COUNTA(L11,M11,P11,U11,V11,X11)&lt;6,"Band missing",IF(AND(OR(J11="Decision confirmed",J11="Family told",J11="Enrolled"),AG11=""),"Recommendation needed",IF(AND(OR(J11="Family told",J11="Enrolled"),AJ11=""),"Date family told needed","OK"))))))))</f>
        <v>OK</v>
      </c>
    </row>
    <row r="12" customFormat="false" ht="15" hidden="false" customHeight="false" outlineLevel="0" collapsed="false">
      <c r="A12" s="7" t="s">
        <v>334</v>
      </c>
      <c r="B12" s="7" t="s">
        <v>335</v>
      </c>
      <c r="C12" s="46" t="n">
        <v>43973</v>
      </c>
      <c r="D12" s="7" t="s">
        <v>303</v>
      </c>
      <c r="E12" s="47" t="s">
        <v>69</v>
      </c>
      <c r="F12" s="46" t="n">
        <v>46283</v>
      </c>
      <c r="G12" s="46" t="n">
        <v>46308</v>
      </c>
      <c r="H12" s="7" t="s">
        <v>299</v>
      </c>
      <c r="I12" s="7" t="s">
        <v>84</v>
      </c>
      <c r="J12" s="47" t="s">
        <v>33</v>
      </c>
      <c r="K12" s="47" t="n">
        <v>3</v>
      </c>
      <c r="L12" s="47" t="s">
        <v>221</v>
      </c>
      <c r="M12" s="47" t="s">
        <v>220</v>
      </c>
      <c r="N12" s="47" t="s">
        <v>300</v>
      </c>
      <c r="O12" s="10"/>
      <c r="P12" s="47" t="s">
        <v>220</v>
      </c>
      <c r="Q12" s="47" t="n">
        <v>0</v>
      </c>
      <c r="R12" s="48" t="str">
        <f aca="false">IF(Q12="","",IF(Q12=0,"below 5:00",IF(Q12&gt;=66,"16:00 or above",INT((60+2*Q12)/12)&amp;":"&amp;TEXT(MOD(60+2*Q12,12),"00"))))</f>
        <v>below 5:00</v>
      </c>
      <c r="S12" s="47" t="s">
        <v>92</v>
      </c>
      <c r="T12" s="47" t="n">
        <v>4</v>
      </c>
      <c r="U12" s="47" t="s">
        <v>220</v>
      </c>
      <c r="V12" s="47" t="s">
        <v>220</v>
      </c>
      <c r="W12" s="47" t="n">
        <v>11</v>
      </c>
      <c r="X12" s="47" t="n">
        <v>2</v>
      </c>
      <c r="Y12" s="47" t="n">
        <v>3</v>
      </c>
      <c r="Z12" s="47"/>
      <c r="AA12" s="10"/>
      <c r="AB12" s="10"/>
      <c r="AC12" s="47" t="n">
        <v>3</v>
      </c>
      <c r="AD12" s="47"/>
      <c r="AE12" s="47"/>
      <c r="AF12" s="47"/>
      <c r="AG12" s="47" t="s">
        <v>153</v>
      </c>
      <c r="AH12" s="47" t="s">
        <v>251</v>
      </c>
      <c r="AI12" s="46" t="n">
        <v>46314</v>
      </c>
      <c r="AJ12" s="46"/>
      <c r="AK12" s="46"/>
      <c r="AL12" s="7"/>
      <c r="AM12" s="49" t="n">
        <f aca="false">IF(OR(C12="",G12=""),"",IFERROR(DATEDIF(C12,G12,"m"),""))</f>
        <v>76</v>
      </c>
      <c r="AN12" s="49" t="n">
        <f aca="false">IF(OR(Q12="",AM12=""),"",60+2*Q12-AM12)</f>
        <v>-16</v>
      </c>
      <c r="AO12" s="49" t="str">
        <f aca="false">IF(OR(G12="",AJ12=""),"",AJ12-G12)</f>
        <v/>
      </c>
      <c r="AP12" s="50" t="str">
        <f aca="false">IF(AND(A12="",B12=""),"",IF(J12="","Status needed",IF(OR(J12="Applied",J12="Visit booked",J12="Withdrawn"),"OK",IF(G12="","Date assessed needed",IF(C12="","Date of birth needed",IF(COUNTA(L12,M12,P12,U12,V12,X12)&lt;6,"Band missing",IF(AND(OR(J12="Decision confirmed",J12="Family told",J12="Enrolled"),AG12=""),"Recommendation needed",IF(AND(OR(J12="Family told",J12="Enrolled"),AJ12=""),"Date family told needed","OK"))))))))</f>
        <v>OK</v>
      </c>
    </row>
    <row r="13" customFormat="false" ht="15" hidden="false" customHeight="false" outlineLevel="0" collapsed="false">
      <c r="A13" s="7"/>
      <c r="B13" s="7"/>
      <c r="C13" s="46"/>
      <c r="D13" s="7"/>
      <c r="E13" s="47"/>
      <c r="F13" s="46"/>
      <c r="G13" s="46"/>
      <c r="H13" s="7"/>
      <c r="I13" s="7"/>
      <c r="J13" s="47"/>
      <c r="K13" s="47"/>
      <c r="L13" s="47"/>
      <c r="M13" s="47"/>
      <c r="N13" s="47"/>
      <c r="O13" s="10"/>
      <c r="P13" s="47"/>
      <c r="Q13" s="47"/>
      <c r="R13" s="48" t="str">
        <f aca="false">IF(Q13="","",IF(Q13=0,"below 5:00",IF(Q13&gt;=66,"16:00 or above",INT((60+2*Q13)/12)&amp;":"&amp;TEXT(MOD(60+2*Q13,12),"00"))))</f>
        <v/>
      </c>
      <c r="S13" s="47"/>
      <c r="T13" s="47"/>
      <c r="U13" s="47"/>
      <c r="V13" s="47"/>
      <c r="W13" s="47"/>
      <c r="X13" s="47"/>
      <c r="Y13" s="47"/>
      <c r="Z13" s="47"/>
      <c r="AA13" s="10"/>
      <c r="AB13" s="10"/>
      <c r="AC13" s="47"/>
      <c r="AD13" s="47"/>
      <c r="AE13" s="47"/>
      <c r="AF13" s="47"/>
      <c r="AG13" s="47"/>
      <c r="AH13" s="47"/>
      <c r="AI13" s="46"/>
      <c r="AJ13" s="46"/>
      <c r="AK13" s="46"/>
      <c r="AL13" s="7"/>
      <c r="AM13" s="49" t="str">
        <f aca="false">IF(OR(C13="",G13=""),"",IFERROR(DATEDIF(C13,G13,"m"),""))</f>
        <v/>
      </c>
      <c r="AN13" s="49" t="str">
        <f aca="false">IF(OR(Q13="",AM13=""),"",60+2*Q13-AM13)</f>
        <v/>
      </c>
      <c r="AO13" s="49" t="str">
        <f aca="false">IF(OR(G13="",AJ13=""),"",AJ13-G13)</f>
        <v/>
      </c>
      <c r="AP13" s="50" t="str">
        <f aca="false">IF(AND(A13="",B13=""),"",IF(J13="","Status needed",IF(OR(J13="Applied",J13="Visit booked",J13="Withdrawn"),"OK",IF(G13="","Date assessed needed",IF(C13="","Date of birth needed",IF(COUNTA(L13,M13,P13,U13,V13,X13)&lt;6,"Band missing",IF(AND(OR(J13="Decision confirmed",J13="Family told",J13="Enrolled"),AG13=""),"Recommendation needed",IF(AND(OR(J13="Family told",J13="Enrolled"),AJ13=""),"Date family told needed","OK"))))))))</f>
        <v/>
      </c>
    </row>
    <row r="14" customFormat="false" ht="15" hidden="false" customHeight="false" outlineLevel="0" collapsed="false">
      <c r="A14" s="7"/>
      <c r="B14" s="7"/>
      <c r="C14" s="46"/>
      <c r="D14" s="7"/>
      <c r="E14" s="47"/>
      <c r="F14" s="46"/>
      <c r="G14" s="46"/>
      <c r="H14" s="7"/>
      <c r="I14" s="7"/>
      <c r="J14" s="47"/>
      <c r="K14" s="47"/>
      <c r="L14" s="47"/>
      <c r="M14" s="47"/>
      <c r="N14" s="47"/>
      <c r="O14" s="10"/>
      <c r="P14" s="47"/>
      <c r="Q14" s="47"/>
      <c r="R14" s="48" t="str">
        <f aca="false">IF(Q14="","",IF(Q14=0,"below 5:00",IF(Q14&gt;=66,"16:00 or above",INT((60+2*Q14)/12)&amp;":"&amp;TEXT(MOD(60+2*Q14,12),"00"))))</f>
        <v/>
      </c>
      <c r="S14" s="47"/>
      <c r="T14" s="47"/>
      <c r="U14" s="47"/>
      <c r="V14" s="47"/>
      <c r="W14" s="47"/>
      <c r="X14" s="47"/>
      <c r="Y14" s="47"/>
      <c r="Z14" s="47"/>
      <c r="AA14" s="10"/>
      <c r="AB14" s="10"/>
      <c r="AC14" s="47"/>
      <c r="AD14" s="47"/>
      <c r="AE14" s="47"/>
      <c r="AF14" s="47"/>
      <c r="AG14" s="47"/>
      <c r="AH14" s="47"/>
      <c r="AI14" s="46"/>
      <c r="AJ14" s="46"/>
      <c r="AK14" s="46"/>
      <c r="AL14" s="7"/>
      <c r="AM14" s="49" t="str">
        <f aca="false">IF(OR(C14="",G14=""),"",IFERROR(DATEDIF(C14,G14,"m"),""))</f>
        <v/>
      </c>
      <c r="AN14" s="49" t="str">
        <f aca="false">IF(OR(Q14="",AM14=""),"",60+2*Q14-AM14)</f>
        <v/>
      </c>
      <c r="AO14" s="49" t="str">
        <f aca="false">IF(OR(G14="",AJ14=""),"",AJ14-G14)</f>
        <v/>
      </c>
      <c r="AP14" s="50" t="str">
        <f aca="false">IF(AND(A14="",B14=""),"",IF(J14="","Status needed",IF(OR(J14="Applied",J14="Visit booked",J14="Withdrawn"),"OK",IF(G14="","Date assessed needed",IF(C14="","Date of birth needed",IF(COUNTA(L14,M14,P14,U14,V14,X14)&lt;6,"Band missing",IF(AND(OR(J14="Decision confirmed",J14="Family told",J14="Enrolled"),AG14=""),"Recommendation needed",IF(AND(OR(J14="Family told",J14="Enrolled"),AJ14=""),"Date family told needed","OK"))))))))</f>
        <v/>
      </c>
    </row>
    <row r="15" customFormat="false" ht="15" hidden="false" customHeight="false" outlineLevel="0" collapsed="false">
      <c r="A15" s="7"/>
      <c r="B15" s="7"/>
      <c r="C15" s="46"/>
      <c r="D15" s="7"/>
      <c r="E15" s="47"/>
      <c r="F15" s="46"/>
      <c r="G15" s="46"/>
      <c r="H15" s="7"/>
      <c r="I15" s="7"/>
      <c r="J15" s="47"/>
      <c r="K15" s="47"/>
      <c r="L15" s="47"/>
      <c r="M15" s="47"/>
      <c r="N15" s="47"/>
      <c r="O15" s="10"/>
      <c r="P15" s="47"/>
      <c r="Q15" s="47"/>
      <c r="R15" s="48" t="str">
        <f aca="false">IF(Q15="","",IF(Q15=0,"below 5:00",IF(Q15&gt;=66,"16:00 or above",INT((60+2*Q15)/12)&amp;":"&amp;TEXT(MOD(60+2*Q15,12),"00"))))</f>
        <v/>
      </c>
      <c r="S15" s="47"/>
      <c r="T15" s="47"/>
      <c r="U15" s="47"/>
      <c r="V15" s="47"/>
      <c r="W15" s="47"/>
      <c r="X15" s="47"/>
      <c r="Y15" s="47"/>
      <c r="Z15" s="47"/>
      <c r="AA15" s="10"/>
      <c r="AB15" s="10"/>
      <c r="AC15" s="47"/>
      <c r="AD15" s="47"/>
      <c r="AE15" s="47"/>
      <c r="AF15" s="47"/>
      <c r="AG15" s="47"/>
      <c r="AH15" s="47"/>
      <c r="AI15" s="46"/>
      <c r="AJ15" s="46"/>
      <c r="AK15" s="46"/>
      <c r="AL15" s="7"/>
      <c r="AM15" s="49" t="str">
        <f aca="false">IF(OR(C15="",G15=""),"",IFERROR(DATEDIF(C15,G15,"m"),""))</f>
        <v/>
      </c>
      <c r="AN15" s="49" t="str">
        <f aca="false">IF(OR(Q15="",AM15=""),"",60+2*Q15-AM15)</f>
        <v/>
      </c>
      <c r="AO15" s="49" t="str">
        <f aca="false">IF(OR(G15="",AJ15=""),"",AJ15-G15)</f>
        <v/>
      </c>
      <c r="AP15" s="50" t="str">
        <f aca="false">IF(AND(A15="",B15=""),"",IF(J15="","Status needed",IF(OR(J15="Applied",J15="Visit booked",J15="Withdrawn"),"OK",IF(G15="","Date assessed needed",IF(C15="","Date of birth needed",IF(COUNTA(L15,M15,P15,U15,V15,X15)&lt;6,"Band missing",IF(AND(OR(J15="Decision confirmed",J15="Family told",J15="Enrolled"),AG15=""),"Recommendation needed",IF(AND(OR(J15="Family told",J15="Enrolled"),AJ15=""),"Date family told needed","OK"))))))))</f>
        <v/>
      </c>
    </row>
    <row r="16" customFormat="false" ht="15" hidden="false" customHeight="false" outlineLevel="0" collapsed="false">
      <c r="A16" s="7"/>
      <c r="B16" s="7"/>
      <c r="C16" s="46"/>
      <c r="D16" s="7"/>
      <c r="E16" s="47"/>
      <c r="F16" s="46"/>
      <c r="G16" s="46"/>
      <c r="H16" s="7"/>
      <c r="I16" s="7"/>
      <c r="J16" s="47"/>
      <c r="K16" s="47"/>
      <c r="L16" s="47"/>
      <c r="M16" s="47"/>
      <c r="N16" s="47"/>
      <c r="O16" s="10"/>
      <c r="P16" s="47"/>
      <c r="Q16" s="47"/>
      <c r="R16" s="48" t="str">
        <f aca="false">IF(Q16="","",IF(Q16=0,"below 5:00",IF(Q16&gt;=66,"16:00 or above",INT((60+2*Q16)/12)&amp;":"&amp;TEXT(MOD(60+2*Q16,12),"00"))))</f>
        <v/>
      </c>
      <c r="S16" s="47"/>
      <c r="T16" s="47"/>
      <c r="U16" s="47"/>
      <c r="V16" s="47"/>
      <c r="W16" s="47"/>
      <c r="X16" s="47"/>
      <c r="Y16" s="47"/>
      <c r="Z16" s="47"/>
      <c r="AA16" s="10"/>
      <c r="AB16" s="10"/>
      <c r="AC16" s="47"/>
      <c r="AD16" s="47"/>
      <c r="AE16" s="47"/>
      <c r="AF16" s="47"/>
      <c r="AG16" s="47"/>
      <c r="AH16" s="47"/>
      <c r="AI16" s="46"/>
      <c r="AJ16" s="46"/>
      <c r="AK16" s="46"/>
      <c r="AL16" s="7"/>
      <c r="AM16" s="49" t="str">
        <f aca="false">IF(OR(C16="",G16=""),"",IFERROR(DATEDIF(C16,G16,"m"),""))</f>
        <v/>
      </c>
      <c r="AN16" s="49" t="str">
        <f aca="false">IF(OR(Q16="",AM16=""),"",60+2*Q16-AM16)</f>
        <v/>
      </c>
      <c r="AO16" s="49" t="str">
        <f aca="false">IF(OR(G16="",AJ16=""),"",AJ16-G16)</f>
        <v/>
      </c>
      <c r="AP16" s="50" t="str">
        <f aca="false">IF(AND(A16="",B16=""),"",IF(J16="","Status needed",IF(OR(J16="Applied",J16="Visit booked",J16="Withdrawn"),"OK",IF(G16="","Date assessed needed",IF(C16="","Date of birth needed",IF(COUNTA(L16,M16,P16,U16,V16,X16)&lt;6,"Band missing",IF(AND(OR(J16="Decision confirmed",J16="Family told",J16="Enrolled"),AG16=""),"Recommendation needed",IF(AND(OR(J16="Family told",J16="Enrolled"),AJ16=""),"Date family told needed","OK"))))))))</f>
        <v/>
      </c>
    </row>
    <row r="17" customFormat="false" ht="15" hidden="false" customHeight="false" outlineLevel="0" collapsed="false">
      <c r="A17" s="7"/>
      <c r="B17" s="7"/>
      <c r="C17" s="46"/>
      <c r="D17" s="7"/>
      <c r="E17" s="47"/>
      <c r="F17" s="46"/>
      <c r="G17" s="46"/>
      <c r="H17" s="7"/>
      <c r="I17" s="7"/>
      <c r="J17" s="47"/>
      <c r="K17" s="47"/>
      <c r="L17" s="47"/>
      <c r="M17" s="47"/>
      <c r="N17" s="47"/>
      <c r="O17" s="10"/>
      <c r="P17" s="47"/>
      <c r="Q17" s="47"/>
      <c r="R17" s="48" t="str">
        <f aca="false">IF(Q17="","",IF(Q17=0,"below 5:00",IF(Q17&gt;=66,"16:00 or above",INT((60+2*Q17)/12)&amp;":"&amp;TEXT(MOD(60+2*Q17,12),"00"))))</f>
        <v/>
      </c>
      <c r="S17" s="47"/>
      <c r="T17" s="47"/>
      <c r="U17" s="47"/>
      <c r="V17" s="47"/>
      <c r="W17" s="47"/>
      <c r="X17" s="47"/>
      <c r="Y17" s="47"/>
      <c r="Z17" s="47"/>
      <c r="AA17" s="10"/>
      <c r="AB17" s="10"/>
      <c r="AC17" s="47"/>
      <c r="AD17" s="47"/>
      <c r="AE17" s="47"/>
      <c r="AF17" s="47"/>
      <c r="AG17" s="47"/>
      <c r="AH17" s="47"/>
      <c r="AI17" s="46"/>
      <c r="AJ17" s="46"/>
      <c r="AK17" s="46"/>
      <c r="AL17" s="7"/>
      <c r="AM17" s="49" t="str">
        <f aca="false">IF(OR(C17="",G17=""),"",IFERROR(DATEDIF(C17,G17,"m"),""))</f>
        <v/>
      </c>
      <c r="AN17" s="49" t="str">
        <f aca="false">IF(OR(Q17="",AM17=""),"",60+2*Q17-AM17)</f>
        <v/>
      </c>
      <c r="AO17" s="49" t="str">
        <f aca="false">IF(OR(G17="",AJ17=""),"",AJ17-G17)</f>
        <v/>
      </c>
      <c r="AP17" s="50" t="str">
        <f aca="false">IF(AND(A17="",B17=""),"",IF(J17="","Status needed",IF(OR(J17="Applied",J17="Visit booked",J17="Withdrawn"),"OK",IF(G17="","Date assessed needed",IF(C17="","Date of birth needed",IF(COUNTA(L17,M17,P17,U17,V17,X17)&lt;6,"Band missing",IF(AND(OR(J17="Decision confirmed",J17="Family told",J17="Enrolled"),AG17=""),"Recommendation needed",IF(AND(OR(J17="Family told",J17="Enrolled"),AJ17=""),"Date family told needed","OK"))))))))</f>
        <v/>
      </c>
    </row>
    <row r="18" customFormat="false" ht="15" hidden="false" customHeight="false" outlineLevel="0" collapsed="false">
      <c r="A18" s="7"/>
      <c r="B18" s="7"/>
      <c r="C18" s="46"/>
      <c r="D18" s="7"/>
      <c r="E18" s="47"/>
      <c r="F18" s="46"/>
      <c r="G18" s="46"/>
      <c r="H18" s="7"/>
      <c r="I18" s="7"/>
      <c r="J18" s="47"/>
      <c r="K18" s="47"/>
      <c r="L18" s="47"/>
      <c r="M18" s="47"/>
      <c r="N18" s="47"/>
      <c r="O18" s="10"/>
      <c r="P18" s="47"/>
      <c r="Q18" s="47"/>
      <c r="R18" s="48" t="str">
        <f aca="false">IF(Q18="","",IF(Q18=0,"below 5:00",IF(Q18&gt;=66,"16:00 or above",INT((60+2*Q18)/12)&amp;":"&amp;TEXT(MOD(60+2*Q18,12),"00"))))</f>
        <v/>
      </c>
      <c r="S18" s="47"/>
      <c r="T18" s="47"/>
      <c r="U18" s="47"/>
      <c r="V18" s="47"/>
      <c r="W18" s="47"/>
      <c r="X18" s="47"/>
      <c r="Y18" s="47"/>
      <c r="Z18" s="47"/>
      <c r="AA18" s="10"/>
      <c r="AB18" s="10"/>
      <c r="AC18" s="47"/>
      <c r="AD18" s="47"/>
      <c r="AE18" s="47"/>
      <c r="AF18" s="47"/>
      <c r="AG18" s="47"/>
      <c r="AH18" s="47"/>
      <c r="AI18" s="46"/>
      <c r="AJ18" s="46"/>
      <c r="AK18" s="46"/>
      <c r="AL18" s="7"/>
      <c r="AM18" s="49" t="str">
        <f aca="false">IF(OR(C18="",G18=""),"",IFERROR(DATEDIF(C18,G18,"m"),""))</f>
        <v/>
      </c>
      <c r="AN18" s="49" t="str">
        <f aca="false">IF(OR(Q18="",AM18=""),"",60+2*Q18-AM18)</f>
        <v/>
      </c>
      <c r="AO18" s="49" t="str">
        <f aca="false">IF(OR(G18="",AJ18=""),"",AJ18-G18)</f>
        <v/>
      </c>
      <c r="AP18" s="50" t="str">
        <f aca="false">IF(AND(A18="",B18=""),"",IF(J18="","Status needed",IF(OR(J18="Applied",J18="Visit booked",J18="Withdrawn"),"OK",IF(G18="","Date assessed needed",IF(C18="","Date of birth needed",IF(COUNTA(L18,M18,P18,U18,V18,X18)&lt;6,"Band missing",IF(AND(OR(J18="Decision confirmed",J18="Family told",J18="Enrolled"),AG18=""),"Recommendation needed",IF(AND(OR(J18="Family told",J18="Enrolled"),AJ18=""),"Date family told needed","OK"))))))))</f>
        <v/>
      </c>
    </row>
    <row r="19" customFormat="false" ht="15" hidden="false" customHeight="false" outlineLevel="0" collapsed="false">
      <c r="A19" s="7"/>
      <c r="B19" s="7"/>
      <c r="C19" s="46"/>
      <c r="D19" s="7"/>
      <c r="E19" s="47"/>
      <c r="F19" s="46"/>
      <c r="G19" s="46"/>
      <c r="H19" s="7"/>
      <c r="I19" s="7"/>
      <c r="J19" s="47"/>
      <c r="K19" s="47"/>
      <c r="L19" s="47"/>
      <c r="M19" s="47"/>
      <c r="N19" s="47"/>
      <c r="O19" s="10"/>
      <c r="P19" s="47"/>
      <c r="Q19" s="47"/>
      <c r="R19" s="48" t="str">
        <f aca="false">IF(Q19="","",IF(Q19=0,"below 5:00",IF(Q19&gt;=66,"16:00 or above",INT((60+2*Q19)/12)&amp;":"&amp;TEXT(MOD(60+2*Q19,12),"00"))))</f>
        <v/>
      </c>
      <c r="S19" s="47"/>
      <c r="T19" s="47"/>
      <c r="U19" s="47"/>
      <c r="V19" s="47"/>
      <c r="W19" s="47"/>
      <c r="X19" s="47"/>
      <c r="Y19" s="47"/>
      <c r="Z19" s="47"/>
      <c r="AA19" s="10"/>
      <c r="AB19" s="10"/>
      <c r="AC19" s="47"/>
      <c r="AD19" s="47"/>
      <c r="AE19" s="47"/>
      <c r="AF19" s="47"/>
      <c r="AG19" s="47"/>
      <c r="AH19" s="47"/>
      <c r="AI19" s="46"/>
      <c r="AJ19" s="46"/>
      <c r="AK19" s="46"/>
      <c r="AL19" s="7"/>
      <c r="AM19" s="49" t="str">
        <f aca="false">IF(OR(C19="",G19=""),"",IFERROR(DATEDIF(C19,G19,"m"),""))</f>
        <v/>
      </c>
      <c r="AN19" s="49" t="str">
        <f aca="false">IF(OR(Q19="",AM19=""),"",60+2*Q19-AM19)</f>
        <v/>
      </c>
      <c r="AO19" s="49" t="str">
        <f aca="false">IF(OR(G19="",AJ19=""),"",AJ19-G19)</f>
        <v/>
      </c>
      <c r="AP19" s="50" t="str">
        <f aca="false">IF(AND(A19="",B19=""),"",IF(J19="","Status needed",IF(OR(J19="Applied",J19="Visit booked",J19="Withdrawn"),"OK",IF(G19="","Date assessed needed",IF(C19="","Date of birth needed",IF(COUNTA(L19,M19,P19,U19,V19,X19)&lt;6,"Band missing",IF(AND(OR(J19="Decision confirmed",J19="Family told",J19="Enrolled"),AG19=""),"Recommendation needed",IF(AND(OR(J19="Family told",J19="Enrolled"),AJ19=""),"Date family told needed","OK"))))))))</f>
        <v/>
      </c>
    </row>
    <row r="20" customFormat="false" ht="15" hidden="false" customHeight="false" outlineLevel="0" collapsed="false">
      <c r="A20" s="7"/>
      <c r="B20" s="7"/>
      <c r="C20" s="46"/>
      <c r="D20" s="7"/>
      <c r="E20" s="47"/>
      <c r="F20" s="46"/>
      <c r="G20" s="46"/>
      <c r="H20" s="7"/>
      <c r="I20" s="7"/>
      <c r="J20" s="47"/>
      <c r="K20" s="47"/>
      <c r="L20" s="47"/>
      <c r="M20" s="47"/>
      <c r="N20" s="47"/>
      <c r="O20" s="10"/>
      <c r="P20" s="47"/>
      <c r="Q20" s="47"/>
      <c r="R20" s="48" t="str">
        <f aca="false">IF(Q20="","",IF(Q20=0,"below 5:00",IF(Q20&gt;=66,"16:00 or above",INT((60+2*Q20)/12)&amp;":"&amp;TEXT(MOD(60+2*Q20,12),"00"))))</f>
        <v/>
      </c>
      <c r="S20" s="47"/>
      <c r="T20" s="47"/>
      <c r="U20" s="47"/>
      <c r="V20" s="47"/>
      <c r="W20" s="47"/>
      <c r="X20" s="47"/>
      <c r="Y20" s="47"/>
      <c r="Z20" s="47"/>
      <c r="AA20" s="10"/>
      <c r="AB20" s="10"/>
      <c r="AC20" s="47"/>
      <c r="AD20" s="47"/>
      <c r="AE20" s="47"/>
      <c r="AF20" s="47"/>
      <c r="AG20" s="47"/>
      <c r="AH20" s="47"/>
      <c r="AI20" s="46"/>
      <c r="AJ20" s="46"/>
      <c r="AK20" s="46"/>
      <c r="AL20" s="7"/>
      <c r="AM20" s="49" t="str">
        <f aca="false">IF(OR(C20="",G20=""),"",IFERROR(DATEDIF(C20,G20,"m"),""))</f>
        <v/>
      </c>
      <c r="AN20" s="49" t="str">
        <f aca="false">IF(OR(Q20="",AM20=""),"",60+2*Q20-AM20)</f>
        <v/>
      </c>
      <c r="AO20" s="49" t="str">
        <f aca="false">IF(OR(G20="",AJ20=""),"",AJ20-G20)</f>
        <v/>
      </c>
      <c r="AP20" s="50" t="str">
        <f aca="false">IF(AND(A20="",B20=""),"",IF(J20="","Status needed",IF(OR(J20="Applied",J20="Visit booked",J20="Withdrawn"),"OK",IF(G20="","Date assessed needed",IF(C20="","Date of birth needed",IF(COUNTA(L20,M20,P20,U20,V20,X20)&lt;6,"Band missing",IF(AND(OR(J20="Decision confirmed",J20="Family told",J20="Enrolled"),AG20=""),"Recommendation needed",IF(AND(OR(J20="Family told",J20="Enrolled"),AJ20=""),"Date family told needed","OK"))))))))</f>
        <v/>
      </c>
    </row>
    <row r="21" customFormat="false" ht="15" hidden="false" customHeight="false" outlineLevel="0" collapsed="false">
      <c r="A21" s="7"/>
      <c r="B21" s="7"/>
      <c r="C21" s="46"/>
      <c r="D21" s="7"/>
      <c r="E21" s="47"/>
      <c r="F21" s="46"/>
      <c r="G21" s="46"/>
      <c r="H21" s="7"/>
      <c r="I21" s="7"/>
      <c r="J21" s="47"/>
      <c r="K21" s="47"/>
      <c r="L21" s="47"/>
      <c r="M21" s="47"/>
      <c r="N21" s="47"/>
      <c r="O21" s="10"/>
      <c r="P21" s="47"/>
      <c r="Q21" s="47"/>
      <c r="R21" s="48" t="str">
        <f aca="false">IF(Q21="","",IF(Q21=0,"below 5:00",IF(Q21&gt;=66,"16:00 or above",INT((60+2*Q21)/12)&amp;":"&amp;TEXT(MOD(60+2*Q21,12),"00"))))</f>
        <v/>
      </c>
      <c r="S21" s="47"/>
      <c r="T21" s="47"/>
      <c r="U21" s="47"/>
      <c r="V21" s="47"/>
      <c r="W21" s="47"/>
      <c r="X21" s="47"/>
      <c r="Y21" s="47"/>
      <c r="Z21" s="47"/>
      <c r="AA21" s="10"/>
      <c r="AB21" s="10"/>
      <c r="AC21" s="47"/>
      <c r="AD21" s="47"/>
      <c r="AE21" s="47"/>
      <c r="AF21" s="47"/>
      <c r="AG21" s="47"/>
      <c r="AH21" s="47"/>
      <c r="AI21" s="46"/>
      <c r="AJ21" s="46"/>
      <c r="AK21" s="46"/>
      <c r="AL21" s="7"/>
      <c r="AM21" s="49" t="str">
        <f aca="false">IF(OR(C21="",G21=""),"",IFERROR(DATEDIF(C21,G21,"m"),""))</f>
        <v/>
      </c>
      <c r="AN21" s="49" t="str">
        <f aca="false">IF(OR(Q21="",AM21=""),"",60+2*Q21-AM21)</f>
        <v/>
      </c>
      <c r="AO21" s="49" t="str">
        <f aca="false">IF(OR(G21="",AJ21=""),"",AJ21-G21)</f>
        <v/>
      </c>
      <c r="AP21" s="50" t="str">
        <f aca="false">IF(AND(A21="",B21=""),"",IF(J21="","Status needed",IF(OR(J21="Applied",J21="Visit booked",J21="Withdrawn"),"OK",IF(G21="","Date assessed needed",IF(C21="","Date of birth needed",IF(COUNTA(L21,M21,P21,U21,V21,X21)&lt;6,"Band missing",IF(AND(OR(J21="Decision confirmed",J21="Family told",J21="Enrolled"),AG21=""),"Recommendation needed",IF(AND(OR(J21="Family told",J21="Enrolled"),AJ21=""),"Date family told needed","OK"))))))))</f>
        <v/>
      </c>
    </row>
    <row r="22" customFormat="false" ht="15" hidden="false" customHeight="false" outlineLevel="0" collapsed="false">
      <c r="A22" s="7"/>
      <c r="B22" s="7"/>
      <c r="C22" s="46"/>
      <c r="D22" s="7"/>
      <c r="E22" s="47"/>
      <c r="F22" s="46"/>
      <c r="G22" s="46"/>
      <c r="H22" s="7"/>
      <c r="I22" s="7"/>
      <c r="J22" s="47"/>
      <c r="K22" s="47"/>
      <c r="L22" s="47"/>
      <c r="M22" s="47"/>
      <c r="N22" s="47"/>
      <c r="O22" s="10"/>
      <c r="P22" s="47"/>
      <c r="Q22" s="47"/>
      <c r="R22" s="48" t="str">
        <f aca="false">IF(Q22="","",IF(Q22=0,"below 5:00",IF(Q22&gt;=66,"16:00 or above",INT((60+2*Q22)/12)&amp;":"&amp;TEXT(MOD(60+2*Q22,12),"00"))))</f>
        <v/>
      </c>
      <c r="S22" s="47"/>
      <c r="T22" s="47"/>
      <c r="U22" s="47"/>
      <c r="V22" s="47"/>
      <c r="W22" s="47"/>
      <c r="X22" s="47"/>
      <c r="Y22" s="47"/>
      <c r="Z22" s="47"/>
      <c r="AA22" s="10"/>
      <c r="AB22" s="10"/>
      <c r="AC22" s="47"/>
      <c r="AD22" s="47"/>
      <c r="AE22" s="47"/>
      <c r="AF22" s="47"/>
      <c r="AG22" s="47"/>
      <c r="AH22" s="47"/>
      <c r="AI22" s="46"/>
      <c r="AJ22" s="46"/>
      <c r="AK22" s="46"/>
      <c r="AL22" s="7"/>
      <c r="AM22" s="49" t="str">
        <f aca="false">IF(OR(C22="",G22=""),"",IFERROR(DATEDIF(C22,G22,"m"),""))</f>
        <v/>
      </c>
      <c r="AN22" s="49" t="str">
        <f aca="false">IF(OR(Q22="",AM22=""),"",60+2*Q22-AM22)</f>
        <v/>
      </c>
      <c r="AO22" s="49" t="str">
        <f aca="false">IF(OR(G22="",AJ22=""),"",AJ22-G22)</f>
        <v/>
      </c>
      <c r="AP22" s="50" t="str">
        <f aca="false">IF(AND(A22="",B22=""),"",IF(J22="","Status needed",IF(OR(J22="Applied",J22="Visit booked",J22="Withdrawn"),"OK",IF(G22="","Date assessed needed",IF(C22="","Date of birth needed",IF(COUNTA(L22,M22,P22,U22,V22,X22)&lt;6,"Band missing",IF(AND(OR(J22="Decision confirmed",J22="Family told",J22="Enrolled"),AG22=""),"Recommendation needed",IF(AND(OR(J22="Family told",J22="Enrolled"),AJ22=""),"Date family told needed","OK"))))))))</f>
        <v/>
      </c>
    </row>
    <row r="23" customFormat="false" ht="15" hidden="false" customHeight="false" outlineLevel="0" collapsed="false">
      <c r="A23" s="7"/>
      <c r="B23" s="7"/>
      <c r="C23" s="46"/>
      <c r="D23" s="7"/>
      <c r="E23" s="47"/>
      <c r="F23" s="46"/>
      <c r="G23" s="46"/>
      <c r="H23" s="7"/>
      <c r="I23" s="7"/>
      <c r="J23" s="47"/>
      <c r="K23" s="47"/>
      <c r="L23" s="47"/>
      <c r="M23" s="47"/>
      <c r="N23" s="47"/>
      <c r="O23" s="10"/>
      <c r="P23" s="47"/>
      <c r="Q23" s="47"/>
      <c r="R23" s="48" t="str">
        <f aca="false">IF(Q23="","",IF(Q23=0,"below 5:00",IF(Q23&gt;=66,"16:00 or above",INT((60+2*Q23)/12)&amp;":"&amp;TEXT(MOD(60+2*Q23,12),"00"))))</f>
        <v/>
      </c>
      <c r="S23" s="47"/>
      <c r="T23" s="47"/>
      <c r="U23" s="47"/>
      <c r="V23" s="47"/>
      <c r="W23" s="47"/>
      <c r="X23" s="47"/>
      <c r="Y23" s="47"/>
      <c r="Z23" s="47"/>
      <c r="AA23" s="10"/>
      <c r="AB23" s="10"/>
      <c r="AC23" s="47"/>
      <c r="AD23" s="47"/>
      <c r="AE23" s="47"/>
      <c r="AF23" s="47"/>
      <c r="AG23" s="47"/>
      <c r="AH23" s="47"/>
      <c r="AI23" s="46"/>
      <c r="AJ23" s="46"/>
      <c r="AK23" s="46"/>
      <c r="AL23" s="7"/>
      <c r="AM23" s="49" t="str">
        <f aca="false">IF(OR(C23="",G23=""),"",IFERROR(DATEDIF(C23,G23,"m"),""))</f>
        <v/>
      </c>
      <c r="AN23" s="49" t="str">
        <f aca="false">IF(OR(Q23="",AM23=""),"",60+2*Q23-AM23)</f>
        <v/>
      </c>
      <c r="AO23" s="49" t="str">
        <f aca="false">IF(OR(G23="",AJ23=""),"",AJ23-G23)</f>
        <v/>
      </c>
      <c r="AP23" s="50" t="str">
        <f aca="false">IF(AND(A23="",B23=""),"",IF(J23="","Status needed",IF(OR(J23="Applied",J23="Visit booked",J23="Withdrawn"),"OK",IF(G23="","Date assessed needed",IF(C23="","Date of birth needed",IF(COUNTA(L23,M23,P23,U23,V23,X23)&lt;6,"Band missing",IF(AND(OR(J23="Decision confirmed",J23="Family told",J23="Enrolled"),AG23=""),"Recommendation needed",IF(AND(OR(J23="Family told",J23="Enrolled"),AJ23=""),"Date family told needed","OK"))))))))</f>
        <v/>
      </c>
    </row>
    <row r="24" customFormat="false" ht="15" hidden="false" customHeight="false" outlineLevel="0" collapsed="false">
      <c r="A24" s="7"/>
      <c r="B24" s="7"/>
      <c r="C24" s="46"/>
      <c r="D24" s="7"/>
      <c r="E24" s="47"/>
      <c r="F24" s="46"/>
      <c r="G24" s="46"/>
      <c r="H24" s="7"/>
      <c r="I24" s="7"/>
      <c r="J24" s="47"/>
      <c r="K24" s="47"/>
      <c r="L24" s="47"/>
      <c r="M24" s="47"/>
      <c r="N24" s="47"/>
      <c r="O24" s="10"/>
      <c r="P24" s="47"/>
      <c r="Q24" s="47"/>
      <c r="R24" s="48" t="str">
        <f aca="false">IF(Q24="","",IF(Q24=0,"below 5:00",IF(Q24&gt;=66,"16:00 or above",INT((60+2*Q24)/12)&amp;":"&amp;TEXT(MOD(60+2*Q24,12),"00"))))</f>
        <v/>
      </c>
      <c r="S24" s="47"/>
      <c r="T24" s="47"/>
      <c r="U24" s="47"/>
      <c r="V24" s="47"/>
      <c r="W24" s="47"/>
      <c r="X24" s="47"/>
      <c r="Y24" s="47"/>
      <c r="Z24" s="47"/>
      <c r="AA24" s="10"/>
      <c r="AB24" s="10"/>
      <c r="AC24" s="47"/>
      <c r="AD24" s="47"/>
      <c r="AE24" s="47"/>
      <c r="AF24" s="47"/>
      <c r="AG24" s="47"/>
      <c r="AH24" s="47"/>
      <c r="AI24" s="46"/>
      <c r="AJ24" s="46"/>
      <c r="AK24" s="46"/>
      <c r="AL24" s="7"/>
      <c r="AM24" s="49" t="str">
        <f aca="false">IF(OR(C24="",G24=""),"",IFERROR(DATEDIF(C24,G24,"m"),""))</f>
        <v/>
      </c>
      <c r="AN24" s="49" t="str">
        <f aca="false">IF(OR(Q24="",AM24=""),"",60+2*Q24-AM24)</f>
        <v/>
      </c>
      <c r="AO24" s="49" t="str">
        <f aca="false">IF(OR(G24="",AJ24=""),"",AJ24-G24)</f>
        <v/>
      </c>
      <c r="AP24" s="50" t="str">
        <f aca="false">IF(AND(A24="",B24=""),"",IF(J24="","Status needed",IF(OR(J24="Applied",J24="Visit booked",J24="Withdrawn"),"OK",IF(G24="","Date assessed needed",IF(C24="","Date of birth needed",IF(COUNTA(L24,M24,P24,U24,V24,X24)&lt;6,"Band missing",IF(AND(OR(J24="Decision confirmed",J24="Family told",J24="Enrolled"),AG24=""),"Recommendation needed",IF(AND(OR(J24="Family told",J24="Enrolled"),AJ24=""),"Date family told needed","OK"))))))))</f>
        <v/>
      </c>
    </row>
    <row r="25" customFormat="false" ht="15" hidden="false" customHeight="false" outlineLevel="0" collapsed="false">
      <c r="A25" s="7"/>
      <c r="B25" s="7"/>
      <c r="C25" s="46"/>
      <c r="D25" s="7"/>
      <c r="E25" s="47"/>
      <c r="F25" s="46"/>
      <c r="G25" s="46"/>
      <c r="H25" s="7"/>
      <c r="I25" s="7"/>
      <c r="J25" s="47"/>
      <c r="K25" s="47"/>
      <c r="L25" s="47"/>
      <c r="M25" s="47"/>
      <c r="N25" s="47"/>
      <c r="O25" s="10"/>
      <c r="P25" s="47"/>
      <c r="Q25" s="47"/>
      <c r="R25" s="48" t="str">
        <f aca="false">IF(Q25="","",IF(Q25=0,"below 5:00",IF(Q25&gt;=66,"16:00 or above",INT((60+2*Q25)/12)&amp;":"&amp;TEXT(MOD(60+2*Q25,12),"00"))))</f>
        <v/>
      </c>
      <c r="S25" s="47"/>
      <c r="T25" s="47"/>
      <c r="U25" s="47"/>
      <c r="V25" s="47"/>
      <c r="W25" s="47"/>
      <c r="X25" s="47"/>
      <c r="Y25" s="47"/>
      <c r="Z25" s="47"/>
      <c r="AA25" s="10"/>
      <c r="AB25" s="10"/>
      <c r="AC25" s="47"/>
      <c r="AD25" s="47"/>
      <c r="AE25" s="47"/>
      <c r="AF25" s="47"/>
      <c r="AG25" s="47"/>
      <c r="AH25" s="47"/>
      <c r="AI25" s="46"/>
      <c r="AJ25" s="46"/>
      <c r="AK25" s="46"/>
      <c r="AL25" s="7"/>
      <c r="AM25" s="49" t="str">
        <f aca="false">IF(OR(C25="",G25=""),"",IFERROR(DATEDIF(C25,G25,"m"),""))</f>
        <v/>
      </c>
      <c r="AN25" s="49" t="str">
        <f aca="false">IF(OR(Q25="",AM25=""),"",60+2*Q25-AM25)</f>
        <v/>
      </c>
      <c r="AO25" s="49" t="str">
        <f aca="false">IF(OR(G25="",AJ25=""),"",AJ25-G25)</f>
        <v/>
      </c>
      <c r="AP25" s="50" t="str">
        <f aca="false">IF(AND(A25="",B25=""),"",IF(J25="","Status needed",IF(OR(J25="Applied",J25="Visit booked",J25="Withdrawn"),"OK",IF(G25="","Date assessed needed",IF(C25="","Date of birth needed",IF(COUNTA(L25,M25,P25,U25,V25,X25)&lt;6,"Band missing",IF(AND(OR(J25="Decision confirmed",J25="Family told",J25="Enrolled"),AG25=""),"Recommendation needed",IF(AND(OR(J25="Family told",J25="Enrolled"),AJ25=""),"Date family told needed","OK"))))))))</f>
        <v/>
      </c>
    </row>
    <row r="26" customFormat="false" ht="15" hidden="false" customHeight="false" outlineLevel="0" collapsed="false">
      <c r="A26" s="7"/>
      <c r="B26" s="7"/>
      <c r="C26" s="46"/>
      <c r="D26" s="7"/>
      <c r="E26" s="47"/>
      <c r="F26" s="46"/>
      <c r="G26" s="46"/>
      <c r="H26" s="7"/>
      <c r="I26" s="7"/>
      <c r="J26" s="47"/>
      <c r="K26" s="47"/>
      <c r="L26" s="47"/>
      <c r="M26" s="47"/>
      <c r="N26" s="47"/>
      <c r="O26" s="10"/>
      <c r="P26" s="47"/>
      <c r="Q26" s="47"/>
      <c r="R26" s="48" t="str">
        <f aca="false">IF(Q26="","",IF(Q26=0,"below 5:00",IF(Q26&gt;=66,"16:00 or above",INT((60+2*Q26)/12)&amp;":"&amp;TEXT(MOD(60+2*Q26,12),"00"))))</f>
        <v/>
      </c>
      <c r="S26" s="47"/>
      <c r="T26" s="47"/>
      <c r="U26" s="47"/>
      <c r="V26" s="47"/>
      <c r="W26" s="47"/>
      <c r="X26" s="47"/>
      <c r="Y26" s="47"/>
      <c r="Z26" s="47"/>
      <c r="AA26" s="10"/>
      <c r="AB26" s="10"/>
      <c r="AC26" s="47"/>
      <c r="AD26" s="47"/>
      <c r="AE26" s="47"/>
      <c r="AF26" s="47"/>
      <c r="AG26" s="47"/>
      <c r="AH26" s="47"/>
      <c r="AI26" s="46"/>
      <c r="AJ26" s="46"/>
      <c r="AK26" s="46"/>
      <c r="AL26" s="7"/>
      <c r="AM26" s="49" t="str">
        <f aca="false">IF(OR(C26="",G26=""),"",IFERROR(DATEDIF(C26,G26,"m"),""))</f>
        <v/>
      </c>
      <c r="AN26" s="49" t="str">
        <f aca="false">IF(OR(Q26="",AM26=""),"",60+2*Q26-AM26)</f>
        <v/>
      </c>
      <c r="AO26" s="49" t="str">
        <f aca="false">IF(OR(G26="",AJ26=""),"",AJ26-G26)</f>
        <v/>
      </c>
      <c r="AP26" s="50" t="str">
        <f aca="false">IF(AND(A26="",B26=""),"",IF(J26="","Status needed",IF(OR(J26="Applied",J26="Visit booked",J26="Withdrawn"),"OK",IF(G26="","Date assessed needed",IF(C26="","Date of birth needed",IF(COUNTA(L26,M26,P26,U26,V26,X26)&lt;6,"Band missing",IF(AND(OR(J26="Decision confirmed",J26="Family told",J26="Enrolled"),AG26=""),"Recommendation needed",IF(AND(OR(J26="Family told",J26="Enrolled"),AJ26=""),"Date family told needed","OK"))))))))</f>
        <v/>
      </c>
    </row>
    <row r="27" customFormat="false" ht="15" hidden="false" customHeight="false" outlineLevel="0" collapsed="false">
      <c r="A27" s="7"/>
      <c r="B27" s="7"/>
      <c r="C27" s="46"/>
      <c r="D27" s="7"/>
      <c r="E27" s="47"/>
      <c r="F27" s="46"/>
      <c r="G27" s="46"/>
      <c r="H27" s="7"/>
      <c r="I27" s="7"/>
      <c r="J27" s="47"/>
      <c r="K27" s="47"/>
      <c r="L27" s="47"/>
      <c r="M27" s="47"/>
      <c r="N27" s="47"/>
      <c r="O27" s="10"/>
      <c r="P27" s="47"/>
      <c r="Q27" s="47"/>
      <c r="R27" s="48" t="str">
        <f aca="false">IF(Q27="","",IF(Q27=0,"below 5:00",IF(Q27&gt;=66,"16:00 or above",INT((60+2*Q27)/12)&amp;":"&amp;TEXT(MOD(60+2*Q27,12),"00"))))</f>
        <v/>
      </c>
      <c r="S27" s="47"/>
      <c r="T27" s="47"/>
      <c r="U27" s="47"/>
      <c r="V27" s="47"/>
      <c r="W27" s="47"/>
      <c r="X27" s="47"/>
      <c r="Y27" s="47"/>
      <c r="Z27" s="47"/>
      <c r="AA27" s="10"/>
      <c r="AB27" s="10"/>
      <c r="AC27" s="47"/>
      <c r="AD27" s="47"/>
      <c r="AE27" s="47"/>
      <c r="AF27" s="47"/>
      <c r="AG27" s="47"/>
      <c r="AH27" s="47"/>
      <c r="AI27" s="46"/>
      <c r="AJ27" s="46"/>
      <c r="AK27" s="46"/>
      <c r="AL27" s="7"/>
      <c r="AM27" s="49" t="str">
        <f aca="false">IF(OR(C27="",G27=""),"",IFERROR(DATEDIF(C27,G27,"m"),""))</f>
        <v/>
      </c>
      <c r="AN27" s="49" t="str">
        <f aca="false">IF(OR(Q27="",AM27=""),"",60+2*Q27-AM27)</f>
        <v/>
      </c>
      <c r="AO27" s="49" t="str">
        <f aca="false">IF(OR(G27="",AJ27=""),"",AJ27-G27)</f>
        <v/>
      </c>
      <c r="AP27" s="50" t="str">
        <f aca="false">IF(AND(A27="",B27=""),"",IF(J27="","Status needed",IF(OR(J27="Applied",J27="Visit booked",J27="Withdrawn"),"OK",IF(G27="","Date assessed needed",IF(C27="","Date of birth needed",IF(COUNTA(L27,M27,P27,U27,V27,X27)&lt;6,"Band missing",IF(AND(OR(J27="Decision confirmed",J27="Family told",J27="Enrolled"),AG27=""),"Recommendation needed",IF(AND(OR(J27="Family told",J27="Enrolled"),AJ27=""),"Date family told needed","OK"))))))))</f>
        <v/>
      </c>
    </row>
    <row r="28" customFormat="false" ht="15" hidden="false" customHeight="false" outlineLevel="0" collapsed="false">
      <c r="A28" s="7"/>
      <c r="B28" s="7"/>
      <c r="C28" s="46"/>
      <c r="D28" s="7"/>
      <c r="E28" s="47"/>
      <c r="F28" s="46"/>
      <c r="G28" s="46"/>
      <c r="H28" s="7"/>
      <c r="I28" s="7"/>
      <c r="J28" s="47"/>
      <c r="K28" s="47"/>
      <c r="L28" s="47"/>
      <c r="M28" s="47"/>
      <c r="N28" s="47"/>
      <c r="O28" s="10"/>
      <c r="P28" s="47"/>
      <c r="Q28" s="47"/>
      <c r="R28" s="48" t="str">
        <f aca="false">IF(Q28="","",IF(Q28=0,"below 5:00",IF(Q28&gt;=66,"16:00 or above",INT((60+2*Q28)/12)&amp;":"&amp;TEXT(MOD(60+2*Q28,12),"00"))))</f>
        <v/>
      </c>
      <c r="S28" s="47"/>
      <c r="T28" s="47"/>
      <c r="U28" s="47"/>
      <c r="V28" s="47"/>
      <c r="W28" s="47"/>
      <c r="X28" s="47"/>
      <c r="Y28" s="47"/>
      <c r="Z28" s="47"/>
      <c r="AA28" s="10"/>
      <c r="AB28" s="10"/>
      <c r="AC28" s="47"/>
      <c r="AD28" s="47"/>
      <c r="AE28" s="47"/>
      <c r="AF28" s="47"/>
      <c r="AG28" s="47"/>
      <c r="AH28" s="47"/>
      <c r="AI28" s="46"/>
      <c r="AJ28" s="46"/>
      <c r="AK28" s="46"/>
      <c r="AL28" s="7"/>
      <c r="AM28" s="49" t="str">
        <f aca="false">IF(OR(C28="",G28=""),"",IFERROR(DATEDIF(C28,G28,"m"),""))</f>
        <v/>
      </c>
      <c r="AN28" s="49" t="str">
        <f aca="false">IF(OR(Q28="",AM28=""),"",60+2*Q28-AM28)</f>
        <v/>
      </c>
      <c r="AO28" s="49" t="str">
        <f aca="false">IF(OR(G28="",AJ28=""),"",AJ28-G28)</f>
        <v/>
      </c>
      <c r="AP28" s="50" t="str">
        <f aca="false">IF(AND(A28="",B28=""),"",IF(J28="","Status needed",IF(OR(J28="Applied",J28="Visit booked",J28="Withdrawn"),"OK",IF(G28="","Date assessed needed",IF(C28="","Date of birth needed",IF(COUNTA(L28,M28,P28,U28,V28,X28)&lt;6,"Band missing",IF(AND(OR(J28="Decision confirmed",J28="Family told",J28="Enrolled"),AG28=""),"Recommendation needed",IF(AND(OR(J28="Family told",J28="Enrolled"),AJ28=""),"Date family told needed","OK"))))))))</f>
        <v/>
      </c>
    </row>
    <row r="29" customFormat="false" ht="15" hidden="false" customHeight="false" outlineLevel="0" collapsed="false">
      <c r="A29" s="7"/>
      <c r="B29" s="7"/>
      <c r="C29" s="46"/>
      <c r="D29" s="7"/>
      <c r="E29" s="47"/>
      <c r="F29" s="46"/>
      <c r="G29" s="46"/>
      <c r="H29" s="7"/>
      <c r="I29" s="7"/>
      <c r="J29" s="47"/>
      <c r="K29" s="47"/>
      <c r="L29" s="47"/>
      <c r="M29" s="47"/>
      <c r="N29" s="47"/>
      <c r="O29" s="10"/>
      <c r="P29" s="47"/>
      <c r="Q29" s="47"/>
      <c r="R29" s="48" t="str">
        <f aca="false">IF(Q29="","",IF(Q29=0,"below 5:00",IF(Q29&gt;=66,"16:00 or above",INT((60+2*Q29)/12)&amp;":"&amp;TEXT(MOD(60+2*Q29,12),"00"))))</f>
        <v/>
      </c>
      <c r="S29" s="47"/>
      <c r="T29" s="47"/>
      <c r="U29" s="47"/>
      <c r="V29" s="47"/>
      <c r="W29" s="47"/>
      <c r="X29" s="47"/>
      <c r="Y29" s="47"/>
      <c r="Z29" s="47"/>
      <c r="AA29" s="10"/>
      <c r="AB29" s="10"/>
      <c r="AC29" s="47"/>
      <c r="AD29" s="47"/>
      <c r="AE29" s="47"/>
      <c r="AF29" s="47"/>
      <c r="AG29" s="47"/>
      <c r="AH29" s="47"/>
      <c r="AI29" s="46"/>
      <c r="AJ29" s="46"/>
      <c r="AK29" s="46"/>
      <c r="AL29" s="7"/>
      <c r="AM29" s="49" t="str">
        <f aca="false">IF(OR(C29="",G29=""),"",IFERROR(DATEDIF(C29,G29,"m"),""))</f>
        <v/>
      </c>
      <c r="AN29" s="49" t="str">
        <f aca="false">IF(OR(Q29="",AM29=""),"",60+2*Q29-AM29)</f>
        <v/>
      </c>
      <c r="AO29" s="49" t="str">
        <f aca="false">IF(OR(G29="",AJ29=""),"",AJ29-G29)</f>
        <v/>
      </c>
      <c r="AP29" s="50" t="str">
        <f aca="false">IF(AND(A29="",B29=""),"",IF(J29="","Status needed",IF(OR(J29="Applied",J29="Visit booked",J29="Withdrawn"),"OK",IF(G29="","Date assessed needed",IF(C29="","Date of birth needed",IF(COUNTA(L29,M29,P29,U29,V29,X29)&lt;6,"Band missing",IF(AND(OR(J29="Decision confirmed",J29="Family told",J29="Enrolled"),AG29=""),"Recommendation needed",IF(AND(OR(J29="Family told",J29="Enrolled"),AJ29=""),"Date family told needed","OK"))))))))</f>
        <v/>
      </c>
    </row>
    <row r="30" customFormat="false" ht="15" hidden="false" customHeight="false" outlineLevel="0" collapsed="false">
      <c r="A30" s="7"/>
      <c r="B30" s="7"/>
      <c r="C30" s="46"/>
      <c r="D30" s="7"/>
      <c r="E30" s="47"/>
      <c r="F30" s="46"/>
      <c r="G30" s="46"/>
      <c r="H30" s="7"/>
      <c r="I30" s="7"/>
      <c r="J30" s="47"/>
      <c r="K30" s="47"/>
      <c r="L30" s="47"/>
      <c r="M30" s="47"/>
      <c r="N30" s="47"/>
      <c r="O30" s="10"/>
      <c r="P30" s="47"/>
      <c r="Q30" s="47"/>
      <c r="R30" s="48" t="str">
        <f aca="false">IF(Q30="","",IF(Q30=0,"below 5:00",IF(Q30&gt;=66,"16:00 or above",INT((60+2*Q30)/12)&amp;":"&amp;TEXT(MOD(60+2*Q30,12),"00"))))</f>
        <v/>
      </c>
      <c r="S30" s="47"/>
      <c r="T30" s="47"/>
      <c r="U30" s="47"/>
      <c r="V30" s="47"/>
      <c r="W30" s="47"/>
      <c r="X30" s="47"/>
      <c r="Y30" s="47"/>
      <c r="Z30" s="47"/>
      <c r="AA30" s="10"/>
      <c r="AB30" s="10"/>
      <c r="AC30" s="47"/>
      <c r="AD30" s="47"/>
      <c r="AE30" s="47"/>
      <c r="AF30" s="47"/>
      <c r="AG30" s="47"/>
      <c r="AH30" s="47"/>
      <c r="AI30" s="46"/>
      <c r="AJ30" s="46"/>
      <c r="AK30" s="46"/>
      <c r="AL30" s="7"/>
      <c r="AM30" s="49" t="str">
        <f aca="false">IF(OR(C30="",G30=""),"",IFERROR(DATEDIF(C30,G30,"m"),""))</f>
        <v/>
      </c>
      <c r="AN30" s="49" t="str">
        <f aca="false">IF(OR(Q30="",AM30=""),"",60+2*Q30-AM30)</f>
        <v/>
      </c>
      <c r="AO30" s="49" t="str">
        <f aca="false">IF(OR(G30="",AJ30=""),"",AJ30-G30)</f>
        <v/>
      </c>
      <c r="AP30" s="50" t="str">
        <f aca="false">IF(AND(A30="",B30=""),"",IF(J30="","Status needed",IF(OR(J30="Applied",J30="Visit booked",J30="Withdrawn"),"OK",IF(G30="","Date assessed needed",IF(C30="","Date of birth needed",IF(COUNTA(L30,M30,P30,U30,V30,X30)&lt;6,"Band missing",IF(AND(OR(J30="Decision confirmed",J30="Family told",J30="Enrolled"),AG30=""),"Recommendation needed",IF(AND(OR(J30="Family told",J30="Enrolled"),AJ30=""),"Date family told needed","OK"))))))))</f>
        <v/>
      </c>
    </row>
    <row r="31" customFormat="false" ht="15" hidden="false" customHeight="false" outlineLevel="0" collapsed="false">
      <c r="A31" s="7"/>
      <c r="B31" s="7"/>
      <c r="C31" s="46"/>
      <c r="D31" s="7"/>
      <c r="E31" s="47"/>
      <c r="F31" s="46"/>
      <c r="G31" s="46"/>
      <c r="H31" s="7"/>
      <c r="I31" s="7"/>
      <c r="J31" s="47"/>
      <c r="K31" s="47"/>
      <c r="L31" s="47"/>
      <c r="M31" s="47"/>
      <c r="N31" s="47"/>
      <c r="O31" s="10"/>
      <c r="P31" s="47"/>
      <c r="Q31" s="47"/>
      <c r="R31" s="48" t="str">
        <f aca="false">IF(Q31="","",IF(Q31=0,"below 5:00",IF(Q31&gt;=66,"16:00 or above",INT((60+2*Q31)/12)&amp;":"&amp;TEXT(MOD(60+2*Q31,12),"00"))))</f>
        <v/>
      </c>
      <c r="S31" s="47"/>
      <c r="T31" s="47"/>
      <c r="U31" s="47"/>
      <c r="V31" s="47"/>
      <c r="W31" s="47"/>
      <c r="X31" s="47"/>
      <c r="Y31" s="47"/>
      <c r="Z31" s="47"/>
      <c r="AA31" s="10"/>
      <c r="AB31" s="10"/>
      <c r="AC31" s="47"/>
      <c r="AD31" s="47"/>
      <c r="AE31" s="47"/>
      <c r="AF31" s="47"/>
      <c r="AG31" s="47"/>
      <c r="AH31" s="47"/>
      <c r="AI31" s="46"/>
      <c r="AJ31" s="46"/>
      <c r="AK31" s="46"/>
      <c r="AL31" s="7"/>
      <c r="AM31" s="49" t="str">
        <f aca="false">IF(OR(C31="",G31=""),"",IFERROR(DATEDIF(C31,G31,"m"),""))</f>
        <v/>
      </c>
      <c r="AN31" s="49" t="str">
        <f aca="false">IF(OR(Q31="",AM31=""),"",60+2*Q31-AM31)</f>
        <v/>
      </c>
      <c r="AO31" s="49" t="str">
        <f aca="false">IF(OR(G31="",AJ31=""),"",AJ31-G31)</f>
        <v/>
      </c>
      <c r="AP31" s="50" t="str">
        <f aca="false">IF(AND(A31="",B31=""),"",IF(J31="","Status needed",IF(OR(J31="Applied",J31="Visit booked",J31="Withdrawn"),"OK",IF(G31="","Date assessed needed",IF(C31="","Date of birth needed",IF(COUNTA(L31,M31,P31,U31,V31,X31)&lt;6,"Band missing",IF(AND(OR(J31="Decision confirmed",J31="Family told",J31="Enrolled"),AG31=""),"Recommendation needed",IF(AND(OR(J31="Family told",J31="Enrolled"),AJ31=""),"Date family told needed","OK"))))))))</f>
        <v/>
      </c>
    </row>
    <row r="32" customFormat="false" ht="15" hidden="false" customHeight="false" outlineLevel="0" collapsed="false">
      <c r="A32" s="7"/>
      <c r="B32" s="7"/>
      <c r="C32" s="46"/>
      <c r="D32" s="7"/>
      <c r="E32" s="47"/>
      <c r="F32" s="46"/>
      <c r="G32" s="46"/>
      <c r="H32" s="7"/>
      <c r="I32" s="7"/>
      <c r="J32" s="47"/>
      <c r="K32" s="47"/>
      <c r="L32" s="47"/>
      <c r="M32" s="47"/>
      <c r="N32" s="47"/>
      <c r="O32" s="10"/>
      <c r="P32" s="47"/>
      <c r="Q32" s="47"/>
      <c r="R32" s="48" t="str">
        <f aca="false">IF(Q32="","",IF(Q32=0,"below 5:00",IF(Q32&gt;=66,"16:00 or above",INT((60+2*Q32)/12)&amp;":"&amp;TEXT(MOD(60+2*Q32,12),"00"))))</f>
        <v/>
      </c>
      <c r="S32" s="47"/>
      <c r="T32" s="47"/>
      <c r="U32" s="47"/>
      <c r="V32" s="47"/>
      <c r="W32" s="47"/>
      <c r="X32" s="47"/>
      <c r="Y32" s="47"/>
      <c r="Z32" s="47"/>
      <c r="AA32" s="10"/>
      <c r="AB32" s="10"/>
      <c r="AC32" s="47"/>
      <c r="AD32" s="47"/>
      <c r="AE32" s="47"/>
      <c r="AF32" s="47"/>
      <c r="AG32" s="47"/>
      <c r="AH32" s="47"/>
      <c r="AI32" s="46"/>
      <c r="AJ32" s="46"/>
      <c r="AK32" s="46"/>
      <c r="AL32" s="7"/>
      <c r="AM32" s="49" t="str">
        <f aca="false">IF(OR(C32="",G32=""),"",IFERROR(DATEDIF(C32,G32,"m"),""))</f>
        <v/>
      </c>
      <c r="AN32" s="49" t="str">
        <f aca="false">IF(OR(Q32="",AM32=""),"",60+2*Q32-AM32)</f>
        <v/>
      </c>
      <c r="AO32" s="49" t="str">
        <f aca="false">IF(OR(G32="",AJ32=""),"",AJ32-G32)</f>
        <v/>
      </c>
      <c r="AP32" s="50" t="str">
        <f aca="false">IF(AND(A32="",B32=""),"",IF(J32="","Status needed",IF(OR(J32="Applied",J32="Visit booked",J32="Withdrawn"),"OK",IF(G32="","Date assessed needed",IF(C32="","Date of birth needed",IF(COUNTA(L32,M32,P32,U32,V32,X32)&lt;6,"Band missing",IF(AND(OR(J32="Decision confirmed",J32="Family told",J32="Enrolled"),AG32=""),"Recommendation needed",IF(AND(OR(J32="Family told",J32="Enrolled"),AJ32=""),"Date family told needed","OK"))))))))</f>
        <v/>
      </c>
    </row>
    <row r="33" customFormat="false" ht="15" hidden="false" customHeight="false" outlineLevel="0" collapsed="false">
      <c r="A33" s="7"/>
      <c r="B33" s="7"/>
      <c r="C33" s="46"/>
      <c r="D33" s="7"/>
      <c r="E33" s="47"/>
      <c r="F33" s="46"/>
      <c r="G33" s="46"/>
      <c r="H33" s="7"/>
      <c r="I33" s="7"/>
      <c r="J33" s="47"/>
      <c r="K33" s="47"/>
      <c r="L33" s="47"/>
      <c r="M33" s="47"/>
      <c r="N33" s="47"/>
      <c r="O33" s="10"/>
      <c r="P33" s="47"/>
      <c r="Q33" s="47"/>
      <c r="R33" s="48" t="str">
        <f aca="false">IF(Q33="","",IF(Q33=0,"below 5:00",IF(Q33&gt;=66,"16:00 or above",INT((60+2*Q33)/12)&amp;":"&amp;TEXT(MOD(60+2*Q33,12),"00"))))</f>
        <v/>
      </c>
      <c r="S33" s="47"/>
      <c r="T33" s="47"/>
      <c r="U33" s="47"/>
      <c r="V33" s="47"/>
      <c r="W33" s="47"/>
      <c r="X33" s="47"/>
      <c r="Y33" s="47"/>
      <c r="Z33" s="47"/>
      <c r="AA33" s="10"/>
      <c r="AB33" s="10"/>
      <c r="AC33" s="47"/>
      <c r="AD33" s="47"/>
      <c r="AE33" s="47"/>
      <c r="AF33" s="47"/>
      <c r="AG33" s="47"/>
      <c r="AH33" s="47"/>
      <c r="AI33" s="46"/>
      <c r="AJ33" s="46"/>
      <c r="AK33" s="46"/>
      <c r="AL33" s="7"/>
      <c r="AM33" s="49" t="str">
        <f aca="false">IF(OR(C33="",G33=""),"",IFERROR(DATEDIF(C33,G33,"m"),""))</f>
        <v/>
      </c>
      <c r="AN33" s="49" t="str">
        <f aca="false">IF(OR(Q33="",AM33=""),"",60+2*Q33-AM33)</f>
        <v/>
      </c>
      <c r="AO33" s="49" t="str">
        <f aca="false">IF(OR(G33="",AJ33=""),"",AJ33-G33)</f>
        <v/>
      </c>
      <c r="AP33" s="50" t="str">
        <f aca="false">IF(AND(A33="",B33=""),"",IF(J33="","Status needed",IF(OR(J33="Applied",J33="Visit booked",J33="Withdrawn"),"OK",IF(G33="","Date assessed needed",IF(C33="","Date of birth needed",IF(COUNTA(L33,M33,P33,U33,V33,X33)&lt;6,"Band missing",IF(AND(OR(J33="Decision confirmed",J33="Family told",J33="Enrolled"),AG33=""),"Recommendation needed",IF(AND(OR(J33="Family told",J33="Enrolled"),AJ33=""),"Date family told needed","OK"))))))))</f>
        <v/>
      </c>
    </row>
    <row r="34" customFormat="false" ht="15" hidden="false" customHeight="false" outlineLevel="0" collapsed="false">
      <c r="A34" s="7"/>
      <c r="B34" s="7"/>
      <c r="C34" s="46"/>
      <c r="D34" s="7"/>
      <c r="E34" s="47"/>
      <c r="F34" s="46"/>
      <c r="G34" s="46"/>
      <c r="H34" s="7"/>
      <c r="I34" s="7"/>
      <c r="J34" s="47"/>
      <c r="K34" s="47"/>
      <c r="L34" s="47"/>
      <c r="M34" s="47"/>
      <c r="N34" s="47"/>
      <c r="O34" s="10"/>
      <c r="P34" s="47"/>
      <c r="Q34" s="47"/>
      <c r="R34" s="48" t="str">
        <f aca="false">IF(Q34="","",IF(Q34=0,"below 5:00",IF(Q34&gt;=66,"16:00 or above",INT((60+2*Q34)/12)&amp;":"&amp;TEXT(MOD(60+2*Q34,12),"00"))))</f>
        <v/>
      </c>
      <c r="S34" s="47"/>
      <c r="T34" s="47"/>
      <c r="U34" s="47"/>
      <c r="V34" s="47"/>
      <c r="W34" s="47"/>
      <c r="X34" s="47"/>
      <c r="Y34" s="47"/>
      <c r="Z34" s="47"/>
      <c r="AA34" s="10"/>
      <c r="AB34" s="10"/>
      <c r="AC34" s="47"/>
      <c r="AD34" s="47"/>
      <c r="AE34" s="47"/>
      <c r="AF34" s="47"/>
      <c r="AG34" s="47"/>
      <c r="AH34" s="47"/>
      <c r="AI34" s="46"/>
      <c r="AJ34" s="46"/>
      <c r="AK34" s="46"/>
      <c r="AL34" s="7"/>
      <c r="AM34" s="49" t="str">
        <f aca="false">IF(OR(C34="",G34=""),"",IFERROR(DATEDIF(C34,G34,"m"),""))</f>
        <v/>
      </c>
      <c r="AN34" s="49" t="str">
        <f aca="false">IF(OR(Q34="",AM34=""),"",60+2*Q34-AM34)</f>
        <v/>
      </c>
      <c r="AO34" s="49" t="str">
        <f aca="false">IF(OR(G34="",AJ34=""),"",AJ34-G34)</f>
        <v/>
      </c>
      <c r="AP34" s="50" t="str">
        <f aca="false">IF(AND(A34="",B34=""),"",IF(J34="","Status needed",IF(OR(J34="Applied",J34="Visit booked",J34="Withdrawn"),"OK",IF(G34="","Date assessed needed",IF(C34="","Date of birth needed",IF(COUNTA(L34,M34,P34,U34,V34,X34)&lt;6,"Band missing",IF(AND(OR(J34="Decision confirmed",J34="Family told",J34="Enrolled"),AG34=""),"Recommendation needed",IF(AND(OR(J34="Family told",J34="Enrolled"),AJ34=""),"Date family told needed","OK"))))))))</f>
        <v/>
      </c>
    </row>
    <row r="35" customFormat="false" ht="15" hidden="false" customHeight="false" outlineLevel="0" collapsed="false">
      <c r="A35" s="7"/>
      <c r="B35" s="7"/>
      <c r="C35" s="46"/>
      <c r="D35" s="7"/>
      <c r="E35" s="47"/>
      <c r="F35" s="46"/>
      <c r="G35" s="46"/>
      <c r="H35" s="7"/>
      <c r="I35" s="7"/>
      <c r="J35" s="47"/>
      <c r="K35" s="47"/>
      <c r="L35" s="47"/>
      <c r="M35" s="47"/>
      <c r="N35" s="47"/>
      <c r="O35" s="10"/>
      <c r="P35" s="47"/>
      <c r="Q35" s="47"/>
      <c r="R35" s="48" t="str">
        <f aca="false">IF(Q35="","",IF(Q35=0,"below 5:00",IF(Q35&gt;=66,"16:00 or above",INT((60+2*Q35)/12)&amp;":"&amp;TEXT(MOD(60+2*Q35,12),"00"))))</f>
        <v/>
      </c>
      <c r="S35" s="47"/>
      <c r="T35" s="47"/>
      <c r="U35" s="47"/>
      <c r="V35" s="47"/>
      <c r="W35" s="47"/>
      <c r="X35" s="47"/>
      <c r="Y35" s="47"/>
      <c r="Z35" s="47"/>
      <c r="AA35" s="10"/>
      <c r="AB35" s="10"/>
      <c r="AC35" s="47"/>
      <c r="AD35" s="47"/>
      <c r="AE35" s="47"/>
      <c r="AF35" s="47"/>
      <c r="AG35" s="47"/>
      <c r="AH35" s="47"/>
      <c r="AI35" s="46"/>
      <c r="AJ35" s="46"/>
      <c r="AK35" s="46"/>
      <c r="AL35" s="7"/>
      <c r="AM35" s="49" t="str">
        <f aca="false">IF(OR(C35="",G35=""),"",IFERROR(DATEDIF(C35,G35,"m"),""))</f>
        <v/>
      </c>
      <c r="AN35" s="49" t="str">
        <f aca="false">IF(OR(Q35="",AM35=""),"",60+2*Q35-AM35)</f>
        <v/>
      </c>
      <c r="AO35" s="49" t="str">
        <f aca="false">IF(OR(G35="",AJ35=""),"",AJ35-G35)</f>
        <v/>
      </c>
      <c r="AP35" s="50" t="str">
        <f aca="false">IF(AND(A35="",B35=""),"",IF(J35="","Status needed",IF(OR(J35="Applied",J35="Visit booked",J35="Withdrawn"),"OK",IF(G35="","Date assessed needed",IF(C35="","Date of birth needed",IF(COUNTA(L35,M35,P35,U35,V35,X35)&lt;6,"Band missing",IF(AND(OR(J35="Decision confirmed",J35="Family told",J35="Enrolled"),AG35=""),"Recommendation needed",IF(AND(OR(J35="Family told",J35="Enrolled"),AJ35=""),"Date family told needed","OK"))))))))</f>
        <v/>
      </c>
    </row>
    <row r="36" customFormat="false" ht="15" hidden="false" customHeight="false" outlineLevel="0" collapsed="false">
      <c r="A36" s="7"/>
      <c r="B36" s="7"/>
      <c r="C36" s="46"/>
      <c r="D36" s="7"/>
      <c r="E36" s="47"/>
      <c r="F36" s="46"/>
      <c r="G36" s="46"/>
      <c r="H36" s="7"/>
      <c r="I36" s="7"/>
      <c r="J36" s="47"/>
      <c r="K36" s="47"/>
      <c r="L36" s="47"/>
      <c r="M36" s="47"/>
      <c r="N36" s="47"/>
      <c r="O36" s="10"/>
      <c r="P36" s="47"/>
      <c r="Q36" s="47"/>
      <c r="R36" s="48" t="str">
        <f aca="false">IF(Q36="","",IF(Q36=0,"below 5:00",IF(Q36&gt;=66,"16:00 or above",INT((60+2*Q36)/12)&amp;":"&amp;TEXT(MOD(60+2*Q36,12),"00"))))</f>
        <v/>
      </c>
      <c r="S36" s="47"/>
      <c r="T36" s="47"/>
      <c r="U36" s="47"/>
      <c r="V36" s="47"/>
      <c r="W36" s="47"/>
      <c r="X36" s="47"/>
      <c r="Y36" s="47"/>
      <c r="Z36" s="47"/>
      <c r="AA36" s="10"/>
      <c r="AB36" s="10"/>
      <c r="AC36" s="47"/>
      <c r="AD36" s="47"/>
      <c r="AE36" s="47"/>
      <c r="AF36" s="47"/>
      <c r="AG36" s="47"/>
      <c r="AH36" s="47"/>
      <c r="AI36" s="46"/>
      <c r="AJ36" s="46"/>
      <c r="AK36" s="46"/>
      <c r="AL36" s="7"/>
      <c r="AM36" s="49" t="str">
        <f aca="false">IF(OR(C36="",G36=""),"",IFERROR(DATEDIF(C36,G36,"m"),""))</f>
        <v/>
      </c>
      <c r="AN36" s="49" t="str">
        <f aca="false">IF(OR(Q36="",AM36=""),"",60+2*Q36-AM36)</f>
        <v/>
      </c>
      <c r="AO36" s="49" t="str">
        <f aca="false">IF(OR(G36="",AJ36=""),"",AJ36-G36)</f>
        <v/>
      </c>
      <c r="AP36" s="50" t="str">
        <f aca="false">IF(AND(A36="",B36=""),"",IF(J36="","Status needed",IF(OR(J36="Applied",J36="Visit booked",J36="Withdrawn"),"OK",IF(G36="","Date assessed needed",IF(C36="","Date of birth needed",IF(COUNTA(L36,M36,P36,U36,V36,X36)&lt;6,"Band missing",IF(AND(OR(J36="Decision confirmed",J36="Family told",J36="Enrolled"),AG36=""),"Recommendation needed",IF(AND(OR(J36="Family told",J36="Enrolled"),AJ36=""),"Date family told needed","OK"))))))))</f>
        <v/>
      </c>
    </row>
    <row r="37" customFormat="false" ht="15" hidden="false" customHeight="false" outlineLevel="0" collapsed="false">
      <c r="A37" s="7"/>
      <c r="B37" s="7"/>
      <c r="C37" s="46"/>
      <c r="D37" s="7"/>
      <c r="E37" s="47"/>
      <c r="F37" s="46"/>
      <c r="G37" s="46"/>
      <c r="H37" s="7"/>
      <c r="I37" s="7"/>
      <c r="J37" s="47"/>
      <c r="K37" s="47"/>
      <c r="L37" s="47"/>
      <c r="M37" s="47"/>
      <c r="N37" s="47"/>
      <c r="O37" s="10"/>
      <c r="P37" s="47"/>
      <c r="Q37" s="47"/>
      <c r="R37" s="48" t="str">
        <f aca="false">IF(Q37="","",IF(Q37=0,"below 5:00",IF(Q37&gt;=66,"16:00 or above",INT((60+2*Q37)/12)&amp;":"&amp;TEXT(MOD(60+2*Q37,12),"00"))))</f>
        <v/>
      </c>
      <c r="S37" s="47"/>
      <c r="T37" s="47"/>
      <c r="U37" s="47"/>
      <c r="V37" s="47"/>
      <c r="W37" s="47"/>
      <c r="X37" s="47"/>
      <c r="Y37" s="47"/>
      <c r="Z37" s="47"/>
      <c r="AA37" s="10"/>
      <c r="AB37" s="10"/>
      <c r="AC37" s="47"/>
      <c r="AD37" s="47"/>
      <c r="AE37" s="47"/>
      <c r="AF37" s="47"/>
      <c r="AG37" s="47"/>
      <c r="AH37" s="47"/>
      <c r="AI37" s="46"/>
      <c r="AJ37" s="46"/>
      <c r="AK37" s="46"/>
      <c r="AL37" s="7"/>
      <c r="AM37" s="49" t="str">
        <f aca="false">IF(OR(C37="",G37=""),"",IFERROR(DATEDIF(C37,G37,"m"),""))</f>
        <v/>
      </c>
      <c r="AN37" s="49" t="str">
        <f aca="false">IF(OR(Q37="",AM37=""),"",60+2*Q37-AM37)</f>
        <v/>
      </c>
      <c r="AO37" s="49" t="str">
        <f aca="false">IF(OR(G37="",AJ37=""),"",AJ37-G37)</f>
        <v/>
      </c>
      <c r="AP37" s="50" t="str">
        <f aca="false">IF(AND(A37="",B37=""),"",IF(J37="","Status needed",IF(OR(J37="Applied",J37="Visit booked",J37="Withdrawn"),"OK",IF(G37="","Date assessed needed",IF(C37="","Date of birth needed",IF(COUNTA(L37,M37,P37,U37,V37,X37)&lt;6,"Band missing",IF(AND(OR(J37="Decision confirmed",J37="Family told",J37="Enrolled"),AG37=""),"Recommendation needed",IF(AND(OR(J37="Family told",J37="Enrolled"),AJ37=""),"Date family told needed","OK"))))))))</f>
        <v/>
      </c>
    </row>
    <row r="38" customFormat="false" ht="15" hidden="false" customHeight="false" outlineLevel="0" collapsed="false">
      <c r="A38" s="7"/>
      <c r="B38" s="7"/>
      <c r="C38" s="46"/>
      <c r="D38" s="7"/>
      <c r="E38" s="47"/>
      <c r="F38" s="46"/>
      <c r="G38" s="46"/>
      <c r="H38" s="7"/>
      <c r="I38" s="7"/>
      <c r="J38" s="47"/>
      <c r="K38" s="47"/>
      <c r="L38" s="47"/>
      <c r="M38" s="47"/>
      <c r="N38" s="47"/>
      <c r="O38" s="10"/>
      <c r="P38" s="47"/>
      <c r="Q38" s="47"/>
      <c r="R38" s="48" t="str">
        <f aca="false">IF(Q38="","",IF(Q38=0,"below 5:00",IF(Q38&gt;=66,"16:00 or above",INT((60+2*Q38)/12)&amp;":"&amp;TEXT(MOD(60+2*Q38,12),"00"))))</f>
        <v/>
      </c>
      <c r="S38" s="47"/>
      <c r="T38" s="47"/>
      <c r="U38" s="47"/>
      <c r="V38" s="47"/>
      <c r="W38" s="47"/>
      <c r="X38" s="47"/>
      <c r="Y38" s="47"/>
      <c r="Z38" s="47"/>
      <c r="AA38" s="10"/>
      <c r="AB38" s="10"/>
      <c r="AC38" s="47"/>
      <c r="AD38" s="47"/>
      <c r="AE38" s="47"/>
      <c r="AF38" s="47"/>
      <c r="AG38" s="47"/>
      <c r="AH38" s="47"/>
      <c r="AI38" s="46"/>
      <c r="AJ38" s="46"/>
      <c r="AK38" s="46"/>
      <c r="AL38" s="7"/>
      <c r="AM38" s="49" t="str">
        <f aca="false">IF(OR(C38="",G38=""),"",IFERROR(DATEDIF(C38,G38,"m"),""))</f>
        <v/>
      </c>
      <c r="AN38" s="49" t="str">
        <f aca="false">IF(OR(Q38="",AM38=""),"",60+2*Q38-AM38)</f>
        <v/>
      </c>
      <c r="AO38" s="49" t="str">
        <f aca="false">IF(OR(G38="",AJ38=""),"",AJ38-G38)</f>
        <v/>
      </c>
      <c r="AP38" s="50" t="str">
        <f aca="false">IF(AND(A38="",B38=""),"",IF(J38="","Status needed",IF(OR(J38="Applied",J38="Visit booked",J38="Withdrawn"),"OK",IF(G38="","Date assessed needed",IF(C38="","Date of birth needed",IF(COUNTA(L38,M38,P38,U38,V38,X38)&lt;6,"Band missing",IF(AND(OR(J38="Decision confirmed",J38="Family told",J38="Enrolled"),AG38=""),"Recommendation needed",IF(AND(OR(J38="Family told",J38="Enrolled"),AJ38=""),"Date family told needed","OK"))))))))</f>
        <v/>
      </c>
    </row>
    <row r="39" customFormat="false" ht="15" hidden="false" customHeight="false" outlineLevel="0" collapsed="false">
      <c r="A39" s="7"/>
      <c r="B39" s="7"/>
      <c r="C39" s="46"/>
      <c r="D39" s="7"/>
      <c r="E39" s="47"/>
      <c r="F39" s="46"/>
      <c r="G39" s="46"/>
      <c r="H39" s="7"/>
      <c r="I39" s="7"/>
      <c r="J39" s="47"/>
      <c r="K39" s="47"/>
      <c r="L39" s="47"/>
      <c r="M39" s="47"/>
      <c r="N39" s="47"/>
      <c r="O39" s="10"/>
      <c r="P39" s="47"/>
      <c r="Q39" s="47"/>
      <c r="R39" s="48" t="str">
        <f aca="false">IF(Q39="","",IF(Q39=0,"below 5:00",IF(Q39&gt;=66,"16:00 or above",INT((60+2*Q39)/12)&amp;":"&amp;TEXT(MOD(60+2*Q39,12),"00"))))</f>
        <v/>
      </c>
      <c r="S39" s="47"/>
      <c r="T39" s="47"/>
      <c r="U39" s="47"/>
      <c r="V39" s="47"/>
      <c r="W39" s="47"/>
      <c r="X39" s="47"/>
      <c r="Y39" s="47"/>
      <c r="Z39" s="47"/>
      <c r="AA39" s="10"/>
      <c r="AB39" s="10"/>
      <c r="AC39" s="47"/>
      <c r="AD39" s="47"/>
      <c r="AE39" s="47"/>
      <c r="AF39" s="47"/>
      <c r="AG39" s="47"/>
      <c r="AH39" s="47"/>
      <c r="AI39" s="46"/>
      <c r="AJ39" s="46"/>
      <c r="AK39" s="46"/>
      <c r="AL39" s="7"/>
      <c r="AM39" s="49" t="str">
        <f aca="false">IF(OR(C39="",G39=""),"",IFERROR(DATEDIF(C39,G39,"m"),""))</f>
        <v/>
      </c>
      <c r="AN39" s="49" t="str">
        <f aca="false">IF(OR(Q39="",AM39=""),"",60+2*Q39-AM39)</f>
        <v/>
      </c>
      <c r="AO39" s="49" t="str">
        <f aca="false">IF(OR(G39="",AJ39=""),"",AJ39-G39)</f>
        <v/>
      </c>
      <c r="AP39" s="50" t="str">
        <f aca="false">IF(AND(A39="",B39=""),"",IF(J39="","Status needed",IF(OR(J39="Applied",J39="Visit booked",J39="Withdrawn"),"OK",IF(G39="","Date assessed needed",IF(C39="","Date of birth needed",IF(COUNTA(L39,M39,P39,U39,V39,X39)&lt;6,"Band missing",IF(AND(OR(J39="Decision confirmed",J39="Family told",J39="Enrolled"),AG39=""),"Recommendation needed",IF(AND(OR(J39="Family told",J39="Enrolled"),AJ39=""),"Date family told needed","OK"))))))))</f>
        <v/>
      </c>
    </row>
    <row r="40" customFormat="false" ht="15" hidden="false" customHeight="false" outlineLevel="0" collapsed="false">
      <c r="A40" s="7"/>
      <c r="B40" s="7"/>
      <c r="C40" s="46"/>
      <c r="D40" s="7"/>
      <c r="E40" s="47"/>
      <c r="F40" s="46"/>
      <c r="G40" s="46"/>
      <c r="H40" s="7"/>
      <c r="I40" s="7"/>
      <c r="J40" s="47"/>
      <c r="K40" s="47"/>
      <c r="L40" s="47"/>
      <c r="M40" s="47"/>
      <c r="N40" s="47"/>
      <c r="O40" s="10"/>
      <c r="P40" s="47"/>
      <c r="Q40" s="47"/>
      <c r="R40" s="48" t="str">
        <f aca="false">IF(Q40="","",IF(Q40=0,"below 5:00",IF(Q40&gt;=66,"16:00 or above",INT((60+2*Q40)/12)&amp;":"&amp;TEXT(MOD(60+2*Q40,12),"00"))))</f>
        <v/>
      </c>
      <c r="S40" s="47"/>
      <c r="T40" s="47"/>
      <c r="U40" s="47"/>
      <c r="V40" s="47"/>
      <c r="W40" s="47"/>
      <c r="X40" s="47"/>
      <c r="Y40" s="47"/>
      <c r="Z40" s="47"/>
      <c r="AA40" s="10"/>
      <c r="AB40" s="10"/>
      <c r="AC40" s="47"/>
      <c r="AD40" s="47"/>
      <c r="AE40" s="47"/>
      <c r="AF40" s="47"/>
      <c r="AG40" s="47"/>
      <c r="AH40" s="47"/>
      <c r="AI40" s="46"/>
      <c r="AJ40" s="46"/>
      <c r="AK40" s="46"/>
      <c r="AL40" s="7"/>
      <c r="AM40" s="49" t="str">
        <f aca="false">IF(OR(C40="",G40=""),"",IFERROR(DATEDIF(C40,G40,"m"),""))</f>
        <v/>
      </c>
      <c r="AN40" s="49" t="str">
        <f aca="false">IF(OR(Q40="",AM40=""),"",60+2*Q40-AM40)</f>
        <v/>
      </c>
      <c r="AO40" s="49" t="str">
        <f aca="false">IF(OR(G40="",AJ40=""),"",AJ40-G40)</f>
        <v/>
      </c>
      <c r="AP40" s="50" t="str">
        <f aca="false">IF(AND(A40="",B40=""),"",IF(J40="","Status needed",IF(OR(J40="Applied",J40="Visit booked",J40="Withdrawn"),"OK",IF(G40="","Date assessed needed",IF(C40="","Date of birth needed",IF(COUNTA(L40,M40,P40,U40,V40,X40)&lt;6,"Band missing",IF(AND(OR(J40="Decision confirmed",J40="Family told",J40="Enrolled"),AG40=""),"Recommendation needed",IF(AND(OR(J40="Family told",J40="Enrolled"),AJ40=""),"Date family told needed","OK"))))))))</f>
        <v/>
      </c>
    </row>
    <row r="41" customFormat="false" ht="15" hidden="false" customHeight="false" outlineLevel="0" collapsed="false">
      <c r="A41" s="7"/>
      <c r="B41" s="7"/>
      <c r="C41" s="46"/>
      <c r="D41" s="7"/>
      <c r="E41" s="47"/>
      <c r="F41" s="46"/>
      <c r="G41" s="46"/>
      <c r="H41" s="7"/>
      <c r="I41" s="7"/>
      <c r="J41" s="47"/>
      <c r="K41" s="47"/>
      <c r="L41" s="47"/>
      <c r="M41" s="47"/>
      <c r="N41" s="47"/>
      <c r="O41" s="10"/>
      <c r="P41" s="47"/>
      <c r="Q41" s="47"/>
      <c r="R41" s="48" t="str">
        <f aca="false">IF(Q41="","",IF(Q41=0,"below 5:00",IF(Q41&gt;=66,"16:00 or above",INT((60+2*Q41)/12)&amp;":"&amp;TEXT(MOD(60+2*Q41,12),"00"))))</f>
        <v/>
      </c>
      <c r="S41" s="47"/>
      <c r="T41" s="47"/>
      <c r="U41" s="47"/>
      <c r="V41" s="47"/>
      <c r="W41" s="47"/>
      <c r="X41" s="47"/>
      <c r="Y41" s="47"/>
      <c r="Z41" s="47"/>
      <c r="AA41" s="10"/>
      <c r="AB41" s="10"/>
      <c r="AC41" s="47"/>
      <c r="AD41" s="47"/>
      <c r="AE41" s="47"/>
      <c r="AF41" s="47"/>
      <c r="AG41" s="47"/>
      <c r="AH41" s="47"/>
      <c r="AI41" s="46"/>
      <c r="AJ41" s="46"/>
      <c r="AK41" s="46"/>
      <c r="AL41" s="7"/>
      <c r="AM41" s="49" t="str">
        <f aca="false">IF(OR(C41="",G41=""),"",IFERROR(DATEDIF(C41,G41,"m"),""))</f>
        <v/>
      </c>
      <c r="AN41" s="49" t="str">
        <f aca="false">IF(OR(Q41="",AM41=""),"",60+2*Q41-AM41)</f>
        <v/>
      </c>
      <c r="AO41" s="49" t="str">
        <f aca="false">IF(OR(G41="",AJ41=""),"",AJ41-G41)</f>
        <v/>
      </c>
      <c r="AP41" s="50" t="str">
        <f aca="false">IF(AND(A41="",B41=""),"",IF(J41="","Status needed",IF(OR(J41="Applied",J41="Visit booked",J41="Withdrawn"),"OK",IF(G41="","Date assessed needed",IF(C41="","Date of birth needed",IF(COUNTA(L41,M41,P41,U41,V41,X41)&lt;6,"Band missing",IF(AND(OR(J41="Decision confirmed",J41="Family told",J41="Enrolled"),AG41=""),"Recommendation needed",IF(AND(OR(J41="Family told",J41="Enrolled"),AJ41=""),"Date family told needed","OK"))))))))</f>
        <v/>
      </c>
    </row>
    <row r="42" customFormat="false" ht="15" hidden="false" customHeight="false" outlineLevel="0" collapsed="false">
      <c r="A42" s="7"/>
      <c r="B42" s="7"/>
      <c r="C42" s="46"/>
      <c r="D42" s="7"/>
      <c r="E42" s="47"/>
      <c r="F42" s="46"/>
      <c r="G42" s="46"/>
      <c r="H42" s="7"/>
      <c r="I42" s="7"/>
      <c r="J42" s="47"/>
      <c r="K42" s="47"/>
      <c r="L42" s="47"/>
      <c r="M42" s="47"/>
      <c r="N42" s="47"/>
      <c r="O42" s="10"/>
      <c r="P42" s="47"/>
      <c r="Q42" s="47"/>
      <c r="R42" s="48" t="str">
        <f aca="false">IF(Q42="","",IF(Q42=0,"below 5:00",IF(Q42&gt;=66,"16:00 or above",INT((60+2*Q42)/12)&amp;":"&amp;TEXT(MOD(60+2*Q42,12),"00"))))</f>
        <v/>
      </c>
      <c r="S42" s="47"/>
      <c r="T42" s="47"/>
      <c r="U42" s="47"/>
      <c r="V42" s="47"/>
      <c r="W42" s="47"/>
      <c r="X42" s="47"/>
      <c r="Y42" s="47"/>
      <c r="Z42" s="47"/>
      <c r="AA42" s="10"/>
      <c r="AB42" s="10"/>
      <c r="AC42" s="47"/>
      <c r="AD42" s="47"/>
      <c r="AE42" s="47"/>
      <c r="AF42" s="47"/>
      <c r="AG42" s="47"/>
      <c r="AH42" s="47"/>
      <c r="AI42" s="46"/>
      <c r="AJ42" s="46"/>
      <c r="AK42" s="46"/>
      <c r="AL42" s="7"/>
      <c r="AM42" s="49" t="str">
        <f aca="false">IF(OR(C42="",G42=""),"",IFERROR(DATEDIF(C42,G42,"m"),""))</f>
        <v/>
      </c>
      <c r="AN42" s="49" t="str">
        <f aca="false">IF(OR(Q42="",AM42=""),"",60+2*Q42-AM42)</f>
        <v/>
      </c>
      <c r="AO42" s="49" t="str">
        <f aca="false">IF(OR(G42="",AJ42=""),"",AJ42-G42)</f>
        <v/>
      </c>
      <c r="AP42" s="50" t="str">
        <f aca="false">IF(AND(A42="",B42=""),"",IF(J42="","Status needed",IF(OR(J42="Applied",J42="Visit booked",J42="Withdrawn"),"OK",IF(G42="","Date assessed needed",IF(C42="","Date of birth needed",IF(COUNTA(L42,M42,P42,U42,V42,X42)&lt;6,"Band missing",IF(AND(OR(J42="Decision confirmed",J42="Family told",J42="Enrolled"),AG42=""),"Recommendation needed",IF(AND(OR(J42="Family told",J42="Enrolled"),AJ42=""),"Date family told needed","OK"))))))))</f>
        <v/>
      </c>
    </row>
    <row r="43" customFormat="false" ht="15" hidden="false" customHeight="false" outlineLevel="0" collapsed="false">
      <c r="A43" s="7"/>
      <c r="B43" s="7"/>
      <c r="C43" s="46"/>
      <c r="D43" s="7"/>
      <c r="E43" s="47"/>
      <c r="F43" s="46"/>
      <c r="G43" s="46"/>
      <c r="H43" s="7"/>
      <c r="I43" s="7"/>
      <c r="J43" s="47"/>
      <c r="K43" s="47"/>
      <c r="L43" s="47"/>
      <c r="M43" s="47"/>
      <c r="N43" s="47"/>
      <c r="O43" s="10"/>
      <c r="P43" s="47"/>
      <c r="Q43" s="47"/>
      <c r="R43" s="48" t="str">
        <f aca="false">IF(Q43="","",IF(Q43=0,"below 5:00",IF(Q43&gt;=66,"16:00 or above",INT((60+2*Q43)/12)&amp;":"&amp;TEXT(MOD(60+2*Q43,12),"00"))))</f>
        <v/>
      </c>
      <c r="S43" s="47"/>
      <c r="T43" s="47"/>
      <c r="U43" s="47"/>
      <c r="V43" s="47"/>
      <c r="W43" s="47"/>
      <c r="X43" s="47"/>
      <c r="Y43" s="47"/>
      <c r="Z43" s="47"/>
      <c r="AA43" s="10"/>
      <c r="AB43" s="10"/>
      <c r="AC43" s="47"/>
      <c r="AD43" s="47"/>
      <c r="AE43" s="47"/>
      <c r="AF43" s="47"/>
      <c r="AG43" s="47"/>
      <c r="AH43" s="47"/>
      <c r="AI43" s="46"/>
      <c r="AJ43" s="46"/>
      <c r="AK43" s="46"/>
      <c r="AL43" s="7"/>
      <c r="AM43" s="49" t="str">
        <f aca="false">IF(OR(C43="",G43=""),"",IFERROR(DATEDIF(C43,G43,"m"),""))</f>
        <v/>
      </c>
      <c r="AN43" s="49" t="str">
        <f aca="false">IF(OR(Q43="",AM43=""),"",60+2*Q43-AM43)</f>
        <v/>
      </c>
      <c r="AO43" s="49" t="str">
        <f aca="false">IF(OR(G43="",AJ43=""),"",AJ43-G43)</f>
        <v/>
      </c>
      <c r="AP43" s="50" t="str">
        <f aca="false">IF(AND(A43="",B43=""),"",IF(J43="","Status needed",IF(OR(J43="Applied",J43="Visit booked",J43="Withdrawn"),"OK",IF(G43="","Date assessed needed",IF(C43="","Date of birth needed",IF(COUNTA(L43,M43,P43,U43,V43,X43)&lt;6,"Band missing",IF(AND(OR(J43="Decision confirmed",J43="Family told",J43="Enrolled"),AG43=""),"Recommendation needed",IF(AND(OR(J43="Family told",J43="Enrolled"),AJ43=""),"Date family told needed","OK"))))))))</f>
        <v/>
      </c>
    </row>
    <row r="44" customFormat="false" ht="15" hidden="false" customHeight="false" outlineLevel="0" collapsed="false">
      <c r="A44" s="7"/>
      <c r="B44" s="7"/>
      <c r="C44" s="46"/>
      <c r="D44" s="7"/>
      <c r="E44" s="47"/>
      <c r="F44" s="46"/>
      <c r="G44" s="46"/>
      <c r="H44" s="7"/>
      <c r="I44" s="7"/>
      <c r="J44" s="47"/>
      <c r="K44" s="47"/>
      <c r="L44" s="47"/>
      <c r="M44" s="47"/>
      <c r="N44" s="47"/>
      <c r="O44" s="10"/>
      <c r="P44" s="47"/>
      <c r="Q44" s="47"/>
      <c r="R44" s="48" t="str">
        <f aca="false">IF(Q44="","",IF(Q44=0,"below 5:00",IF(Q44&gt;=66,"16:00 or above",INT((60+2*Q44)/12)&amp;":"&amp;TEXT(MOD(60+2*Q44,12),"00"))))</f>
        <v/>
      </c>
      <c r="S44" s="47"/>
      <c r="T44" s="47"/>
      <c r="U44" s="47"/>
      <c r="V44" s="47"/>
      <c r="W44" s="47"/>
      <c r="X44" s="47"/>
      <c r="Y44" s="47"/>
      <c r="Z44" s="47"/>
      <c r="AA44" s="10"/>
      <c r="AB44" s="10"/>
      <c r="AC44" s="47"/>
      <c r="AD44" s="47"/>
      <c r="AE44" s="47"/>
      <c r="AF44" s="47"/>
      <c r="AG44" s="47"/>
      <c r="AH44" s="47"/>
      <c r="AI44" s="46"/>
      <c r="AJ44" s="46"/>
      <c r="AK44" s="46"/>
      <c r="AL44" s="7"/>
      <c r="AM44" s="49" t="str">
        <f aca="false">IF(OR(C44="",G44=""),"",IFERROR(DATEDIF(C44,G44,"m"),""))</f>
        <v/>
      </c>
      <c r="AN44" s="49" t="str">
        <f aca="false">IF(OR(Q44="",AM44=""),"",60+2*Q44-AM44)</f>
        <v/>
      </c>
      <c r="AO44" s="49" t="str">
        <f aca="false">IF(OR(G44="",AJ44=""),"",AJ44-G44)</f>
        <v/>
      </c>
      <c r="AP44" s="50" t="str">
        <f aca="false">IF(AND(A44="",B44=""),"",IF(J44="","Status needed",IF(OR(J44="Applied",J44="Visit booked",J44="Withdrawn"),"OK",IF(G44="","Date assessed needed",IF(C44="","Date of birth needed",IF(COUNTA(L44,M44,P44,U44,V44,X44)&lt;6,"Band missing",IF(AND(OR(J44="Decision confirmed",J44="Family told",J44="Enrolled"),AG44=""),"Recommendation needed",IF(AND(OR(J44="Family told",J44="Enrolled"),AJ44=""),"Date family told needed","OK"))))))))</f>
        <v/>
      </c>
    </row>
    <row r="45" customFormat="false" ht="15" hidden="false" customHeight="false" outlineLevel="0" collapsed="false">
      <c r="A45" s="7"/>
      <c r="B45" s="7"/>
      <c r="C45" s="46"/>
      <c r="D45" s="7"/>
      <c r="E45" s="47"/>
      <c r="F45" s="46"/>
      <c r="G45" s="46"/>
      <c r="H45" s="7"/>
      <c r="I45" s="7"/>
      <c r="J45" s="47"/>
      <c r="K45" s="47"/>
      <c r="L45" s="47"/>
      <c r="M45" s="47"/>
      <c r="N45" s="47"/>
      <c r="O45" s="10"/>
      <c r="P45" s="47"/>
      <c r="Q45" s="47"/>
      <c r="R45" s="48" t="str">
        <f aca="false">IF(Q45="","",IF(Q45=0,"below 5:00",IF(Q45&gt;=66,"16:00 or above",INT((60+2*Q45)/12)&amp;":"&amp;TEXT(MOD(60+2*Q45,12),"00"))))</f>
        <v/>
      </c>
      <c r="S45" s="47"/>
      <c r="T45" s="47"/>
      <c r="U45" s="47"/>
      <c r="V45" s="47"/>
      <c r="W45" s="47"/>
      <c r="X45" s="47"/>
      <c r="Y45" s="47"/>
      <c r="Z45" s="47"/>
      <c r="AA45" s="10"/>
      <c r="AB45" s="10"/>
      <c r="AC45" s="47"/>
      <c r="AD45" s="47"/>
      <c r="AE45" s="47"/>
      <c r="AF45" s="47"/>
      <c r="AG45" s="47"/>
      <c r="AH45" s="47"/>
      <c r="AI45" s="46"/>
      <c r="AJ45" s="46"/>
      <c r="AK45" s="46"/>
      <c r="AL45" s="7"/>
      <c r="AM45" s="49" t="str">
        <f aca="false">IF(OR(C45="",G45=""),"",IFERROR(DATEDIF(C45,G45,"m"),""))</f>
        <v/>
      </c>
      <c r="AN45" s="49" t="str">
        <f aca="false">IF(OR(Q45="",AM45=""),"",60+2*Q45-AM45)</f>
        <v/>
      </c>
      <c r="AO45" s="49" t="str">
        <f aca="false">IF(OR(G45="",AJ45=""),"",AJ45-G45)</f>
        <v/>
      </c>
      <c r="AP45" s="50" t="str">
        <f aca="false">IF(AND(A45="",B45=""),"",IF(J45="","Status needed",IF(OR(J45="Applied",J45="Visit booked",J45="Withdrawn"),"OK",IF(G45="","Date assessed needed",IF(C45="","Date of birth needed",IF(COUNTA(L45,M45,P45,U45,V45,X45)&lt;6,"Band missing",IF(AND(OR(J45="Decision confirmed",J45="Family told",J45="Enrolled"),AG45=""),"Recommendation needed",IF(AND(OR(J45="Family told",J45="Enrolled"),AJ45=""),"Date family told needed","OK"))))))))</f>
        <v/>
      </c>
    </row>
    <row r="46" customFormat="false" ht="15" hidden="false" customHeight="false" outlineLevel="0" collapsed="false">
      <c r="A46" s="7"/>
      <c r="B46" s="7"/>
      <c r="C46" s="46"/>
      <c r="D46" s="7"/>
      <c r="E46" s="47"/>
      <c r="F46" s="46"/>
      <c r="G46" s="46"/>
      <c r="H46" s="7"/>
      <c r="I46" s="7"/>
      <c r="J46" s="47"/>
      <c r="K46" s="47"/>
      <c r="L46" s="47"/>
      <c r="M46" s="47"/>
      <c r="N46" s="47"/>
      <c r="O46" s="10"/>
      <c r="P46" s="47"/>
      <c r="Q46" s="47"/>
      <c r="R46" s="48" t="str">
        <f aca="false">IF(Q46="","",IF(Q46=0,"below 5:00",IF(Q46&gt;=66,"16:00 or above",INT((60+2*Q46)/12)&amp;":"&amp;TEXT(MOD(60+2*Q46,12),"00"))))</f>
        <v/>
      </c>
      <c r="S46" s="47"/>
      <c r="T46" s="47"/>
      <c r="U46" s="47"/>
      <c r="V46" s="47"/>
      <c r="W46" s="47"/>
      <c r="X46" s="47"/>
      <c r="Y46" s="47"/>
      <c r="Z46" s="47"/>
      <c r="AA46" s="10"/>
      <c r="AB46" s="10"/>
      <c r="AC46" s="47"/>
      <c r="AD46" s="47"/>
      <c r="AE46" s="47"/>
      <c r="AF46" s="47"/>
      <c r="AG46" s="47"/>
      <c r="AH46" s="47"/>
      <c r="AI46" s="46"/>
      <c r="AJ46" s="46"/>
      <c r="AK46" s="46"/>
      <c r="AL46" s="7"/>
      <c r="AM46" s="49" t="str">
        <f aca="false">IF(OR(C46="",G46=""),"",IFERROR(DATEDIF(C46,G46,"m"),""))</f>
        <v/>
      </c>
      <c r="AN46" s="49" t="str">
        <f aca="false">IF(OR(Q46="",AM46=""),"",60+2*Q46-AM46)</f>
        <v/>
      </c>
      <c r="AO46" s="49" t="str">
        <f aca="false">IF(OR(G46="",AJ46=""),"",AJ46-G46)</f>
        <v/>
      </c>
      <c r="AP46" s="50" t="str">
        <f aca="false">IF(AND(A46="",B46=""),"",IF(J46="","Status needed",IF(OR(J46="Applied",J46="Visit booked",J46="Withdrawn"),"OK",IF(G46="","Date assessed needed",IF(C46="","Date of birth needed",IF(COUNTA(L46,M46,P46,U46,V46,X46)&lt;6,"Band missing",IF(AND(OR(J46="Decision confirmed",J46="Family told",J46="Enrolled"),AG46=""),"Recommendation needed",IF(AND(OR(J46="Family told",J46="Enrolled"),AJ46=""),"Date family told needed","OK"))))))))</f>
        <v/>
      </c>
    </row>
    <row r="47" customFormat="false" ht="15" hidden="false" customHeight="false" outlineLevel="0" collapsed="false">
      <c r="A47" s="7"/>
      <c r="B47" s="7"/>
      <c r="C47" s="46"/>
      <c r="D47" s="7"/>
      <c r="E47" s="47"/>
      <c r="F47" s="46"/>
      <c r="G47" s="46"/>
      <c r="H47" s="7"/>
      <c r="I47" s="7"/>
      <c r="J47" s="47"/>
      <c r="K47" s="47"/>
      <c r="L47" s="47"/>
      <c r="M47" s="47"/>
      <c r="N47" s="47"/>
      <c r="O47" s="10"/>
      <c r="P47" s="47"/>
      <c r="Q47" s="47"/>
      <c r="R47" s="48" t="str">
        <f aca="false">IF(Q47="","",IF(Q47=0,"below 5:00",IF(Q47&gt;=66,"16:00 or above",INT((60+2*Q47)/12)&amp;":"&amp;TEXT(MOD(60+2*Q47,12),"00"))))</f>
        <v/>
      </c>
      <c r="S47" s="47"/>
      <c r="T47" s="47"/>
      <c r="U47" s="47"/>
      <c r="V47" s="47"/>
      <c r="W47" s="47"/>
      <c r="X47" s="47"/>
      <c r="Y47" s="47"/>
      <c r="Z47" s="47"/>
      <c r="AA47" s="10"/>
      <c r="AB47" s="10"/>
      <c r="AC47" s="47"/>
      <c r="AD47" s="47"/>
      <c r="AE47" s="47"/>
      <c r="AF47" s="47"/>
      <c r="AG47" s="47"/>
      <c r="AH47" s="47"/>
      <c r="AI47" s="46"/>
      <c r="AJ47" s="46"/>
      <c r="AK47" s="46"/>
      <c r="AL47" s="7"/>
      <c r="AM47" s="49" t="str">
        <f aca="false">IF(OR(C47="",G47=""),"",IFERROR(DATEDIF(C47,G47,"m"),""))</f>
        <v/>
      </c>
      <c r="AN47" s="49" t="str">
        <f aca="false">IF(OR(Q47="",AM47=""),"",60+2*Q47-AM47)</f>
        <v/>
      </c>
      <c r="AO47" s="49" t="str">
        <f aca="false">IF(OR(G47="",AJ47=""),"",AJ47-G47)</f>
        <v/>
      </c>
      <c r="AP47" s="50" t="str">
        <f aca="false">IF(AND(A47="",B47=""),"",IF(J47="","Status needed",IF(OR(J47="Applied",J47="Visit booked",J47="Withdrawn"),"OK",IF(G47="","Date assessed needed",IF(C47="","Date of birth needed",IF(COUNTA(L47,M47,P47,U47,V47,X47)&lt;6,"Band missing",IF(AND(OR(J47="Decision confirmed",J47="Family told",J47="Enrolled"),AG47=""),"Recommendation needed",IF(AND(OR(J47="Family told",J47="Enrolled"),AJ47=""),"Date family told needed","OK"))))))))</f>
        <v/>
      </c>
    </row>
    <row r="48" customFormat="false" ht="15" hidden="false" customHeight="false" outlineLevel="0" collapsed="false">
      <c r="A48" s="7"/>
      <c r="B48" s="7"/>
      <c r="C48" s="46"/>
      <c r="D48" s="7"/>
      <c r="E48" s="47"/>
      <c r="F48" s="46"/>
      <c r="G48" s="46"/>
      <c r="H48" s="7"/>
      <c r="I48" s="7"/>
      <c r="J48" s="47"/>
      <c r="K48" s="47"/>
      <c r="L48" s="47"/>
      <c r="M48" s="47"/>
      <c r="N48" s="47"/>
      <c r="O48" s="10"/>
      <c r="P48" s="47"/>
      <c r="Q48" s="47"/>
      <c r="R48" s="48" t="str">
        <f aca="false">IF(Q48="","",IF(Q48=0,"below 5:00",IF(Q48&gt;=66,"16:00 or above",INT((60+2*Q48)/12)&amp;":"&amp;TEXT(MOD(60+2*Q48,12),"00"))))</f>
        <v/>
      </c>
      <c r="S48" s="47"/>
      <c r="T48" s="47"/>
      <c r="U48" s="47"/>
      <c r="V48" s="47"/>
      <c r="W48" s="47"/>
      <c r="X48" s="47"/>
      <c r="Y48" s="47"/>
      <c r="Z48" s="47"/>
      <c r="AA48" s="10"/>
      <c r="AB48" s="10"/>
      <c r="AC48" s="47"/>
      <c r="AD48" s="47"/>
      <c r="AE48" s="47"/>
      <c r="AF48" s="47"/>
      <c r="AG48" s="47"/>
      <c r="AH48" s="47"/>
      <c r="AI48" s="46"/>
      <c r="AJ48" s="46"/>
      <c r="AK48" s="46"/>
      <c r="AL48" s="7"/>
      <c r="AM48" s="49" t="str">
        <f aca="false">IF(OR(C48="",G48=""),"",IFERROR(DATEDIF(C48,G48,"m"),""))</f>
        <v/>
      </c>
      <c r="AN48" s="49" t="str">
        <f aca="false">IF(OR(Q48="",AM48=""),"",60+2*Q48-AM48)</f>
        <v/>
      </c>
      <c r="AO48" s="49" t="str">
        <f aca="false">IF(OR(G48="",AJ48=""),"",AJ48-G48)</f>
        <v/>
      </c>
      <c r="AP48" s="50" t="str">
        <f aca="false">IF(AND(A48="",B48=""),"",IF(J48="","Status needed",IF(OR(J48="Applied",J48="Visit booked",J48="Withdrawn"),"OK",IF(G48="","Date assessed needed",IF(C48="","Date of birth needed",IF(COUNTA(L48,M48,P48,U48,V48,X48)&lt;6,"Band missing",IF(AND(OR(J48="Decision confirmed",J48="Family told",J48="Enrolled"),AG48=""),"Recommendation needed",IF(AND(OR(J48="Family told",J48="Enrolled"),AJ48=""),"Date family told needed","OK"))))))))</f>
        <v/>
      </c>
    </row>
    <row r="49" customFormat="false" ht="15" hidden="false" customHeight="false" outlineLevel="0" collapsed="false">
      <c r="A49" s="7"/>
      <c r="B49" s="7"/>
      <c r="C49" s="46"/>
      <c r="D49" s="7"/>
      <c r="E49" s="47"/>
      <c r="F49" s="46"/>
      <c r="G49" s="46"/>
      <c r="H49" s="7"/>
      <c r="I49" s="7"/>
      <c r="J49" s="47"/>
      <c r="K49" s="47"/>
      <c r="L49" s="47"/>
      <c r="M49" s="47"/>
      <c r="N49" s="47"/>
      <c r="O49" s="10"/>
      <c r="P49" s="47"/>
      <c r="Q49" s="47"/>
      <c r="R49" s="48" t="str">
        <f aca="false">IF(Q49="","",IF(Q49=0,"below 5:00",IF(Q49&gt;=66,"16:00 or above",INT((60+2*Q49)/12)&amp;":"&amp;TEXT(MOD(60+2*Q49,12),"00"))))</f>
        <v/>
      </c>
      <c r="S49" s="47"/>
      <c r="T49" s="47"/>
      <c r="U49" s="47"/>
      <c r="V49" s="47"/>
      <c r="W49" s="47"/>
      <c r="X49" s="47"/>
      <c r="Y49" s="47"/>
      <c r="Z49" s="47"/>
      <c r="AA49" s="10"/>
      <c r="AB49" s="10"/>
      <c r="AC49" s="47"/>
      <c r="AD49" s="47"/>
      <c r="AE49" s="47"/>
      <c r="AF49" s="47"/>
      <c r="AG49" s="47"/>
      <c r="AH49" s="47"/>
      <c r="AI49" s="46"/>
      <c r="AJ49" s="46"/>
      <c r="AK49" s="46"/>
      <c r="AL49" s="7"/>
      <c r="AM49" s="49" t="str">
        <f aca="false">IF(OR(C49="",G49=""),"",IFERROR(DATEDIF(C49,G49,"m"),""))</f>
        <v/>
      </c>
      <c r="AN49" s="49" t="str">
        <f aca="false">IF(OR(Q49="",AM49=""),"",60+2*Q49-AM49)</f>
        <v/>
      </c>
      <c r="AO49" s="49" t="str">
        <f aca="false">IF(OR(G49="",AJ49=""),"",AJ49-G49)</f>
        <v/>
      </c>
      <c r="AP49" s="50" t="str">
        <f aca="false">IF(AND(A49="",B49=""),"",IF(J49="","Status needed",IF(OR(J49="Applied",J49="Visit booked",J49="Withdrawn"),"OK",IF(G49="","Date assessed needed",IF(C49="","Date of birth needed",IF(COUNTA(L49,M49,P49,U49,V49,X49)&lt;6,"Band missing",IF(AND(OR(J49="Decision confirmed",J49="Family told",J49="Enrolled"),AG49=""),"Recommendation needed",IF(AND(OR(J49="Family told",J49="Enrolled"),AJ49=""),"Date family told needed","OK"))))))))</f>
        <v/>
      </c>
    </row>
    <row r="50" customFormat="false" ht="15" hidden="false" customHeight="false" outlineLevel="0" collapsed="false">
      <c r="A50" s="7"/>
      <c r="B50" s="7"/>
      <c r="C50" s="46"/>
      <c r="D50" s="7"/>
      <c r="E50" s="47"/>
      <c r="F50" s="46"/>
      <c r="G50" s="46"/>
      <c r="H50" s="7"/>
      <c r="I50" s="7"/>
      <c r="J50" s="47"/>
      <c r="K50" s="47"/>
      <c r="L50" s="47"/>
      <c r="M50" s="47"/>
      <c r="N50" s="47"/>
      <c r="O50" s="10"/>
      <c r="P50" s="47"/>
      <c r="Q50" s="47"/>
      <c r="R50" s="48" t="str">
        <f aca="false">IF(Q50="","",IF(Q50=0,"below 5:00",IF(Q50&gt;=66,"16:00 or above",INT((60+2*Q50)/12)&amp;":"&amp;TEXT(MOD(60+2*Q50,12),"00"))))</f>
        <v/>
      </c>
      <c r="S50" s="47"/>
      <c r="T50" s="47"/>
      <c r="U50" s="47"/>
      <c r="V50" s="47"/>
      <c r="W50" s="47"/>
      <c r="X50" s="47"/>
      <c r="Y50" s="47"/>
      <c r="Z50" s="47"/>
      <c r="AA50" s="10"/>
      <c r="AB50" s="10"/>
      <c r="AC50" s="47"/>
      <c r="AD50" s="47"/>
      <c r="AE50" s="47"/>
      <c r="AF50" s="47"/>
      <c r="AG50" s="47"/>
      <c r="AH50" s="47"/>
      <c r="AI50" s="46"/>
      <c r="AJ50" s="46"/>
      <c r="AK50" s="46"/>
      <c r="AL50" s="7"/>
      <c r="AM50" s="49" t="str">
        <f aca="false">IF(OR(C50="",G50=""),"",IFERROR(DATEDIF(C50,G50,"m"),""))</f>
        <v/>
      </c>
      <c r="AN50" s="49" t="str">
        <f aca="false">IF(OR(Q50="",AM50=""),"",60+2*Q50-AM50)</f>
        <v/>
      </c>
      <c r="AO50" s="49" t="str">
        <f aca="false">IF(OR(G50="",AJ50=""),"",AJ50-G50)</f>
        <v/>
      </c>
      <c r="AP50" s="50" t="str">
        <f aca="false">IF(AND(A50="",B50=""),"",IF(J50="","Status needed",IF(OR(J50="Applied",J50="Visit booked",J50="Withdrawn"),"OK",IF(G50="","Date assessed needed",IF(C50="","Date of birth needed",IF(COUNTA(L50,M50,P50,U50,V50,X50)&lt;6,"Band missing",IF(AND(OR(J50="Decision confirmed",J50="Family told",J50="Enrolled"),AG50=""),"Recommendation needed",IF(AND(OR(J50="Family told",J50="Enrolled"),AJ50=""),"Date family told needed","OK"))))))))</f>
        <v/>
      </c>
    </row>
    <row r="51" customFormat="false" ht="15" hidden="false" customHeight="false" outlineLevel="0" collapsed="false">
      <c r="A51" s="7"/>
      <c r="B51" s="7"/>
      <c r="C51" s="46"/>
      <c r="D51" s="7"/>
      <c r="E51" s="47"/>
      <c r="F51" s="46"/>
      <c r="G51" s="46"/>
      <c r="H51" s="7"/>
      <c r="I51" s="7"/>
      <c r="J51" s="47"/>
      <c r="K51" s="47"/>
      <c r="L51" s="47"/>
      <c r="M51" s="47"/>
      <c r="N51" s="47"/>
      <c r="O51" s="10"/>
      <c r="P51" s="47"/>
      <c r="Q51" s="47"/>
      <c r="R51" s="48" t="str">
        <f aca="false">IF(Q51="","",IF(Q51=0,"below 5:00",IF(Q51&gt;=66,"16:00 or above",INT((60+2*Q51)/12)&amp;":"&amp;TEXT(MOD(60+2*Q51,12),"00"))))</f>
        <v/>
      </c>
      <c r="S51" s="47"/>
      <c r="T51" s="47"/>
      <c r="U51" s="47"/>
      <c r="V51" s="47"/>
      <c r="W51" s="47"/>
      <c r="X51" s="47"/>
      <c r="Y51" s="47"/>
      <c r="Z51" s="47"/>
      <c r="AA51" s="10"/>
      <c r="AB51" s="10"/>
      <c r="AC51" s="47"/>
      <c r="AD51" s="47"/>
      <c r="AE51" s="47"/>
      <c r="AF51" s="47"/>
      <c r="AG51" s="47"/>
      <c r="AH51" s="47"/>
      <c r="AI51" s="46"/>
      <c r="AJ51" s="46"/>
      <c r="AK51" s="46"/>
      <c r="AL51" s="7"/>
      <c r="AM51" s="49" t="str">
        <f aca="false">IF(OR(C51="",G51=""),"",IFERROR(DATEDIF(C51,G51,"m"),""))</f>
        <v/>
      </c>
      <c r="AN51" s="49" t="str">
        <f aca="false">IF(OR(Q51="",AM51=""),"",60+2*Q51-AM51)</f>
        <v/>
      </c>
      <c r="AO51" s="49" t="str">
        <f aca="false">IF(OR(G51="",AJ51=""),"",AJ51-G51)</f>
        <v/>
      </c>
      <c r="AP51" s="50" t="str">
        <f aca="false">IF(AND(A51="",B51=""),"",IF(J51="","Status needed",IF(OR(J51="Applied",J51="Visit booked",J51="Withdrawn"),"OK",IF(G51="","Date assessed needed",IF(C51="","Date of birth needed",IF(COUNTA(L51,M51,P51,U51,V51,X51)&lt;6,"Band missing",IF(AND(OR(J51="Decision confirmed",J51="Family told",J51="Enrolled"),AG51=""),"Recommendation needed",IF(AND(OR(J51="Family told",J51="Enrolled"),AJ51=""),"Date family told needed","OK"))))))))</f>
        <v/>
      </c>
    </row>
    <row r="52" customFormat="false" ht="15" hidden="false" customHeight="false" outlineLevel="0" collapsed="false">
      <c r="A52" s="7"/>
      <c r="B52" s="7"/>
      <c r="C52" s="46"/>
      <c r="D52" s="7"/>
      <c r="E52" s="47"/>
      <c r="F52" s="46"/>
      <c r="G52" s="46"/>
      <c r="H52" s="7"/>
      <c r="I52" s="7"/>
      <c r="J52" s="47"/>
      <c r="K52" s="47"/>
      <c r="L52" s="47"/>
      <c r="M52" s="47"/>
      <c r="N52" s="47"/>
      <c r="O52" s="10"/>
      <c r="P52" s="47"/>
      <c r="Q52" s="47"/>
      <c r="R52" s="48" t="str">
        <f aca="false">IF(Q52="","",IF(Q52=0,"below 5:00",IF(Q52&gt;=66,"16:00 or above",INT((60+2*Q52)/12)&amp;":"&amp;TEXT(MOD(60+2*Q52,12),"00"))))</f>
        <v/>
      </c>
      <c r="S52" s="47"/>
      <c r="T52" s="47"/>
      <c r="U52" s="47"/>
      <c r="V52" s="47"/>
      <c r="W52" s="47"/>
      <c r="X52" s="47"/>
      <c r="Y52" s="47"/>
      <c r="Z52" s="47"/>
      <c r="AA52" s="10"/>
      <c r="AB52" s="10"/>
      <c r="AC52" s="47"/>
      <c r="AD52" s="47"/>
      <c r="AE52" s="47"/>
      <c r="AF52" s="47"/>
      <c r="AG52" s="47"/>
      <c r="AH52" s="47"/>
      <c r="AI52" s="46"/>
      <c r="AJ52" s="46"/>
      <c r="AK52" s="46"/>
      <c r="AL52" s="7"/>
      <c r="AM52" s="49" t="str">
        <f aca="false">IF(OR(C52="",G52=""),"",IFERROR(DATEDIF(C52,G52,"m"),""))</f>
        <v/>
      </c>
      <c r="AN52" s="49" t="str">
        <f aca="false">IF(OR(Q52="",AM52=""),"",60+2*Q52-AM52)</f>
        <v/>
      </c>
      <c r="AO52" s="49" t="str">
        <f aca="false">IF(OR(G52="",AJ52=""),"",AJ52-G52)</f>
        <v/>
      </c>
      <c r="AP52" s="50" t="str">
        <f aca="false">IF(AND(A52="",B52=""),"",IF(J52="","Status needed",IF(OR(J52="Applied",J52="Visit booked",J52="Withdrawn"),"OK",IF(G52="","Date assessed needed",IF(C52="","Date of birth needed",IF(COUNTA(L52,M52,P52,U52,V52,X52)&lt;6,"Band missing",IF(AND(OR(J52="Decision confirmed",J52="Family told",J52="Enrolled"),AG52=""),"Recommendation needed",IF(AND(OR(J52="Family told",J52="Enrolled"),AJ52=""),"Date family told needed","OK"))))))))</f>
        <v/>
      </c>
    </row>
    <row r="53" customFormat="false" ht="15" hidden="false" customHeight="false" outlineLevel="0" collapsed="false">
      <c r="A53" s="7"/>
      <c r="B53" s="7"/>
      <c r="C53" s="46"/>
      <c r="D53" s="7"/>
      <c r="E53" s="47"/>
      <c r="F53" s="46"/>
      <c r="G53" s="46"/>
      <c r="H53" s="7"/>
      <c r="I53" s="7"/>
      <c r="J53" s="47"/>
      <c r="K53" s="47"/>
      <c r="L53" s="47"/>
      <c r="M53" s="47"/>
      <c r="N53" s="47"/>
      <c r="O53" s="10"/>
      <c r="P53" s="47"/>
      <c r="Q53" s="47"/>
      <c r="R53" s="48" t="str">
        <f aca="false">IF(Q53="","",IF(Q53=0,"below 5:00",IF(Q53&gt;=66,"16:00 or above",INT((60+2*Q53)/12)&amp;":"&amp;TEXT(MOD(60+2*Q53,12),"00"))))</f>
        <v/>
      </c>
      <c r="S53" s="47"/>
      <c r="T53" s="47"/>
      <c r="U53" s="47"/>
      <c r="V53" s="47"/>
      <c r="W53" s="47"/>
      <c r="X53" s="47"/>
      <c r="Y53" s="47"/>
      <c r="Z53" s="47"/>
      <c r="AA53" s="10"/>
      <c r="AB53" s="10"/>
      <c r="AC53" s="47"/>
      <c r="AD53" s="47"/>
      <c r="AE53" s="47"/>
      <c r="AF53" s="47"/>
      <c r="AG53" s="47"/>
      <c r="AH53" s="47"/>
      <c r="AI53" s="46"/>
      <c r="AJ53" s="46"/>
      <c r="AK53" s="46"/>
      <c r="AL53" s="7"/>
      <c r="AM53" s="49" t="str">
        <f aca="false">IF(OR(C53="",G53=""),"",IFERROR(DATEDIF(C53,G53,"m"),""))</f>
        <v/>
      </c>
      <c r="AN53" s="49" t="str">
        <f aca="false">IF(OR(Q53="",AM53=""),"",60+2*Q53-AM53)</f>
        <v/>
      </c>
      <c r="AO53" s="49" t="str">
        <f aca="false">IF(OR(G53="",AJ53=""),"",AJ53-G53)</f>
        <v/>
      </c>
      <c r="AP53" s="50" t="str">
        <f aca="false">IF(AND(A53="",B53=""),"",IF(J53="","Status needed",IF(OR(J53="Applied",J53="Visit booked",J53="Withdrawn"),"OK",IF(G53="","Date assessed needed",IF(C53="","Date of birth needed",IF(COUNTA(L53,M53,P53,U53,V53,X53)&lt;6,"Band missing",IF(AND(OR(J53="Decision confirmed",J53="Family told",J53="Enrolled"),AG53=""),"Recommendation needed",IF(AND(OR(J53="Family told",J53="Enrolled"),AJ53=""),"Date family told needed","OK"))))))))</f>
        <v/>
      </c>
    </row>
    <row r="54" customFormat="false" ht="15" hidden="false" customHeight="false" outlineLevel="0" collapsed="false">
      <c r="A54" s="7"/>
      <c r="B54" s="7"/>
      <c r="C54" s="46"/>
      <c r="D54" s="7"/>
      <c r="E54" s="47"/>
      <c r="F54" s="46"/>
      <c r="G54" s="46"/>
      <c r="H54" s="7"/>
      <c r="I54" s="7"/>
      <c r="J54" s="47"/>
      <c r="K54" s="47"/>
      <c r="L54" s="47"/>
      <c r="M54" s="47"/>
      <c r="N54" s="47"/>
      <c r="O54" s="10"/>
      <c r="P54" s="47"/>
      <c r="Q54" s="47"/>
      <c r="R54" s="48" t="str">
        <f aca="false">IF(Q54="","",IF(Q54=0,"below 5:00",IF(Q54&gt;=66,"16:00 or above",INT((60+2*Q54)/12)&amp;":"&amp;TEXT(MOD(60+2*Q54,12),"00"))))</f>
        <v/>
      </c>
      <c r="S54" s="47"/>
      <c r="T54" s="47"/>
      <c r="U54" s="47"/>
      <c r="V54" s="47"/>
      <c r="W54" s="47"/>
      <c r="X54" s="47"/>
      <c r="Y54" s="47"/>
      <c r="Z54" s="47"/>
      <c r="AA54" s="10"/>
      <c r="AB54" s="10"/>
      <c r="AC54" s="47"/>
      <c r="AD54" s="47"/>
      <c r="AE54" s="47"/>
      <c r="AF54" s="47"/>
      <c r="AG54" s="47"/>
      <c r="AH54" s="47"/>
      <c r="AI54" s="46"/>
      <c r="AJ54" s="46"/>
      <c r="AK54" s="46"/>
      <c r="AL54" s="7"/>
      <c r="AM54" s="49" t="str">
        <f aca="false">IF(OR(C54="",G54=""),"",IFERROR(DATEDIF(C54,G54,"m"),""))</f>
        <v/>
      </c>
      <c r="AN54" s="49" t="str">
        <f aca="false">IF(OR(Q54="",AM54=""),"",60+2*Q54-AM54)</f>
        <v/>
      </c>
      <c r="AO54" s="49" t="str">
        <f aca="false">IF(OR(G54="",AJ54=""),"",AJ54-G54)</f>
        <v/>
      </c>
      <c r="AP54" s="50" t="str">
        <f aca="false">IF(AND(A54="",B54=""),"",IF(J54="","Status needed",IF(OR(J54="Applied",J54="Visit booked",J54="Withdrawn"),"OK",IF(G54="","Date assessed needed",IF(C54="","Date of birth needed",IF(COUNTA(L54,M54,P54,U54,V54,X54)&lt;6,"Band missing",IF(AND(OR(J54="Decision confirmed",J54="Family told",J54="Enrolled"),AG54=""),"Recommendation needed",IF(AND(OR(J54="Family told",J54="Enrolled"),AJ54=""),"Date family told needed","OK"))))))))</f>
        <v/>
      </c>
    </row>
    <row r="55" customFormat="false" ht="15" hidden="false" customHeight="false" outlineLevel="0" collapsed="false">
      <c r="A55" s="7"/>
      <c r="B55" s="7"/>
      <c r="C55" s="46"/>
      <c r="D55" s="7"/>
      <c r="E55" s="47"/>
      <c r="F55" s="46"/>
      <c r="G55" s="46"/>
      <c r="H55" s="7"/>
      <c r="I55" s="7"/>
      <c r="J55" s="47"/>
      <c r="K55" s="47"/>
      <c r="L55" s="47"/>
      <c r="M55" s="47"/>
      <c r="N55" s="47"/>
      <c r="O55" s="10"/>
      <c r="P55" s="47"/>
      <c r="Q55" s="47"/>
      <c r="R55" s="48" t="str">
        <f aca="false">IF(Q55="","",IF(Q55=0,"below 5:00",IF(Q55&gt;=66,"16:00 or above",INT((60+2*Q55)/12)&amp;":"&amp;TEXT(MOD(60+2*Q55,12),"00"))))</f>
        <v/>
      </c>
      <c r="S55" s="47"/>
      <c r="T55" s="47"/>
      <c r="U55" s="47"/>
      <c r="V55" s="47"/>
      <c r="W55" s="47"/>
      <c r="X55" s="47"/>
      <c r="Y55" s="47"/>
      <c r="Z55" s="47"/>
      <c r="AA55" s="10"/>
      <c r="AB55" s="10"/>
      <c r="AC55" s="47"/>
      <c r="AD55" s="47"/>
      <c r="AE55" s="47"/>
      <c r="AF55" s="47"/>
      <c r="AG55" s="47"/>
      <c r="AH55" s="47"/>
      <c r="AI55" s="46"/>
      <c r="AJ55" s="46"/>
      <c r="AK55" s="46"/>
      <c r="AL55" s="7"/>
      <c r="AM55" s="49" t="str">
        <f aca="false">IF(OR(C55="",G55=""),"",IFERROR(DATEDIF(C55,G55,"m"),""))</f>
        <v/>
      </c>
      <c r="AN55" s="49" t="str">
        <f aca="false">IF(OR(Q55="",AM55=""),"",60+2*Q55-AM55)</f>
        <v/>
      </c>
      <c r="AO55" s="49" t="str">
        <f aca="false">IF(OR(G55="",AJ55=""),"",AJ55-G55)</f>
        <v/>
      </c>
      <c r="AP55" s="50" t="str">
        <f aca="false">IF(AND(A55="",B55=""),"",IF(J55="","Status needed",IF(OR(J55="Applied",J55="Visit booked",J55="Withdrawn"),"OK",IF(G55="","Date assessed needed",IF(C55="","Date of birth needed",IF(COUNTA(L55,M55,P55,U55,V55,X55)&lt;6,"Band missing",IF(AND(OR(J55="Decision confirmed",J55="Family told",J55="Enrolled"),AG55=""),"Recommendation needed",IF(AND(OR(J55="Family told",J55="Enrolled"),AJ55=""),"Date family told needed","OK"))))))))</f>
        <v/>
      </c>
    </row>
    <row r="56" customFormat="false" ht="15" hidden="false" customHeight="false" outlineLevel="0" collapsed="false">
      <c r="A56" s="7"/>
      <c r="B56" s="7"/>
      <c r="C56" s="46"/>
      <c r="D56" s="7"/>
      <c r="E56" s="47"/>
      <c r="F56" s="46"/>
      <c r="G56" s="46"/>
      <c r="H56" s="7"/>
      <c r="I56" s="7"/>
      <c r="J56" s="47"/>
      <c r="K56" s="47"/>
      <c r="L56" s="47"/>
      <c r="M56" s="47"/>
      <c r="N56" s="47"/>
      <c r="O56" s="10"/>
      <c r="P56" s="47"/>
      <c r="Q56" s="47"/>
      <c r="R56" s="48" t="str">
        <f aca="false">IF(Q56="","",IF(Q56=0,"below 5:00",IF(Q56&gt;=66,"16:00 or above",INT((60+2*Q56)/12)&amp;":"&amp;TEXT(MOD(60+2*Q56,12),"00"))))</f>
        <v/>
      </c>
      <c r="S56" s="47"/>
      <c r="T56" s="47"/>
      <c r="U56" s="47"/>
      <c r="V56" s="47"/>
      <c r="W56" s="47"/>
      <c r="X56" s="47"/>
      <c r="Y56" s="47"/>
      <c r="Z56" s="47"/>
      <c r="AA56" s="10"/>
      <c r="AB56" s="10"/>
      <c r="AC56" s="47"/>
      <c r="AD56" s="47"/>
      <c r="AE56" s="47"/>
      <c r="AF56" s="47"/>
      <c r="AG56" s="47"/>
      <c r="AH56" s="47"/>
      <c r="AI56" s="46"/>
      <c r="AJ56" s="46"/>
      <c r="AK56" s="46"/>
      <c r="AL56" s="7"/>
      <c r="AM56" s="49" t="str">
        <f aca="false">IF(OR(C56="",G56=""),"",IFERROR(DATEDIF(C56,G56,"m"),""))</f>
        <v/>
      </c>
      <c r="AN56" s="49" t="str">
        <f aca="false">IF(OR(Q56="",AM56=""),"",60+2*Q56-AM56)</f>
        <v/>
      </c>
      <c r="AO56" s="49" t="str">
        <f aca="false">IF(OR(G56="",AJ56=""),"",AJ56-G56)</f>
        <v/>
      </c>
      <c r="AP56" s="50" t="str">
        <f aca="false">IF(AND(A56="",B56=""),"",IF(J56="","Status needed",IF(OR(J56="Applied",J56="Visit booked",J56="Withdrawn"),"OK",IF(G56="","Date assessed needed",IF(C56="","Date of birth needed",IF(COUNTA(L56,M56,P56,U56,V56,X56)&lt;6,"Band missing",IF(AND(OR(J56="Decision confirmed",J56="Family told",J56="Enrolled"),AG56=""),"Recommendation needed",IF(AND(OR(J56="Family told",J56="Enrolled"),AJ56=""),"Date family told needed","OK"))))))))</f>
        <v/>
      </c>
    </row>
    <row r="57" customFormat="false" ht="15" hidden="false" customHeight="false" outlineLevel="0" collapsed="false">
      <c r="A57" s="7"/>
      <c r="B57" s="7"/>
      <c r="C57" s="46"/>
      <c r="D57" s="7"/>
      <c r="E57" s="47"/>
      <c r="F57" s="46"/>
      <c r="G57" s="46"/>
      <c r="H57" s="7"/>
      <c r="I57" s="7"/>
      <c r="J57" s="47"/>
      <c r="K57" s="47"/>
      <c r="L57" s="47"/>
      <c r="M57" s="47"/>
      <c r="N57" s="47"/>
      <c r="O57" s="10"/>
      <c r="P57" s="47"/>
      <c r="Q57" s="47"/>
      <c r="R57" s="48" t="str">
        <f aca="false">IF(Q57="","",IF(Q57=0,"below 5:00",IF(Q57&gt;=66,"16:00 or above",INT((60+2*Q57)/12)&amp;":"&amp;TEXT(MOD(60+2*Q57,12),"00"))))</f>
        <v/>
      </c>
      <c r="S57" s="47"/>
      <c r="T57" s="47"/>
      <c r="U57" s="47"/>
      <c r="V57" s="47"/>
      <c r="W57" s="47"/>
      <c r="X57" s="47"/>
      <c r="Y57" s="47"/>
      <c r="Z57" s="47"/>
      <c r="AA57" s="10"/>
      <c r="AB57" s="10"/>
      <c r="AC57" s="47"/>
      <c r="AD57" s="47"/>
      <c r="AE57" s="47"/>
      <c r="AF57" s="47"/>
      <c r="AG57" s="47"/>
      <c r="AH57" s="47"/>
      <c r="AI57" s="46"/>
      <c r="AJ57" s="46"/>
      <c r="AK57" s="46"/>
      <c r="AL57" s="7"/>
      <c r="AM57" s="49" t="str">
        <f aca="false">IF(OR(C57="",G57=""),"",IFERROR(DATEDIF(C57,G57,"m"),""))</f>
        <v/>
      </c>
      <c r="AN57" s="49" t="str">
        <f aca="false">IF(OR(Q57="",AM57=""),"",60+2*Q57-AM57)</f>
        <v/>
      </c>
      <c r="AO57" s="49" t="str">
        <f aca="false">IF(OR(G57="",AJ57=""),"",AJ57-G57)</f>
        <v/>
      </c>
      <c r="AP57" s="50" t="str">
        <f aca="false">IF(AND(A57="",B57=""),"",IF(J57="","Status needed",IF(OR(J57="Applied",J57="Visit booked",J57="Withdrawn"),"OK",IF(G57="","Date assessed needed",IF(C57="","Date of birth needed",IF(COUNTA(L57,M57,P57,U57,V57,X57)&lt;6,"Band missing",IF(AND(OR(J57="Decision confirmed",J57="Family told",J57="Enrolled"),AG57=""),"Recommendation needed",IF(AND(OR(J57="Family told",J57="Enrolled"),AJ57=""),"Date family told needed","OK"))))))))</f>
        <v/>
      </c>
    </row>
    <row r="58" customFormat="false" ht="15" hidden="false" customHeight="false" outlineLevel="0" collapsed="false">
      <c r="A58" s="7"/>
      <c r="B58" s="7"/>
      <c r="C58" s="46"/>
      <c r="D58" s="7"/>
      <c r="E58" s="47"/>
      <c r="F58" s="46"/>
      <c r="G58" s="46"/>
      <c r="H58" s="7"/>
      <c r="I58" s="7"/>
      <c r="J58" s="47"/>
      <c r="K58" s="47"/>
      <c r="L58" s="47"/>
      <c r="M58" s="47"/>
      <c r="N58" s="47"/>
      <c r="O58" s="10"/>
      <c r="P58" s="47"/>
      <c r="Q58" s="47"/>
      <c r="R58" s="48" t="str">
        <f aca="false">IF(Q58="","",IF(Q58=0,"below 5:00",IF(Q58&gt;=66,"16:00 or above",INT((60+2*Q58)/12)&amp;":"&amp;TEXT(MOD(60+2*Q58,12),"00"))))</f>
        <v/>
      </c>
      <c r="S58" s="47"/>
      <c r="T58" s="47"/>
      <c r="U58" s="47"/>
      <c r="V58" s="47"/>
      <c r="W58" s="47"/>
      <c r="X58" s="47"/>
      <c r="Y58" s="47"/>
      <c r="Z58" s="47"/>
      <c r="AA58" s="10"/>
      <c r="AB58" s="10"/>
      <c r="AC58" s="47"/>
      <c r="AD58" s="47"/>
      <c r="AE58" s="47"/>
      <c r="AF58" s="47"/>
      <c r="AG58" s="47"/>
      <c r="AH58" s="47"/>
      <c r="AI58" s="46"/>
      <c r="AJ58" s="46"/>
      <c r="AK58" s="46"/>
      <c r="AL58" s="7"/>
      <c r="AM58" s="49" t="str">
        <f aca="false">IF(OR(C58="",G58=""),"",IFERROR(DATEDIF(C58,G58,"m"),""))</f>
        <v/>
      </c>
      <c r="AN58" s="49" t="str">
        <f aca="false">IF(OR(Q58="",AM58=""),"",60+2*Q58-AM58)</f>
        <v/>
      </c>
      <c r="AO58" s="49" t="str">
        <f aca="false">IF(OR(G58="",AJ58=""),"",AJ58-G58)</f>
        <v/>
      </c>
      <c r="AP58" s="50" t="str">
        <f aca="false">IF(AND(A58="",B58=""),"",IF(J58="","Status needed",IF(OR(J58="Applied",J58="Visit booked",J58="Withdrawn"),"OK",IF(G58="","Date assessed needed",IF(C58="","Date of birth needed",IF(COUNTA(L58,M58,P58,U58,V58,X58)&lt;6,"Band missing",IF(AND(OR(J58="Decision confirmed",J58="Family told",J58="Enrolled"),AG58=""),"Recommendation needed",IF(AND(OR(J58="Family told",J58="Enrolled"),AJ58=""),"Date family told needed","OK"))))))))</f>
        <v/>
      </c>
    </row>
    <row r="59" customFormat="false" ht="15" hidden="false" customHeight="false" outlineLevel="0" collapsed="false">
      <c r="A59" s="7"/>
      <c r="B59" s="7"/>
      <c r="C59" s="46"/>
      <c r="D59" s="7"/>
      <c r="E59" s="47"/>
      <c r="F59" s="46"/>
      <c r="G59" s="46"/>
      <c r="H59" s="7"/>
      <c r="I59" s="7"/>
      <c r="J59" s="47"/>
      <c r="K59" s="47"/>
      <c r="L59" s="47"/>
      <c r="M59" s="47"/>
      <c r="N59" s="47"/>
      <c r="O59" s="10"/>
      <c r="P59" s="47"/>
      <c r="Q59" s="47"/>
      <c r="R59" s="48" t="str">
        <f aca="false">IF(Q59="","",IF(Q59=0,"below 5:00",IF(Q59&gt;=66,"16:00 or above",INT((60+2*Q59)/12)&amp;":"&amp;TEXT(MOD(60+2*Q59,12),"00"))))</f>
        <v/>
      </c>
      <c r="S59" s="47"/>
      <c r="T59" s="47"/>
      <c r="U59" s="47"/>
      <c r="V59" s="47"/>
      <c r="W59" s="47"/>
      <c r="X59" s="47"/>
      <c r="Y59" s="47"/>
      <c r="Z59" s="47"/>
      <c r="AA59" s="10"/>
      <c r="AB59" s="10"/>
      <c r="AC59" s="47"/>
      <c r="AD59" s="47"/>
      <c r="AE59" s="47"/>
      <c r="AF59" s="47"/>
      <c r="AG59" s="47"/>
      <c r="AH59" s="47"/>
      <c r="AI59" s="46"/>
      <c r="AJ59" s="46"/>
      <c r="AK59" s="46"/>
      <c r="AL59" s="7"/>
      <c r="AM59" s="49" t="str">
        <f aca="false">IF(OR(C59="",G59=""),"",IFERROR(DATEDIF(C59,G59,"m"),""))</f>
        <v/>
      </c>
      <c r="AN59" s="49" t="str">
        <f aca="false">IF(OR(Q59="",AM59=""),"",60+2*Q59-AM59)</f>
        <v/>
      </c>
      <c r="AO59" s="49" t="str">
        <f aca="false">IF(OR(G59="",AJ59=""),"",AJ59-G59)</f>
        <v/>
      </c>
      <c r="AP59" s="50" t="str">
        <f aca="false">IF(AND(A59="",B59=""),"",IF(J59="","Status needed",IF(OR(J59="Applied",J59="Visit booked",J59="Withdrawn"),"OK",IF(G59="","Date assessed needed",IF(C59="","Date of birth needed",IF(COUNTA(L59,M59,P59,U59,V59,X59)&lt;6,"Band missing",IF(AND(OR(J59="Decision confirmed",J59="Family told",J59="Enrolled"),AG59=""),"Recommendation needed",IF(AND(OR(J59="Family told",J59="Enrolled"),AJ59=""),"Date family told needed","OK"))))))))</f>
        <v/>
      </c>
    </row>
    <row r="60" customFormat="false" ht="15" hidden="false" customHeight="false" outlineLevel="0" collapsed="false">
      <c r="A60" s="7"/>
      <c r="B60" s="7"/>
      <c r="C60" s="46"/>
      <c r="D60" s="7"/>
      <c r="E60" s="47"/>
      <c r="F60" s="46"/>
      <c r="G60" s="46"/>
      <c r="H60" s="7"/>
      <c r="I60" s="7"/>
      <c r="J60" s="47"/>
      <c r="K60" s="47"/>
      <c r="L60" s="47"/>
      <c r="M60" s="47"/>
      <c r="N60" s="47"/>
      <c r="O60" s="10"/>
      <c r="P60" s="47"/>
      <c r="Q60" s="47"/>
      <c r="R60" s="48" t="str">
        <f aca="false">IF(Q60="","",IF(Q60=0,"below 5:00",IF(Q60&gt;=66,"16:00 or above",INT((60+2*Q60)/12)&amp;":"&amp;TEXT(MOD(60+2*Q60,12),"00"))))</f>
        <v/>
      </c>
      <c r="S60" s="47"/>
      <c r="T60" s="47"/>
      <c r="U60" s="47"/>
      <c r="V60" s="47"/>
      <c r="W60" s="47"/>
      <c r="X60" s="47"/>
      <c r="Y60" s="47"/>
      <c r="Z60" s="47"/>
      <c r="AA60" s="10"/>
      <c r="AB60" s="10"/>
      <c r="AC60" s="47"/>
      <c r="AD60" s="47"/>
      <c r="AE60" s="47"/>
      <c r="AF60" s="47"/>
      <c r="AG60" s="47"/>
      <c r="AH60" s="47"/>
      <c r="AI60" s="46"/>
      <c r="AJ60" s="46"/>
      <c r="AK60" s="46"/>
      <c r="AL60" s="7"/>
      <c r="AM60" s="49" t="str">
        <f aca="false">IF(OR(C60="",G60=""),"",IFERROR(DATEDIF(C60,G60,"m"),""))</f>
        <v/>
      </c>
      <c r="AN60" s="49" t="str">
        <f aca="false">IF(OR(Q60="",AM60=""),"",60+2*Q60-AM60)</f>
        <v/>
      </c>
      <c r="AO60" s="49" t="str">
        <f aca="false">IF(OR(G60="",AJ60=""),"",AJ60-G60)</f>
        <v/>
      </c>
      <c r="AP60" s="50" t="str">
        <f aca="false">IF(AND(A60="",B60=""),"",IF(J60="","Status needed",IF(OR(J60="Applied",J60="Visit booked",J60="Withdrawn"),"OK",IF(G60="","Date assessed needed",IF(C60="","Date of birth needed",IF(COUNTA(L60,M60,P60,U60,V60,X60)&lt;6,"Band missing",IF(AND(OR(J60="Decision confirmed",J60="Family told",J60="Enrolled"),AG60=""),"Recommendation needed",IF(AND(OR(J60="Family told",J60="Enrolled"),AJ60=""),"Date family told needed","OK"))))))))</f>
        <v/>
      </c>
    </row>
    <row r="61" customFormat="false" ht="15" hidden="false" customHeight="false" outlineLevel="0" collapsed="false">
      <c r="A61" s="7"/>
      <c r="B61" s="7"/>
      <c r="C61" s="46"/>
      <c r="D61" s="7"/>
      <c r="E61" s="47"/>
      <c r="F61" s="46"/>
      <c r="G61" s="46"/>
      <c r="H61" s="7"/>
      <c r="I61" s="7"/>
      <c r="J61" s="47"/>
      <c r="K61" s="47"/>
      <c r="L61" s="47"/>
      <c r="M61" s="47"/>
      <c r="N61" s="47"/>
      <c r="O61" s="10"/>
      <c r="P61" s="47"/>
      <c r="Q61" s="47"/>
      <c r="R61" s="48" t="str">
        <f aca="false">IF(Q61="","",IF(Q61=0,"below 5:00",IF(Q61&gt;=66,"16:00 or above",INT((60+2*Q61)/12)&amp;":"&amp;TEXT(MOD(60+2*Q61,12),"00"))))</f>
        <v/>
      </c>
      <c r="S61" s="47"/>
      <c r="T61" s="47"/>
      <c r="U61" s="47"/>
      <c r="V61" s="47"/>
      <c r="W61" s="47"/>
      <c r="X61" s="47"/>
      <c r="Y61" s="47"/>
      <c r="Z61" s="47"/>
      <c r="AA61" s="10"/>
      <c r="AB61" s="10"/>
      <c r="AC61" s="47"/>
      <c r="AD61" s="47"/>
      <c r="AE61" s="47"/>
      <c r="AF61" s="47"/>
      <c r="AG61" s="47"/>
      <c r="AH61" s="47"/>
      <c r="AI61" s="46"/>
      <c r="AJ61" s="46"/>
      <c r="AK61" s="46"/>
      <c r="AL61" s="7"/>
      <c r="AM61" s="49" t="str">
        <f aca="false">IF(OR(C61="",G61=""),"",IFERROR(DATEDIF(C61,G61,"m"),""))</f>
        <v/>
      </c>
      <c r="AN61" s="49" t="str">
        <f aca="false">IF(OR(Q61="",AM61=""),"",60+2*Q61-AM61)</f>
        <v/>
      </c>
      <c r="AO61" s="49" t="str">
        <f aca="false">IF(OR(G61="",AJ61=""),"",AJ61-G61)</f>
        <v/>
      </c>
      <c r="AP61" s="50" t="str">
        <f aca="false">IF(AND(A61="",B61=""),"",IF(J61="","Status needed",IF(OR(J61="Applied",J61="Visit booked",J61="Withdrawn"),"OK",IF(G61="","Date assessed needed",IF(C61="","Date of birth needed",IF(COUNTA(L61,M61,P61,U61,V61,X61)&lt;6,"Band missing",IF(AND(OR(J61="Decision confirmed",J61="Family told",J61="Enrolled"),AG61=""),"Recommendation needed",IF(AND(OR(J61="Family told",J61="Enrolled"),AJ61=""),"Date family told needed","OK"))))))))</f>
        <v/>
      </c>
    </row>
    <row r="62" customFormat="false" ht="15" hidden="false" customHeight="false" outlineLevel="0" collapsed="false">
      <c r="A62" s="7"/>
      <c r="B62" s="7"/>
      <c r="C62" s="46"/>
      <c r="D62" s="7"/>
      <c r="E62" s="47"/>
      <c r="F62" s="46"/>
      <c r="G62" s="46"/>
      <c r="H62" s="7"/>
      <c r="I62" s="7"/>
      <c r="J62" s="47"/>
      <c r="K62" s="47"/>
      <c r="L62" s="47"/>
      <c r="M62" s="47"/>
      <c r="N62" s="47"/>
      <c r="O62" s="10"/>
      <c r="P62" s="47"/>
      <c r="Q62" s="47"/>
      <c r="R62" s="48" t="str">
        <f aca="false">IF(Q62="","",IF(Q62=0,"below 5:00",IF(Q62&gt;=66,"16:00 or above",INT((60+2*Q62)/12)&amp;":"&amp;TEXT(MOD(60+2*Q62,12),"00"))))</f>
        <v/>
      </c>
      <c r="S62" s="47"/>
      <c r="T62" s="47"/>
      <c r="U62" s="47"/>
      <c r="V62" s="47"/>
      <c r="W62" s="47"/>
      <c r="X62" s="47"/>
      <c r="Y62" s="47"/>
      <c r="Z62" s="47"/>
      <c r="AA62" s="10"/>
      <c r="AB62" s="10"/>
      <c r="AC62" s="47"/>
      <c r="AD62" s="47"/>
      <c r="AE62" s="47"/>
      <c r="AF62" s="47"/>
      <c r="AG62" s="47"/>
      <c r="AH62" s="47"/>
      <c r="AI62" s="46"/>
      <c r="AJ62" s="46"/>
      <c r="AK62" s="46"/>
      <c r="AL62" s="7"/>
      <c r="AM62" s="49" t="str">
        <f aca="false">IF(OR(C62="",G62=""),"",IFERROR(DATEDIF(C62,G62,"m"),""))</f>
        <v/>
      </c>
      <c r="AN62" s="49" t="str">
        <f aca="false">IF(OR(Q62="",AM62=""),"",60+2*Q62-AM62)</f>
        <v/>
      </c>
      <c r="AO62" s="49" t="str">
        <f aca="false">IF(OR(G62="",AJ62=""),"",AJ62-G62)</f>
        <v/>
      </c>
      <c r="AP62" s="50" t="str">
        <f aca="false">IF(AND(A62="",B62=""),"",IF(J62="","Status needed",IF(OR(J62="Applied",J62="Visit booked",J62="Withdrawn"),"OK",IF(G62="","Date assessed needed",IF(C62="","Date of birth needed",IF(COUNTA(L62,M62,P62,U62,V62,X62)&lt;6,"Band missing",IF(AND(OR(J62="Decision confirmed",J62="Family told",J62="Enrolled"),AG62=""),"Recommendation needed",IF(AND(OR(J62="Family told",J62="Enrolled"),AJ62=""),"Date family told needed","OK"))))))))</f>
        <v/>
      </c>
    </row>
    <row r="63" customFormat="false" ht="15" hidden="false" customHeight="false" outlineLevel="0" collapsed="false">
      <c r="A63" s="7"/>
      <c r="B63" s="7"/>
      <c r="C63" s="46"/>
      <c r="D63" s="7"/>
      <c r="E63" s="47"/>
      <c r="F63" s="46"/>
      <c r="G63" s="46"/>
      <c r="H63" s="7"/>
      <c r="I63" s="7"/>
      <c r="J63" s="47"/>
      <c r="K63" s="47"/>
      <c r="L63" s="47"/>
      <c r="M63" s="47"/>
      <c r="N63" s="47"/>
      <c r="O63" s="10"/>
      <c r="P63" s="47"/>
      <c r="Q63" s="47"/>
      <c r="R63" s="48" t="str">
        <f aca="false">IF(Q63="","",IF(Q63=0,"below 5:00",IF(Q63&gt;=66,"16:00 or above",INT((60+2*Q63)/12)&amp;":"&amp;TEXT(MOD(60+2*Q63,12),"00"))))</f>
        <v/>
      </c>
      <c r="S63" s="47"/>
      <c r="T63" s="47"/>
      <c r="U63" s="47"/>
      <c r="V63" s="47"/>
      <c r="W63" s="47"/>
      <c r="X63" s="47"/>
      <c r="Y63" s="47"/>
      <c r="Z63" s="47"/>
      <c r="AA63" s="10"/>
      <c r="AB63" s="10"/>
      <c r="AC63" s="47"/>
      <c r="AD63" s="47"/>
      <c r="AE63" s="47"/>
      <c r="AF63" s="47"/>
      <c r="AG63" s="47"/>
      <c r="AH63" s="47"/>
      <c r="AI63" s="46"/>
      <c r="AJ63" s="46"/>
      <c r="AK63" s="46"/>
      <c r="AL63" s="7"/>
      <c r="AM63" s="49" t="str">
        <f aca="false">IF(OR(C63="",G63=""),"",IFERROR(DATEDIF(C63,G63,"m"),""))</f>
        <v/>
      </c>
      <c r="AN63" s="49" t="str">
        <f aca="false">IF(OR(Q63="",AM63=""),"",60+2*Q63-AM63)</f>
        <v/>
      </c>
      <c r="AO63" s="49" t="str">
        <f aca="false">IF(OR(G63="",AJ63=""),"",AJ63-G63)</f>
        <v/>
      </c>
      <c r="AP63" s="50" t="str">
        <f aca="false">IF(AND(A63="",B63=""),"",IF(J63="","Status needed",IF(OR(J63="Applied",J63="Visit booked",J63="Withdrawn"),"OK",IF(G63="","Date assessed needed",IF(C63="","Date of birth needed",IF(COUNTA(L63,M63,P63,U63,V63,X63)&lt;6,"Band missing",IF(AND(OR(J63="Decision confirmed",J63="Family told",J63="Enrolled"),AG63=""),"Recommendation needed",IF(AND(OR(J63="Family told",J63="Enrolled"),AJ63=""),"Date family told needed","OK"))))))))</f>
        <v/>
      </c>
    </row>
    <row r="64" customFormat="false" ht="15" hidden="false" customHeight="false" outlineLevel="0" collapsed="false">
      <c r="A64" s="7"/>
      <c r="B64" s="7"/>
      <c r="C64" s="46"/>
      <c r="D64" s="7"/>
      <c r="E64" s="47"/>
      <c r="F64" s="46"/>
      <c r="G64" s="46"/>
      <c r="H64" s="7"/>
      <c r="I64" s="7"/>
      <c r="J64" s="47"/>
      <c r="K64" s="47"/>
      <c r="L64" s="47"/>
      <c r="M64" s="47"/>
      <c r="N64" s="47"/>
      <c r="O64" s="10"/>
      <c r="P64" s="47"/>
      <c r="Q64" s="47"/>
      <c r="R64" s="48" t="str">
        <f aca="false">IF(Q64="","",IF(Q64=0,"below 5:00",IF(Q64&gt;=66,"16:00 or above",INT((60+2*Q64)/12)&amp;":"&amp;TEXT(MOD(60+2*Q64,12),"00"))))</f>
        <v/>
      </c>
      <c r="S64" s="47"/>
      <c r="T64" s="47"/>
      <c r="U64" s="47"/>
      <c r="V64" s="47"/>
      <c r="W64" s="47"/>
      <c r="X64" s="47"/>
      <c r="Y64" s="47"/>
      <c r="Z64" s="47"/>
      <c r="AA64" s="10"/>
      <c r="AB64" s="10"/>
      <c r="AC64" s="47"/>
      <c r="AD64" s="47"/>
      <c r="AE64" s="47"/>
      <c r="AF64" s="47"/>
      <c r="AG64" s="47"/>
      <c r="AH64" s="47"/>
      <c r="AI64" s="46"/>
      <c r="AJ64" s="46"/>
      <c r="AK64" s="46"/>
      <c r="AL64" s="7"/>
      <c r="AM64" s="49" t="str">
        <f aca="false">IF(OR(C64="",G64=""),"",IFERROR(DATEDIF(C64,G64,"m"),""))</f>
        <v/>
      </c>
      <c r="AN64" s="49" t="str">
        <f aca="false">IF(OR(Q64="",AM64=""),"",60+2*Q64-AM64)</f>
        <v/>
      </c>
      <c r="AO64" s="49" t="str">
        <f aca="false">IF(OR(G64="",AJ64=""),"",AJ64-G64)</f>
        <v/>
      </c>
      <c r="AP64" s="50" t="str">
        <f aca="false">IF(AND(A64="",B64=""),"",IF(J64="","Status needed",IF(OR(J64="Applied",J64="Visit booked",J64="Withdrawn"),"OK",IF(G64="","Date assessed needed",IF(C64="","Date of birth needed",IF(COUNTA(L64,M64,P64,U64,V64,X64)&lt;6,"Band missing",IF(AND(OR(J64="Decision confirmed",J64="Family told",J64="Enrolled"),AG64=""),"Recommendation needed",IF(AND(OR(J64="Family told",J64="Enrolled"),AJ64=""),"Date family told needed","OK"))))))))</f>
        <v/>
      </c>
    </row>
    <row r="65" customFormat="false" ht="15" hidden="false" customHeight="false" outlineLevel="0" collapsed="false">
      <c r="A65" s="7"/>
      <c r="B65" s="7"/>
      <c r="C65" s="46"/>
      <c r="D65" s="7"/>
      <c r="E65" s="47"/>
      <c r="F65" s="46"/>
      <c r="G65" s="46"/>
      <c r="H65" s="7"/>
      <c r="I65" s="7"/>
      <c r="J65" s="47"/>
      <c r="K65" s="47"/>
      <c r="L65" s="47"/>
      <c r="M65" s="47"/>
      <c r="N65" s="47"/>
      <c r="O65" s="10"/>
      <c r="P65" s="47"/>
      <c r="Q65" s="47"/>
      <c r="R65" s="48" t="str">
        <f aca="false">IF(Q65="","",IF(Q65=0,"below 5:00",IF(Q65&gt;=66,"16:00 or above",INT((60+2*Q65)/12)&amp;":"&amp;TEXT(MOD(60+2*Q65,12),"00"))))</f>
        <v/>
      </c>
      <c r="S65" s="47"/>
      <c r="T65" s="47"/>
      <c r="U65" s="47"/>
      <c r="V65" s="47"/>
      <c r="W65" s="47"/>
      <c r="X65" s="47"/>
      <c r="Y65" s="47"/>
      <c r="Z65" s="47"/>
      <c r="AA65" s="10"/>
      <c r="AB65" s="10"/>
      <c r="AC65" s="47"/>
      <c r="AD65" s="47"/>
      <c r="AE65" s="47"/>
      <c r="AF65" s="47"/>
      <c r="AG65" s="47"/>
      <c r="AH65" s="47"/>
      <c r="AI65" s="46"/>
      <c r="AJ65" s="46"/>
      <c r="AK65" s="46"/>
      <c r="AL65" s="7"/>
      <c r="AM65" s="49" t="str">
        <f aca="false">IF(OR(C65="",G65=""),"",IFERROR(DATEDIF(C65,G65,"m"),""))</f>
        <v/>
      </c>
      <c r="AN65" s="49" t="str">
        <f aca="false">IF(OR(Q65="",AM65=""),"",60+2*Q65-AM65)</f>
        <v/>
      </c>
      <c r="AO65" s="49" t="str">
        <f aca="false">IF(OR(G65="",AJ65=""),"",AJ65-G65)</f>
        <v/>
      </c>
      <c r="AP65" s="50" t="str">
        <f aca="false">IF(AND(A65="",B65=""),"",IF(J65="","Status needed",IF(OR(J65="Applied",J65="Visit booked",J65="Withdrawn"),"OK",IF(G65="","Date assessed needed",IF(C65="","Date of birth needed",IF(COUNTA(L65,M65,P65,U65,V65,X65)&lt;6,"Band missing",IF(AND(OR(J65="Decision confirmed",J65="Family told",J65="Enrolled"),AG65=""),"Recommendation needed",IF(AND(OR(J65="Family told",J65="Enrolled"),AJ65=""),"Date family told needed","OK"))))))))</f>
        <v/>
      </c>
    </row>
    <row r="66" customFormat="false" ht="15" hidden="false" customHeight="false" outlineLevel="0" collapsed="false">
      <c r="A66" s="7"/>
      <c r="B66" s="7"/>
      <c r="C66" s="46"/>
      <c r="D66" s="7"/>
      <c r="E66" s="47"/>
      <c r="F66" s="46"/>
      <c r="G66" s="46"/>
      <c r="H66" s="7"/>
      <c r="I66" s="7"/>
      <c r="J66" s="47"/>
      <c r="K66" s="47"/>
      <c r="L66" s="47"/>
      <c r="M66" s="47"/>
      <c r="N66" s="47"/>
      <c r="O66" s="10"/>
      <c r="P66" s="47"/>
      <c r="Q66" s="47"/>
      <c r="R66" s="48" t="str">
        <f aca="false">IF(Q66="","",IF(Q66=0,"below 5:00",IF(Q66&gt;=66,"16:00 or above",INT((60+2*Q66)/12)&amp;":"&amp;TEXT(MOD(60+2*Q66,12),"00"))))</f>
        <v/>
      </c>
      <c r="S66" s="47"/>
      <c r="T66" s="47"/>
      <c r="U66" s="47"/>
      <c r="V66" s="47"/>
      <c r="W66" s="47"/>
      <c r="X66" s="47"/>
      <c r="Y66" s="47"/>
      <c r="Z66" s="47"/>
      <c r="AA66" s="10"/>
      <c r="AB66" s="10"/>
      <c r="AC66" s="47"/>
      <c r="AD66" s="47"/>
      <c r="AE66" s="47"/>
      <c r="AF66" s="47"/>
      <c r="AG66" s="47"/>
      <c r="AH66" s="47"/>
      <c r="AI66" s="46"/>
      <c r="AJ66" s="46"/>
      <c r="AK66" s="46"/>
      <c r="AL66" s="7"/>
      <c r="AM66" s="49" t="str">
        <f aca="false">IF(OR(C66="",G66=""),"",IFERROR(DATEDIF(C66,G66,"m"),""))</f>
        <v/>
      </c>
      <c r="AN66" s="49" t="str">
        <f aca="false">IF(OR(Q66="",AM66=""),"",60+2*Q66-AM66)</f>
        <v/>
      </c>
      <c r="AO66" s="49" t="str">
        <f aca="false">IF(OR(G66="",AJ66=""),"",AJ66-G66)</f>
        <v/>
      </c>
      <c r="AP66" s="50" t="str">
        <f aca="false">IF(AND(A66="",B66=""),"",IF(J66="","Status needed",IF(OR(J66="Applied",J66="Visit booked",J66="Withdrawn"),"OK",IF(G66="","Date assessed needed",IF(C66="","Date of birth needed",IF(COUNTA(L66,M66,P66,U66,V66,X66)&lt;6,"Band missing",IF(AND(OR(J66="Decision confirmed",J66="Family told",J66="Enrolled"),AG66=""),"Recommendation needed",IF(AND(OR(J66="Family told",J66="Enrolled"),AJ66=""),"Date family told needed","OK"))))))))</f>
        <v/>
      </c>
    </row>
    <row r="67" customFormat="false" ht="15" hidden="false" customHeight="false" outlineLevel="0" collapsed="false">
      <c r="A67" s="7"/>
      <c r="B67" s="7"/>
      <c r="C67" s="46"/>
      <c r="D67" s="7"/>
      <c r="E67" s="47"/>
      <c r="F67" s="46"/>
      <c r="G67" s="46"/>
      <c r="H67" s="7"/>
      <c r="I67" s="7"/>
      <c r="J67" s="47"/>
      <c r="K67" s="47"/>
      <c r="L67" s="47"/>
      <c r="M67" s="47"/>
      <c r="N67" s="47"/>
      <c r="O67" s="10"/>
      <c r="P67" s="47"/>
      <c r="Q67" s="47"/>
      <c r="R67" s="48" t="str">
        <f aca="false">IF(Q67="","",IF(Q67=0,"below 5:00",IF(Q67&gt;=66,"16:00 or above",INT((60+2*Q67)/12)&amp;":"&amp;TEXT(MOD(60+2*Q67,12),"00"))))</f>
        <v/>
      </c>
      <c r="S67" s="47"/>
      <c r="T67" s="47"/>
      <c r="U67" s="47"/>
      <c r="V67" s="47"/>
      <c r="W67" s="47"/>
      <c r="X67" s="47"/>
      <c r="Y67" s="47"/>
      <c r="Z67" s="47"/>
      <c r="AA67" s="10"/>
      <c r="AB67" s="10"/>
      <c r="AC67" s="47"/>
      <c r="AD67" s="47"/>
      <c r="AE67" s="47"/>
      <c r="AF67" s="47"/>
      <c r="AG67" s="47"/>
      <c r="AH67" s="47"/>
      <c r="AI67" s="46"/>
      <c r="AJ67" s="46"/>
      <c r="AK67" s="46"/>
      <c r="AL67" s="7"/>
      <c r="AM67" s="49" t="str">
        <f aca="false">IF(OR(C67="",G67=""),"",IFERROR(DATEDIF(C67,G67,"m"),""))</f>
        <v/>
      </c>
      <c r="AN67" s="49" t="str">
        <f aca="false">IF(OR(Q67="",AM67=""),"",60+2*Q67-AM67)</f>
        <v/>
      </c>
      <c r="AO67" s="49" t="str">
        <f aca="false">IF(OR(G67="",AJ67=""),"",AJ67-G67)</f>
        <v/>
      </c>
      <c r="AP67" s="50" t="str">
        <f aca="false">IF(AND(A67="",B67=""),"",IF(J67="","Status needed",IF(OR(J67="Applied",J67="Visit booked",J67="Withdrawn"),"OK",IF(G67="","Date assessed needed",IF(C67="","Date of birth needed",IF(COUNTA(L67,M67,P67,U67,V67,X67)&lt;6,"Band missing",IF(AND(OR(J67="Decision confirmed",J67="Family told",J67="Enrolled"),AG67=""),"Recommendation needed",IF(AND(OR(J67="Family told",J67="Enrolled"),AJ67=""),"Date family told needed","OK"))))))))</f>
        <v/>
      </c>
    </row>
    <row r="68" customFormat="false" ht="15" hidden="false" customHeight="false" outlineLevel="0" collapsed="false">
      <c r="A68" s="7"/>
      <c r="B68" s="7"/>
      <c r="C68" s="46"/>
      <c r="D68" s="7"/>
      <c r="E68" s="47"/>
      <c r="F68" s="46"/>
      <c r="G68" s="46"/>
      <c r="H68" s="7"/>
      <c r="I68" s="7"/>
      <c r="J68" s="47"/>
      <c r="K68" s="47"/>
      <c r="L68" s="47"/>
      <c r="M68" s="47"/>
      <c r="N68" s="47"/>
      <c r="O68" s="10"/>
      <c r="P68" s="47"/>
      <c r="Q68" s="47"/>
      <c r="R68" s="48" t="str">
        <f aca="false">IF(Q68="","",IF(Q68=0,"below 5:00",IF(Q68&gt;=66,"16:00 or above",INT((60+2*Q68)/12)&amp;":"&amp;TEXT(MOD(60+2*Q68,12),"00"))))</f>
        <v/>
      </c>
      <c r="S68" s="47"/>
      <c r="T68" s="47"/>
      <c r="U68" s="47"/>
      <c r="V68" s="47"/>
      <c r="W68" s="47"/>
      <c r="X68" s="47"/>
      <c r="Y68" s="47"/>
      <c r="Z68" s="47"/>
      <c r="AA68" s="10"/>
      <c r="AB68" s="10"/>
      <c r="AC68" s="47"/>
      <c r="AD68" s="47"/>
      <c r="AE68" s="47"/>
      <c r="AF68" s="47"/>
      <c r="AG68" s="47"/>
      <c r="AH68" s="47"/>
      <c r="AI68" s="46"/>
      <c r="AJ68" s="46"/>
      <c r="AK68" s="46"/>
      <c r="AL68" s="7"/>
      <c r="AM68" s="49" t="str">
        <f aca="false">IF(OR(C68="",G68=""),"",IFERROR(DATEDIF(C68,G68,"m"),""))</f>
        <v/>
      </c>
      <c r="AN68" s="49" t="str">
        <f aca="false">IF(OR(Q68="",AM68=""),"",60+2*Q68-AM68)</f>
        <v/>
      </c>
      <c r="AO68" s="49" t="str">
        <f aca="false">IF(OR(G68="",AJ68=""),"",AJ68-G68)</f>
        <v/>
      </c>
      <c r="AP68" s="50" t="str">
        <f aca="false">IF(AND(A68="",B68=""),"",IF(J68="","Status needed",IF(OR(J68="Applied",J68="Visit booked",J68="Withdrawn"),"OK",IF(G68="","Date assessed needed",IF(C68="","Date of birth needed",IF(COUNTA(L68,M68,P68,U68,V68,X68)&lt;6,"Band missing",IF(AND(OR(J68="Decision confirmed",J68="Family told",J68="Enrolled"),AG68=""),"Recommendation needed",IF(AND(OR(J68="Family told",J68="Enrolled"),AJ68=""),"Date family told needed","OK"))))))))</f>
        <v/>
      </c>
    </row>
    <row r="69" customFormat="false" ht="15" hidden="false" customHeight="false" outlineLevel="0" collapsed="false">
      <c r="A69" s="7"/>
      <c r="B69" s="7"/>
      <c r="C69" s="46"/>
      <c r="D69" s="7"/>
      <c r="E69" s="47"/>
      <c r="F69" s="46"/>
      <c r="G69" s="46"/>
      <c r="H69" s="7"/>
      <c r="I69" s="7"/>
      <c r="J69" s="47"/>
      <c r="K69" s="47"/>
      <c r="L69" s="47"/>
      <c r="M69" s="47"/>
      <c r="N69" s="47"/>
      <c r="O69" s="10"/>
      <c r="P69" s="47"/>
      <c r="Q69" s="47"/>
      <c r="R69" s="48" t="str">
        <f aca="false">IF(Q69="","",IF(Q69=0,"below 5:00",IF(Q69&gt;=66,"16:00 or above",INT((60+2*Q69)/12)&amp;":"&amp;TEXT(MOD(60+2*Q69,12),"00"))))</f>
        <v/>
      </c>
      <c r="S69" s="47"/>
      <c r="T69" s="47"/>
      <c r="U69" s="47"/>
      <c r="V69" s="47"/>
      <c r="W69" s="47"/>
      <c r="X69" s="47"/>
      <c r="Y69" s="47"/>
      <c r="Z69" s="47"/>
      <c r="AA69" s="10"/>
      <c r="AB69" s="10"/>
      <c r="AC69" s="47"/>
      <c r="AD69" s="47"/>
      <c r="AE69" s="47"/>
      <c r="AF69" s="47"/>
      <c r="AG69" s="47"/>
      <c r="AH69" s="47"/>
      <c r="AI69" s="46"/>
      <c r="AJ69" s="46"/>
      <c r="AK69" s="46"/>
      <c r="AL69" s="7"/>
      <c r="AM69" s="49" t="str">
        <f aca="false">IF(OR(C69="",G69=""),"",IFERROR(DATEDIF(C69,G69,"m"),""))</f>
        <v/>
      </c>
      <c r="AN69" s="49" t="str">
        <f aca="false">IF(OR(Q69="",AM69=""),"",60+2*Q69-AM69)</f>
        <v/>
      </c>
      <c r="AO69" s="49" t="str">
        <f aca="false">IF(OR(G69="",AJ69=""),"",AJ69-G69)</f>
        <v/>
      </c>
      <c r="AP69" s="50" t="str">
        <f aca="false">IF(AND(A69="",B69=""),"",IF(J69="","Status needed",IF(OR(J69="Applied",J69="Visit booked",J69="Withdrawn"),"OK",IF(G69="","Date assessed needed",IF(C69="","Date of birth needed",IF(COUNTA(L69,M69,P69,U69,V69,X69)&lt;6,"Band missing",IF(AND(OR(J69="Decision confirmed",J69="Family told",J69="Enrolled"),AG69=""),"Recommendation needed",IF(AND(OR(J69="Family told",J69="Enrolled"),AJ69=""),"Date family told needed","OK"))))))))</f>
        <v/>
      </c>
    </row>
    <row r="70" customFormat="false" ht="15" hidden="false" customHeight="false" outlineLevel="0" collapsed="false">
      <c r="A70" s="7"/>
      <c r="B70" s="7"/>
      <c r="C70" s="46"/>
      <c r="D70" s="7"/>
      <c r="E70" s="47"/>
      <c r="F70" s="46"/>
      <c r="G70" s="46"/>
      <c r="H70" s="7"/>
      <c r="I70" s="7"/>
      <c r="J70" s="47"/>
      <c r="K70" s="47"/>
      <c r="L70" s="47"/>
      <c r="M70" s="47"/>
      <c r="N70" s="47"/>
      <c r="O70" s="10"/>
      <c r="P70" s="47"/>
      <c r="Q70" s="47"/>
      <c r="R70" s="48" t="str">
        <f aca="false">IF(Q70="","",IF(Q70=0,"below 5:00",IF(Q70&gt;=66,"16:00 or above",INT((60+2*Q70)/12)&amp;":"&amp;TEXT(MOD(60+2*Q70,12),"00"))))</f>
        <v/>
      </c>
      <c r="S70" s="47"/>
      <c r="T70" s="47"/>
      <c r="U70" s="47"/>
      <c r="V70" s="47"/>
      <c r="W70" s="47"/>
      <c r="X70" s="47"/>
      <c r="Y70" s="47"/>
      <c r="Z70" s="47"/>
      <c r="AA70" s="10"/>
      <c r="AB70" s="10"/>
      <c r="AC70" s="47"/>
      <c r="AD70" s="47"/>
      <c r="AE70" s="47"/>
      <c r="AF70" s="47"/>
      <c r="AG70" s="47"/>
      <c r="AH70" s="47"/>
      <c r="AI70" s="46"/>
      <c r="AJ70" s="46"/>
      <c r="AK70" s="46"/>
      <c r="AL70" s="7"/>
      <c r="AM70" s="49" t="str">
        <f aca="false">IF(OR(C70="",G70=""),"",IFERROR(DATEDIF(C70,G70,"m"),""))</f>
        <v/>
      </c>
      <c r="AN70" s="49" t="str">
        <f aca="false">IF(OR(Q70="",AM70=""),"",60+2*Q70-AM70)</f>
        <v/>
      </c>
      <c r="AO70" s="49" t="str">
        <f aca="false">IF(OR(G70="",AJ70=""),"",AJ70-G70)</f>
        <v/>
      </c>
      <c r="AP70" s="50" t="str">
        <f aca="false">IF(AND(A70="",B70=""),"",IF(J70="","Status needed",IF(OR(J70="Applied",J70="Visit booked",J70="Withdrawn"),"OK",IF(G70="","Date assessed needed",IF(C70="","Date of birth needed",IF(COUNTA(L70,M70,P70,U70,V70,X70)&lt;6,"Band missing",IF(AND(OR(J70="Decision confirmed",J70="Family told",J70="Enrolled"),AG70=""),"Recommendation needed",IF(AND(OR(J70="Family told",J70="Enrolled"),AJ70=""),"Date family told needed","OK"))))))))</f>
        <v/>
      </c>
    </row>
    <row r="71" customFormat="false" ht="15" hidden="false" customHeight="false" outlineLevel="0" collapsed="false">
      <c r="A71" s="7"/>
      <c r="B71" s="7"/>
      <c r="C71" s="46"/>
      <c r="D71" s="7"/>
      <c r="E71" s="47"/>
      <c r="F71" s="46"/>
      <c r="G71" s="46"/>
      <c r="H71" s="7"/>
      <c r="I71" s="7"/>
      <c r="J71" s="47"/>
      <c r="K71" s="47"/>
      <c r="L71" s="47"/>
      <c r="M71" s="47"/>
      <c r="N71" s="47"/>
      <c r="O71" s="10"/>
      <c r="P71" s="47"/>
      <c r="Q71" s="47"/>
      <c r="R71" s="48" t="str">
        <f aca="false">IF(Q71="","",IF(Q71=0,"below 5:00",IF(Q71&gt;=66,"16:00 or above",INT((60+2*Q71)/12)&amp;":"&amp;TEXT(MOD(60+2*Q71,12),"00"))))</f>
        <v/>
      </c>
      <c r="S71" s="47"/>
      <c r="T71" s="47"/>
      <c r="U71" s="47"/>
      <c r="V71" s="47"/>
      <c r="W71" s="47"/>
      <c r="X71" s="47"/>
      <c r="Y71" s="47"/>
      <c r="Z71" s="47"/>
      <c r="AA71" s="10"/>
      <c r="AB71" s="10"/>
      <c r="AC71" s="47"/>
      <c r="AD71" s="47"/>
      <c r="AE71" s="47"/>
      <c r="AF71" s="47"/>
      <c r="AG71" s="47"/>
      <c r="AH71" s="47"/>
      <c r="AI71" s="46"/>
      <c r="AJ71" s="46"/>
      <c r="AK71" s="46"/>
      <c r="AL71" s="7"/>
      <c r="AM71" s="49" t="str">
        <f aca="false">IF(OR(C71="",G71=""),"",IFERROR(DATEDIF(C71,G71,"m"),""))</f>
        <v/>
      </c>
      <c r="AN71" s="49" t="str">
        <f aca="false">IF(OR(Q71="",AM71=""),"",60+2*Q71-AM71)</f>
        <v/>
      </c>
      <c r="AO71" s="49" t="str">
        <f aca="false">IF(OR(G71="",AJ71=""),"",AJ71-G71)</f>
        <v/>
      </c>
      <c r="AP71" s="50" t="str">
        <f aca="false">IF(AND(A71="",B71=""),"",IF(J71="","Status needed",IF(OR(J71="Applied",J71="Visit booked",J71="Withdrawn"),"OK",IF(G71="","Date assessed needed",IF(C71="","Date of birth needed",IF(COUNTA(L71,M71,P71,U71,V71,X71)&lt;6,"Band missing",IF(AND(OR(J71="Decision confirmed",J71="Family told",J71="Enrolled"),AG71=""),"Recommendation needed",IF(AND(OR(J71="Family told",J71="Enrolled"),AJ71=""),"Date family told needed","OK"))))))))</f>
        <v/>
      </c>
    </row>
    <row r="72" customFormat="false" ht="15" hidden="false" customHeight="false" outlineLevel="0" collapsed="false">
      <c r="A72" s="7"/>
      <c r="B72" s="7"/>
      <c r="C72" s="46"/>
      <c r="D72" s="7"/>
      <c r="E72" s="47"/>
      <c r="F72" s="46"/>
      <c r="G72" s="46"/>
      <c r="H72" s="7"/>
      <c r="I72" s="7"/>
      <c r="J72" s="47"/>
      <c r="K72" s="47"/>
      <c r="L72" s="47"/>
      <c r="M72" s="47"/>
      <c r="N72" s="47"/>
      <c r="O72" s="10"/>
      <c r="P72" s="47"/>
      <c r="Q72" s="47"/>
      <c r="R72" s="48" t="str">
        <f aca="false">IF(Q72="","",IF(Q72=0,"below 5:00",IF(Q72&gt;=66,"16:00 or above",INT((60+2*Q72)/12)&amp;":"&amp;TEXT(MOD(60+2*Q72,12),"00"))))</f>
        <v/>
      </c>
      <c r="S72" s="47"/>
      <c r="T72" s="47"/>
      <c r="U72" s="47"/>
      <c r="V72" s="47"/>
      <c r="W72" s="47"/>
      <c r="X72" s="47"/>
      <c r="Y72" s="47"/>
      <c r="Z72" s="47"/>
      <c r="AA72" s="10"/>
      <c r="AB72" s="10"/>
      <c r="AC72" s="47"/>
      <c r="AD72" s="47"/>
      <c r="AE72" s="47"/>
      <c r="AF72" s="47"/>
      <c r="AG72" s="47"/>
      <c r="AH72" s="47"/>
      <c r="AI72" s="46"/>
      <c r="AJ72" s="46"/>
      <c r="AK72" s="46"/>
      <c r="AL72" s="7"/>
      <c r="AM72" s="49" t="str">
        <f aca="false">IF(OR(C72="",G72=""),"",IFERROR(DATEDIF(C72,G72,"m"),""))</f>
        <v/>
      </c>
      <c r="AN72" s="49" t="str">
        <f aca="false">IF(OR(Q72="",AM72=""),"",60+2*Q72-AM72)</f>
        <v/>
      </c>
      <c r="AO72" s="49" t="str">
        <f aca="false">IF(OR(G72="",AJ72=""),"",AJ72-G72)</f>
        <v/>
      </c>
      <c r="AP72" s="50" t="str">
        <f aca="false">IF(AND(A72="",B72=""),"",IF(J72="","Status needed",IF(OR(J72="Applied",J72="Visit booked",J72="Withdrawn"),"OK",IF(G72="","Date assessed needed",IF(C72="","Date of birth needed",IF(COUNTA(L72,M72,P72,U72,V72,X72)&lt;6,"Band missing",IF(AND(OR(J72="Decision confirmed",J72="Family told",J72="Enrolled"),AG72=""),"Recommendation needed",IF(AND(OR(J72="Family told",J72="Enrolled"),AJ72=""),"Date family told needed","OK"))))))))</f>
        <v/>
      </c>
    </row>
    <row r="73" customFormat="false" ht="15" hidden="false" customHeight="false" outlineLevel="0" collapsed="false">
      <c r="A73" s="7"/>
      <c r="B73" s="7"/>
      <c r="C73" s="46"/>
      <c r="D73" s="7"/>
      <c r="E73" s="47"/>
      <c r="F73" s="46"/>
      <c r="G73" s="46"/>
      <c r="H73" s="7"/>
      <c r="I73" s="7"/>
      <c r="J73" s="47"/>
      <c r="K73" s="47"/>
      <c r="L73" s="47"/>
      <c r="M73" s="47"/>
      <c r="N73" s="47"/>
      <c r="O73" s="10"/>
      <c r="P73" s="47"/>
      <c r="Q73" s="47"/>
      <c r="R73" s="48" t="str">
        <f aca="false">IF(Q73="","",IF(Q73=0,"below 5:00",IF(Q73&gt;=66,"16:00 or above",INT((60+2*Q73)/12)&amp;":"&amp;TEXT(MOD(60+2*Q73,12),"00"))))</f>
        <v/>
      </c>
      <c r="S73" s="47"/>
      <c r="T73" s="47"/>
      <c r="U73" s="47"/>
      <c r="V73" s="47"/>
      <c r="W73" s="47"/>
      <c r="X73" s="47"/>
      <c r="Y73" s="47"/>
      <c r="Z73" s="47"/>
      <c r="AA73" s="10"/>
      <c r="AB73" s="10"/>
      <c r="AC73" s="47"/>
      <c r="AD73" s="47"/>
      <c r="AE73" s="47"/>
      <c r="AF73" s="47"/>
      <c r="AG73" s="47"/>
      <c r="AH73" s="47"/>
      <c r="AI73" s="46"/>
      <c r="AJ73" s="46"/>
      <c r="AK73" s="46"/>
      <c r="AL73" s="7"/>
      <c r="AM73" s="49" t="str">
        <f aca="false">IF(OR(C73="",G73=""),"",IFERROR(DATEDIF(C73,G73,"m"),""))</f>
        <v/>
      </c>
      <c r="AN73" s="49" t="str">
        <f aca="false">IF(OR(Q73="",AM73=""),"",60+2*Q73-AM73)</f>
        <v/>
      </c>
      <c r="AO73" s="49" t="str">
        <f aca="false">IF(OR(G73="",AJ73=""),"",AJ73-G73)</f>
        <v/>
      </c>
      <c r="AP73" s="50" t="str">
        <f aca="false">IF(AND(A73="",B73=""),"",IF(J73="","Status needed",IF(OR(J73="Applied",J73="Visit booked",J73="Withdrawn"),"OK",IF(G73="","Date assessed needed",IF(C73="","Date of birth needed",IF(COUNTA(L73,M73,P73,U73,V73,X73)&lt;6,"Band missing",IF(AND(OR(J73="Decision confirmed",J73="Family told",J73="Enrolled"),AG73=""),"Recommendation needed",IF(AND(OR(J73="Family told",J73="Enrolled"),AJ73=""),"Date family told needed","OK"))))))))</f>
        <v/>
      </c>
    </row>
    <row r="74" customFormat="false" ht="15" hidden="false" customHeight="false" outlineLevel="0" collapsed="false">
      <c r="A74" s="7"/>
      <c r="B74" s="7"/>
      <c r="C74" s="46"/>
      <c r="D74" s="7"/>
      <c r="E74" s="47"/>
      <c r="F74" s="46"/>
      <c r="G74" s="46"/>
      <c r="H74" s="7"/>
      <c r="I74" s="7"/>
      <c r="J74" s="47"/>
      <c r="K74" s="47"/>
      <c r="L74" s="47"/>
      <c r="M74" s="47"/>
      <c r="N74" s="47"/>
      <c r="O74" s="10"/>
      <c r="P74" s="47"/>
      <c r="Q74" s="47"/>
      <c r="R74" s="48" t="str">
        <f aca="false">IF(Q74="","",IF(Q74=0,"below 5:00",IF(Q74&gt;=66,"16:00 or above",INT((60+2*Q74)/12)&amp;":"&amp;TEXT(MOD(60+2*Q74,12),"00"))))</f>
        <v/>
      </c>
      <c r="S74" s="47"/>
      <c r="T74" s="47"/>
      <c r="U74" s="47"/>
      <c r="V74" s="47"/>
      <c r="W74" s="47"/>
      <c r="X74" s="47"/>
      <c r="Y74" s="47"/>
      <c r="Z74" s="47"/>
      <c r="AA74" s="10"/>
      <c r="AB74" s="10"/>
      <c r="AC74" s="47"/>
      <c r="AD74" s="47"/>
      <c r="AE74" s="47"/>
      <c r="AF74" s="47"/>
      <c r="AG74" s="47"/>
      <c r="AH74" s="47"/>
      <c r="AI74" s="46"/>
      <c r="AJ74" s="46"/>
      <c r="AK74" s="46"/>
      <c r="AL74" s="7"/>
      <c r="AM74" s="49" t="str">
        <f aca="false">IF(OR(C74="",G74=""),"",IFERROR(DATEDIF(C74,G74,"m"),""))</f>
        <v/>
      </c>
      <c r="AN74" s="49" t="str">
        <f aca="false">IF(OR(Q74="",AM74=""),"",60+2*Q74-AM74)</f>
        <v/>
      </c>
      <c r="AO74" s="49" t="str">
        <f aca="false">IF(OR(G74="",AJ74=""),"",AJ74-G74)</f>
        <v/>
      </c>
      <c r="AP74" s="50" t="str">
        <f aca="false">IF(AND(A74="",B74=""),"",IF(J74="","Status needed",IF(OR(J74="Applied",J74="Visit booked",J74="Withdrawn"),"OK",IF(G74="","Date assessed needed",IF(C74="","Date of birth needed",IF(COUNTA(L74,M74,P74,U74,V74,X74)&lt;6,"Band missing",IF(AND(OR(J74="Decision confirmed",J74="Family told",J74="Enrolled"),AG74=""),"Recommendation needed",IF(AND(OR(J74="Family told",J74="Enrolled"),AJ74=""),"Date family told needed","OK"))))))))</f>
        <v/>
      </c>
    </row>
    <row r="75" customFormat="false" ht="15" hidden="false" customHeight="false" outlineLevel="0" collapsed="false">
      <c r="A75" s="7"/>
      <c r="B75" s="7"/>
      <c r="C75" s="46"/>
      <c r="D75" s="7"/>
      <c r="E75" s="47"/>
      <c r="F75" s="46"/>
      <c r="G75" s="46"/>
      <c r="H75" s="7"/>
      <c r="I75" s="7"/>
      <c r="J75" s="47"/>
      <c r="K75" s="47"/>
      <c r="L75" s="47"/>
      <c r="M75" s="47"/>
      <c r="N75" s="47"/>
      <c r="O75" s="10"/>
      <c r="P75" s="47"/>
      <c r="Q75" s="47"/>
      <c r="R75" s="48" t="str">
        <f aca="false">IF(Q75="","",IF(Q75=0,"below 5:00",IF(Q75&gt;=66,"16:00 or above",INT((60+2*Q75)/12)&amp;":"&amp;TEXT(MOD(60+2*Q75,12),"00"))))</f>
        <v/>
      </c>
      <c r="S75" s="47"/>
      <c r="T75" s="47"/>
      <c r="U75" s="47"/>
      <c r="V75" s="47"/>
      <c r="W75" s="47"/>
      <c r="X75" s="47"/>
      <c r="Y75" s="47"/>
      <c r="Z75" s="47"/>
      <c r="AA75" s="10"/>
      <c r="AB75" s="10"/>
      <c r="AC75" s="47"/>
      <c r="AD75" s="47"/>
      <c r="AE75" s="47"/>
      <c r="AF75" s="47"/>
      <c r="AG75" s="47"/>
      <c r="AH75" s="47"/>
      <c r="AI75" s="46"/>
      <c r="AJ75" s="46"/>
      <c r="AK75" s="46"/>
      <c r="AL75" s="7"/>
      <c r="AM75" s="49" t="str">
        <f aca="false">IF(OR(C75="",G75=""),"",IFERROR(DATEDIF(C75,G75,"m"),""))</f>
        <v/>
      </c>
      <c r="AN75" s="49" t="str">
        <f aca="false">IF(OR(Q75="",AM75=""),"",60+2*Q75-AM75)</f>
        <v/>
      </c>
      <c r="AO75" s="49" t="str">
        <f aca="false">IF(OR(G75="",AJ75=""),"",AJ75-G75)</f>
        <v/>
      </c>
      <c r="AP75" s="50" t="str">
        <f aca="false">IF(AND(A75="",B75=""),"",IF(J75="","Status needed",IF(OR(J75="Applied",J75="Visit booked",J75="Withdrawn"),"OK",IF(G75="","Date assessed needed",IF(C75="","Date of birth needed",IF(COUNTA(L75,M75,P75,U75,V75,X75)&lt;6,"Band missing",IF(AND(OR(J75="Decision confirmed",J75="Family told",J75="Enrolled"),AG75=""),"Recommendation needed",IF(AND(OR(J75="Family told",J75="Enrolled"),AJ75=""),"Date family told needed","OK"))))))))</f>
        <v/>
      </c>
    </row>
    <row r="76" customFormat="false" ht="15" hidden="false" customHeight="false" outlineLevel="0" collapsed="false">
      <c r="A76" s="7"/>
      <c r="B76" s="7"/>
      <c r="C76" s="46"/>
      <c r="D76" s="7"/>
      <c r="E76" s="47"/>
      <c r="F76" s="46"/>
      <c r="G76" s="46"/>
      <c r="H76" s="7"/>
      <c r="I76" s="7"/>
      <c r="J76" s="47"/>
      <c r="K76" s="47"/>
      <c r="L76" s="47"/>
      <c r="M76" s="47"/>
      <c r="N76" s="47"/>
      <c r="O76" s="10"/>
      <c r="P76" s="47"/>
      <c r="Q76" s="47"/>
      <c r="R76" s="48" t="str">
        <f aca="false">IF(Q76="","",IF(Q76=0,"below 5:00",IF(Q76&gt;=66,"16:00 or above",INT((60+2*Q76)/12)&amp;":"&amp;TEXT(MOD(60+2*Q76,12),"00"))))</f>
        <v/>
      </c>
      <c r="S76" s="47"/>
      <c r="T76" s="47"/>
      <c r="U76" s="47"/>
      <c r="V76" s="47"/>
      <c r="W76" s="47"/>
      <c r="X76" s="47"/>
      <c r="Y76" s="47"/>
      <c r="Z76" s="47"/>
      <c r="AA76" s="10"/>
      <c r="AB76" s="10"/>
      <c r="AC76" s="47"/>
      <c r="AD76" s="47"/>
      <c r="AE76" s="47"/>
      <c r="AF76" s="47"/>
      <c r="AG76" s="47"/>
      <c r="AH76" s="47"/>
      <c r="AI76" s="46"/>
      <c r="AJ76" s="46"/>
      <c r="AK76" s="46"/>
      <c r="AL76" s="7"/>
      <c r="AM76" s="49" t="str">
        <f aca="false">IF(OR(C76="",G76=""),"",IFERROR(DATEDIF(C76,G76,"m"),""))</f>
        <v/>
      </c>
      <c r="AN76" s="49" t="str">
        <f aca="false">IF(OR(Q76="",AM76=""),"",60+2*Q76-AM76)</f>
        <v/>
      </c>
      <c r="AO76" s="49" t="str">
        <f aca="false">IF(OR(G76="",AJ76=""),"",AJ76-G76)</f>
        <v/>
      </c>
      <c r="AP76" s="50" t="str">
        <f aca="false">IF(AND(A76="",B76=""),"",IF(J76="","Status needed",IF(OR(J76="Applied",J76="Visit booked",J76="Withdrawn"),"OK",IF(G76="","Date assessed needed",IF(C76="","Date of birth needed",IF(COUNTA(L76,M76,P76,U76,V76,X76)&lt;6,"Band missing",IF(AND(OR(J76="Decision confirmed",J76="Family told",J76="Enrolled"),AG76=""),"Recommendation needed",IF(AND(OR(J76="Family told",J76="Enrolled"),AJ76=""),"Date family told needed","OK"))))))))</f>
        <v/>
      </c>
    </row>
    <row r="77" customFormat="false" ht="15" hidden="false" customHeight="false" outlineLevel="0" collapsed="false">
      <c r="A77" s="7"/>
      <c r="B77" s="7"/>
      <c r="C77" s="46"/>
      <c r="D77" s="7"/>
      <c r="E77" s="47"/>
      <c r="F77" s="46"/>
      <c r="G77" s="46"/>
      <c r="H77" s="7"/>
      <c r="I77" s="7"/>
      <c r="J77" s="47"/>
      <c r="K77" s="47"/>
      <c r="L77" s="47"/>
      <c r="M77" s="47"/>
      <c r="N77" s="47"/>
      <c r="O77" s="10"/>
      <c r="P77" s="47"/>
      <c r="Q77" s="47"/>
      <c r="R77" s="48" t="str">
        <f aca="false">IF(Q77="","",IF(Q77=0,"below 5:00",IF(Q77&gt;=66,"16:00 or above",INT((60+2*Q77)/12)&amp;":"&amp;TEXT(MOD(60+2*Q77,12),"00"))))</f>
        <v/>
      </c>
      <c r="S77" s="47"/>
      <c r="T77" s="47"/>
      <c r="U77" s="47"/>
      <c r="V77" s="47"/>
      <c r="W77" s="47"/>
      <c r="X77" s="47"/>
      <c r="Y77" s="47"/>
      <c r="Z77" s="47"/>
      <c r="AA77" s="10"/>
      <c r="AB77" s="10"/>
      <c r="AC77" s="47"/>
      <c r="AD77" s="47"/>
      <c r="AE77" s="47"/>
      <c r="AF77" s="47"/>
      <c r="AG77" s="47"/>
      <c r="AH77" s="47"/>
      <c r="AI77" s="46"/>
      <c r="AJ77" s="46"/>
      <c r="AK77" s="46"/>
      <c r="AL77" s="7"/>
      <c r="AM77" s="49" t="str">
        <f aca="false">IF(OR(C77="",G77=""),"",IFERROR(DATEDIF(C77,G77,"m"),""))</f>
        <v/>
      </c>
      <c r="AN77" s="49" t="str">
        <f aca="false">IF(OR(Q77="",AM77=""),"",60+2*Q77-AM77)</f>
        <v/>
      </c>
      <c r="AO77" s="49" t="str">
        <f aca="false">IF(OR(G77="",AJ77=""),"",AJ77-G77)</f>
        <v/>
      </c>
      <c r="AP77" s="50" t="str">
        <f aca="false">IF(AND(A77="",B77=""),"",IF(J77="","Status needed",IF(OR(J77="Applied",J77="Visit booked",J77="Withdrawn"),"OK",IF(G77="","Date assessed needed",IF(C77="","Date of birth needed",IF(COUNTA(L77,M77,P77,U77,V77,X77)&lt;6,"Band missing",IF(AND(OR(J77="Decision confirmed",J77="Family told",J77="Enrolled"),AG77=""),"Recommendation needed",IF(AND(OR(J77="Family told",J77="Enrolled"),AJ77=""),"Date family told needed","OK"))))))))</f>
        <v/>
      </c>
    </row>
    <row r="78" customFormat="false" ht="15" hidden="false" customHeight="false" outlineLevel="0" collapsed="false">
      <c r="A78" s="7"/>
      <c r="B78" s="7"/>
      <c r="C78" s="46"/>
      <c r="D78" s="7"/>
      <c r="E78" s="47"/>
      <c r="F78" s="46"/>
      <c r="G78" s="46"/>
      <c r="H78" s="7"/>
      <c r="I78" s="7"/>
      <c r="J78" s="47"/>
      <c r="K78" s="47"/>
      <c r="L78" s="47"/>
      <c r="M78" s="47"/>
      <c r="N78" s="47"/>
      <c r="O78" s="10"/>
      <c r="P78" s="47"/>
      <c r="Q78" s="47"/>
      <c r="R78" s="48" t="str">
        <f aca="false">IF(Q78="","",IF(Q78=0,"below 5:00",IF(Q78&gt;=66,"16:00 or above",INT((60+2*Q78)/12)&amp;":"&amp;TEXT(MOD(60+2*Q78,12),"00"))))</f>
        <v/>
      </c>
      <c r="S78" s="47"/>
      <c r="T78" s="47"/>
      <c r="U78" s="47"/>
      <c r="V78" s="47"/>
      <c r="W78" s="47"/>
      <c r="X78" s="47"/>
      <c r="Y78" s="47"/>
      <c r="Z78" s="47"/>
      <c r="AA78" s="10"/>
      <c r="AB78" s="10"/>
      <c r="AC78" s="47"/>
      <c r="AD78" s="47"/>
      <c r="AE78" s="47"/>
      <c r="AF78" s="47"/>
      <c r="AG78" s="47"/>
      <c r="AH78" s="47"/>
      <c r="AI78" s="46"/>
      <c r="AJ78" s="46"/>
      <c r="AK78" s="46"/>
      <c r="AL78" s="7"/>
      <c r="AM78" s="49" t="str">
        <f aca="false">IF(OR(C78="",G78=""),"",IFERROR(DATEDIF(C78,G78,"m"),""))</f>
        <v/>
      </c>
      <c r="AN78" s="49" t="str">
        <f aca="false">IF(OR(Q78="",AM78=""),"",60+2*Q78-AM78)</f>
        <v/>
      </c>
      <c r="AO78" s="49" t="str">
        <f aca="false">IF(OR(G78="",AJ78=""),"",AJ78-G78)</f>
        <v/>
      </c>
      <c r="AP78" s="50" t="str">
        <f aca="false">IF(AND(A78="",B78=""),"",IF(J78="","Status needed",IF(OR(J78="Applied",J78="Visit booked",J78="Withdrawn"),"OK",IF(G78="","Date assessed needed",IF(C78="","Date of birth needed",IF(COUNTA(L78,M78,P78,U78,V78,X78)&lt;6,"Band missing",IF(AND(OR(J78="Decision confirmed",J78="Family told",J78="Enrolled"),AG78=""),"Recommendation needed",IF(AND(OR(J78="Family told",J78="Enrolled"),AJ78=""),"Date family told needed","OK"))))))))</f>
        <v/>
      </c>
    </row>
    <row r="79" customFormat="false" ht="15" hidden="false" customHeight="false" outlineLevel="0" collapsed="false">
      <c r="A79" s="7"/>
      <c r="B79" s="7"/>
      <c r="C79" s="46"/>
      <c r="D79" s="7"/>
      <c r="E79" s="47"/>
      <c r="F79" s="46"/>
      <c r="G79" s="46"/>
      <c r="H79" s="7"/>
      <c r="I79" s="7"/>
      <c r="J79" s="47"/>
      <c r="K79" s="47"/>
      <c r="L79" s="47"/>
      <c r="M79" s="47"/>
      <c r="N79" s="47"/>
      <c r="O79" s="10"/>
      <c r="P79" s="47"/>
      <c r="Q79" s="47"/>
      <c r="R79" s="48" t="str">
        <f aca="false">IF(Q79="","",IF(Q79=0,"below 5:00",IF(Q79&gt;=66,"16:00 or above",INT((60+2*Q79)/12)&amp;":"&amp;TEXT(MOD(60+2*Q79,12),"00"))))</f>
        <v/>
      </c>
      <c r="S79" s="47"/>
      <c r="T79" s="47"/>
      <c r="U79" s="47"/>
      <c r="V79" s="47"/>
      <c r="W79" s="47"/>
      <c r="X79" s="47"/>
      <c r="Y79" s="47"/>
      <c r="Z79" s="47"/>
      <c r="AA79" s="10"/>
      <c r="AB79" s="10"/>
      <c r="AC79" s="47"/>
      <c r="AD79" s="47"/>
      <c r="AE79" s="47"/>
      <c r="AF79" s="47"/>
      <c r="AG79" s="47"/>
      <c r="AH79" s="47"/>
      <c r="AI79" s="46"/>
      <c r="AJ79" s="46"/>
      <c r="AK79" s="46"/>
      <c r="AL79" s="7"/>
      <c r="AM79" s="49" t="str">
        <f aca="false">IF(OR(C79="",G79=""),"",IFERROR(DATEDIF(C79,G79,"m"),""))</f>
        <v/>
      </c>
      <c r="AN79" s="49" t="str">
        <f aca="false">IF(OR(Q79="",AM79=""),"",60+2*Q79-AM79)</f>
        <v/>
      </c>
      <c r="AO79" s="49" t="str">
        <f aca="false">IF(OR(G79="",AJ79=""),"",AJ79-G79)</f>
        <v/>
      </c>
      <c r="AP79" s="50" t="str">
        <f aca="false">IF(AND(A79="",B79=""),"",IF(J79="","Status needed",IF(OR(J79="Applied",J79="Visit booked",J79="Withdrawn"),"OK",IF(G79="","Date assessed needed",IF(C79="","Date of birth needed",IF(COUNTA(L79,M79,P79,U79,V79,X79)&lt;6,"Band missing",IF(AND(OR(J79="Decision confirmed",J79="Family told",J79="Enrolled"),AG79=""),"Recommendation needed",IF(AND(OR(J79="Family told",J79="Enrolled"),AJ79=""),"Date family told needed","OK"))))))))</f>
        <v/>
      </c>
    </row>
    <row r="80" customFormat="false" ht="15" hidden="false" customHeight="false" outlineLevel="0" collapsed="false">
      <c r="A80" s="7"/>
      <c r="B80" s="7"/>
      <c r="C80" s="46"/>
      <c r="D80" s="7"/>
      <c r="E80" s="47"/>
      <c r="F80" s="46"/>
      <c r="G80" s="46"/>
      <c r="H80" s="7"/>
      <c r="I80" s="7"/>
      <c r="J80" s="47"/>
      <c r="K80" s="47"/>
      <c r="L80" s="47"/>
      <c r="M80" s="47"/>
      <c r="N80" s="47"/>
      <c r="O80" s="10"/>
      <c r="P80" s="47"/>
      <c r="Q80" s="47"/>
      <c r="R80" s="48" t="str">
        <f aca="false">IF(Q80="","",IF(Q80=0,"below 5:00",IF(Q80&gt;=66,"16:00 or above",INT((60+2*Q80)/12)&amp;":"&amp;TEXT(MOD(60+2*Q80,12),"00"))))</f>
        <v/>
      </c>
      <c r="S80" s="47"/>
      <c r="T80" s="47"/>
      <c r="U80" s="47"/>
      <c r="V80" s="47"/>
      <c r="W80" s="47"/>
      <c r="X80" s="47"/>
      <c r="Y80" s="47"/>
      <c r="Z80" s="47"/>
      <c r="AA80" s="10"/>
      <c r="AB80" s="10"/>
      <c r="AC80" s="47"/>
      <c r="AD80" s="47"/>
      <c r="AE80" s="47"/>
      <c r="AF80" s="47"/>
      <c r="AG80" s="47"/>
      <c r="AH80" s="47"/>
      <c r="AI80" s="46"/>
      <c r="AJ80" s="46"/>
      <c r="AK80" s="46"/>
      <c r="AL80" s="7"/>
      <c r="AM80" s="49" t="str">
        <f aca="false">IF(OR(C80="",G80=""),"",IFERROR(DATEDIF(C80,G80,"m"),""))</f>
        <v/>
      </c>
      <c r="AN80" s="49" t="str">
        <f aca="false">IF(OR(Q80="",AM80=""),"",60+2*Q80-AM80)</f>
        <v/>
      </c>
      <c r="AO80" s="49" t="str">
        <f aca="false">IF(OR(G80="",AJ80=""),"",AJ80-G80)</f>
        <v/>
      </c>
      <c r="AP80" s="50" t="str">
        <f aca="false">IF(AND(A80="",B80=""),"",IF(J80="","Status needed",IF(OR(J80="Applied",J80="Visit booked",J80="Withdrawn"),"OK",IF(G80="","Date assessed needed",IF(C80="","Date of birth needed",IF(COUNTA(L80,M80,P80,U80,V80,X80)&lt;6,"Band missing",IF(AND(OR(J80="Decision confirmed",J80="Family told",J80="Enrolled"),AG80=""),"Recommendation needed",IF(AND(OR(J80="Family told",J80="Enrolled"),AJ80=""),"Date family told needed","OK"))))))))</f>
        <v/>
      </c>
    </row>
    <row r="81" customFormat="false" ht="15" hidden="false" customHeight="false" outlineLevel="0" collapsed="false">
      <c r="A81" s="7"/>
      <c r="B81" s="7"/>
      <c r="C81" s="46"/>
      <c r="D81" s="7"/>
      <c r="E81" s="47"/>
      <c r="F81" s="46"/>
      <c r="G81" s="46"/>
      <c r="H81" s="7"/>
      <c r="I81" s="7"/>
      <c r="J81" s="47"/>
      <c r="K81" s="47"/>
      <c r="L81" s="47"/>
      <c r="M81" s="47"/>
      <c r="N81" s="47"/>
      <c r="O81" s="10"/>
      <c r="P81" s="47"/>
      <c r="Q81" s="47"/>
      <c r="R81" s="48" t="str">
        <f aca="false">IF(Q81="","",IF(Q81=0,"below 5:00",IF(Q81&gt;=66,"16:00 or above",INT((60+2*Q81)/12)&amp;":"&amp;TEXT(MOD(60+2*Q81,12),"00"))))</f>
        <v/>
      </c>
      <c r="S81" s="47"/>
      <c r="T81" s="47"/>
      <c r="U81" s="47"/>
      <c r="V81" s="47"/>
      <c r="W81" s="47"/>
      <c r="X81" s="47"/>
      <c r="Y81" s="47"/>
      <c r="Z81" s="47"/>
      <c r="AA81" s="10"/>
      <c r="AB81" s="10"/>
      <c r="AC81" s="47"/>
      <c r="AD81" s="47"/>
      <c r="AE81" s="47"/>
      <c r="AF81" s="47"/>
      <c r="AG81" s="47"/>
      <c r="AH81" s="47"/>
      <c r="AI81" s="46"/>
      <c r="AJ81" s="46"/>
      <c r="AK81" s="46"/>
      <c r="AL81" s="7"/>
      <c r="AM81" s="49" t="str">
        <f aca="false">IF(OR(C81="",G81=""),"",IFERROR(DATEDIF(C81,G81,"m"),""))</f>
        <v/>
      </c>
      <c r="AN81" s="49" t="str">
        <f aca="false">IF(OR(Q81="",AM81=""),"",60+2*Q81-AM81)</f>
        <v/>
      </c>
      <c r="AO81" s="49" t="str">
        <f aca="false">IF(OR(G81="",AJ81=""),"",AJ81-G81)</f>
        <v/>
      </c>
      <c r="AP81" s="50" t="str">
        <f aca="false">IF(AND(A81="",B81=""),"",IF(J81="","Status needed",IF(OR(J81="Applied",J81="Visit booked",J81="Withdrawn"),"OK",IF(G81="","Date assessed needed",IF(C81="","Date of birth needed",IF(COUNTA(L81,M81,P81,U81,V81,X81)&lt;6,"Band missing",IF(AND(OR(J81="Decision confirmed",J81="Family told",J81="Enrolled"),AG81=""),"Recommendation needed",IF(AND(OR(J81="Family told",J81="Enrolled"),AJ81=""),"Date family told needed","OK"))))))))</f>
        <v/>
      </c>
    </row>
    <row r="82" customFormat="false" ht="15" hidden="false" customHeight="false" outlineLevel="0" collapsed="false">
      <c r="A82" s="7"/>
      <c r="B82" s="7"/>
      <c r="C82" s="46"/>
      <c r="D82" s="7"/>
      <c r="E82" s="47"/>
      <c r="F82" s="46"/>
      <c r="G82" s="46"/>
      <c r="H82" s="7"/>
      <c r="I82" s="7"/>
      <c r="J82" s="47"/>
      <c r="K82" s="47"/>
      <c r="L82" s="47"/>
      <c r="M82" s="47"/>
      <c r="N82" s="47"/>
      <c r="O82" s="10"/>
      <c r="P82" s="47"/>
      <c r="Q82" s="47"/>
      <c r="R82" s="48" t="str">
        <f aca="false">IF(Q82="","",IF(Q82=0,"below 5:00",IF(Q82&gt;=66,"16:00 or above",INT((60+2*Q82)/12)&amp;":"&amp;TEXT(MOD(60+2*Q82,12),"00"))))</f>
        <v/>
      </c>
      <c r="S82" s="47"/>
      <c r="T82" s="47"/>
      <c r="U82" s="47"/>
      <c r="V82" s="47"/>
      <c r="W82" s="47"/>
      <c r="X82" s="47"/>
      <c r="Y82" s="47"/>
      <c r="Z82" s="47"/>
      <c r="AA82" s="10"/>
      <c r="AB82" s="10"/>
      <c r="AC82" s="47"/>
      <c r="AD82" s="47"/>
      <c r="AE82" s="47"/>
      <c r="AF82" s="47"/>
      <c r="AG82" s="47"/>
      <c r="AH82" s="47"/>
      <c r="AI82" s="46"/>
      <c r="AJ82" s="46"/>
      <c r="AK82" s="46"/>
      <c r="AL82" s="7"/>
      <c r="AM82" s="49" t="str">
        <f aca="false">IF(OR(C82="",G82=""),"",IFERROR(DATEDIF(C82,G82,"m"),""))</f>
        <v/>
      </c>
      <c r="AN82" s="49" t="str">
        <f aca="false">IF(OR(Q82="",AM82=""),"",60+2*Q82-AM82)</f>
        <v/>
      </c>
      <c r="AO82" s="49" t="str">
        <f aca="false">IF(OR(G82="",AJ82=""),"",AJ82-G82)</f>
        <v/>
      </c>
      <c r="AP82" s="50" t="str">
        <f aca="false">IF(AND(A82="",B82=""),"",IF(J82="","Status needed",IF(OR(J82="Applied",J82="Visit booked",J82="Withdrawn"),"OK",IF(G82="","Date assessed needed",IF(C82="","Date of birth needed",IF(COUNTA(L82,M82,P82,U82,V82,X82)&lt;6,"Band missing",IF(AND(OR(J82="Decision confirmed",J82="Family told",J82="Enrolled"),AG82=""),"Recommendation needed",IF(AND(OR(J82="Family told",J82="Enrolled"),AJ82=""),"Date family told needed","OK"))))))))</f>
        <v/>
      </c>
    </row>
    <row r="83" customFormat="false" ht="15" hidden="false" customHeight="false" outlineLevel="0" collapsed="false">
      <c r="A83" s="7"/>
      <c r="B83" s="7"/>
      <c r="C83" s="46"/>
      <c r="D83" s="7"/>
      <c r="E83" s="47"/>
      <c r="F83" s="46"/>
      <c r="G83" s="46"/>
      <c r="H83" s="7"/>
      <c r="I83" s="7"/>
      <c r="J83" s="47"/>
      <c r="K83" s="47"/>
      <c r="L83" s="47"/>
      <c r="M83" s="47"/>
      <c r="N83" s="47"/>
      <c r="O83" s="10"/>
      <c r="P83" s="47"/>
      <c r="Q83" s="47"/>
      <c r="R83" s="48" t="str">
        <f aca="false">IF(Q83="","",IF(Q83=0,"below 5:00",IF(Q83&gt;=66,"16:00 or above",INT((60+2*Q83)/12)&amp;":"&amp;TEXT(MOD(60+2*Q83,12),"00"))))</f>
        <v/>
      </c>
      <c r="S83" s="47"/>
      <c r="T83" s="47"/>
      <c r="U83" s="47"/>
      <c r="V83" s="47"/>
      <c r="W83" s="47"/>
      <c r="X83" s="47"/>
      <c r="Y83" s="47"/>
      <c r="Z83" s="47"/>
      <c r="AA83" s="10"/>
      <c r="AB83" s="10"/>
      <c r="AC83" s="47"/>
      <c r="AD83" s="47"/>
      <c r="AE83" s="47"/>
      <c r="AF83" s="47"/>
      <c r="AG83" s="47"/>
      <c r="AH83" s="47"/>
      <c r="AI83" s="46"/>
      <c r="AJ83" s="46"/>
      <c r="AK83" s="46"/>
      <c r="AL83" s="7"/>
      <c r="AM83" s="49" t="str">
        <f aca="false">IF(OR(C83="",G83=""),"",IFERROR(DATEDIF(C83,G83,"m"),""))</f>
        <v/>
      </c>
      <c r="AN83" s="49" t="str">
        <f aca="false">IF(OR(Q83="",AM83=""),"",60+2*Q83-AM83)</f>
        <v/>
      </c>
      <c r="AO83" s="49" t="str">
        <f aca="false">IF(OR(G83="",AJ83=""),"",AJ83-G83)</f>
        <v/>
      </c>
      <c r="AP83" s="50" t="str">
        <f aca="false">IF(AND(A83="",B83=""),"",IF(J83="","Status needed",IF(OR(J83="Applied",J83="Visit booked",J83="Withdrawn"),"OK",IF(G83="","Date assessed needed",IF(C83="","Date of birth needed",IF(COUNTA(L83,M83,P83,U83,V83,X83)&lt;6,"Band missing",IF(AND(OR(J83="Decision confirmed",J83="Family told",J83="Enrolled"),AG83=""),"Recommendation needed",IF(AND(OR(J83="Family told",J83="Enrolled"),AJ83=""),"Date family told needed","OK"))))))))</f>
        <v/>
      </c>
    </row>
    <row r="84" customFormat="false" ht="15" hidden="false" customHeight="false" outlineLevel="0" collapsed="false">
      <c r="A84" s="7"/>
      <c r="B84" s="7"/>
      <c r="C84" s="46"/>
      <c r="D84" s="7"/>
      <c r="E84" s="47"/>
      <c r="F84" s="46"/>
      <c r="G84" s="46"/>
      <c r="H84" s="7"/>
      <c r="I84" s="7"/>
      <c r="J84" s="47"/>
      <c r="K84" s="47"/>
      <c r="L84" s="47"/>
      <c r="M84" s="47"/>
      <c r="N84" s="47"/>
      <c r="O84" s="10"/>
      <c r="P84" s="47"/>
      <c r="Q84" s="47"/>
      <c r="R84" s="48" t="str">
        <f aca="false">IF(Q84="","",IF(Q84=0,"below 5:00",IF(Q84&gt;=66,"16:00 or above",INT((60+2*Q84)/12)&amp;":"&amp;TEXT(MOD(60+2*Q84,12),"00"))))</f>
        <v/>
      </c>
      <c r="S84" s="47"/>
      <c r="T84" s="47"/>
      <c r="U84" s="47"/>
      <c r="V84" s="47"/>
      <c r="W84" s="47"/>
      <c r="X84" s="47"/>
      <c r="Y84" s="47"/>
      <c r="Z84" s="47"/>
      <c r="AA84" s="10"/>
      <c r="AB84" s="10"/>
      <c r="AC84" s="47"/>
      <c r="AD84" s="47"/>
      <c r="AE84" s="47"/>
      <c r="AF84" s="47"/>
      <c r="AG84" s="47"/>
      <c r="AH84" s="47"/>
      <c r="AI84" s="46"/>
      <c r="AJ84" s="46"/>
      <c r="AK84" s="46"/>
      <c r="AL84" s="7"/>
      <c r="AM84" s="49" t="str">
        <f aca="false">IF(OR(C84="",G84=""),"",IFERROR(DATEDIF(C84,G84,"m"),""))</f>
        <v/>
      </c>
      <c r="AN84" s="49" t="str">
        <f aca="false">IF(OR(Q84="",AM84=""),"",60+2*Q84-AM84)</f>
        <v/>
      </c>
      <c r="AO84" s="49" t="str">
        <f aca="false">IF(OR(G84="",AJ84=""),"",AJ84-G84)</f>
        <v/>
      </c>
      <c r="AP84" s="50" t="str">
        <f aca="false">IF(AND(A84="",B84=""),"",IF(J84="","Status needed",IF(OR(J84="Applied",J84="Visit booked",J84="Withdrawn"),"OK",IF(G84="","Date assessed needed",IF(C84="","Date of birth needed",IF(COUNTA(L84,M84,P84,U84,V84,X84)&lt;6,"Band missing",IF(AND(OR(J84="Decision confirmed",J84="Family told",J84="Enrolled"),AG84=""),"Recommendation needed",IF(AND(OR(J84="Family told",J84="Enrolled"),AJ84=""),"Date family told needed","OK"))))))))</f>
        <v/>
      </c>
    </row>
    <row r="85" customFormat="false" ht="15" hidden="false" customHeight="false" outlineLevel="0" collapsed="false">
      <c r="A85" s="7"/>
      <c r="B85" s="7"/>
      <c r="C85" s="46"/>
      <c r="D85" s="7"/>
      <c r="E85" s="47"/>
      <c r="F85" s="46"/>
      <c r="G85" s="46"/>
      <c r="H85" s="7"/>
      <c r="I85" s="7"/>
      <c r="J85" s="47"/>
      <c r="K85" s="47"/>
      <c r="L85" s="47"/>
      <c r="M85" s="47"/>
      <c r="N85" s="47"/>
      <c r="O85" s="10"/>
      <c r="P85" s="47"/>
      <c r="Q85" s="47"/>
      <c r="R85" s="48" t="str">
        <f aca="false">IF(Q85="","",IF(Q85=0,"below 5:00",IF(Q85&gt;=66,"16:00 or above",INT((60+2*Q85)/12)&amp;":"&amp;TEXT(MOD(60+2*Q85,12),"00"))))</f>
        <v/>
      </c>
      <c r="S85" s="47"/>
      <c r="T85" s="47"/>
      <c r="U85" s="47"/>
      <c r="V85" s="47"/>
      <c r="W85" s="47"/>
      <c r="X85" s="47"/>
      <c r="Y85" s="47"/>
      <c r="Z85" s="47"/>
      <c r="AA85" s="10"/>
      <c r="AB85" s="10"/>
      <c r="AC85" s="47"/>
      <c r="AD85" s="47"/>
      <c r="AE85" s="47"/>
      <c r="AF85" s="47"/>
      <c r="AG85" s="47"/>
      <c r="AH85" s="47"/>
      <c r="AI85" s="46"/>
      <c r="AJ85" s="46"/>
      <c r="AK85" s="46"/>
      <c r="AL85" s="7"/>
      <c r="AM85" s="49" t="str">
        <f aca="false">IF(OR(C85="",G85=""),"",IFERROR(DATEDIF(C85,G85,"m"),""))</f>
        <v/>
      </c>
      <c r="AN85" s="49" t="str">
        <f aca="false">IF(OR(Q85="",AM85=""),"",60+2*Q85-AM85)</f>
        <v/>
      </c>
      <c r="AO85" s="49" t="str">
        <f aca="false">IF(OR(G85="",AJ85=""),"",AJ85-G85)</f>
        <v/>
      </c>
      <c r="AP85" s="50" t="str">
        <f aca="false">IF(AND(A85="",B85=""),"",IF(J85="","Status needed",IF(OR(J85="Applied",J85="Visit booked",J85="Withdrawn"),"OK",IF(G85="","Date assessed needed",IF(C85="","Date of birth needed",IF(COUNTA(L85,M85,P85,U85,V85,X85)&lt;6,"Band missing",IF(AND(OR(J85="Decision confirmed",J85="Family told",J85="Enrolled"),AG85=""),"Recommendation needed",IF(AND(OR(J85="Family told",J85="Enrolled"),AJ85=""),"Date family told needed","OK"))))))))</f>
        <v/>
      </c>
    </row>
    <row r="86" customFormat="false" ht="15" hidden="false" customHeight="false" outlineLevel="0" collapsed="false">
      <c r="A86" s="7"/>
      <c r="B86" s="7"/>
      <c r="C86" s="46"/>
      <c r="D86" s="7"/>
      <c r="E86" s="47"/>
      <c r="F86" s="46"/>
      <c r="G86" s="46"/>
      <c r="H86" s="7"/>
      <c r="I86" s="7"/>
      <c r="J86" s="47"/>
      <c r="K86" s="47"/>
      <c r="L86" s="47"/>
      <c r="M86" s="47"/>
      <c r="N86" s="47"/>
      <c r="O86" s="10"/>
      <c r="P86" s="47"/>
      <c r="Q86" s="47"/>
      <c r="R86" s="48" t="str">
        <f aca="false">IF(Q86="","",IF(Q86=0,"below 5:00",IF(Q86&gt;=66,"16:00 or above",INT((60+2*Q86)/12)&amp;":"&amp;TEXT(MOD(60+2*Q86,12),"00"))))</f>
        <v/>
      </c>
      <c r="S86" s="47"/>
      <c r="T86" s="47"/>
      <c r="U86" s="47"/>
      <c r="V86" s="47"/>
      <c r="W86" s="47"/>
      <c r="X86" s="47"/>
      <c r="Y86" s="47"/>
      <c r="Z86" s="47"/>
      <c r="AA86" s="10"/>
      <c r="AB86" s="10"/>
      <c r="AC86" s="47"/>
      <c r="AD86" s="47"/>
      <c r="AE86" s="47"/>
      <c r="AF86" s="47"/>
      <c r="AG86" s="47"/>
      <c r="AH86" s="47"/>
      <c r="AI86" s="46"/>
      <c r="AJ86" s="46"/>
      <c r="AK86" s="46"/>
      <c r="AL86" s="7"/>
      <c r="AM86" s="49" t="str">
        <f aca="false">IF(OR(C86="",G86=""),"",IFERROR(DATEDIF(C86,G86,"m"),""))</f>
        <v/>
      </c>
      <c r="AN86" s="49" t="str">
        <f aca="false">IF(OR(Q86="",AM86=""),"",60+2*Q86-AM86)</f>
        <v/>
      </c>
      <c r="AO86" s="49" t="str">
        <f aca="false">IF(OR(G86="",AJ86=""),"",AJ86-G86)</f>
        <v/>
      </c>
      <c r="AP86" s="50" t="str">
        <f aca="false">IF(AND(A86="",B86=""),"",IF(J86="","Status needed",IF(OR(J86="Applied",J86="Visit booked",J86="Withdrawn"),"OK",IF(G86="","Date assessed needed",IF(C86="","Date of birth needed",IF(COUNTA(L86,M86,P86,U86,V86,X86)&lt;6,"Band missing",IF(AND(OR(J86="Decision confirmed",J86="Family told",J86="Enrolled"),AG86=""),"Recommendation needed",IF(AND(OR(J86="Family told",J86="Enrolled"),AJ86=""),"Date family told needed","OK"))))))))</f>
        <v/>
      </c>
    </row>
    <row r="87" customFormat="false" ht="15" hidden="false" customHeight="false" outlineLevel="0" collapsed="false">
      <c r="A87" s="7"/>
      <c r="B87" s="7"/>
      <c r="C87" s="46"/>
      <c r="D87" s="7"/>
      <c r="E87" s="47"/>
      <c r="F87" s="46"/>
      <c r="G87" s="46"/>
      <c r="H87" s="7"/>
      <c r="I87" s="7"/>
      <c r="J87" s="47"/>
      <c r="K87" s="47"/>
      <c r="L87" s="47"/>
      <c r="M87" s="47"/>
      <c r="N87" s="47"/>
      <c r="O87" s="10"/>
      <c r="P87" s="47"/>
      <c r="Q87" s="47"/>
      <c r="R87" s="48" t="str">
        <f aca="false">IF(Q87="","",IF(Q87=0,"below 5:00",IF(Q87&gt;=66,"16:00 or above",INT((60+2*Q87)/12)&amp;":"&amp;TEXT(MOD(60+2*Q87,12),"00"))))</f>
        <v/>
      </c>
      <c r="S87" s="47"/>
      <c r="T87" s="47"/>
      <c r="U87" s="47"/>
      <c r="V87" s="47"/>
      <c r="W87" s="47"/>
      <c r="X87" s="47"/>
      <c r="Y87" s="47"/>
      <c r="Z87" s="47"/>
      <c r="AA87" s="10"/>
      <c r="AB87" s="10"/>
      <c r="AC87" s="47"/>
      <c r="AD87" s="47"/>
      <c r="AE87" s="47"/>
      <c r="AF87" s="47"/>
      <c r="AG87" s="47"/>
      <c r="AH87" s="47"/>
      <c r="AI87" s="46"/>
      <c r="AJ87" s="46"/>
      <c r="AK87" s="46"/>
      <c r="AL87" s="7"/>
      <c r="AM87" s="49" t="str">
        <f aca="false">IF(OR(C87="",G87=""),"",IFERROR(DATEDIF(C87,G87,"m"),""))</f>
        <v/>
      </c>
      <c r="AN87" s="49" t="str">
        <f aca="false">IF(OR(Q87="",AM87=""),"",60+2*Q87-AM87)</f>
        <v/>
      </c>
      <c r="AO87" s="49" t="str">
        <f aca="false">IF(OR(G87="",AJ87=""),"",AJ87-G87)</f>
        <v/>
      </c>
      <c r="AP87" s="50" t="str">
        <f aca="false">IF(AND(A87="",B87=""),"",IF(J87="","Status needed",IF(OR(J87="Applied",J87="Visit booked",J87="Withdrawn"),"OK",IF(G87="","Date assessed needed",IF(C87="","Date of birth needed",IF(COUNTA(L87,M87,P87,U87,V87,X87)&lt;6,"Band missing",IF(AND(OR(J87="Decision confirmed",J87="Family told",J87="Enrolled"),AG87=""),"Recommendation needed",IF(AND(OR(J87="Family told",J87="Enrolled"),AJ87=""),"Date family told needed","OK"))))))))</f>
        <v/>
      </c>
    </row>
    <row r="88" customFormat="false" ht="15" hidden="false" customHeight="false" outlineLevel="0" collapsed="false">
      <c r="A88" s="7"/>
      <c r="B88" s="7"/>
      <c r="C88" s="46"/>
      <c r="D88" s="7"/>
      <c r="E88" s="47"/>
      <c r="F88" s="46"/>
      <c r="G88" s="46"/>
      <c r="H88" s="7"/>
      <c r="I88" s="7"/>
      <c r="J88" s="47"/>
      <c r="K88" s="47"/>
      <c r="L88" s="47"/>
      <c r="M88" s="47"/>
      <c r="N88" s="47"/>
      <c r="O88" s="10"/>
      <c r="P88" s="47"/>
      <c r="Q88" s="47"/>
      <c r="R88" s="48" t="str">
        <f aca="false">IF(Q88="","",IF(Q88=0,"below 5:00",IF(Q88&gt;=66,"16:00 or above",INT((60+2*Q88)/12)&amp;":"&amp;TEXT(MOD(60+2*Q88,12),"00"))))</f>
        <v/>
      </c>
      <c r="S88" s="47"/>
      <c r="T88" s="47"/>
      <c r="U88" s="47"/>
      <c r="V88" s="47"/>
      <c r="W88" s="47"/>
      <c r="X88" s="47"/>
      <c r="Y88" s="47"/>
      <c r="Z88" s="47"/>
      <c r="AA88" s="10"/>
      <c r="AB88" s="10"/>
      <c r="AC88" s="47"/>
      <c r="AD88" s="47"/>
      <c r="AE88" s="47"/>
      <c r="AF88" s="47"/>
      <c r="AG88" s="47"/>
      <c r="AH88" s="47"/>
      <c r="AI88" s="46"/>
      <c r="AJ88" s="46"/>
      <c r="AK88" s="46"/>
      <c r="AL88" s="7"/>
      <c r="AM88" s="49" t="str">
        <f aca="false">IF(OR(C88="",G88=""),"",IFERROR(DATEDIF(C88,G88,"m"),""))</f>
        <v/>
      </c>
      <c r="AN88" s="49" t="str">
        <f aca="false">IF(OR(Q88="",AM88=""),"",60+2*Q88-AM88)</f>
        <v/>
      </c>
      <c r="AO88" s="49" t="str">
        <f aca="false">IF(OR(G88="",AJ88=""),"",AJ88-G88)</f>
        <v/>
      </c>
      <c r="AP88" s="50" t="str">
        <f aca="false">IF(AND(A88="",B88=""),"",IF(J88="","Status needed",IF(OR(J88="Applied",J88="Visit booked",J88="Withdrawn"),"OK",IF(G88="","Date assessed needed",IF(C88="","Date of birth needed",IF(COUNTA(L88,M88,P88,U88,V88,X88)&lt;6,"Band missing",IF(AND(OR(J88="Decision confirmed",J88="Family told",J88="Enrolled"),AG88=""),"Recommendation needed",IF(AND(OR(J88="Family told",J88="Enrolled"),AJ88=""),"Date family told needed","OK"))))))))</f>
        <v/>
      </c>
    </row>
    <row r="89" customFormat="false" ht="15" hidden="false" customHeight="false" outlineLevel="0" collapsed="false">
      <c r="A89" s="7"/>
      <c r="B89" s="7"/>
      <c r="C89" s="46"/>
      <c r="D89" s="7"/>
      <c r="E89" s="47"/>
      <c r="F89" s="46"/>
      <c r="G89" s="46"/>
      <c r="H89" s="7"/>
      <c r="I89" s="7"/>
      <c r="J89" s="47"/>
      <c r="K89" s="47"/>
      <c r="L89" s="47"/>
      <c r="M89" s="47"/>
      <c r="N89" s="47"/>
      <c r="O89" s="10"/>
      <c r="P89" s="47"/>
      <c r="Q89" s="47"/>
      <c r="R89" s="48" t="str">
        <f aca="false">IF(Q89="","",IF(Q89=0,"below 5:00",IF(Q89&gt;=66,"16:00 or above",INT((60+2*Q89)/12)&amp;":"&amp;TEXT(MOD(60+2*Q89,12),"00"))))</f>
        <v/>
      </c>
      <c r="S89" s="47"/>
      <c r="T89" s="47"/>
      <c r="U89" s="47"/>
      <c r="V89" s="47"/>
      <c r="W89" s="47"/>
      <c r="X89" s="47"/>
      <c r="Y89" s="47"/>
      <c r="Z89" s="47"/>
      <c r="AA89" s="10"/>
      <c r="AB89" s="10"/>
      <c r="AC89" s="47"/>
      <c r="AD89" s="47"/>
      <c r="AE89" s="47"/>
      <c r="AF89" s="47"/>
      <c r="AG89" s="47"/>
      <c r="AH89" s="47"/>
      <c r="AI89" s="46"/>
      <c r="AJ89" s="46"/>
      <c r="AK89" s="46"/>
      <c r="AL89" s="7"/>
      <c r="AM89" s="49" t="str">
        <f aca="false">IF(OR(C89="",G89=""),"",IFERROR(DATEDIF(C89,G89,"m"),""))</f>
        <v/>
      </c>
      <c r="AN89" s="49" t="str">
        <f aca="false">IF(OR(Q89="",AM89=""),"",60+2*Q89-AM89)</f>
        <v/>
      </c>
      <c r="AO89" s="49" t="str">
        <f aca="false">IF(OR(G89="",AJ89=""),"",AJ89-G89)</f>
        <v/>
      </c>
      <c r="AP89" s="50" t="str">
        <f aca="false">IF(AND(A89="",B89=""),"",IF(J89="","Status needed",IF(OR(J89="Applied",J89="Visit booked",J89="Withdrawn"),"OK",IF(G89="","Date assessed needed",IF(C89="","Date of birth needed",IF(COUNTA(L89,M89,P89,U89,V89,X89)&lt;6,"Band missing",IF(AND(OR(J89="Decision confirmed",J89="Family told",J89="Enrolled"),AG89=""),"Recommendation needed",IF(AND(OR(J89="Family told",J89="Enrolled"),AJ89=""),"Date family told needed","OK"))))))))</f>
        <v/>
      </c>
    </row>
    <row r="90" customFormat="false" ht="15" hidden="false" customHeight="false" outlineLevel="0" collapsed="false">
      <c r="A90" s="7"/>
      <c r="B90" s="7"/>
      <c r="C90" s="46"/>
      <c r="D90" s="7"/>
      <c r="E90" s="47"/>
      <c r="F90" s="46"/>
      <c r="G90" s="46"/>
      <c r="H90" s="7"/>
      <c r="I90" s="7"/>
      <c r="J90" s="47"/>
      <c r="K90" s="47"/>
      <c r="L90" s="47"/>
      <c r="M90" s="47"/>
      <c r="N90" s="47"/>
      <c r="O90" s="10"/>
      <c r="P90" s="47"/>
      <c r="Q90" s="47"/>
      <c r="R90" s="48" t="str">
        <f aca="false">IF(Q90="","",IF(Q90=0,"below 5:00",IF(Q90&gt;=66,"16:00 or above",INT((60+2*Q90)/12)&amp;":"&amp;TEXT(MOD(60+2*Q90,12),"00"))))</f>
        <v/>
      </c>
      <c r="S90" s="47"/>
      <c r="T90" s="47"/>
      <c r="U90" s="47"/>
      <c r="V90" s="47"/>
      <c r="W90" s="47"/>
      <c r="X90" s="47"/>
      <c r="Y90" s="47"/>
      <c r="Z90" s="47"/>
      <c r="AA90" s="10"/>
      <c r="AB90" s="10"/>
      <c r="AC90" s="47"/>
      <c r="AD90" s="47"/>
      <c r="AE90" s="47"/>
      <c r="AF90" s="47"/>
      <c r="AG90" s="47"/>
      <c r="AH90" s="47"/>
      <c r="AI90" s="46"/>
      <c r="AJ90" s="46"/>
      <c r="AK90" s="46"/>
      <c r="AL90" s="7"/>
      <c r="AM90" s="49" t="str">
        <f aca="false">IF(OR(C90="",G90=""),"",IFERROR(DATEDIF(C90,G90,"m"),""))</f>
        <v/>
      </c>
      <c r="AN90" s="49" t="str">
        <f aca="false">IF(OR(Q90="",AM90=""),"",60+2*Q90-AM90)</f>
        <v/>
      </c>
      <c r="AO90" s="49" t="str">
        <f aca="false">IF(OR(G90="",AJ90=""),"",AJ90-G90)</f>
        <v/>
      </c>
      <c r="AP90" s="50" t="str">
        <f aca="false">IF(AND(A90="",B90=""),"",IF(J90="","Status needed",IF(OR(J90="Applied",J90="Visit booked",J90="Withdrawn"),"OK",IF(G90="","Date assessed needed",IF(C90="","Date of birth needed",IF(COUNTA(L90,M90,P90,U90,V90,X90)&lt;6,"Band missing",IF(AND(OR(J90="Decision confirmed",J90="Family told",J90="Enrolled"),AG90=""),"Recommendation needed",IF(AND(OR(J90="Family told",J90="Enrolled"),AJ90=""),"Date family told needed","OK"))))))))</f>
        <v/>
      </c>
    </row>
    <row r="91" customFormat="false" ht="15" hidden="false" customHeight="false" outlineLevel="0" collapsed="false">
      <c r="A91" s="7"/>
      <c r="B91" s="7"/>
      <c r="C91" s="46"/>
      <c r="D91" s="7"/>
      <c r="E91" s="47"/>
      <c r="F91" s="46"/>
      <c r="G91" s="46"/>
      <c r="H91" s="7"/>
      <c r="I91" s="7"/>
      <c r="J91" s="47"/>
      <c r="K91" s="47"/>
      <c r="L91" s="47"/>
      <c r="M91" s="47"/>
      <c r="N91" s="47"/>
      <c r="O91" s="10"/>
      <c r="P91" s="47"/>
      <c r="Q91" s="47"/>
      <c r="R91" s="48" t="str">
        <f aca="false">IF(Q91="","",IF(Q91=0,"below 5:00",IF(Q91&gt;=66,"16:00 or above",INT((60+2*Q91)/12)&amp;":"&amp;TEXT(MOD(60+2*Q91,12),"00"))))</f>
        <v/>
      </c>
      <c r="S91" s="47"/>
      <c r="T91" s="47"/>
      <c r="U91" s="47"/>
      <c r="V91" s="47"/>
      <c r="W91" s="47"/>
      <c r="X91" s="47"/>
      <c r="Y91" s="47"/>
      <c r="Z91" s="47"/>
      <c r="AA91" s="10"/>
      <c r="AB91" s="10"/>
      <c r="AC91" s="47"/>
      <c r="AD91" s="47"/>
      <c r="AE91" s="47"/>
      <c r="AF91" s="47"/>
      <c r="AG91" s="47"/>
      <c r="AH91" s="47"/>
      <c r="AI91" s="46"/>
      <c r="AJ91" s="46"/>
      <c r="AK91" s="46"/>
      <c r="AL91" s="7"/>
      <c r="AM91" s="49" t="str">
        <f aca="false">IF(OR(C91="",G91=""),"",IFERROR(DATEDIF(C91,G91,"m"),""))</f>
        <v/>
      </c>
      <c r="AN91" s="49" t="str">
        <f aca="false">IF(OR(Q91="",AM91=""),"",60+2*Q91-AM91)</f>
        <v/>
      </c>
      <c r="AO91" s="49" t="str">
        <f aca="false">IF(OR(G91="",AJ91=""),"",AJ91-G91)</f>
        <v/>
      </c>
      <c r="AP91" s="50" t="str">
        <f aca="false">IF(AND(A91="",B91=""),"",IF(J91="","Status needed",IF(OR(J91="Applied",J91="Visit booked",J91="Withdrawn"),"OK",IF(G91="","Date assessed needed",IF(C91="","Date of birth needed",IF(COUNTA(L91,M91,P91,U91,V91,X91)&lt;6,"Band missing",IF(AND(OR(J91="Decision confirmed",J91="Family told",J91="Enrolled"),AG91=""),"Recommendation needed",IF(AND(OR(J91="Family told",J91="Enrolled"),AJ91=""),"Date family told needed","OK"))))))))</f>
        <v/>
      </c>
    </row>
    <row r="92" customFormat="false" ht="15" hidden="false" customHeight="false" outlineLevel="0" collapsed="false">
      <c r="A92" s="7"/>
      <c r="B92" s="7"/>
      <c r="C92" s="46"/>
      <c r="D92" s="7"/>
      <c r="E92" s="47"/>
      <c r="F92" s="46"/>
      <c r="G92" s="46"/>
      <c r="H92" s="7"/>
      <c r="I92" s="7"/>
      <c r="J92" s="47"/>
      <c r="K92" s="47"/>
      <c r="L92" s="47"/>
      <c r="M92" s="47"/>
      <c r="N92" s="47"/>
      <c r="O92" s="10"/>
      <c r="P92" s="47"/>
      <c r="Q92" s="47"/>
      <c r="R92" s="48" t="str">
        <f aca="false">IF(Q92="","",IF(Q92=0,"below 5:00",IF(Q92&gt;=66,"16:00 or above",INT((60+2*Q92)/12)&amp;":"&amp;TEXT(MOD(60+2*Q92,12),"00"))))</f>
        <v/>
      </c>
      <c r="S92" s="47"/>
      <c r="T92" s="47"/>
      <c r="U92" s="47"/>
      <c r="V92" s="47"/>
      <c r="W92" s="47"/>
      <c r="X92" s="47"/>
      <c r="Y92" s="47"/>
      <c r="Z92" s="47"/>
      <c r="AA92" s="10"/>
      <c r="AB92" s="10"/>
      <c r="AC92" s="47"/>
      <c r="AD92" s="47"/>
      <c r="AE92" s="47"/>
      <c r="AF92" s="47"/>
      <c r="AG92" s="47"/>
      <c r="AH92" s="47"/>
      <c r="AI92" s="46"/>
      <c r="AJ92" s="46"/>
      <c r="AK92" s="46"/>
      <c r="AL92" s="7"/>
      <c r="AM92" s="49" t="str">
        <f aca="false">IF(OR(C92="",G92=""),"",IFERROR(DATEDIF(C92,G92,"m"),""))</f>
        <v/>
      </c>
      <c r="AN92" s="49" t="str">
        <f aca="false">IF(OR(Q92="",AM92=""),"",60+2*Q92-AM92)</f>
        <v/>
      </c>
      <c r="AO92" s="49" t="str">
        <f aca="false">IF(OR(G92="",AJ92=""),"",AJ92-G92)</f>
        <v/>
      </c>
      <c r="AP92" s="50" t="str">
        <f aca="false">IF(AND(A92="",B92=""),"",IF(J92="","Status needed",IF(OR(J92="Applied",J92="Visit booked",J92="Withdrawn"),"OK",IF(G92="","Date assessed needed",IF(C92="","Date of birth needed",IF(COUNTA(L92,M92,P92,U92,V92,X92)&lt;6,"Band missing",IF(AND(OR(J92="Decision confirmed",J92="Family told",J92="Enrolled"),AG92=""),"Recommendation needed",IF(AND(OR(J92="Family told",J92="Enrolled"),AJ92=""),"Date family told needed","OK"))))))))</f>
        <v/>
      </c>
    </row>
    <row r="93" customFormat="false" ht="15" hidden="false" customHeight="false" outlineLevel="0" collapsed="false">
      <c r="A93" s="7"/>
      <c r="B93" s="7"/>
      <c r="C93" s="46"/>
      <c r="D93" s="7"/>
      <c r="E93" s="47"/>
      <c r="F93" s="46"/>
      <c r="G93" s="46"/>
      <c r="H93" s="7"/>
      <c r="I93" s="7"/>
      <c r="J93" s="47"/>
      <c r="K93" s="47"/>
      <c r="L93" s="47"/>
      <c r="M93" s="47"/>
      <c r="N93" s="47"/>
      <c r="O93" s="10"/>
      <c r="P93" s="47"/>
      <c r="Q93" s="47"/>
      <c r="R93" s="48" t="str">
        <f aca="false">IF(Q93="","",IF(Q93=0,"below 5:00",IF(Q93&gt;=66,"16:00 or above",INT((60+2*Q93)/12)&amp;":"&amp;TEXT(MOD(60+2*Q93,12),"00"))))</f>
        <v/>
      </c>
      <c r="S93" s="47"/>
      <c r="T93" s="47"/>
      <c r="U93" s="47"/>
      <c r="V93" s="47"/>
      <c r="W93" s="47"/>
      <c r="X93" s="47"/>
      <c r="Y93" s="47"/>
      <c r="Z93" s="47"/>
      <c r="AA93" s="10"/>
      <c r="AB93" s="10"/>
      <c r="AC93" s="47"/>
      <c r="AD93" s="47"/>
      <c r="AE93" s="47"/>
      <c r="AF93" s="47"/>
      <c r="AG93" s="47"/>
      <c r="AH93" s="47"/>
      <c r="AI93" s="46"/>
      <c r="AJ93" s="46"/>
      <c r="AK93" s="46"/>
      <c r="AL93" s="7"/>
      <c r="AM93" s="49" t="str">
        <f aca="false">IF(OR(C93="",G93=""),"",IFERROR(DATEDIF(C93,G93,"m"),""))</f>
        <v/>
      </c>
      <c r="AN93" s="49" t="str">
        <f aca="false">IF(OR(Q93="",AM93=""),"",60+2*Q93-AM93)</f>
        <v/>
      </c>
      <c r="AO93" s="49" t="str">
        <f aca="false">IF(OR(G93="",AJ93=""),"",AJ93-G93)</f>
        <v/>
      </c>
      <c r="AP93" s="50" t="str">
        <f aca="false">IF(AND(A93="",B93=""),"",IF(J93="","Status needed",IF(OR(J93="Applied",J93="Visit booked",J93="Withdrawn"),"OK",IF(G93="","Date assessed needed",IF(C93="","Date of birth needed",IF(COUNTA(L93,M93,P93,U93,V93,X93)&lt;6,"Band missing",IF(AND(OR(J93="Decision confirmed",J93="Family told",J93="Enrolled"),AG93=""),"Recommendation needed",IF(AND(OR(J93="Family told",J93="Enrolled"),AJ93=""),"Date family told needed","OK"))))))))</f>
        <v/>
      </c>
    </row>
    <row r="94" customFormat="false" ht="15" hidden="false" customHeight="false" outlineLevel="0" collapsed="false">
      <c r="A94" s="7"/>
      <c r="B94" s="7"/>
      <c r="C94" s="46"/>
      <c r="D94" s="7"/>
      <c r="E94" s="47"/>
      <c r="F94" s="46"/>
      <c r="G94" s="46"/>
      <c r="H94" s="7"/>
      <c r="I94" s="7"/>
      <c r="J94" s="47"/>
      <c r="K94" s="47"/>
      <c r="L94" s="47"/>
      <c r="M94" s="47"/>
      <c r="N94" s="47"/>
      <c r="O94" s="10"/>
      <c r="P94" s="47"/>
      <c r="Q94" s="47"/>
      <c r="R94" s="48" t="str">
        <f aca="false">IF(Q94="","",IF(Q94=0,"below 5:00",IF(Q94&gt;=66,"16:00 or above",INT((60+2*Q94)/12)&amp;":"&amp;TEXT(MOD(60+2*Q94,12),"00"))))</f>
        <v/>
      </c>
      <c r="S94" s="47"/>
      <c r="T94" s="47"/>
      <c r="U94" s="47"/>
      <c r="V94" s="47"/>
      <c r="W94" s="47"/>
      <c r="X94" s="47"/>
      <c r="Y94" s="47"/>
      <c r="Z94" s="47"/>
      <c r="AA94" s="10"/>
      <c r="AB94" s="10"/>
      <c r="AC94" s="47"/>
      <c r="AD94" s="47"/>
      <c r="AE94" s="47"/>
      <c r="AF94" s="47"/>
      <c r="AG94" s="47"/>
      <c r="AH94" s="47"/>
      <c r="AI94" s="46"/>
      <c r="AJ94" s="46"/>
      <c r="AK94" s="46"/>
      <c r="AL94" s="7"/>
      <c r="AM94" s="49" t="str">
        <f aca="false">IF(OR(C94="",G94=""),"",IFERROR(DATEDIF(C94,G94,"m"),""))</f>
        <v/>
      </c>
      <c r="AN94" s="49" t="str">
        <f aca="false">IF(OR(Q94="",AM94=""),"",60+2*Q94-AM94)</f>
        <v/>
      </c>
      <c r="AO94" s="49" t="str">
        <f aca="false">IF(OR(G94="",AJ94=""),"",AJ94-G94)</f>
        <v/>
      </c>
      <c r="AP94" s="50" t="str">
        <f aca="false">IF(AND(A94="",B94=""),"",IF(J94="","Status needed",IF(OR(J94="Applied",J94="Visit booked",J94="Withdrawn"),"OK",IF(G94="","Date assessed needed",IF(C94="","Date of birth needed",IF(COUNTA(L94,M94,P94,U94,V94,X94)&lt;6,"Band missing",IF(AND(OR(J94="Decision confirmed",J94="Family told",J94="Enrolled"),AG94=""),"Recommendation needed",IF(AND(OR(J94="Family told",J94="Enrolled"),AJ94=""),"Date family told needed","OK"))))))))</f>
        <v/>
      </c>
    </row>
    <row r="95" customFormat="false" ht="15" hidden="false" customHeight="false" outlineLevel="0" collapsed="false">
      <c r="A95" s="7"/>
      <c r="B95" s="7"/>
      <c r="C95" s="46"/>
      <c r="D95" s="7"/>
      <c r="E95" s="47"/>
      <c r="F95" s="46"/>
      <c r="G95" s="46"/>
      <c r="H95" s="7"/>
      <c r="I95" s="7"/>
      <c r="J95" s="47"/>
      <c r="K95" s="47"/>
      <c r="L95" s="47"/>
      <c r="M95" s="47"/>
      <c r="N95" s="47"/>
      <c r="O95" s="10"/>
      <c r="P95" s="47"/>
      <c r="Q95" s="47"/>
      <c r="R95" s="48" t="str">
        <f aca="false">IF(Q95="","",IF(Q95=0,"below 5:00",IF(Q95&gt;=66,"16:00 or above",INT((60+2*Q95)/12)&amp;":"&amp;TEXT(MOD(60+2*Q95,12),"00"))))</f>
        <v/>
      </c>
      <c r="S95" s="47"/>
      <c r="T95" s="47"/>
      <c r="U95" s="47"/>
      <c r="V95" s="47"/>
      <c r="W95" s="47"/>
      <c r="X95" s="47"/>
      <c r="Y95" s="47"/>
      <c r="Z95" s="47"/>
      <c r="AA95" s="10"/>
      <c r="AB95" s="10"/>
      <c r="AC95" s="47"/>
      <c r="AD95" s="47"/>
      <c r="AE95" s="47"/>
      <c r="AF95" s="47"/>
      <c r="AG95" s="47"/>
      <c r="AH95" s="47"/>
      <c r="AI95" s="46"/>
      <c r="AJ95" s="46"/>
      <c r="AK95" s="46"/>
      <c r="AL95" s="7"/>
      <c r="AM95" s="49" t="str">
        <f aca="false">IF(OR(C95="",G95=""),"",IFERROR(DATEDIF(C95,G95,"m"),""))</f>
        <v/>
      </c>
      <c r="AN95" s="49" t="str">
        <f aca="false">IF(OR(Q95="",AM95=""),"",60+2*Q95-AM95)</f>
        <v/>
      </c>
      <c r="AO95" s="49" t="str">
        <f aca="false">IF(OR(G95="",AJ95=""),"",AJ95-G95)</f>
        <v/>
      </c>
      <c r="AP95" s="50" t="str">
        <f aca="false">IF(AND(A95="",B95=""),"",IF(J95="","Status needed",IF(OR(J95="Applied",J95="Visit booked",J95="Withdrawn"),"OK",IF(G95="","Date assessed needed",IF(C95="","Date of birth needed",IF(COUNTA(L95,M95,P95,U95,V95,X95)&lt;6,"Band missing",IF(AND(OR(J95="Decision confirmed",J95="Family told",J95="Enrolled"),AG95=""),"Recommendation needed",IF(AND(OR(J95="Family told",J95="Enrolled"),AJ95=""),"Date family told needed","OK"))))))))</f>
        <v/>
      </c>
    </row>
    <row r="96" customFormat="false" ht="15" hidden="false" customHeight="false" outlineLevel="0" collapsed="false">
      <c r="A96" s="7"/>
      <c r="B96" s="7"/>
      <c r="C96" s="46"/>
      <c r="D96" s="7"/>
      <c r="E96" s="47"/>
      <c r="F96" s="46"/>
      <c r="G96" s="46"/>
      <c r="H96" s="7"/>
      <c r="I96" s="7"/>
      <c r="J96" s="47"/>
      <c r="K96" s="47"/>
      <c r="L96" s="47"/>
      <c r="M96" s="47"/>
      <c r="N96" s="47"/>
      <c r="O96" s="10"/>
      <c r="P96" s="47"/>
      <c r="Q96" s="47"/>
      <c r="R96" s="48" t="str">
        <f aca="false">IF(Q96="","",IF(Q96=0,"below 5:00",IF(Q96&gt;=66,"16:00 or above",INT((60+2*Q96)/12)&amp;":"&amp;TEXT(MOD(60+2*Q96,12),"00"))))</f>
        <v/>
      </c>
      <c r="S96" s="47"/>
      <c r="T96" s="47"/>
      <c r="U96" s="47"/>
      <c r="V96" s="47"/>
      <c r="W96" s="47"/>
      <c r="X96" s="47"/>
      <c r="Y96" s="47"/>
      <c r="Z96" s="47"/>
      <c r="AA96" s="10"/>
      <c r="AB96" s="10"/>
      <c r="AC96" s="47"/>
      <c r="AD96" s="47"/>
      <c r="AE96" s="47"/>
      <c r="AF96" s="47"/>
      <c r="AG96" s="47"/>
      <c r="AH96" s="47"/>
      <c r="AI96" s="46"/>
      <c r="AJ96" s="46"/>
      <c r="AK96" s="46"/>
      <c r="AL96" s="7"/>
      <c r="AM96" s="49" t="str">
        <f aca="false">IF(OR(C96="",G96=""),"",IFERROR(DATEDIF(C96,G96,"m"),""))</f>
        <v/>
      </c>
      <c r="AN96" s="49" t="str">
        <f aca="false">IF(OR(Q96="",AM96=""),"",60+2*Q96-AM96)</f>
        <v/>
      </c>
      <c r="AO96" s="49" t="str">
        <f aca="false">IF(OR(G96="",AJ96=""),"",AJ96-G96)</f>
        <v/>
      </c>
      <c r="AP96" s="50" t="str">
        <f aca="false">IF(AND(A96="",B96=""),"",IF(J96="","Status needed",IF(OR(J96="Applied",J96="Visit booked",J96="Withdrawn"),"OK",IF(G96="","Date assessed needed",IF(C96="","Date of birth needed",IF(COUNTA(L96,M96,P96,U96,V96,X96)&lt;6,"Band missing",IF(AND(OR(J96="Decision confirmed",J96="Family told",J96="Enrolled"),AG96=""),"Recommendation needed",IF(AND(OR(J96="Family told",J96="Enrolled"),AJ96=""),"Date family told needed","OK"))))))))</f>
        <v/>
      </c>
    </row>
    <row r="97" customFormat="false" ht="15" hidden="false" customHeight="false" outlineLevel="0" collapsed="false">
      <c r="A97" s="7"/>
      <c r="B97" s="7"/>
      <c r="C97" s="46"/>
      <c r="D97" s="7"/>
      <c r="E97" s="47"/>
      <c r="F97" s="46"/>
      <c r="G97" s="46"/>
      <c r="H97" s="7"/>
      <c r="I97" s="7"/>
      <c r="J97" s="47"/>
      <c r="K97" s="47"/>
      <c r="L97" s="47"/>
      <c r="M97" s="47"/>
      <c r="N97" s="47"/>
      <c r="O97" s="10"/>
      <c r="P97" s="47"/>
      <c r="Q97" s="47"/>
      <c r="R97" s="48" t="str">
        <f aca="false">IF(Q97="","",IF(Q97=0,"below 5:00",IF(Q97&gt;=66,"16:00 or above",INT((60+2*Q97)/12)&amp;":"&amp;TEXT(MOD(60+2*Q97,12),"00"))))</f>
        <v/>
      </c>
      <c r="S97" s="47"/>
      <c r="T97" s="47"/>
      <c r="U97" s="47"/>
      <c r="V97" s="47"/>
      <c r="W97" s="47"/>
      <c r="X97" s="47"/>
      <c r="Y97" s="47"/>
      <c r="Z97" s="47"/>
      <c r="AA97" s="10"/>
      <c r="AB97" s="10"/>
      <c r="AC97" s="47"/>
      <c r="AD97" s="47"/>
      <c r="AE97" s="47"/>
      <c r="AF97" s="47"/>
      <c r="AG97" s="47"/>
      <c r="AH97" s="47"/>
      <c r="AI97" s="46"/>
      <c r="AJ97" s="46"/>
      <c r="AK97" s="46"/>
      <c r="AL97" s="7"/>
      <c r="AM97" s="49" t="str">
        <f aca="false">IF(OR(C97="",G97=""),"",IFERROR(DATEDIF(C97,G97,"m"),""))</f>
        <v/>
      </c>
      <c r="AN97" s="49" t="str">
        <f aca="false">IF(OR(Q97="",AM97=""),"",60+2*Q97-AM97)</f>
        <v/>
      </c>
      <c r="AO97" s="49" t="str">
        <f aca="false">IF(OR(G97="",AJ97=""),"",AJ97-G97)</f>
        <v/>
      </c>
      <c r="AP97" s="50" t="str">
        <f aca="false">IF(AND(A97="",B97=""),"",IF(J97="","Status needed",IF(OR(J97="Applied",J97="Visit booked",J97="Withdrawn"),"OK",IF(G97="","Date assessed needed",IF(C97="","Date of birth needed",IF(COUNTA(L97,M97,P97,U97,V97,X97)&lt;6,"Band missing",IF(AND(OR(J97="Decision confirmed",J97="Family told",J97="Enrolled"),AG97=""),"Recommendation needed",IF(AND(OR(J97="Family told",J97="Enrolled"),AJ97=""),"Date family told needed","OK"))))))))</f>
        <v/>
      </c>
    </row>
    <row r="98" customFormat="false" ht="15" hidden="false" customHeight="false" outlineLevel="0" collapsed="false">
      <c r="A98" s="7"/>
      <c r="B98" s="7"/>
      <c r="C98" s="46"/>
      <c r="D98" s="7"/>
      <c r="E98" s="47"/>
      <c r="F98" s="46"/>
      <c r="G98" s="46"/>
      <c r="H98" s="7"/>
      <c r="I98" s="7"/>
      <c r="J98" s="47"/>
      <c r="K98" s="47"/>
      <c r="L98" s="47"/>
      <c r="M98" s="47"/>
      <c r="N98" s="47"/>
      <c r="O98" s="10"/>
      <c r="P98" s="47"/>
      <c r="Q98" s="47"/>
      <c r="R98" s="48" t="str">
        <f aca="false">IF(Q98="","",IF(Q98=0,"below 5:00",IF(Q98&gt;=66,"16:00 or above",INT((60+2*Q98)/12)&amp;":"&amp;TEXT(MOD(60+2*Q98,12),"00"))))</f>
        <v/>
      </c>
      <c r="S98" s="47"/>
      <c r="T98" s="47"/>
      <c r="U98" s="47"/>
      <c r="V98" s="47"/>
      <c r="W98" s="47"/>
      <c r="X98" s="47"/>
      <c r="Y98" s="47"/>
      <c r="Z98" s="47"/>
      <c r="AA98" s="10"/>
      <c r="AB98" s="10"/>
      <c r="AC98" s="47"/>
      <c r="AD98" s="47"/>
      <c r="AE98" s="47"/>
      <c r="AF98" s="47"/>
      <c r="AG98" s="47"/>
      <c r="AH98" s="47"/>
      <c r="AI98" s="46"/>
      <c r="AJ98" s="46"/>
      <c r="AK98" s="46"/>
      <c r="AL98" s="7"/>
      <c r="AM98" s="49" t="str">
        <f aca="false">IF(OR(C98="",G98=""),"",IFERROR(DATEDIF(C98,G98,"m"),""))</f>
        <v/>
      </c>
      <c r="AN98" s="49" t="str">
        <f aca="false">IF(OR(Q98="",AM98=""),"",60+2*Q98-AM98)</f>
        <v/>
      </c>
      <c r="AO98" s="49" t="str">
        <f aca="false">IF(OR(G98="",AJ98=""),"",AJ98-G98)</f>
        <v/>
      </c>
      <c r="AP98" s="50" t="str">
        <f aca="false">IF(AND(A98="",B98=""),"",IF(J98="","Status needed",IF(OR(J98="Applied",J98="Visit booked",J98="Withdrawn"),"OK",IF(G98="","Date assessed needed",IF(C98="","Date of birth needed",IF(COUNTA(L98,M98,P98,U98,V98,X98)&lt;6,"Band missing",IF(AND(OR(J98="Decision confirmed",J98="Family told",J98="Enrolled"),AG98=""),"Recommendation needed",IF(AND(OR(J98="Family told",J98="Enrolled"),AJ98=""),"Date family told needed","OK"))))))))</f>
        <v/>
      </c>
    </row>
    <row r="99" customFormat="false" ht="15" hidden="false" customHeight="false" outlineLevel="0" collapsed="false">
      <c r="A99" s="7"/>
      <c r="B99" s="7"/>
      <c r="C99" s="46"/>
      <c r="D99" s="7"/>
      <c r="E99" s="47"/>
      <c r="F99" s="46"/>
      <c r="G99" s="46"/>
      <c r="H99" s="7"/>
      <c r="I99" s="7"/>
      <c r="J99" s="47"/>
      <c r="K99" s="47"/>
      <c r="L99" s="47"/>
      <c r="M99" s="47"/>
      <c r="N99" s="47"/>
      <c r="O99" s="10"/>
      <c r="P99" s="47"/>
      <c r="Q99" s="47"/>
      <c r="R99" s="48" t="str">
        <f aca="false">IF(Q99="","",IF(Q99=0,"below 5:00",IF(Q99&gt;=66,"16:00 or above",INT((60+2*Q99)/12)&amp;":"&amp;TEXT(MOD(60+2*Q99,12),"00"))))</f>
        <v/>
      </c>
      <c r="S99" s="47"/>
      <c r="T99" s="47"/>
      <c r="U99" s="47"/>
      <c r="V99" s="47"/>
      <c r="W99" s="47"/>
      <c r="X99" s="47"/>
      <c r="Y99" s="47"/>
      <c r="Z99" s="47"/>
      <c r="AA99" s="10"/>
      <c r="AB99" s="10"/>
      <c r="AC99" s="47"/>
      <c r="AD99" s="47"/>
      <c r="AE99" s="47"/>
      <c r="AF99" s="47"/>
      <c r="AG99" s="47"/>
      <c r="AH99" s="47"/>
      <c r="AI99" s="46"/>
      <c r="AJ99" s="46"/>
      <c r="AK99" s="46"/>
      <c r="AL99" s="7"/>
      <c r="AM99" s="49" t="str">
        <f aca="false">IF(OR(C99="",G99=""),"",IFERROR(DATEDIF(C99,G99,"m"),""))</f>
        <v/>
      </c>
      <c r="AN99" s="49" t="str">
        <f aca="false">IF(OR(Q99="",AM99=""),"",60+2*Q99-AM99)</f>
        <v/>
      </c>
      <c r="AO99" s="49" t="str">
        <f aca="false">IF(OR(G99="",AJ99=""),"",AJ99-G99)</f>
        <v/>
      </c>
      <c r="AP99" s="50" t="str">
        <f aca="false">IF(AND(A99="",B99=""),"",IF(J99="","Status needed",IF(OR(J99="Applied",J99="Visit booked",J99="Withdrawn"),"OK",IF(G99="","Date assessed needed",IF(C99="","Date of birth needed",IF(COUNTA(L99,M99,P99,U99,V99,X99)&lt;6,"Band missing",IF(AND(OR(J99="Decision confirmed",J99="Family told",J99="Enrolled"),AG99=""),"Recommendation needed",IF(AND(OR(J99="Family told",J99="Enrolled"),AJ99=""),"Date family told needed","OK"))))))))</f>
        <v/>
      </c>
    </row>
    <row r="100" customFormat="false" ht="15" hidden="false" customHeight="false" outlineLevel="0" collapsed="false">
      <c r="A100" s="7"/>
      <c r="B100" s="7"/>
      <c r="C100" s="46"/>
      <c r="D100" s="7"/>
      <c r="E100" s="47"/>
      <c r="F100" s="46"/>
      <c r="G100" s="46"/>
      <c r="H100" s="7"/>
      <c r="I100" s="7"/>
      <c r="J100" s="47"/>
      <c r="K100" s="47"/>
      <c r="L100" s="47"/>
      <c r="M100" s="47"/>
      <c r="N100" s="47"/>
      <c r="O100" s="10"/>
      <c r="P100" s="47"/>
      <c r="Q100" s="47"/>
      <c r="R100" s="48" t="str">
        <f aca="false">IF(Q100="","",IF(Q100=0,"below 5:00",IF(Q100&gt;=66,"16:00 or above",INT((60+2*Q100)/12)&amp;":"&amp;TEXT(MOD(60+2*Q100,12),"00"))))</f>
        <v/>
      </c>
      <c r="S100" s="47"/>
      <c r="T100" s="47"/>
      <c r="U100" s="47"/>
      <c r="V100" s="47"/>
      <c r="W100" s="47"/>
      <c r="X100" s="47"/>
      <c r="Y100" s="47"/>
      <c r="Z100" s="47"/>
      <c r="AA100" s="10"/>
      <c r="AB100" s="10"/>
      <c r="AC100" s="47"/>
      <c r="AD100" s="47"/>
      <c r="AE100" s="47"/>
      <c r="AF100" s="47"/>
      <c r="AG100" s="47"/>
      <c r="AH100" s="47"/>
      <c r="AI100" s="46"/>
      <c r="AJ100" s="46"/>
      <c r="AK100" s="46"/>
      <c r="AL100" s="7"/>
      <c r="AM100" s="49" t="str">
        <f aca="false">IF(OR(C100="",G100=""),"",IFERROR(DATEDIF(C100,G100,"m"),""))</f>
        <v/>
      </c>
      <c r="AN100" s="49" t="str">
        <f aca="false">IF(OR(Q100="",AM100=""),"",60+2*Q100-AM100)</f>
        <v/>
      </c>
      <c r="AO100" s="49" t="str">
        <f aca="false">IF(OR(G100="",AJ100=""),"",AJ100-G100)</f>
        <v/>
      </c>
      <c r="AP100" s="50" t="str">
        <f aca="false">IF(AND(A100="",B100=""),"",IF(J100="","Status needed",IF(OR(J100="Applied",J100="Visit booked",J100="Withdrawn"),"OK",IF(G100="","Date assessed needed",IF(C100="","Date of birth needed",IF(COUNTA(L100,M100,P100,U100,V100,X100)&lt;6,"Band missing",IF(AND(OR(J100="Decision confirmed",J100="Family told",J100="Enrolled"),AG100=""),"Recommendation needed",IF(AND(OR(J100="Family told",J100="Enrolled"),AJ100=""),"Date family told needed","OK"))))))))</f>
        <v/>
      </c>
    </row>
    <row r="101" customFormat="false" ht="15" hidden="false" customHeight="false" outlineLevel="0" collapsed="false">
      <c r="A101" s="7"/>
      <c r="B101" s="7"/>
      <c r="C101" s="46"/>
      <c r="D101" s="7"/>
      <c r="E101" s="47"/>
      <c r="F101" s="46"/>
      <c r="G101" s="46"/>
      <c r="H101" s="7"/>
      <c r="I101" s="7"/>
      <c r="J101" s="47"/>
      <c r="K101" s="47"/>
      <c r="L101" s="47"/>
      <c r="M101" s="47"/>
      <c r="N101" s="47"/>
      <c r="O101" s="10"/>
      <c r="P101" s="47"/>
      <c r="Q101" s="47"/>
      <c r="R101" s="48" t="str">
        <f aca="false">IF(Q101="","",IF(Q101=0,"below 5:00",IF(Q101&gt;=66,"16:00 or above",INT((60+2*Q101)/12)&amp;":"&amp;TEXT(MOD(60+2*Q101,12),"00"))))</f>
        <v/>
      </c>
      <c r="S101" s="47"/>
      <c r="T101" s="47"/>
      <c r="U101" s="47"/>
      <c r="V101" s="47"/>
      <c r="W101" s="47"/>
      <c r="X101" s="47"/>
      <c r="Y101" s="47"/>
      <c r="Z101" s="47"/>
      <c r="AA101" s="10"/>
      <c r="AB101" s="10"/>
      <c r="AC101" s="47"/>
      <c r="AD101" s="47"/>
      <c r="AE101" s="47"/>
      <c r="AF101" s="47"/>
      <c r="AG101" s="47"/>
      <c r="AH101" s="47"/>
      <c r="AI101" s="46"/>
      <c r="AJ101" s="46"/>
      <c r="AK101" s="46"/>
      <c r="AL101" s="7"/>
      <c r="AM101" s="49" t="str">
        <f aca="false">IF(OR(C101="",G101=""),"",IFERROR(DATEDIF(C101,G101,"m"),""))</f>
        <v/>
      </c>
      <c r="AN101" s="49" t="str">
        <f aca="false">IF(OR(Q101="",AM101=""),"",60+2*Q101-AM101)</f>
        <v/>
      </c>
      <c r="AO101" s="49" t="str">
        <f aca="false">IF(OR(G101="",AJ101=""),"",AJ101-G101)</f>
        <v/>
      </c>
      <c r="AP101" s="50" t="str">
        <f aca="false">IF(AND(A101="",B101=""),"",IF(J101="","Status needed",IF(OR(J101="Applied",J101="Visit booked",J101="Withdrawn"),"OK",IF(G101="","Date assessed needed",IF(C101="","Date of birth needed",IF(COUNTA(L101,M101,P101,U101,V101,X101)&lt;6,"Band missing",IF(AND(OR(J101="Decision confirmed",J101="Family told",J101="Enrolled"),AG101=""),"Recommendation needed",IF(AND(OR(J101="Family told",J101="Enrolled"),AJ101=""),"Date family told needed","OK"))))))))</f>
        <v/>
      </c>
    </row>
    <row r="102" customFormat="false" ht="15" hidden="false" customHeight="false" outlineLevel="0" collapsed="false">
      <c r="A102" s="7"/>
      <c r="B102" s="7"/>
      <c r="C102" s="46"/>
      <c r="D102" s="7"/>
      <c r="E102" s="47"/>
      <c r="F102" s="46"/>
      <c r="G102" s="46"/>
      <c r="H102" s="7"/>
      <c r="I102" s="7"/>
      <c r="J102" s="47"/>
      <c r="K102" s="47"/>
      <c r="L102" s="47"/>
      <c r="M102" s="47"/>
      <c r="N102" s="47"/>
      <c r="O102" s="10"/>
      <c r="P102" s="47"/>
      <c r="Q102" s="47"/>
      <c r="R102" s="48" t="str">
        <f aca="false">IF(Q102="","",IF(Q102=0,"below 5:00",IF(Q102&gt;=66,"16:00 or above",INT((60+2*Q102)/12)&amp;":"&amp;TEXT(MOD(60+2*Q102,12),"00"))))</f>
        <v/>
      </c>
      <c r="S102" s="47"/>
      <c r="T102" s="47"/>
      <c r="U102" s="47"/>
      <c r="V102" s="47"/>
      <c r="W102" s="47"/>
      <c r="X102" s="47"/>
      <c r="Y102" s="47"/>
      <c r="Z102" s="47"/>
      <c r="AA102" s="10"/>
      <c r="AB102" s="10"/>
      <c r="AC102" s="47"/>
      <c r="AD102" s="47"/>
      <c r="AE102" s="47"/>
      <c r="AF102" s="47"/>
      <c r="AG102" s="47"/>
      <c r="AH102" s="47"/>
      <c r="AI102" s="46"/>
      <c r="AJ102" s="46"/>
      <c r="AK102" s="46"/>
      <c r="AL102" s="7"/>
      <c r="AM102" s="49" t="str">
        <f aca="false">IF(OR(C102="",G102=""),"",IFERROR(DATEDIF(C102,G102,"m"),""))</f>
        <v/>
      </c>
      <c r="AN102" s="49" t="str">
        <f aca="false">IF(OR(Q102="",AM102=""),"",60+2*Q102-AM102)</f>
        <v/>
      </c>
      <c r="AO102" s="49" t="str">
        <f aca="false">IF(OR(G102="",AJ102=""),"",AJ102-G102)</f>
        <v/>
      </c>
      <c r="AP102" s="50" t="str">
        <f aca="false">IF(AND(A102="",B102=""),"",IF(J102="","Status needed",IF(OR(J102="Applied",J102="Visit booked",J102="Withdrawn"),"OK",IF(G102="","Date assessed needed",IF(C102="","Date of birth needed",IF(COUNTA(L102,M102,P102,U102,V102,X102)&lt;6,"Band missing",IF(AND(OR(J102="Decision confirmed",J102="Family told",J102="Enrolled"),AG102=""),"Recommendation needed",IF(AND(OR(J102="Family told",J102="Enrolled"),AJ102=""),"Date family told needed","OK"))))))))</f>
        <v/>
      </c>
    </row>
    <row r="103" customFormat="false" ht="15" hidden="false" customHeight="false" outlineLevel="0" collapsed="false">
      <c r="A103" s="7"/>
      <c r="B103" s="7"/>
      <c r="C103" s="46"/>
      <c r="D103" s="7"/>
      <c r="E103" s="47"/>
      <c r="F103" s="46"/>
      <c r="G103" s="46"/>
      <c r="H103" s="7"/>
      <c r="I103" s="7"/>
      <c r="J103" s="47"/>
      <c r="K103" s="47"/>
      <c r="L103" s="47"/>
      <c r="M103" s="47"/>
      <c r="N103" s="47"/>
      <c r="O103" s="10"/>
      <c r="P103" s="47"/>
      <c r="Q103" s="47"/>
      <c r="R103" s="48" t="str">
        <f aca="false">IF(Q103="","",IF(Q103=0,"below 5:00",IF(Q103&gt;=66,"16:00 or above",INT((60+2*Q103)/12)&amp;":"&amp;TEXT(MOD(60+2*Q103,12),"00"))))</f>
        <v/>
      </c>
      <c r="S103" s="47"/>
      <c r="T103" s="47"/>
      <c r="U103" s="47"/>
      <c r="V103" s="47"/>
      <c r="W103" s="47"/>
      <c r="X103" s="47"/>
      <c r="Y103" s="47"/>
      <c r="Z103" s="47"/>
      <c r="AA103" s="10"/>
      <c r="AB103" s="10"/>
      <c r="AC103" s="47"/>
      <c r="AD103" s="47"/>
      <c r="AE103" s="47"/>
      <c r="AF103" s="47"/>
      <c r="AG103" s="47"/>
      <c r="AH103" s="47"/>
      <c r="AI103" s="46"/>
      <c r="AJ103" s="46"/>
      <c r="AK103" s="46"/>
      <c r="AL103" s="7"/>
      <c r="AM103" s="49" t="str">
        <f aca="false">IF(OR(C103="",G103=""),"",IFERROR(DATEDIF(C103,G103,"m"),""))</f>
        <v/>
      </c>
      <c r="AN103" s="49" t="str">
        <f aca="false">IF(OR(Q103="",AM103=""),"",60+2*Q103-AM103)</f>
        <v/>
      </c>
      <c r="AO103" s="49" t="str">
        <f aca="false">IF(OR(G103="",AJ103=""),"",AJ103-G103)</f>
        <v/>
      </c>
      <c r="AP103" s="50" t="str">
        <f aca="false">IF(AND(A103="",B103=""),"",IF(J103="","Status needed",IF(OR(J103="Applied",J103="Visit booked",J103="Withdrawn"),"OK",IF(G103="","Date assessed needed",IF(C103="","Date of birth needed",IF(COUNTA(L103,M103,P103,U103,V103,X103)&lt;6,"Band missing",IF(AND(OR(J103="Decision confirmed",J103="Family told",J103="Enrolled"),AG103=""),"Recommendation needed",IF(AND(OR(J103="Family told",J103="Enrolled"),AJ103=""),"Date family told needed","OK"))))))))</f>
        <v/>
      </c>
    </row>
    <row r="104" customFormat="false" ht="15" hidden="false" customHeight="false" outlineLevel="0" collapsed="false">
      <c r="A104" s="7"/>
      <c r="B104" s="7"/>
      <c r="C104" s="46"/>
      <c r="D104" s="7"/>
      <c r="E104" s="47"/>
      <c r="F104" s="46"/>
      <c r="G104" s="46"/>
      <c r="H104" s="7"/>
      <c r="I104" s="7"/>
      <c r="J104" s="47"/>
      <c r="K104" s="47"/>
      <c r="L104" s="47"/>
      <c r="M104" s="47"/>
      <c r="N104" s="47"/>
      <c r="O104" s="10"/>
      <c r="P104" s="47"/>
      <c r="Q104" s="47"/>
      <c r="R104" s="48" t="str">
        <f aca="false">IF(Q104="","",IF(Q104=0,"below 5:00",IF(Q104&gt;=66,"16:00 or above",INT((60+2*Q104)/12)&amp;":"&amp;TEXT(MOD(60+2*Q104,12),"00"))))</f>
        <v/>
      </c>
      <c r="S104" s="47"/>
      <c r="T104" s="47"/>
      <c r="U104" s="47"/>
      <c r="V104" s="47"/>
      <c r="W104" s="47"/>
      <c r="X104" s="47"/>
      <c r="Y104" s="47"/>
      <c r="Z104" s="47"/>
      <c r="AA104" s="10"/>
      <c r="AB104" s="10"/>
      <c r="AC104" s="47"/>
      <c r="AD104" s="47"/>
      <c r="AE104" s="47"/>
      <c r="AF104" s="47"/>
      <c r="AG104" s="47"/>
      <c r="AH104" s="47"/>
      <c r="AI104" s="46"/>
      <c r="AJ104" s="46"/>
      <c r="AK104" s="46"/>
      <c r="AL104" s="7"/>
      <c r="AM104" s="49" t="str">
        <f aca="false">IF(OR(C104="",G104=""),"",IFERROR(DATEDIF(C104,G104,"m"),""))</f>
        <v/>
      </c>
      <c r="AN104" s="49" t="str">
        <f aca="false">IF(OR(Q104="",AM104=""),"",60+2*Q104-AM104)</f>
        <v/>
      </c>
      <c r="AO104" s="49" t="str">
        <f aca="false">IF(OR(G104="",AJ104=""),"",AJ104-G104)</f>
        <v/>
      </c>
      <c r="AP104" s="50" t="str">
        <f aca="false">IF(AND(A104="",B104=""),"",IF(J104="","Status needed",IF(OR(J104="Applied",J104="Visit booked",J104="Withdrawn"),"OK",IF(G104="","Date assessed needed",IF(C104="","Date of birth needed",IF(COUNTA(L104,M104,P104,U104,V104,X104)&lt;6,"Band missing",IF(AND(OR(J104="Decision confirmed",J104="Family told",J104="Enrolled"),AG104=""),"Recommendation needed",IF(AND(OR(J104="Family told",J104="Enrolled"),AJ104=""),"Date family told needed","OK"))))))))</f>
        <v/>
      </c>
    </row>
    <row r="105" customFormat="false" ht="15" hidden="false" customHeight="false" outlineLevel="0" collapsed="false">
      <c r="A105" s="7"/>
      <c r="B105" s="7"/>
      <c r="C105" s="46"/>
      <c r="D105" s="7"/>
      <c r="E105" s="47"/>
      <c r="F105" s="46"/>
      <c r="G105" s="46"/>
      <c r="H105" s="7"/>
      <c r="I105" s="7"/>
      <c r="J105" s="47"/>
      <c r="K105" s="47"/>
      <c r="L105" s="47"/>
      <c r="M105" s="47"/>
      <c r="N105" s="47"/>
      <c r="O105" s="10"/>
      <c r="P105" s="47"/>
      <c r="Q105" s="47"/>
      <c r="R105" s="48" t="str">
        <f aca="false">IF(Q105="","",IF(Q105=0,"below 5:00",IF(Q105&gt;=66,"16:00 or above",INT((60+2*Q105)/12)&amp;":"&amp;TEXT(MOD(60+2*Q105,12),"00"))))</f>
        <v/>
      </c>
      <c r="S105" s="47"/>
      <c r="T105" s="47"/>
      <c r="U105" s="47"/>
      <c r="V105" s="47"/>
      <c r="W105" s="47"/>
      <c r="X105" s="47"/>
      <c r="Y105" s="47"/>
      <c r="Z105" s="47"/>
      <c r="AA105" s="10"/>
      <c r="AB105" s="10"/>
      <c r="AC105" s="47"/>
      <c r="AD105" s="47"/>
      <c r="AE105" s="47"/>
      <c r="AF105" s="47"/>
      <c r="AG105" s="47"/>
      <c r="AH105" s="47"/>
      <c r="AI105" s="46"/>
      <c r="AJ105" s="46"/>
      <c r="AK105" s="46"/>
      <c r="AL105" s="7"/>
      <c r="AM105" s="49" t="str">
        <f aca="false">IF(OR(C105="",G105=""),"",IFERROR(DATEDIF(C105,G105,"m"),""))</f>
        <v/>
      </c>
      <c r="AN105" s="49" t="str">
        <f aca="false">IF(OR(Q105="",AM105=""),"",60+2*Q105-AM105)</f>
        <v/>
      </c>
      <c r="AO105" s="49" t="str">
        <f aca="false">IF(OR(G105="",AJ105=""),"",AJ105-G105)</f>
        <v/>
      </c>
      <c r="AP105" s="50" t="str">
        <f aca="false">IF(AND(A105="",B105=""),"",IF(J105="","Status needed",IF(OR(J105="Applied",J105="Visit booked",J105="Withdrawn"),"OK",IF(G105="","Date assessed needed",IF(C105="","Date of birth needed",IF(COUNTA(L105,M105,P105,U105,V105,X105)&lt;6,"Band missing",IF(AND(OR(J105="Decision confirmed",J105="Family told",J105="Enrolled"),AG105=""),"Recommendation needed",IF(AND(OR(J105="Family told",J105="Enrolled"),AJ105=""),"Date family told needed","OK"))))))))</f>
        <v/>
      </c>
    </row>
    <row r="106" customFormat="false" ht="15" hidden="false" customHeight="false" outlineLevel="0" collapsed="false">
      <c r="A106" s="7"/>
      <c r="B106" s="7"/>
      <c r="C106" s="46"/>
      <c r="D106" s="7"/>
      <c r="E106" s="47"/>
      <c r="F106" s="46"/>
      <c r="G106" s="46"/>
      <c r="H106" s="7"/>
      <c r="I106" s="7"/>
      <c r="J106" s="47"/>
      <c r="K106" s="47"/>
      <c r="L106" s="47"/>
      <c r="M106" s="47"/>
      <c r="N106" s="47"/>
      <c r="O106" s="10"/>
      <c r="P106" s="47"/>
      <c r="Q106" s="47"/>
      <c r="R106" s="48" t="str">
        <f aca="false">IF(Q106="","",IF(Q106=0,"below 5:00",IF(Q106&gt;=66,"16:00 or above",INT((60+2*Q106)/12)&amp;":"&amp;TEXT(MOD(60+2*Q106,12),"00"))))</f>
        <v/>
      </c>
      <c r="S106" s="47"/>
      <c r="T106" s="47"/>
      <c r="U106" s="47"/>
      <c r="V106" s="47"/>
      <c r="W106" s="47"/>
      <c r="X106" s="47"/>
      <c r="Y106" s="47"/>
      <c r="Z106" s="47"/>
      <c r="AA106" s="10"/>
      <c r="AB106" s="10"/>
      <c r="AC106" s="47"/>
      <c r="AD106" s="47"/>
      <c r="AE106" s="47"/>
      <c r="AF106" s="47"/>
      <c r="AG106" s="47"/>
      <c r="AH106" s="47"/>
      <c r="AI106" s="46"/>
      <c r="AJ106" s="46"/>
      <c r="AK106" s="46"/>
      <c r="AL106" s="7"/>
      <c r="AM106" s="49" t="str">
        <f aca="false">IF(OR(C106="",G106=""),"",IFERROR(DATEDIF(C106,G106,"m"),""))</f>
        <v/>
      </c>
      <c r="AN106" s="49" t="str">
        <f aca="false">IF(OR(Q106="",AM106=""),"",60+2*Q106-AM106)</f>
        <v/>
      </c>
      <c r="AO106" s="49" t="str">
        <f aca="false">IF(OR(G106="",AJ106=""),"",AJ106-G106)</f>
        <v/>
      </c>
      <c r="AP106" s="50" t="str">
        <f aca="false">IF(AND(A106="",B106=""),"",IF(J106="","Status needed",IF(OR(J106="Applied",J106="Visit booked",J106="Withdrawn"),"OK",IF(G106="","Date assessed needed",IF(C106="","Date of birth needed",IF(COUNTA(L106,M106,P106,U106,V106,X106)&lt;6,"Band missing",IF(AND(OR(J106="Decision confirmed",J106="Family told",J106="Enrolled"),AG106=""),"Recommendation needed",IF(AND(OR(J106="Family told",J106="Enrolled"),AJ106=""),"Date family told needed","OK"))))))))</f>
        <v/>
      </c>
    </row>
    <row r="107" customFormat="false" ht="15" hidden="false" customHeight="false" outlineLevel="0" collapsed="false">
      <c r="A107" s="7"/>
      <c r="B107" s="7"/>
      <c r="C107" s="46"/>
      <c r="D107" s="7"/>
      <c r="E107" s="47"/>
      <c r="F107" s="46"/>
      <c r="G107" s="46"/>
      <c r="H107" s="7"/>
      <c r="I107" s="7"/>
      <c r="J107" s="47"/>
      <c r="K107" s="47"/>
      <c r="L107" s="47"/>
      <c r="M107" s="47"/>
      <c r="N107" s="47"/>
      <c r="O107" s="10"/>
      <c r="P107" s="47"/>
      <c r="Q107" s="47"/>
      <c r="R107" s="48" t="str">
        <f aca="false">IF(Q107="","",IF(Q107=0,"below 5:00",IF(Q107&gt;=66,"16:00 or above",INT((60+2*Q107)/12)&amp;":"&amp;TEXT(MOD(60+2*Q107,12),"00"))))</f>
        <v/>
      </c>
      <c r="S107" s="47"/>
      <c r="T107" s="47"/>
      <c r="U107" s="47"/>
      <c r="V107" s="47"/>
      <c r="W107" s="47"/>
      <c r="X107" s="47"/>
      <c r="Y107" s="47"/>
      <c r="Z107" s="47"/>
      <c r="AA107" s="10"/>
      <c r="AB107" s="10"/>
      <c r="AC107" s="47"/>
      <c r="AD107" s="47"/>
      <c r="AE107" s="47"/>
      <c r="AF107" s="47"/>
      <c r="AG107" s="47"/>
      <c r="AH107" s="47"/>
      <c r="AI107" s="46"/>
      <c r="AJ107" s="46"/>
      <c r="AK107" s="46"/>
      <c r="AL107" s="7"/>
      <c r="AM107" s="49" t="str">
        <f aca="false">IF(OR(C107="",G107=""),"",IFERROR(DATEDIF(C107,G107,"m"),""))</f>
        <v/>
      </c>
      <c r="AN107" s="49" t="str">
        <f aca="false">IF(OR(Q107="",AM107=""),"",60+2*Q107-AM107)</f>
        <v/>
      </c>
      <c r="AO107" s="49" t="str">
        <f aca="false">IF(OR(G107="",AJ107=""),"",AJ107-G107)</f>
        <v/>
      </c>
      <c r="AP107" s="50" t="str">
        <f aca="false">IF(AND(A107="",B107=""),"",IF(J107="","Status needed",IF(OR(J107="Applied",J107="Visit booked",J107="Withdrawn"),"OK",IF(G107="","Date assessed needed",IF(C107="","Date of birth needed",IF(COUNTA(L107,M107,P107,U107,V107,X107)&lt;6,"Band missing",IF(AND(OR(J107="Decision confirmed",J107="Family told",J107="Enrolled"),AG107=""),"Recommendation needed",IF(AND(OR(J107="Family told",J107="Enrolled"),AJ107=""),"Date family told needed","OK"))))))))</f>
        <v/>
      </c>
    </row>
    <row r="108" customFormat="false" ht="15" hidden="false" customHeight="false" outlineLevel="0" collapsed="false">
      <c r="A108" s="7"/>
      <c r="B108" s="7"/>
      <c r="C108" s="46"/>
      <c r="D108" s="7"/>
      <c r="E108" s="47"/>
      <c r="F108" s="46"/>
      <c r="G108" s="46"/>
      <c r="H108" s="7"/>
      <c r="I108" s="7"/>
      <c r="J108" s="47"/>
      <c r="K108" s="47"/>
      <c r="L108" s="47"/>
      <c r="M108" s="47"/>
      <c r="N108" s="47"/>
      <c r="O108" s="10"/>
      <c r="P108" s="47"/>
      <c r="Q108" s="47"/>
      <c r="R108" s="48" t="str">
        <f aca="false">IF(Q108="","",IF(Q108=0,"below 5:00",IF(Q108&gt;=66,"16:00 or above",INT((60+2*Q108)/12)&amp;":"&amp;TEXT(MOD(60+2*Q108,12),"00"))))</f>
        <v/>
      </c>
      <c r="S108" s="47"/>
      <c r="T108" s="47"/>
      <c r="U108" s="47"/>
      <c r="V108" s="47"/>
      <c r="W108" s="47"/>
      <c r="X108" s="47"/>
      <c r="Y108" s="47"/>
      <c r="Z108" s="47"/>
      <c r="AA108" s="10"/>
      <c r="AB108" s="10"/>
      <c r="AC108" s="47"/>
      <c r="AD108" s="47"/>
      <c r="AE108" s="47"/>
      <c r="AF108" s="47"/>
      <c r="AG108" s="47"/>
      <c r="AH108" s="47"/>
      <c r="AI108" s="46"/>
      <c r="AJ108" s="46"/>
      <c r="AK108" s="46"/>
      <c r="AL108" s="7"/>
      <c r="AM108" s="49" t="str">
        <f aca="false">IF(OR(C108="",G108=""),"",IFERROR(DATEDIF(C108,G108,"m"),""))</f>
        <v/>
      </c>
      <c r="AN108" s="49" t="str">
        <f aca="false">IF(OR(Q108="",AM108=""),"",60+2*Q108-AM108)</f>
        <v/>
      </c>
      <c r="AO108" s="49" t="str">
        <f aca="false">IF(OR(G108="",AJ108=""),"",AJ108-G108)</f>
        <v/>
      </c>
      <c r="AP108" s="50" t="str">
        <f aca="false">IF(AND(A108="",B108=""),"",IF(J108="","Status needed",IF(OR(J108="Applied",J108="Visit booked",J108="Withdrawn"),"OK",IF(G108="","Date assessed needed",IF(C108="","Date of birth needed",IF(COUNTA(L108,M108,P108,U108,V108,X108)&lt;6,"Band missing",IF(AND(OR(J108="Decision confirmed",J108="Family told",J108="Enrolled"),AG108=""),"Recommendation needed",IF(AND(OR(J108="Family told",J108="Enrolled"),AJ108=""),"Date family told needed","OK"))))))))</f>
        <v/>
      </c>
    </row>
    <row r="109" customFormat="false" ht="15" hidden="false" customHeight="false" outlineLevel="0" collapsed="false">
      <c r="A109" s="7"/>
      <c r="B109" s="7"/>
      <c r="C109" s="46"/>
      <c r="D109" s="7"/>
      <c r="E109" s="47"/>
      <c r="F109" s="46"/>
      <c r="G109" s="46"/>
      <c r="H109" s="7"/>
      <c r="I109" s="7"/>
      <c r="J109" s="47"/>
      <c r="K109" s="47"/>
      <c r="L109" s="47"/>
      <c r="M109" s="47"/>
      <c r="N109" s="47"/>
      <c r="O109" s="10"/>
      <c r="P109" s="47"/>
      <c r="Q109" s="47"/>
      <c r="R109" s="48" t="str">
        <f aca="false">IF(Q109="","",IF(Q109=0,"below 5:00",IF(Q109&gt;=66,"16:00 or above",INT((60+2*Q109)/12)&amp;":"&amp;TEXT(MOD(60+2*Q109,12),"00"))))</f>
        <v/>
      </c>
      <c r="S109" s="47"/>
      <c r="T109" s="47"/>
      <c r="U109" s="47"/>
      <c r="V109" s="47"/>
      <c r="W109" s="47"/>
      <c r="X109" s="47"/>
      <c r="Y109" s="47"/>
      <c r="Z109" s="47"/>
      <c r="AA109" s="10"/>
      <c r="AB109" s="10"/>
      <c r="AC109" s="47"/>
      <c r="AD109" s="47"/>
      <c r="AE109" s="47"/>
      <c r="AF109" s="47"/>
      <c r="AG109" s="47"/>
      <c r="AH109" s="47"/>
      <c r="AI109" s="46"/>
      <c r="AJ109" s="46"/>
      <c r="AK109" s="46"/>
      <c r="AL109" s="7"/>
      <c r="AM109" s="49" t="str">
        <f aca="false">IF(OR(C109="",G109=""),"",IFERROR(DATEDIF(C109,G109,"m"),""))</f>
        <v/>
      </c>
      <c r="AN109" s="49" t="str">
        <f aca="false">IF(OR(Q109="",AM109=""),"",60+2*Q109-AM109)</f>
        <v/>
      </c>
      <c r="AO109" s="49" t="str">
        <f aca="false">IF(OR(G109="",AJ109=""),"",AJ109-G109)</f>
        <v/>
      </c>
      <c r="AP109" s="50" t="str">
        <f aca="false">IF(AND(A109="",B109=""),"",IF(J109="","Status needed",IF(OR(J109="Applied",J109="Visit booked",J109="Withdrawn"),"OK",IF(G109="","Date assessed needed",IF(C109="","Date of birth needed",IF(COUNTA(L109,M109,P109,U109,V109,X109)&lt;6,"Band missing",IF(AND(OR(J109="Decision confirmed",J109="Family told",J109="Enrolled"),AG109=""),"Recommendation needed",IF(AND(OR(J109="Family told",J109="Enrolled"),AJ109=""),"Date family told needed","OK"))))))))</f>
        <v/>
      </c>
    </row>
    <row r="110" customFormat="false" ht="15" hidden="false" customHeight="false" outlineLevel="0" collapsed="false">
      <c r="A110" s="7"/>
      <c r="B110" s="7"/>
      <c r="C110" s="46"/>
      <c r="D110" s="7"/>
      <c r="E110" s="47"/>
      <c r="F110" s="46"/>
      <c r="G110" s="46"/>
      <c r="H110" s="7"/>
      <c r="I110" s="7"/>
      <c r="J110" s="47"/>
      <c r="K110" s="47"/>
      <c r="L110" s="47"/>
      <c r="M110" s="47"/>
      <c r="N110" s="47"/>
      <c r="O110" s="10"/>
      <c r="P110" s="47"/>
      <c r="Q110" s="47"/>
      <c r="R110" s="48" t="str">
        <f aca="false">IF(Q110="","",IF(Q110=0,"below 5:00",IF(Q110&gt;=66,"16:00 or above",INT((60+2*Q110)/12)&amp;":"&amp;TEXT(MOD(60+2*Q110,12),"00"))))</f>
        <v/>
      </c>
      <c r="S110" s="47"/>
      <c r="T110" s="47"/>
      <c r="U110" s="47"/>
      <c r="V110" s="47"/>
      <c r="W110" s="47"/>
      <c r="X110" s="47"/>
      <c r="Y110" s="47"/>
      <c r="Z110" s="47"/>
      <c r="AA110" s="10"/>
      <c r="AB110" s="10"/>
      <c r="AC110" s="47"/>
      <c r="AD110" s="47"/>
      <c r="AE110" s="47"/>
      <c r="AF110" s="47"/>
      <c r="AG110" s="47"/>
      <c r="AH110" s="47"/>
      <c r="AI110" s="46"/>
      <c r="AJ110" s="46"/>
      <c r="AK110" s="46"/>
      <c r="AL110" s="7"/>
      <c r="AM110" s="49" t="str">
        <f aca="false">IF(OR(C110="",G110=""),"",IFERROR(DATEDIF(C110,G110,"m"),""))</f>
        <v/>
      </c>
      <c r="AN110" s="49" t="str">
        <f aca="false">IF(OR(Q110="",AM110=""),"",60+2*Q110-AM110)</f>
        <v/>
      </c>
      <c r="AO110" s="49" t="str">
        <f aca="false">IF(OR(G110="",AJ110=""),"",AJ110-G110)</f>
        <v/>
      </c>
      <c r="AP110" s="50" t="str">
        <f aca="false">IF(AND(A110="",B110=""),"",IF(J110="","Status needed",IF(OR(J110="Applied",J110="Visit booked",J110="Withdrawn"),"OK",IF(G110="","Date assessed needed",IF(C110="","Date of birth needed",IF(COUNTA(L110,M110,P110,U110,V110,X110)&lt;6,"Band missing",IF(AND(OR(J110="Decision confirmed",J110="Family told",J110="Enrolled"),AG110=""),"Recommendation needed",IF(AND(OR(J110="Family told",J110="Enrolled"),AJ110=""),"Date family told needed","OK"))))))))</f>
        <v/>
      </c>
    </row>
    <row r="111" customFormat="false" ht="15" hidden="false" customHeight="false" outlineLevel="0" collapsed="false">
      <c r="A111" s="7"/>
      <c r="B111" s="7"/>
      <c r="C111" s="46"/>
      <c r="D111" s="7"/>
      <c r="E111" s="47"/>
      <c r="F111" s="46"/>
      <c r="G111" s="46"/>
      <c r="H111" s="7"/>
      <c r="I111" s="7"/>
      <c r="J111" s="47"/>
      <c r="K111" s="47"/>
      <c r="L111" s="47"/>
      <c r="M111" s="47"/>
      <c r="N111" s="47"/>
      <c r="O111" s="10"/>
      <c r="P111" s="47"/>
      <c r="Q111" s="47"/>
      <c r="R111" s="48" t="str">
        <f aca="false">IF(Q111="","",IF(Q111=0,"below 5:00",IF(Q111&gt;=66,"16:00 or above",INT((60+2*Q111)/12)&amp;":"&amp;TEXT(MOD(60+2*Q111,12),"00"))))</f>
        <v/>
      </c>
      <c r="S111" s="47"/>
      <c r="T111" s="47"/>
      <c r="U111" s="47"/>
      <c r="V111" s="47"/>
      <c r="W111" s="47"/>
      <c r="X111" s="47"/>
      <c r="Y111" s="47"/>
      <c r="Z111" s="47"/>
      <c r="AA111" s="10"/>
      <c r="AB111" s="10"/>
      <c r="AC111" s="47"/>
      <c r="AD111" s="47"/>
      <c r="AE111" s="47"/>
      <c r="AF111" s="47"/>
      <c r="AG111" s="47"/>
      <c r="AH111" s="47"/>
      <c r="AI111" s="46"/>
      <c r="AJ111" s="46"/>
      <c r="AK111" s="46"/>
      <c r="AL111" s="7"/>
      <c r="AM111" s="49" t="str">
        <f aca="false">IF(OR(C111="",G111=""),"",IFERROR(DATEDIF(C111,G111,"m"),""))</f>
        <v/>
      </c>
      <c r="AN111" s="49" t="str">
        <f aca="false">IF(OR(Q111="",AM111=""),"",60+2*Q111-AM111)</f>
        <v/>
      </c>
      <c r="AO111" s="49" t="str">
        <f aca="false">IF(OR(G111="",AJ111=""),"",AJ111-G111)</f>
        <v/>
      </c>
      <c r="AP111" s="50" t="str">
        <f aca="false">IF(AND(A111="",B111=""),"",IF(J111="","Status needed",IF(OR(J111="Applied",J111="Visit booked",J111="Withdrawn"),"OK",IF(G111="","Date assessed needed",IF(C111="","Date of birth needed",IF(COUNTA(L111,M111,P111,U111,V111,X111)&lt;6,"Band missing",IF(AND(OR(J111="Decision confirmed",J111="Family told",J111="Enrolled"),AG111=""),"Recommendation needed",IF(AND(OR(J111="Family told",J111="Enrolled"),AJ111=""),"Date family told needed","OK"))))))))</f>
        <v/>
      </c>
    </row>
    <row r="112" customFormat="false" ht="15" hidden="false" customHeight="false" outlineLevel="0" collapsed="false">
      <c r="A112" s="7"/>
      <c r="B112" s="7"/>
      <c r="C112" s="46"/>
      <c r="D112" s="7"/>
      <c r="E112" s="47"/>
      <c r="F112" s="46"/>
      <c r="G112" s="46"/>
      <c r="H112" s="7"/>
      <c r="I112" s="7"/>
      <c r="J112" s="47"/>
      <c r="K112" s="47"/>
      <c r="L112" s="47"/>
      <c r="M112" s="47"/>
      <c r="N112" s="47"/>
      <c r="O112" s="10"/>
      <c r="P112" s="47"/>
      <c r="Q112" s="47"/>
      <c r="R112" s="48" t="str">
        <f aca="false">IF(Q112="","",IF(Q112=0,"below 5:00",IF(Q112&gt;=66,"16:00 or above",INT((60+2*Q112)/12)&amp;":"&amp;TEXT(MOD(60+2*Q112,12),"00"))))</f>
        <v/>
      </c>
      <c r="S112" s="47"/>
      <c r="T112" s="47"/>
      <c r="U112" s="47"/>
      <c r="V112" s="47"/>
      <c r="W112" s="47"/>
      <c r="X112" s="47"/>
      <c r="Y112" s="47"/>
      <c r="Z112" s="47"/>
      <c r="AA112" s="10"/>
      <c r="AB112" s="10"/>
      <c r="AC112" s="47"/>
      <c r="AD112" s="47"/>
      <c r="AE112" s="47"/>
      <c r="AF112" s="47"/>
      <c r="AG112" s="47"/>
      <c r="AH112" s="47"/>
      <c r="AI112" s="46"/>
      <c r="AJ112" s="46"/>
      <c r="AK112" s="46"/>
      <c r="AL112" s="7"/>
      <c r="AM112" s="49" t="str">
        <f aca="false">IF(OR(C112="",G112=""),"",IFERROR(DATEDIF(C112,G112,"m"),""))</f>
        <v/>
      </c>
      <c r="AN112" s="49" t="str">
        <f aca="false">IF(OR(Q112="",AM112=""),"",60+2*Q112-AM112)</f>
        <v/>
      </c>
      <c r="AO112" s="49" t="str">
        <f aca="false">IF(OR(G112="",AJ112=""),"",AJ112-G112)</f>
        <v/>
      </c>
      <c r="AP112" s="50" t="str">
        <f aca="false">IF(AND(A112="",B112=""),"",IF(J112="","Status needed",IF(OR(J112="Applied",J112="Visit booked",J112="Withdrawn"),"OK",IF(G112="","Date assessed needed",IF(C112="","Date of birth needed",IF(COUNTA(L112,M112,P112,U112,V112,X112)&lt;6,"Band missing",IF(AND(OR(J112="Decision confirmed",J112="Family told",J112="Enrolled"),AG112=""),"Recommendation needed",IF(AND(OR(J112="Family told",J112="Enrolled"),AJ112=""),"Date family told needed","OK"))))))))</f>
        <v/>
      </c>
    </row>
    <row r="113" customFormat="false" ht="15" hidden="false" customHeight="false" outlineLevel="0" collapsed="false">
      <c r="A113" s="7"/>
      <c r="B113" s="7"/>
      <c r="C113" s="46"/>
      <c r="D113" s="7"/>
      <c r="E113" s="47"/>
      <c r="F113" s="46"/>
      <c r="G113" s="46"/>
      <c r="H113" s="7"/>
      <c r="I113" s="7"/>
      <c r="J113" s="47"/>
      <c r="K113" s="47"/>
      <c r="L113" s="47"/>
      <c r="M113" s="47"/>
      <c r="N113" s="47"/>
      <c r="O113" s="10"/>
      <c r="P113" s="47"/>
      <c r="Q113" s="47"/>
      <c r="R113" s="48" t="str">
        <f aca="false">IF(Q113="","",IF(Q113=0,"below 5:00",IF(Q113&gt;=66,"16:00 or above",INT((60+2*Q113)/12)&amp;":"&amp;TEXT(MOD(60+2*Q113,12),"00"))))</f>
        <v/>
      </c>
      <c r="S113" s="47"/>
      <c r="T113" s="47"/>
      <c r="U113" s="47"/>
      <c r="V113" s="47"/>
      <c r="W113" s="47"/>
      <c r="X113" s="47"/>
      <c r="Y113" s="47"/>
      <c r="Z113" s="47"/>
      <c r="AA113" s="10"/>
      <c r="AB113" s="10"/>
      <c r="AC113" s="47"/>
      <c r="AD113" s="47"/>
      <c r="AE113" s="47"/>
      <c r="AF113" s="47"/>
      <c r="AG113" s="47"/>
      <c r="AH113" s="47"/>
      <c r="AI113" s="46"/>
      <c r="AJ113" s="46"/>
      <c r="AK113" s="46"/>
      <c r="AL113" s="7"/>
      <c r="AM113" s="49" t="str">
        <f aca="false">IF(OR(C113="",G113=""),"",IFERROR(DATEDIF(C113,G113,"m"),""))</f>
        <v/>
      </c>
      <c r="AN113" s="49" t="str">
        <f aca="false">IF(OR(Q113="",AM113=""),"",60+2*Q113-AM113)</f>
        <v/>
      </c>
      <c r="AO113" s="49" t="str">
        <f aca="false">IF(OR(G113="",AJ113=""),"",AJ113-G113)</f>
        <v/>
      </c>
      <c r="AP113" s="50" t="str">
        <f aca="false">IF(AND(A113="",B113=""),"",IF(J113="","Status needed",IF(OR(J113="Applied",J113="Visit booked",J113="Withdrawn"),"OK",IF(G113="","Date assessed needed",IF(C113="","Date of birth needed",IF(COUNTA(L113,M113,P113,U113,V113,X113)&lt;6,"Band missing",IF(AND(OR(J113="Decision confirmed",J113="Family told",J113="Enrolled"),AG113=""),"Recommendation needed",IF(AND(OR(J113="Family told",J113="Enrolled"),AJ113=""),"Date family told needed","OK"))))))))</f>
        <v/>
      </c>
    </row>
    <row r="114" customFormat="false" ht="15" hidden="false" customHeight="false" outlineLevel="0" collapsed="false">
      <c r="A114" s="7"/>
      <c r="B114" s="7"/>
      <c r="C114" s="46"/>
      <c r="D114" s="7"/>
      <c r="E114" s="47"/>
      <c r="F114" s="46"/>
      <c r="G114" s="46"/>
      <c r="H114" s="7"/>
      <c r="I114" s="7"/>
      <c r="J114" s="47"/>
      <c r="K114" s="47"/>
      <c r="L114" s="47"/>
      <c r="M114" s="47"/>
      <c r="N114" s="47"/>
      <c r="O114" s="10"/>
      <c r="P114" s="47"/>
      <c r="Q114" s="47"/>
      <c r="R114" s="48" t="str">
        <f aca="false">IF(Q114="","",IF(Q114=0,"below 5:00",IF(Q114&gt;=66,"16:00 or above",INT((60+2*Q114)/12)&amp;":"&amp;TEXT(MOD(60+2*Q114,12),"00"))))</f>
        <v/>
      </c>
      <c r="S114" s="47"/>
      <c r="T114" s="47"/>
      <c r="U114" s="47"/>
      <c r="V114" s="47"/>
      <c r="W114" s="47"/>
      <c r="X114" s="47"/>
      <c r="Y114" s="47"/>
      <c r="Z114" s="47"/>
      <c r="AA114" s="10"/>
      <c r="AB114" s="10"/>
      <c r="AC114" s="47"/>
      <c r="AD114" s="47"/>
      <c r="AE114" s="47"/>
      <c r="AF114" s="47"/>
      <c r="AG114" s="47"/>
      <c r="AH114" s="47"/>
      <c r="AI114" s="46"/>
      <c r="AJ114" s="46"/>
      <c r="AK114" s="46"/>
      <c r="AL114" s="7"/>
      <c r="AM114" s="49" t="str">
        <f aca="false">IF(OR(C114="",G114=""),"",IFERROR(DATEDIF(C114,G114,"m"),""))</f>
        <v/>
      </c>
      <c r="AN114" s="49" t="str">
        <f aca="false">IF(OR(Q114="",AM114=""),"",60+2*Q114-AM114)</f>
        <v/>
      </c>
      <c r="AO114" s="49" t="str">
        <f aca="false">IF(OR(G114="",AJ114=""),"",AJ114-G114)</f>
        <v/>
      </c>
      <c r="AP114" s="50" t="str">
        <f aca="false">IF(AND(A114="",B114=""),"",IF(J114="","Status needed",IF(OR(J114="Applied",J114="Visit booked",J114="Withdrawn"),"OK",IF(G114="","Date assessed needed",IF(C114="","Date of birth needed",IF(COUNTA(L114,M114,P114,U114,V114,X114)&lt;6,"Band missing",IF(AND(OR(J114="Decision confirmed",J114="Family told",J114="Enrolled"),AG114=""),"Recommendation needed",IF(AND(OR(J114="Family told",J114="Enrolled"),AJ114=""),"Date family told needed","OK"))))))))</f>
        <v/>
      </c>
    </row>
    <row r="115" customFormat="false" ht="15" hidden="false" customHeight="false" outlineLevel="0" collapsed="false">
      <c r="A115" s="7"/>
      <c r="B115" s="7"/>
      <c r="C115" s="46"/>
      <c r="D115" s="7"/>
      <c r="E115" s="47"/>
      <c r="F115" s="46"/>
      <c r="G115" s="46"/>
      <c r="H115" s="7"/>
      <c r="I115" s="7"/>
      <c r="J115" s="47"/>
      <c r="K115" s="47"/>
      <c r="L115" s="47"/>
      <c r="M115" s="47"/>
      <c r="N115" s="47"/>
      <c r="O115" s="10"/>
      <c r="P115" s="47"/>
      <c r="Q115" s="47"/>
      <c r="R115" s="48" t="str">
        <f aca="false">IF(Q115="","",IF(Q115=0,"below 5:00",IF(Q115&gt;=66,"16:00 or above",INT((60+2*Q115)/12)&amp;":"&amp;TEXT(MOD(60+2*Q115,12),"00"))))</f>
        <v/>
      </c>
      <c r="S115" s="47"/>
      <c r="T115" s="47"/>
      <c r="U115" s="47"/>
      <c r="V115" s="47"/>
      <c r="W115" s="47"/>
      <c r="X115" s="47"/>
      <c r="Y115" s="47"/>
      <c r="Z115" s="47"/>
      <c r="AA115" s="10"/>
      <c r="AB115" s="10"/>
      <c r="AC115" s="47"/>
      <c r="AD115" s="47"/>
      <c r="AE115" s="47"/>
      <c r="AF115" s="47"/>
      <c r="AG115" s="47"/>
      <c r="AH115" s="47"/>
      <c r="AI115" s="46"/>
      <c r="AJ115" s="46"/>
      <c r="AK115" s="46"/>
      <c r="AL115" s="7"/>
      <c r="AM115" s="49" t="str">
        <f aca="false">IF(OR(C115="",G115=""),"",IFERROR(DATEDIF(C115,G115,"m"),""))</f>
        <v/>
      </c>
      <c r="AN115" s="49" t="str">
        <f aca="false">IF(OR(Q115="",AM115=""),"",60+2*Q115-AM115)</f>
        <v/>
      </c>
      <c r="AO115" s="49" t="str">
        <f aca="false">IF(OR(G115="",AJ115=""),"",AJ115-G115)</f>
        <v/>
      </c>
      <c r="AP115" s="50" t="str">
        <f aca="false">IF(AND(A115="",B115=""),"",IF(J115="","Status needed",IF(OR(J115="Applied",J115="Visit booked",J115="Withdrawn"),"OK",IF(G115="","Date assessed needed",IF(C115="","Date of birth needed",IF(COUNTA(L115,M115,P115,U115,V115,X115)&lt;6,"Band missing",IF(AND(OR(J115="Decision confirmed",J115="Family told",J115="Enrolled"),AG115=""),"Recommendation needed",IF(AND(OR(J115="Family told",J115="Enrolled"),AJ115=""),"Date family told needed","OK"))))))))</f>
        <v/>
      </c>
    </row>
    <row r="116" customFormat="false" ht="15" hidden="false" customHeight="false" outlineLevel="0" collapsed="false">
      <c r="A116" s="7"/>
      <c r="B116" s="7"/>
      <c r="C116" s="46"/>
      <c r="D116" s="7"/>
      <c r="E116" s="47"/>
      <c r="F116" s="46"/>
      <c r="G116" s="46"/>
      <c r="H116" s="7"/>
      <c r="I116" s="7"/>
      <c r="J116" s="47"/>
      <c r="K116" s="47"/>
      <c r="L116" s="47"/>
      <c r="M116" s="47"/>
      <c r="N116" s="47"/>
      <c r="O116" s="10"/>
      <c r="P116" s="47"/>
      <c r="Q116" s="47"/>
      <c r="R116" s="48" t="str">
        <f aca="false">IF(Q116="","",IF(Q116=0,"below 5:00",IF(Q116&gt;=66,"16:00 or above",INT((60+2*Q116)/12)&amp;":"&amp;TEXT(MOD(60+2*Q116,12),"00"))))</f>
        <v/>
      </c>
      <c r="S116" s="47"/>
      <c r="T116" s="47"/>
      <c r="U116" s="47"/>
      <c r="V116" s="47"/>
      <c r="W116" s="47"/>
      <c r="X116" s="47"/>
      <c r="Y116" s="47"/>
      <c r="Z116" s="47"/>
      <c r="AA116" s="10"/>
      <c r="AB116" s="10"/>
      <c r="AC116" s="47"/>
      <c r="AD116" s="47"/>
      <c r="AE116" s="47"/>
      <c r="AF116" s="47"/>
      <c r="AG116" s="47"/>
      <c r="AH116" s="47"/>
      <c r="AI116" s="46"/>
      <c r="AJ116" s="46"/>
      <c r="AK116" s="46"/>
      <c r="AL116" s="7"/>
      <c r="AM116" s="49" t="str">
        <f aca="false">IF(OR(C116="",G116=""),"",IFERROR(DATEDIF(C116,G116,"m"),""))</f>
        <v/>
      </c>
      <c r="AN116" s="49" t="str">
        <f aca="false">IF(OR(Q116="",AM116=""),"",60+2*Q116-AM116)</f>
        <v/>
      </c>
      <c r="AO116" s="49" t="str">
        <f aca="false">IF(OR(G116="",AJ116=""),"",AJ116-G116)</f>
        <v/>
      </c>
      <c r="AP116" s="50" t="str">
        <f aca="false">IF(AND(A116="",B116=""),"",IF(J116="","Status needed",IF(OR(J116="Applied",J116="Visit booked",J116="Withdrawn"),"OK",IF(G116="","Date assessed needed",IF(C116="","Date of birth needed",IF(COUNTA(L116,M116,P116,U116,V116,X116)&lt;6,"Band missing",IF(AND(OR(J116="Decision confirmed",J116="Family told",J116="Enrolled"),AG116=""),"Recommendation needed",IF(AND(OR(J116="Family told",J116="Enrolled"),AJ116=""),"Date family told needed","OK"))))))))</f>
        <v/>
      </c>
    </row>
    <row r="117" customFormat="false" ht="15" hidden="false" customHeight="false" outlineLevel="0" collapsed="false">
      <c r="A117" s="7"/>
      <c r="B117" s="7"/>
      <c r="C117" s="46"/>
      <c r="D117" s="7"/>
      <c r="E117" s="47"/>
      <c r="F117" s="46"/>
      <c r="G117" s="46"/>
      <c r="H117" s="7"/>
      <c r="I117" s="7"/>
      <c r="J117" s="47"/>
      <c r="K117" s="47"/>
      <c r="L117" s="47"/>
      <c r="M117" s="47"/>
      <c r="N117" s="47"/>
      <c r="O117" s="10"/>
      <c r="P117" s="47"/>
      <c r="Q117" s="47"/>
      <c r="R117" s="48" t="str">
        <f aca="false">IF(Q117="","",IF(Q117=0,"below 5:00",IF(Q117&gt;=66,"16:00 or above",INT((60+2*Q117)/12)&amp;":"&amp;TEXT(MOD(60+2*Q117,12),"00"))))</f>
        <v/>
      </c>
      <c r="S117" s="47"/>
      <c r="T117" s="47"/>
      <c r="U117" s="47"/>
      <c r="V117" s="47"/>
      <c r="W117" s="47"/>
      <c r="X117" s="47"/>
      <c r="Y117" s="47"/>
      <c r="Z117" s="47"/>
      <c r="AA117" s="10"/>
      <c r="AB117" s="10"/>
      <c r="AC117" s="47"/>
      <c r="AD117" s="47"/>
      <c r="AE117" s="47"/>
      <c r="AF117" s="47"/>
      <c r="AG117" s="47"/>
      <c r="AH117" s="47"/>
      <c r="AI117" s="46"/>
      <c r="AJ117" s="46"/>
      <c r="AK117" s="46"/>
      <c r="AL117" s="7"/>
      <c r="AM117" s="49" t="str">
        <f aca="false">IF(OR(C117="",G117=""),"",IFERROR(DATEDIF(C117,G117,"m"),""))</f>
        <v/>
      </c>
      <c r="AN117" s="49" t="str">
        <f aca="false">IF(OR(Q117="",AM117=""),"",60+2*Q117-AM117)</f>
        <v/>
      </c>
      <c r="AO117" s="49" t="str">
        <f aca="false">IF(OR(G117="",AJ117=""),"",AJ117-G117)</f>
        <v/>
      </c>
      <c r="AP117" s="50" t="str">
        <f aca="false">IF(AND(A117="",B117=""),"",IF(J117="","Status needed",IF(OR(J117="Applied",J117="Visit booked",J117="Withdrawn"),"OK",IF(G117="","Date assessed needed",IF(C117="","Date of birth needed",IF(COUNTA(L117,M117,P117,U117,V117,X117)&lt;6,"Band missing",IF(AND(OR(J117="Decision confirmed",J117="Family told",J117="Enrolled"),AG117=""),"Recommendation needed",IF(AND(OR(J117="Family told",J117="Enrolled"),AJ117=""),"Date family told needed","OK"))))))))</f>
        <v/>
      </c>
    </row>
    <row r="118" customFormat="false" ht="15" hidden="false" customHeight="false" outlineLevel="0" collapsed="false">
      <c r="A118" s="7"/>
      <c r="B118" s="7"/>
      <c r="C118" s="46"/>
      <c r="D118" s="7"/>
      <c r="E118" s="47"/>
      <c r="F118" s="46"/>
      <c r="G118" s="46"/>
      <c r="H118" s="7"/>
      <c r="I118" s="7"/>
      <c r="J118" s="47"/>
      <c r="K118" s="47"/>
      <c r="L118" s="47"/>
      <c r="M118" s="47"/>
      <c r="N118" s="47"/>
      <c r="O118" s="10"/>
      <c r="P118" s="47"/>
      <c r="Q118" s="47"/>
      <c r="R118" s="48" t="str">
        <f aca="false">IF(Q118="","",IF(Q118=0,"below 5:00",IF(Q118&gt;=66,"16:00 or above",INT((60+2*Q118)/12)&amp;":"&amp;TEXT(MOD(60+2*Q118,12),"00"))))</f>
        <v/>
      </c>
      <c r="S118" s="47"/>
      <c r="T118" s="47"/>
      <c r="U118" s="47"/>
      <c r="V118" s="47"/>
      <c r="W118" s="47"/>
      <c r="X118" s="47"/>
      <c r="Y118" s="47"/>
      <c r="Z118" s="47"/>
      <c r="AA118" s="10"/>
      <c r="AB118" s="10"/>
      <c r="AC118" s="47"/>
      <c r="AD118" s="47"/>
      <c r="AE118" s="47"/>
      <c r="AF118" s="47"/>
      <c r="AG118" s="47"/>
      <c r="AH118" s="47"/>
      <c r="AI118" s="46"/>
      <c r="AJ118" s="46"/>
      <c r="AK118" s="46"/>
      <c r="AL118" s="7"/>
      <c r="AM118" s="49" t="str">
        <f aca="false">IF(OR(C118="",G118=""),"",IFERROR(DATEDIF(C118,G118,"m"),""))</f>
        <v/>
      </c>
      <c r="AN118" s="49" t="str">
        <f aca="false">IF(OR(Q118="",AM118=""),"",60+2*Q118-AM118)</f>
        <v/>
      </c>
      <c r="AO118" s="49" t="str">
        <f aca="false">IF(OR(G118="",AJ118=""),"",AJ118-G118)</f>
        <v/>
      </c>
      <c r="AP118" s="50" t="str">
        <f aca="false">IF(AND(A118="",B118=""),"",IF(J118="","Status needed",IF(OR(J118="Applied",J118="Visit booked",J118="Withdrawn"),"OK",IF(G118="","Date assessed needed",IF(C118="","Date of birth needed",IF(COUNTA(L118,M118,P118,U118,V118,X118)&lt;6,"Band missing",IF(AND(OR(J118="Decision confirmed",J118="Family told",J118="Enrolled"),AG118=""),"Recommendation needed",IF(AND(OR(J118="Family told",J118="Enrolled"),AJ118=""),"Date family told needed","OK"))))))))</f>
        <v/>
      </c>
    </row>
    <row r="119" customFormat="false" ht="15" hidden="false" customHeight="false" outlineLevel="0" collapsed="false">
      <c r="A119" s="7"/>
      <c r="B119" s="7"/>
      <c r="C119" s="46"/>
      <c r="D119" s="7"/>
      <c r="E119" s="47"/>
      <c r="F119" s="46"/>
      <c r="G119" s="46"/>
      <c r="H119" s="7"/>
      <c r="I119" s="7"/>
      <c r="J119" s="47"/>
      <c r="K119" s="47"/>
      <c r="L119" s="47"/>
      <c r="M119" s="47"/>
      <c r="N119" s="47"/>
      <c r="O119" s="10"/>
      <c r="P119" s="47"/>
      <c r="Q119" s="47"/>
      <c r="R119" s="48" t="str">
        <f aca="false">IF(Q119="","",IF(Q119=0,"below 5:00",IF(Q119&gt;=66,"16:00 or above",INT((60+2*Q119)/12)&amp;":"&amp;TEXT(MOD(60+2*Q119,12),"00"))))</f>
        <v/>
      </c>
      <c r="S119" s="47"/>
      <c r="T119" s="47"/>
      <c r="U119" s="47"/>
      <c r="V119" s="47"/>
      <c r="W119" s="47"/>
      <c r="X119" s="47"/>
      <c r="Y119" s="47"/>
      <c r="Z119" s="47"/>
      <c r="AA119" s="10"/>
      <c r="AB119" s="10"/>
      <c r="AC119" s="47"/>
      <c r="AD119" s="47"/>
      <c r="AE119" s="47"/>
      <c r="AF119" s="47"/>
      <c r="AG119" s="47"/>
      <c r="AH119" s="47"/>
      <c r="AI119" s="46"/>
      <c r="AJ119" s="46"/>
      <c r="AK119" s="46"/>
      <c r="AL119" s="7"/>
      <c r="AM119" s="49" t="str">
        <f aca="false">IF(OR(C119="",G119=""),"",IFERROR(DATEDIF(C119,G119,"m"),""))</f>
        <v/>
      </c>
      <c r="AN119" s="49" t="str">
        <f aca="false">IF(OR(Q119="",AM119=""),"",60+2*Q119-AM119)</f>
        <v/>
      </c>
      <c r="AO119" s="49" t="str">
        <f aca="false">IF(OR(G119="",AJ119=""),"",AJ119-G119)</f>
        <v/>
      </c>
      <c r="AP119" s="50" t="str">
        <f aca="false">IF(AND(A119="",B119=""),"",IF(J119="","Status needed",IF(OR(J119="Applied",J119="Visit booked",J119="Withdrawn"),"OK",IF(G119="","Date assessed needed",IF(C119="","Date of birth needed",IF(COUNTA(L119,M119,P119,U119,V119,X119)&lt;6,"Band missing",IF(AND(OR(J119="Decision confirmed",J119="Family told",J119="Enrolled"),AG119=""),"Recommendation needed",IF(AND(OR(J119="Family told",J119="Enrolled"),AJ119=""),"Date family told needed","OK"))))))))</f>
        <v/>
      </c>
    </row>
    <row r="120" customFormat="false" ht="15" hidden="false" customHeight="false" outlineLevel="0" collapsed="false">
      <c r="A120" s="7"/>
      <c r="B120" s="7"/>
      <c r="C120" s="46"/>
      <c r="D120" s="7"/>
      <c r="E120" s="47"/>
      <c r="F120" s="46"/>
      <c r="G120" s="46"/>
      <c r="H120" s="7"/>
      <c r="I120" s="7"/>
      <c r="J120" s="47"/>
      <c r="K120" s="47"/>
      <c r="L120" s="47"/>
      <c r="M120" s="47"/>
      <c r="N120" s="47"/>
      <c r="O120" s="10"/>
      <c r="P120" s="47"/>
      <c r="Q120" s="47"/>
      <c r="R120" s="48" t="str">
        <f aca="false">IF(Q120="","",IF(Q120=0,"below 5:00",IF(Q120&gt;=66,"16:00 or above",INT((60+2*Q120)/12)&amp;":"&amp;TEXT(MOD(60+2*Q120,12),"00"))))</f>
        <v/>
      </c>
      <c r="S120" s="47"/>
      <c r="T120" s="47"/>
      <c r="U120" s="47"/>
      <c r="V120" s="47"/>
      <c r="W120" s="47"/>
      <c r="X120" s="47"/>
      <c r="Y120" s="47"/>
      <c r="Z120" s="47"/>
      <c r="AA120" s="10"/>
      <c r="AB120" s="10"/>
      <c r="AC120" s="47"/>
      <c r="AD120" s="47"/>
      <c r="AE120" s="47"/>
      <c r="AF120" s="47"/>
      <c r="AG120" s="47"/>
      <c r="AH120" s="47"/>
      <c r="AI120" s="46"/>
      <c r="AJ120" s="46"/>
      <c r="AK120" s="46"/>
      <c r="AL120" s="7"/>
      <c r="AM120" s="49" t="str">
        <f aca="false">IF(OR(C120="",G120=""),"",IFERROR(DATEDIF(C120,G120,"m"),""))</f>
        <v/>
      </c>
      <c r="AN120" s="49" t="str">
        <f aca="false">IF(OR(Q120="",AM120=""),"",60+2*Q120-AM120)</f>
        <v/>
      </c>
      <c r="AO120" s="49" t="str">
        <f aca="false">IF(OR(G120="",AJ120=""),"",AJ120-G120)</f>
        <v/>
      </c>
      <c r="AP120" s="50" t="str">
        <f aca="false">IF(AND(A120="",B120=""),"",IF(J120="","Status needed",IF(OR(J120="Applied",J120="Visit booked",J120="Withdrawn"),"OK",IF(G120="","Date assessed needed",IF(C120="","Date of birth needed",IF(COUNTA(L120,M120,P120,U120,V120,X120)&lt;6,"Band missing",IF(AND(OR(J120="Decision confirmed",J120="Family told",J120="Enrolled"),AG120=""),"Recommendation needed",IF(AND(OR(J120="Family told",J120="Enrolled"),AJ120=""),"Date family told needed","OK"))))))))</f>
        <v/>
      </c>
    </row>
    <row r="121" customFormat="false" ht="15" hidden="false" customHeight="false" outlineLevel="0" collapsed="false">
      <c r="A121" s="7"/>
      <c r="B121" s="7"/>
      <c r="C121" s="46"/>
      <c r="D121" s="7"/>
      <c r="E121" s="47"/>
      <c r="F121" s="46"/>
      <c r="G121" s="46"/>
      <c r="H121" s="7"/>
      <c r="I121" s="7"/>
      <c r="J121" s="47"/>
      <c r="K121" s="47"/>
      <c r="L121" s="47"/>
      <c r="M121" s="47"/>
      <c r="N121" s="47"/>
      <c r="O121" s="10"/>
      <c r="P121" s="47"/>
      <c r="Q121" s="47"/>
      <c r="R121" s="48" t="str">
        <f aca="false">IF(Q121="","",IF(Q121=0,"below 5:00",IF(Q121&gt;=66,"16:00 or above",INT((60+2*Q121)/12)&amp;":"&amp;TEXT(MOD(60+2*Q121,12),"00"))))</f>
        <v/>
      </c>
      <c r="S121" s="47"/>
      <c r="T121" s="47"/>
      <c r="U121" s="47"/>
      <c r="V121" s="47"/>
      <c r="W121" s="47"/>
      <c r="X121" s="47"/>
      <c r="Y121" s="47"/>
      <c r="Z121" s="47"/>
      <c r="AA121" s="10"/>
      <c r="AB121" s="10"/>
      <c r="AC121" s="47"/>
      <c r="AD121" s="47"/>
      <c r="AE121" s="47"/>
      <c r="AF121" s="47"/>
      <c r="AG121" s="47"/>
      <c r="AH121" s="47"/>
      <c r="AI121" s="46"/>
      <c r="AJ121" s="46"/>
      <c r="AK121" s="46"/>
      <c r="AL121" s="7"/>
      <c r="AM121" s="49" t="str">
        <f aca="false">IF(OR(C121="",G121=""),"",IFERROR(DATEDIF(C121,G121,"m"),""))</f>
        <v/>
      </c>
      <c r="AN121" s="49" t="str">
        <f aca="false">IF(OR(Q121="",AM121=""),"",60+2*Q121-AM121)</f>
        <v/>
      </c>
      <c r="AO121" s="49" t="str">
        <f aca="false">IF(OR(G121="",AJ121=""),"",AJ121-G121)</f>
        <v/>
      </c>
      <c r="AP121" s="50" t="str">
        <f aca="false">IF(AND(A121="",B121=""),"",IF(J121="","Status needed",IF(OR(J121="Applied",J121="Visit booked",J121="Withdrawn"),"OK",IF(G121="","Date assessed needed",IF(C121="","Date of birth needed",IF(COUNTA(L121,M121,P121,U121,V121,X121)&lt;6,"Band missing",IF(AND(OR(J121="Decision confirmed",J121="Family told",J121="Enrolled"),AG121=""),"Recommendation needed",IF(AND(OR(J121="Family told",J121="Enrolled"),AJ121=""),"Date family told needed","OK"))))))))</f>
        <v/>
      </c>
    </row>
    <row r="122" customFormat="false" ht="15" hidden="false" customHeight="false" outlineLevel="0" collapsed="false">
      <c r="A122" s="7"/>
      <c r="B122" s="7"/>
      <c r="C122" s="46"/>
      <c r="D122" s="7"/>
      <c r="E122" s="47"/>
      <c r="F122" s="46"/>
      <c r="G122" s="46"/>
      <c r="H122" s="7"/>
      <c r="I122" s="7"/>
      <c r="J122" s="47"/>
      <c r="K122" s="47"/>
      <c r="L122" s="47"/>
      <c r="M122" s="47"/>
      <c r="N122" s="47"/>
      <c r="O122" s="10"/>
      <c r="P122" s="47"/>
      <c r="Q122" s="47"/>
      <c r="R122" s="48" t="str">
        <f aca="false">IF(Q122="","",IF(Q122=0,"below 5:00",IF(Q122&gt;=66,"16:00 or above",INT((60+2*Q122)/12)&amp;":"&amp;TEXT(MOD(60+2*Q122,12),"00"))))</f>
        <v/>
      </c>
      <c r="S122" s="47"/>
      <c r="T122" s="47"/>
      <c r="U122" s="47"/>
      <c r="V122" s="47"/>
      <c r="W122" s="47"/>
      <c r="X122" s="47"/>
      <c r="Y122" s="47"/>
      <c r="Z122" s="47"/>
      <c r="AA122" s="10"/>
      <c r="AB122" s="10"/>
      <c r="AC122" s="47"/>
      <c r="AD122" s="47"/>
      <c r="AE122" s="47"/>
      <c r="AF122" s="47"/>
      <c r="AG122" s="47"/>
      <c r="AH122" s="47"/>
      <c r="AI122" s="46"/>
      <c r="AJ122" s="46"/>
      <c r="AK122" s="46"/>
      <c r="AL122" s="7"/>
      <c r="AM122" s="49" t="str">
        <f aca="false">IF(OR(C122="",G122=""),"",IFERROR(DATEDIF(C122,G122,"m"),""))</f>
        <v/>
      </c>
      <c r="AN122" s="49" t="str">
        <f aca="false">IF(OR(Q122="",AM122=""),"",60+2*Q122-AM122)</f>
        <v/>
      </c>
      <c r="AO122" s="49" t="str">
        <f aca="false">IF(OR(G122="",AJ122=""),"",AJ122-G122)</f>
        <v/>
      </c>
      <c r="AP122" s="50" t="str">
        <f aca="false">IF(AND(A122="",B122=""),"",IF(J122="","Status needed",IF(OR(J122="Applied",J122="Visit booked",J122="Withdrawn"),"OK",IF(G122="","Date assessed needed",IF(C122="","Date of birth needed",IF(COUNTA(L122,M122,P122,U122,V122,X122)&lt;6,"Band missing",IF(AND(OR(J122="Decision confirmed",J122="Family told",J122="Enrolled"),AG122=""),"Recommendation needed",IF(AND(OR(J122="Family told",J122="Enrolled"),AJ122=""),"Date family told needed","OK"))))))))</f>
        <v/>
      </c>
    </row>
    <row r="123" customFormat="false" ht="15" hidden="false" customHeight="false" outlineLevel="0" collapsed="false">
      <c r="A123" s="7"/>
      <c r="B123" s="7"/>
      <c r="C123" s="46"/>
      <c r="D123" s="7"/>
      <c r="E123" s="47"/>
      <c r="F123" s="46"/>
      <c r="G123" s="46"/>
      <c r="H123" s="7"/>
      <c r="I123" s="7"/>
      <c r="J123" s="47"/>
      <c r="K123" s="47"/>
      <c r="L123" s="47"/>
      <c r="M123" s="47"/>
      <c r="N123" s="47"/>
      <c r="O123" s="10"/>
      <c r="P123" s="47"/>
      <c r="Q123" s="47"/>
      <c r="R123" s="48" t="str">
        <f aca="false">IF(Q123="","",IF(Q123=0,"below 5:00",IF(Q123&gt;=66,"16:00 or above",INT((60+2*Q123)/12)&amp;":"&amp;TEXT(MOD(60+2*Q123,12),"00"))))</f>
        <v/>
      </c>
      <c r="S123" s="47"/>
      <c r="T123" s="47"/>
      <c r="U123" s="47"/>
      <c r="V123" s="47"/>
      <c r="W123" s="47"/>
      <c r="X123" s="47"/>
      <c r="Y123" s="47"/>
      <c r="Z123" s="47"/>
      <c r="AA123" s="10"/>
      <c r="AB123" s="10"/>
      <c r="AC123" s="47"/>
      <c r="AD123" s="47"/>
      <c r="AE123" s="47"/>
      <c r="AF123" s="47"/>
      <c r="AG123" s="47"/>
      <c r="AH123" s="47"/>
      <c r="AI123" s="46"/>
      <c r="AJ123" s="46"/>
      <c r="AK123" s="46"/>
      <c r="AL123" s="7"/>
      <c r="AM123" s="49" t="str">
        <f aca="false">IF(OR(C123="",G123=""),"",IFERROR(DATEDIF(C123,G123,"m"),""))</f>
        <v/>
      </c>
      <c r="AN123" s="49" t="str">
        <f aca="false">IF(OR(Q123="",AM123=""),"",60+2*Q123-AM123)</f>
        <v/>
      </c>
      <c r="AO123" s="49" t="str">
        <f aca="false">IF(OR(G123="",AJ123=""),"",AJ123-G123)</f>
        <v/>
      </c>
      <c r="AP123" s="50" t="str">
        <f aca="false">IF(AND(A123="",B123=""),"",IF(J123="","Status needed",IF(OR(J123="Applied",J123="Visit booked",J123="Withdrawn"),"OK",IF(G123="","Date assessed needed",IF(C123="","Date of birth needed",IF(COUNTA(L123,M123,P123,U123,V123,X123)&lt;6,"Band missing",IF(AND(OR(J123="Decision confirmed",J123="Family told",J123="Enrolled"),AG123=""),"Recommendation needed",IF(AND(OR(J123="Family told",J123="Enrolled"),AJ123=""),"Date family told needed","OK"))))))))</f>
        <v/>
      </c>
    </row>
    <row r="124" customFormat="false" ht="15" hidden="false" customHeight="false" outlineLevel="0" collapsed="false">
      <c r="A124" s="7"/>
      <c r="B124" s="7"/>
      <c r="C124" s="46"/>
      <c r="D124" s="7"/>
      <c r="E124" s="47"/>
      <c r="F124" s="46"/>
      <c r="G124" s="46"/>
      <c r="H124" s="7"/>
      <c r="I124" s="7"/>
      <c r="J124" s="47"/>
      <c r="K124" s="47"/>
      <c r="L124" s="47"/>
      <c r="M124" s="47"/>
      <c r="N124" s="47"/>
      <c r="O124" s="10"/>
      <c r="P124" s="47"/>
      <c r="Q124" s="47"/>
      <c r="R124" s="48" t="str">
        <f aca="false">IF(Q124="","",IF(Q124=0,"below 5:00",IF(Q124&gt;=66,"16:00 or above",INT((60+2*Q124)/12)&amp;":"&amp;TEXT(MOD(60+2*Q124,12),"00"))))</f>
        <v/>
      </c>
      <c r="S124" s="47"/>
      <c r="T124" s="47"/>
      <c r="U124" s="47"/>
      <c r="V124" s="47"/>
      <c r="W124" s="47"/>
      <c r="X124" s="47"/>
      <c r="Y124" s="47"/>
      <c r="Z124" s="47"/>
      <c r="AA124" s="10"/>
      <c r="AB124" s="10"/>
      <c r="AC124" s="47"/>
      <c r="AD124" s="47"/>
      <c r="AE124" s="47"/>
      <c r="AF124" s="47"/>
      <c r="AG124" s="47"/>
      <c r="AH124" s="47"/>
      <c r="AI124" s="46"/>
      <c r="AJ124" s="46"/>
      <c r="AK124" s="46"/>
      <c r="AL124" s="7"/>
      <c r="AM124" s="49" t="str">
        <f aca="false">IF(OR(C124="",G124=""),"",IFERROR(DATEDIF(C124,G124,"m"),""))</f>
        <v/>
      </c>
      <c r="AN124" s="49" t="str">
        <f aca="false">IF(OR(Q124="",AM124=""),"",60+2*Q124-AM124)</f>
        <v/>
      </c>
      <c r="AO124" s="49" t="str">
        <f aca="false">IF(OR(G124="",AJ124=""),"",AJ124-G124)</f>
        <v/>
      </c>
      <c r="AP124" s="50" t="str">
        <f aca="false">IF(AND(A124="",B124=""),"",IF(J124="","Status needed",IF(OR(J124="Applied",J124="Visit booked",J124="Withdrawn"),"OK",IF(G124="","Date assessed needed",IF(C124="","Date of birth needed",IF(COUNTA(L124,M124,P124,U124,V124,X124)&lt;6,"Band missing",IF(AND(OR(J124="Decision confirmed",J124="Family told",J124="Enrolled"),AG124=""),"Recommendation needed",IF(AND(OR(J124="Family told",J124="Enrolled"),AJ124=""),"Date family told needed","OK"))))))))</f>
        <v/>
      </c>
    </row>
    <row r="125" customFormat="false" ht="15" hidden="false" customHeight="false" outlineLevel="0" collapsed="false">
      <c r="A125" s="7"/>
      <c r="B125" s="7"/>
      <c r="C125" s="46"/>
      <c r="D125" s="7"/>
      <c r="E125" s="47"/>
      <c r="F125" s="46"/>
      <c r="G125" s="46"/>
      <c r="H125" s="7"/>
      <c r="I125" s="7"/>
      <c r="J125" s="47"/>
      <c r="K125" s="47"/>
      <c r="L125" s="47"/>
      <c r="M125" s="47"/>
      <c r="N125" s="47"/>
      <c r="O125" s="10"/>
      <c r="P125" s="47"/>
      <c r="Q125" s="47"/>
      <c r="R125" s="48" t="str">
        <f aca="false">IF(Q125="","",IF(Q125=0,"below 5:00",IF(Q125&gt;=66,"16:00 or above",INT((60+2*Q125)/12)&amp;":"&amp;TEXT(MOD(60+2*Q125,12),"00"))))</f>
        <v/>
      </c>
      <c r="S125" s="47"/>
      <c r="T125" s="47"/>
      <c r="U125" s="47"/>
      <c r="V125" s="47"/>
      <c r="W125" s="47"/>
      <c r="X125" s="47"/>
      <c r="Y125" s="47"/>
      <c r="Z125" s="47"/>
      <c r="AA125" s="10"/>
      <c r="AB125" s="10"/>
      <c r="AC125" s="47"/>
      <c r="AD125" s="47"/>
      <c r="AE125" s="47"/>
      <c r="AF125" s="47"/>
      <c r="AG125" s="47"/>
      <c r="AH125" s="47"/>
      <c r="AI125" s="46"/>
      <c r="AJ125" s="46"/>
      <c r="AK125" s="46"/>
      <c r="AL125" s="7"/>
      <c r="AM125" s="49" t="str">
        <f aca="false">IF(OR(C125="",G125=""),"",IFERROR(DATEDIF(C125,G125,"m"),""))</f>
        <v/>
      </c>
      <c r="AN125" s="49" t="str">
        <f aca="false">IF(OR(Q125="",AM125=""),"",60+2*Q125-AM125)</f>
        <v/>
      </c>
      <c r="AO125" s="49" t="str">
        <f aca="false">IF(OR(G125="",AJ125=""),"",AJ125-G125)</f>
        <v/>
      </c>
      <c r="AP125" s="50" t="str">
        <f aca="false">IF(AND(A125="",B125=""),"",IF(J125="","Status needed",IF(OR(J125="Applied",J125="Visit booked",J125="Withdrawn"),"OK",IF(G125="","Date assessed needed",IF(C125="","Date of birth needed",IF(COUNTA(L125,M125,P125,U125,V125,X125)&lt;6,"Band missing",IF(AND(OR(J125="Decision confirmed",J125="Family told",J125="Enrolled"),AG125=""),"Recommendation needed",IF(AND(OR(J125="Family told",J125="Enrolled"),AJ125=""),"Date family told needed","OK"))))))))</f>
        <v/>
      </c>
    </row>
    <row r="126" customFormat="false" ht="15" hidden="false" customHeight="false" outlineLevel="0" collapsed="false">
      <c r="A126" s="7"/>
      <c r="B126" s="7"/>
      <c r="C126" s="46"/>
      <c r="D126" s="7"/>
      <c r="E126" s="47"/>
      <c r="F126" s="46"/>
      <c r="G126" s="46"/>
      <c r="H126" s="7"/>
      <c r="I126" s="7"/>
      <c r="J126" s="47"/>
      <c r="K126" s="47"/>
      <c r="L126" s="47"/>
      <c r="M126" s="47"/>
      <c r="N126" s="47"/>
      <c r="O126" s="10"/>
      <c r="P126" s="47"/>
      <c r="Q126" s="47"/>
      <c r="R126" s="48" t="str">
        <f aca="false">IF(Q126="","",IF(Q126=0,"below 5:00",IF(Q126&gt;=66,"16:00 or above",INT((60+2*Q126)/12)&amp;":"&amp;TEXT(MOD(60+2*Q126,12),"00"))))</f>
        <v/>
      </c>
      <c r="S126" s="47"/>
      <c r="T126" s="47"/>
      <c r="U126" s="47"/>
      <c r="V126" s="47"/>
      <c r="W126" s="47"/>
      <c r="X126" s="47"/>
      <c r="Y126" s="47"/>
      <c r="Z126" s="47"/>
      <c r="AA126" s="10"/>
      <c r="AB126" s="10"/>
      <c r="AC126" s="47"/>
      <c r="AD126" s="47"/>
      <c r="AE126" s="47"/>
      <c r="AF126" s="47"/>
      <c r="AG126" s="47"/>
      <c r="AH126" s="47"/>
      <c r="AI126" s="46"/>
      <c r="AJ126" s="46"/>
      <c r="AK126" s="46"/>
      <c r="AL126" s="7"/>
      <c r="AM126" s="49" t="str">
        <f aca="false">IF(OR(C126="",G126=""),"",IFERROR(DATEDIF(C126,G126,"m"),""))</f>
        <v/>
      </c>
      <c r="AN126" s="49" t="str">
        <f aca="false">IF(OR(Q126="",AM126=""),"",60+2*Q126-AM126)</f>
        <v/>
      </c>
      <c r="AO126" s="49" t="str">
        <f aca="false">IF(OR(G126="",AJ126=""),"",AJ126-G126)</f>
        <v/>
      </c>
      <c r="AP126" s="50" t="str">
        <f aca="false">IF(AND(A126="",B126=""),"",IF(J126="","Status needed",IF(OR(J126="Applied",J126="Visit booked",J126="Withdrawn"),"OK",IF(G126="","Date assessed needed",IF(C126="","Date of birth needed",IF(COUNTA(L126,M126,P126,U126,V126,X126)&lt;6,"Band missing",IF(AND(OR(J126="Decision confirmed",J126="Family told",J126="Enrolled"),AG126=""),"Recommendation needed",IF(AND(OR(J126="Family told",J126="Enrolled"),AJ126=""),"Date family told needed","OK"))))))))</f>
        <v/>
      </c>
    </row>
    <row r="127" customFormat="false" ht="15" hidden="false" customHeight="false" outlineLevel="0" collapsed="false">
      <c r="A127" s="7"/>
      <c r="B127" s="7"/>
      <c r="C127" s="46"/>
      <c r="D127" s="7"/>
      <c r="E127" s="47"/>
      <c r="F127" s="46"/>
      <c r="G127" s="46"/>
      <c r="H127" s="7"/>
      <c r="I127" s="7"/>
      <c r="J127" s="47"/>
      <c r="K127" s="47"/>
      <c r="L127" s="47"/>
      <c r="M127" s="47"/>
      <c r="N127" s="47"/>
      <c r="O127" s="10"/>
      <c r="P127" s="47"/>
      <c r="Q127" s="47"/>
      <c r="R127" s="48" t="str">
        <f aca="false">IF(Q127="","",IF(Q127=0,"below 5:00",IF(Q127&gt;=66,"16:00 or above",INT((60+2*Q127)/12)&amp;":"&amp;TEXT(MOD(60+2*Q127,12),"00"))))</f>
        <v/>
      </c>
      <c r="S127" s="47"/>
      <c r="T127" s="47"/>
      <c r="U127" s="47"/>
      <c r="V127" s="47"/>
      <c r="W127" s="47"/>
      <c r="X127" s="47"/>
      <c r="Y127" s="47"/>
      <c r="Z127" s="47"/>
      <c r="AA127" s="10"/>
      <c r="AB127" s="10"/>
      <c r="AC127" s="47"/>
      <c r="AD127" s="47"/>
      <c r="AE127" s="47"/>
      <c r="AF127" s="47"/>
      <c r="AG127" s="47"/>
      <c r="AH127" s="47"/>
      <c r="AI127" s="46"/>
      <c r="AJ127" s="46"/>
      <c r="AK127" s="46"/>
      <c r="AL127" s="7"/>
      <c r="AM127" s="49" t="str">
        <f aca="false">IF(OR(C127="",G127=""),"",IFERROR(DATEDIF(C127,G127,"m"),""))</f>
        <v/>
      </c>
      <c r="AN127" s="49" t="str">
        <f aca="false">IF(OR(Q127="",AM127=""),"",60+2*Q127-AM127)</f>
        <v/>
      </c>
      <c r="AO127" s="49" t="str">
        <f aca="false">IF(OR(G127="",AJ127=""),"",AJ127-G127)</f>
        <v/>
      </c>
      <c r="AP127" s="50" t="str">
        <f aca="false">IF(AND(A127="",B127=""),"",IF(J127="","Status needed",IF(OR(J127="Applied",J127="Visit booked",J127="Withdrawn"),"OK",IF(G127="","Date assessed needed",IF(C127="","Date of birth needed",IF(COUNTA(L127,M127,P127,U127,V127,X127)&lt;6,"Band missing",IF(AND(OR(J127="Decision confirmed",J127="Family told",J127="Enrolled"),AG127=""),"Recommendation needed",IF(AND(OR(J127="Family told",J127="Enrolled"),AJ127=""),"Date family told needed","OK"))))))))</f>
        <v/>
      </c>
    </row>
    <row r="128" customFormat="false" ht="15" hidden="false" customHeight="false" outlineLevel="0" collapsed="false">
      <c r="A128" s="7"/>
      <c r="B128" s="7"/>
      <c r="C128" s="46"/>
      <c r="D128" s="7"/>
      <c r="E128" s="47"/>
      <c r="F128" s="46"/>
      <c r="G128" s="46"/>
      <c r="H128" s="7"/>
      <c r="I128" s="7"/>
      <c r="J128" s="47"/>
      <c r="K128" s="47"/>
      <c r="L128" s="47"/>
      <c r="M128" s="47"/>
      <c r="N128" s="47"/>
      <c r="O128" s="10"/>
      <c r="P128" s="47"/>
      <c r="Q128" s="47"/>
      <c r="R128" s="48" t="str">
        <f aca="false">IF(Q128="","",IF(Q128=0,"below 5:00",IF(Q128&gt;=66,"16:00 or above",INT((60+2*Q128)/12)&amp;":"&amp;TEXT(MOD(60+2*Q128,12),"00"))))</f>
        <v/>
      </c>
      <c r="S128" s="47"/>
      <c r="T128" s="47"/>
      <c r="U128" s="47"/>
      <c r="V128" s="47"/>
      <c r="W128" s="47"/>
      <c r="X128" s="47"/>
      <c r="Y128" s="47"/>
      <c r="Z128" s="47"/>
      <c r="AA128" s="10"/>
      <c r="AB128" s="10"/>
      <c r="AC128" s="47"/>
      <c r="AD128" s="47"/>
      <c r="AE128" s="47"/>
      <c r="AF128" s="47"/>
      <c r="AG128" s="47"/>
      <c r="AH128" s="47"/>
      <c r="AI128" s="46"/>
      <c r="AJ128" s="46"/>
      <c r="AK128" s="46"/>
      <c r="AL128" s="7"/>
      <c r="AM128" s="49" t="str">
        <f aca="false">IF(OR(C128="",G128=""),"",IFERROR(DATEDIF(C128,G128,"m"),""))</f>
        <v/>
      </c>
      <c r="AN128" s="49" t="str">
        <f aca="false">IF(OR(Q128="",AM128=""),"",60+2*Q128-AM128)</f>
        <v/>
      </c>
      <c r="AO128" s="49" t="str">
        <f aca="false">IF(OR(G128="",AJ128=""),"",AJ128-G128)</f>
        <v/>
      </c>
      <c r="AP128" s="50" t="str">
        <f aca="false">IF(AND(A128="",B128=""),"",IF(J128="","Status needed",IF(OR(J128="Applied",J128="Visit booked",J128="Withdrawn"),"OK",IF(G128="","Date assessed needed",IF(C128="","Date of birth needed",IF(COUNTA(L128,M128,P128,U128,V128,X128)&lt;6,"Band missing",IF(AND(OR(J128="Decision confirmed",J128="Family told",J128="Enrolled"),AG128=""),"Recommendation needed",IF(AND(OR(J128="Family told",J128="Enrolled"),AJ128=""),"Date family told needed","OK"))))))))</f>
        <v/>
      </c>
    </row>
    <row r="129" customFormat="false" ht="15" hidden="false" customHeight="false" outlineLevel="0" collapsed="false">
      <c r="A129" s="7"/>
      <c r="B129" s="7"/>
      <c r="C129" s="46"/>
      <c r="D129" s="7"/>
      <c r="E129" s="47"/>
      <c r="F129" s="46"/>
      <c r="G129" s="46"/>
      <c r="H129" s="7"/>
      <c r="I129" s="7"/>
      <c r="J129" s="47"/>
      <c r="K129" s="47"/>
      <c r="L129" s="47"/>
      <c r="M129" s="47"/>
      <c r="N129" s="47"/>
      <c r="O129" s="10"/>
      <c r="P129" s="47"/>
      <c r="Q129" s="47"/>
      <c r="R129" s="48" t="str">
        <f aca="false">IF(Q129="","",IF(Q129=0,"below 5:00",IF(Q129&gt;=66,"16:00 or above",INT((60+2*Q129)/12)&amp;":"&amp;TEXT(MOD(60+2*Q129,12),"00"))))</f>
        <v/>
      </c>
      <c r="S129" s="47"/>
      <c r="T129" s="47"/>
      <c r="U129" s="47"/>
      <c r="V129" s="47"/>
      <c r="W129" s="47"/>
      <c r="X129" s="47"/>
      <c r="Y129" s="47"/>
      <c r="Z129" s="47"/>
      <c r="AA129" s="10"/>
      <c r="AB129" s="10"/>
      <c r="AC129" s="47"/>
      <c r="AD129" s="47"/>
      <c r="AE129" s="47"/>
      <c r="AF129" s="47"/>
      <c r="AG129" s="47"/>
      <c r="AH129" s="47"/>
      <c r="AI129" s="46"/>
      <c r="AJ129" s="46"/>
      <c r="AK129" s="46"/>
      <c r="AL129" s="7"/>
      <c r="AM129" s="49" t="str">
        <f aca="false">IF(OR(C129="",G129=""),"",IFERROR(DATEDIF(C129,G129,"m"),""))</f>
        <v/>
      </c>
      <c r="AN129" s="49" t="str">
        <f aca="false">IF(OR(Q129="",AM129=""),"",60+2*Q129-AM129)</f>
        <v/>
      </c>
      <c r="AO129" s="49" t="str">
        <f aca="false">IF(OR(G129="",AJ129=""),"",AJ129-G129)</f>
        <v/>
      </c>
      <c r="AP129" s="50" t="str">
        <f aca="false">IF(AND(A129="",B129=""),"",IF(J129="","Status needed",IF(OR(J129="Applied",J129="Visit booked",J129="Withdrawn"),"OK",IF(G129="","Date assessed needed",IF(C129="","Date of birth needed",IF(COUNTA(L129,M129,P129,U129,V129,X129)&lt;6,"Band missing",IF(AND(OR(J129="Decision confirmed",J129="Family told",J129="Enrolled"),AG129=""),"Recommendation needed",IF(AND(OR(J129="Family told",J129="Enrolled"),AJ129=""),"Date family told needed","OK"))))))))</f>
        <v/>
      </c>
    </row>
    <row r="130" customFormat="false" ht="15" hidden="false" customHeight="false" outlineLevel="0" collapsed="false">
      <c r="A130" s="7"/>
      <c r="B130" s="7"/>
      <c r="C130" s="46"/>
      <c r="D130" s="7"/>
      <c r="E130" s="47"/>
      <c r="F130" s="46"/>
      <c r="G130" s="46"/>
      <c r="H130" s="7"/>
      <c r="I130" s="7"/>
      <c r="J130" s="47"/>
      <c r="K130" s="47"/>
      <c r="L130" s="47"/>
      <c r="M130" s="47"/>
      <c r="N130" s="47"/>
      <c r="O130" s="10"/>
      <c r="P130" s="47"/>
      <c r="Q130" s="47"/>
      <c r="R130" s="48" t="str">
        <f aca="false">IF(Q130="","",IF(Q130=0,"below 5:00",IF(Q130&gt;=66,"16:00 or above",INT((60+2*Q130)/12)&amp;":"&amp;TEXT(MOD(60+2*Q130,12),"00"))))</f>
        <v/>
      </c>
      <c r="S130" s="47"/>
      <c r="T130" s="47"/>
      <c r="U130" s="47"/>
      <c r="V130" s="47"/>
      <c r="W130" s="47"/>
      <c r="X130" s="47"/>
      <c r="Y130" s="47"/>
      <c r="Z130" s="47"/>
      <c r="AA130" s="10"/>
      <c r="AB130" s="10"/>
      <c r="AC130" s="47"/>
      <c r="AD130" s="47"/>
      <c r="AE130" s="47"/>
      <c r="AF130" s="47"/>
      <c r="AG130" s="47"/>
      <c r="AH130" s="47"/>
      <c r="AI130" s="46"/>
      <c r="AJ130" s="46"/>
      <c r="AK130" s="46"/>
      <c r="AL130" s="7"/>
      <c r="AM130" s="49" t="str">
        <f aca="false">IF(OR(C130="",G130=""),"",IFERROR(DATEDIF(C130,G130,"m"),""))</f>
        <v/>
      </c>
      <c r="AN130" s="49" t="str">
        <f aca="false">IF(OR(Q130="",AM130=""),"",60+2*Q130-AM130)</f>
        <v/>
      </c>
      <c r="AO130" s="49" t="str">
        <f aca="false">IF(OR(G130="",AJ130=""),"",AJ130-G130)</f>
        <v/>
      </c>
      <c r="AP130" s="50" t="str">
        <f aca="false">IF(AND(A130="",B130=""),"",IF(J130="","Status needed",IF(OR(J130="Applied",J130="Visit booked",J130="Withdrawn"),"OK",IF(G130="","Date assessed needed",IF(C130="","Date of birth needed",IF(COUNTA(L130,M130,P130,U130,V130,X130)&lt;6,"Band missing",IF(AND(OR(J130="Decision confirmed",J130="Family told",J130="Enrolled"),AG130=""),"Recommendation needed",IF(AND(OR(J130="Family told",J130="Enrolled"),AJ130=""),"Date family told needed","OK"))))))))</f>
        <v/>
      </c>
    </row>
    <row r="131" customFormat="false" ht="15" hidden="false" customHeight="false" outlineLevel="0" collapsed="false">
      <c r="A131" s="7"/>
      <c r="B131" s="7"/>
      <c r="C131" s="46"/>
      <c r="D131" s="7"/>
      <c r="E131" s="47"/>
      <c r="F131" s="46"/>
      <c r="G131" s="46"/>
      <c r="H131" s="7"/>
      <c r="I131" s="7"/>
      <c r="J131" s="47"/>
      <c r="K131" s="47"/>
      <c r="L131" s="47"/>
      <c r="M131" s="47"/>
      <c r="N131" s="47"/>
      <c r="O131" s="10"/>
      <c r="P131" s="47"/>
      <c r="Q131" s="47"/>
      <c r="R131" s="48" t="str">
        <f aca="false">IF(Q131="","",IF(Q131=0,"below 5:00",IF(Q131&gt;=66,"16:00 or above",INT((60+2*Q131)/12)&amp;":"&amp;TEXT(MOD(60+2*Q131,12),"00"))))</f>
        <v/>
      </c>
      <c r="S131" s="47"/>
      <c r="T131" s="47"/>
      <c r="U131" s="47"/>
      <c r="V131" s="47"/>
      <c r="W131" s="47"/>
      <c r="X131" s="47"/>
      <c r="Y131" s="47"/>
      <c r="Z131" s="47"/>
      <c r="AA131" s="10"/>
      <c r="AB131" s="10"/>
      <c r="AC131" s="47"/>
      <c r="AD131" s="47"/>
      <c r="AE131" s="47"/>
      <c r="AF131" s="47"/>
      <c r="AG131" s="47"/>
      <c r="AH131" s="47"/>
      <c r="AI131" s="46"/>
      <c r="AJ131" s="46"/>
      <c r="AK131" s="46"/>
      <c r="AL131" s="7"/>
      <c r="AM131" s="49" t="str">
        <f aca="false">IF(OR(C131="",G131=""),"",IFERROR(DATEDIF(C131,G131,"m"),""))</f>
        <v/>
      </c>
      <c r="AN131" s="49" t="str">
        <f aca="false">IF(OR(Q131="",AM131=""),"",60+2*Q131-AM131)</f>
        <v/>
      </c>
      <c r="AO131" s="49" t="str">
        <f aca="false">IF(OR(G131="",AJ131=""),"",AJ131-G131)</f>
        <v/>
      </c>
      <c r="AP131" s="50" t="str">
        <f aca="false">IF(AND(A131="",B131=""),"",IF(J131="","Status needed",IF(OR(J131="Applied",J131="Visit booked",J131="Withdrawn"),"OK",IF(G131="","Date assessed needed",IF(C131="","Date of birth needed",IF(COUNTA(L131,M131,P131,U131,V131,X131)&lt;6,"Band missing",IF(AND(OR(J131="Decision confirmed",J131="Family told",J131="Enrolled"),AG131=""),"Recommendation needed",IF(AND(OR(J131="Family told",J131="Enrolled"),AJ131=""),"Date family told needed","OK"))))))))</f>
        <v/>
      </c>
    </row>
    <row r="132" customFormat="false" ht="15" hidden="false" customHeight="false" outlineLevel="0" collapsed="false">
      <c r="A132" s="7"/>
      <c r="B132" s="7"/>
      <c r="C132" s="46"/>
      <c r="D132" s="7"/>
      <c r="E132" s="47"/>
      <c r="F132" s="46"/>
      <c r="G132" s="46"/>
      <c r="H132" s="7"/>
      <c r="I132" s="7"/>
      <c r="J132" s="47"/>
      <c r="K132" s="47"/>
      <c r="L132" s="47"/>
      <c r="M132" s="47"/>
      <c r="N132" s="47"/>
      <c r="O132" s="10"/>
      <c r="P132" s="47"/>
      <c r="Q132" s="47"/>
      <c r="R132" s="48" t="str">
        <f aca="false">IF(Q132="","",IF(Q132=0,"below 5:00",IF(Q132&gt;=66,"16:00 or above",INT((60+2*Q132)/12)&amp;":"&amp;TEXT(MOD(60+2*Q132,12),"00"))))</f>
        <v/>
      </c>
      <c r="S132" s="47"/>
      <c r="T132" s="47"/>
      <c r="U132" s="47"/>
      <c r="V132" s="47"/>
      <c r="W132" s="47"/>
      <c r="X132" s="47"/>
      <c r="Y132" s="47"/>
      <c r="Z132" s="47"/>
      <c r="AA132" s="10"/>
      <c r="AB132" s="10"/>
      <c r="AC132" s="47"/>
      <c r="AD132" s="47"/>
      <c r="AE132" s="47"/>
      <c r="AF132" s="47"/>
      <c r="AG132" s="47"/>
      <c r="AH132" s="47"/>
      <c r="AI132" s="46"/>
      <c r="AJ132" s="46"/>
      <c r="AK132" s="46"/>
      <c r="AL132" s="7"/>
      <c r="AM132" s="49" t="str">
        <f aca="false">IF(OR(C132="",G132=""),"",IFERROR(DATEDIF(C132,G132,"m"),""))</f>
        <v/>
      </c>
      <c r="AN132" s="49" t="str">
        <f aca="false">IF(OR(Q132="",AM132=""),"",60+2*Q132-AM132)</f>
        <v/>
      </c>
      <c r="AO132" s="49" t="str">
        <f aca="false">IF(OR(G132="",AJ132=""),"",AJ132-G132)</f>
        <v/>
      </c>
      <c r="AP132" s="50" t="str">
        <f aca="false">IF(AND(A132="",B132=""),"",IF(J132="","Status needed",IF(OR(J132="Applied",J132="Visit booked",J132="Withdrawn"),"OK",IF(G132="","Date assessed needed",IF(C132="","Date of birth needed",IF(COUNTA(L132,M132,P132,U132,V132,X132)&lt;6,"Band missing",IF(AND(OR(J132="Decision confirmed",J132="Family told",J132="Enrolled"),AG132=""),"Recommendation needed",IF(AND(OR(J132="Family told",J132="Enrolled"),AJ132=""),"Date family told needed","OK"))))))))</f>
        <v/>
      </c>
    </row>
    <row r="133" customFormat="false" ht="15" hidden="false" customHeight="false" outlineLevel="0" collapsed="false">
      <c r="A133" s="7"/>
      <c r="B133" s="7"/>
      <c r="C133" s="46"/>
      <c r="D133" s="7"/>
      <c r="E133" s="47"/>
      <c r="F133" s="46"/>
      <c r="G133" s="46"/>
      <c r="H133" s="7"/>
      <c r="I133" s="7"/>
      <c r="J133" s="47"/>
      <c r="K133" s="47"/>
      <c r="L133" s="47"/>
      <c r="M133" s="47"/>
      <c r="N133" s="47"/>
      <c r="O133" s="10"/>
      <c r="P133" s="47"/>
      <c r="Q133" s="47"/>
      <c r="R133" s="48" t="str">
        <f aca="false">IF(Q133="","",IF(Q133=0,"below 5:00",IF(Q133&gt;=66,"16:00 or above",INT((60+2*Q133)/12)&amp;":"&amp;TEXT(MOD(60+2*Q133,12),"00"))))</f>
        <v/>
      </c>
      <c r="S133" s="47"/>
      <c r="T133" s="47"/>
      <c r="U133" s="47"/>
      <c r="V133" s="47"/>
      <c r="W133" s="47"/>
      <c r="X133" s="47"/>
      <c r="Y133" s="47"/>
      <c r="Z133" s="47"/>
      <c r="AA133" s="10"/>
      <c r="AB133" s="10"/>
      <c r="AC133" s="47"/>
      <c r="AD133" s="47"/>
      <c r="AE133" s="47"/>
      <c r="AF133" s="47"/>
      <c r="AG133" s="47"/>
      <c r="AH133" s="47"/>
      <c r="AI133" s="46"/>
      <c r="AJ133" s="46"/>
      <c r="AK133" s="46"/>
      <c r="AL133" s="7"/>
      <c r="AM133" s="49" t="str">
        <f aca="false">IF(OR(C133="",G133=""),"",IFERROR(DATEDIF(C133,G133,"m"),""))</f>
        <v/>
      </c>
      <c r="AN133" s="49" t="str">
        <f aca="false">IF(OR(Q133="",AM133=""),"",60+2*Q133-AM133)</f>
        <v/>
      </c>
      <c r="AO133" s="49" t="str">
        <f aca="false">IF(OR(G133="",AJ133=""),"",AJ133-G133)</f>
        <v/>
      </c>
      <c r="AP133" s="50" t="str">
        <f aca="false">IF(AND(A133="",B133=""),"",IF(J133="","Status needed",IF(OR(J133="Applied",J133="Visit booked",J133="Withdrawn"),"OK",IF(G133="","Date assessed needed",IF(C133="","Date of birth needed",IF(COUNTA(L133,M133,P133,U133,V133,X133)&lt;6,"Band missing",IF(AND(OR(J133="Decision confirmed",J133="Family told",J133="Enrolled"),AG133=""),"Recommendation needed",IF(AND(OR(J133="Family told",J133="Enrolled"),AJ133=""),"Date family told needed","OK"))))))))</f>
        <v/>
      </c>
    </row>
    <row r="134" customFormat="false" ht="15" hidden="false" customHeight="false" outlineLevel="0" collapsed="false">
      <c r="A134" s="7"/>
      <c r="B134" s="7"/>
      <c r="C134" s="46"/>
      <c r="D134" s="7"/>
      <c r="E134" s="47"/>
      <c r="F134" s="46"/>
      <c r="G134" s="46"/>
      <c r="H134" s="7"/>
      <c r="I134" s="7"/>
      <c r="J134" s="47"/>
      <c r="K134" s="47"/>
      <c r="L134" s="47"/>
      <c r="M134" s="47"/>
      <c r="N134" s="47"/>
      <c r="O134" s="10"/>
      <c r="P134" s="47"/>
      <c r="Q134" s="47"/>
      <c r="R134" s="48" t="str">
        <f aca="false">IF(Q134="","",IF(Q134=0,"below 5:00",IF(Q134&gt;=66,"16:00 or above",INT((60+2*Q134)/12)&amp;":"&amp;TEXT(MOD(60+2*Q134,12),"00"))))</f>
        <v/>
      </c>
      <c r="S134" s="47"/>
      <c r="T134" s="47"/>
      <c r="U134" s="47"/>
      <c r="V134" s="47"/>
      <c r="W134" s="47"/>
      <c r="X134" s="47"/>
      <c r="Y134" s="47"/>
      <c r="Z134" s="47"/>
      <c r="AA134" s="10"/>
      <c r="AB134" s="10"/>
      <c r="AC134" s="47"/>
      <c r="AD134" s="47"/>
      <c r="AE134" s="47"/>
      <c r="AF134" s="47"/>
      <c r="AG134" s="47"/>
      <c r="AH134" s="47"/>
      <c r="AI134" s="46"/>
      <c r="AJ134" s="46"/>
      <c r="AK134" s="46"/>
      <c r="AL134" s="7"/>
      <c r="AM134" s="49" t="str">
        <f aca="false">IF(OR(C134="",G134=""),"",IFERROR(DATEDIF(C134,G134,"m"),""))</f>
        <v/>
      </c>
      <c r="AN134" s="49" t="str">
        <f aca="false">IF(OR(Q134="",AM134=""),"",60+2*Q134-AM134)</f>
        <v/>
      </c>
      <c r="AO134" s="49" t="str">
        <f aca="false">IF(OR(G134="",AJ134=""),"",AJ134-G134)</f>
        <v/>
      </c>
      <c r="AP134" s="50" t="str">
        <f aca="false">IF(AND(A134="",B134=""),"",IF(J134="","Status needed",IF(OR(J134="Applied",J134="Visit booked",J134="Withdrawn"),"OK",IF(G134="","Date assessed needed",IF(C134="","Date of birth needed",IF(COUNTA(L134,M134,P134,U134,V134,X134)&lt;6,"Band missing",IF(AND(OR(J134="Decision confirmed",J134="Family told",J134="Enrolled"),AG134=""),"Recommendation needed",IF(AND(OR(J134="Family told",J134="Enrolled"),AJ134=""),"Date family told needed","OK"))))))))</f>
        <v/>
      </c>
    </row>
    <row r="135" customFormat="false" ht="15" hidden="false" customHeight="false" outlineLevel="0" collapsed="false">
      <c r="A135" s="7"/>
      <c r="B135" s="7"/>
      <c r="C135" s="46"/>
      <c r="D135" s="7"/>
      <c r="E135" s="47"/>
      <c r="F135" s="46"/>
      <c r="G135" s="46"/>
      <c r="H135" s="7"/>
      <c r="I135" s="7"/>
      <c r="J135" s="47"/>
      <c r="K135" s="47"/>
      <c r="L135" s="47"/>
      <c r="M135" s="47"/>
      <c r="N135" s="47"/>
      <c r="O135" s="10"/>
      <c r="P135" s="47"/>
      <c r="Q135" s="47"/>
      <c r="R135" s="48" t="str">
        <f aca="false">IF(Q135="","",IF(Q135=0,"below 5:00",IF(Q135&gt;=66,"16:00 or above",INT((60+2*Q135)/12)&amp;":"&amp;TEXT(MOD(60+2*Q135,12),"00"))))</f>
        <v/>
      </c>
      <c r="S135" s="47"/>
      <c r="T135" s="47"/>
      <c r="U135" s="47"/>
      <c r="V135" s="47"/>
      <c r="W135" s="47"/>
      <c r="X135" s="47"/>
      <c r="Y135" s="47"/>
      <c r="Z135" s="47"/>
      <c r="AA135" s="10"/>
      <c r="AB135" s="10"/>
      <c r="AC135" s="47"/>
      <c r="AD135" s="47"/>
      <c r="AE135" s="47"/>
      <c r="AF135" s="47"/>
      <c r="AG135" s="47"/>
      <c r="AH135" s="47"/>
      <c r="AI135" s="46"/>
      <c r="AJ135" s="46"/>
      <c r="AK135" s="46"/>
      <c r="AL135" s="7"/>
      <c r="AM135" s="49" t="str">
        <f aca="false">IF(OR(C135="",G135=""),"",IFERROR(DATEDIF(C135,G135,"m"),""))</f>
        <v/>
      </c>
      <c r="AN135" s="49" t="str">
        <f aca="false">IF(OR(Q135="",AM135=""),"",60+2*Q135-AM135)</f>
        <v/>
      </c>
      <c r="AO135" s="49" t="str">
        <f aca="false">IF(OR(G135="",AJ135=""),"",AJ135-G135)</f>
        <v/>
      </c>
      <c r="AP135" s="50" t="str">
        <f aca="false">IF(AND(A135="",B135=""),"",IF(J135="","Status needed",IF(OR(J135="Applied",J135="Visit booked",J135="Withdrawn"),"OK",IF(G135="","Date assessed needed",IF(C135="","Date of birth needed",IF(COUNTA(L135,M135,P135,U135,V135,X135)&lt;6,"Band missing",IF(AND(OR(J135="Decision confirmed",J135="Family told",J135="Enrolled"),AG135=""),"Recommendation needed",IF(AND(OR(J135="Family told",J135="Enrolled"),AJ135=""),"Date family told needed","OK"))))))))</f>
        <v/>
      </c>
    </row>
    <row r="136" customFormat="false" ht="15" hidden="false" customHeight="false" outlineLevel="0" collapsed="false">
      <c r="A136" s="7"/>
      <c r="B136" s="7"/>
      <c r="C136" s="46"/>
      <c r="D136" s="7"/>
      <c r="E136" s="47"/>
      <c r="F136" s="46"/>
      <c r="G136" s="46"/>
      <c r="H136" s="7"/>
      <c r="I136" s="7"/>
      <c r="J136" s="47"/>
      <c r="K136" s="47"/>
      <c r="L136" s="47"/>
      <c r="M136" s="47"/>
      <c r="N136" s="47"/>
      <c r="O136" s="10"/>
      <c r="P136" s="47"/>
      <c r="Q136" s="47"/>
      <c r="R136" s="48" t="str">
        <f aca="false">IF(Q136="","",IF(Q136=0,"below 5:00",IF(Q136&gt;=66,"16:00 or above",INT((60+2*Q136)/12)&amp;":"&amp;TEXT(MOD(60+2*Q136,12),"00"))))</f>
        <v/>
      </c>
      <c r="S136" s="47"/>
      <c r="T136" s="47"/>
      <c r="U136" s="47"/>
      <c r="V136" s="47"/>
      <c r="W136" s="47"/>
      <c r="X136" s="47"/>
      <c r="Y136" s="47"/>
      <c r="Z136" s="47"/>
      <c r="AA136" s="10"/>
      <c r="AB136" s="10"/>
      <c r="AC136" s="47"/>
      <c r="AD136" s="47"/>
      <c r="AE136" s="47"/>
      <c r="AF136" s="47"/>
      <c r="AG136" s="47"/>
      <c r="AH136" s="47"/>
      <c r="AI136" s="46"/>
      <c r="AJ136" s="46"/>
      <c r="AK136" s="46"/>
      <c r="AL136" s="7"/>
      <c r="AM136" s="49" t="str">
        <f aca="false">IF(OR(C136="",G136=""),"",IFERROR(DATEDIF(C136,G136,"m"),""))</f>
        <v/>
      </c>
      <c r="AN136" s="49" t="str">
        <f aca="false">IF(OR(Q136="",AM136=""),"",60+2*Q136-AM136)</f>
        <v/>
      </c>
      <c r="AO136" s="49" t="str">
        <f aca="false">IF(OR(G136="",AJ136=""),"",AJ136-G136)</f>
        <v/>
      </c>
      <c r="AP136" s="50" t="str">
        <f aca="false">IF(AND(A136="",B136=""),"",IF(J136="","Status needed",IF(OR(J136="Applied",J136="Visit booked",J136="Withdrawn"),"OK",IF(G136="","Date assessed needed",IF(C136="","Date of birth needed",IF(COUNTA(L136,M136,P136,U136,V136,X136)&lt;6,"Band missing",IF(AND(OR(J136="Decision confirmed",J136="Family told",J136="Enrolled"),AG136=""),"Recommendation needed",IF(AND(OR(J136="Family told",J136="Enrolled"),AJ136=""),"Date family told needed","OK"))))))))</f>
        <v/>
      </c>
    </row>
    <row r="137" customFormat="false" ht="15" hidden="false" customHeight="false" outlineLevel="0" collapsed="false">
      <c r="A137" s="7"/>
      <c r="B137" s="7"/>
      <c r="C137" s="46"/>
      <c r="D137" s="7"/>
      <c r="E137" s="47"/>
      <c r="F137" s="46"/>
      <c r="G137" s="46"/>
      <c r="H137" s="7"/>
      <c r="I137" s="7"/>
      <c r="J137" s="47"/>
      <c r="K137" s="47"/>
      <c r="L137" s="47"/>
      <c r="M137" s="47"/>
      <c r="N137" s="47"/>
      <c r="O137" s="10"/>
      <c r="P137" s="47"/>
      <c r="Q137" s="47"/>
      <c r="R137" s="48" t="str">
        <f aca="false">IF(Q137="","",IF(Q137=0,"below 5:00",IF(Q137&gt;=66,"16:00 or above",INT((60+2*Q137)/12)&amp;":"&amp;TEXT(MOD(60+2*Q137,12),"00"))))</f>
        <v/>
      </c>
      <c r="S137" s="47"/>
      <c r="T137" s="47"/>
      <c r="U137" s="47"/>
      <c r="V137" s="47"/>
      <c r="W137" s="47"/>
      <c r="X137" s="47"/>
      <c r="Y137" s="47"/>
      <c r="Z137" s="47"/>
      <c r="AA137" s="10"/>
      <c r="AB137" s="10"/>
      <c r="AC137" s="47"/>
      <c r="AD137" s="47"/>
      <c r="AE137" s="47"/>
      <c r="AF137" s="47"/>
      <c r="AG137" s="47"/>
      <c r="AH137" s="47"/>
      <c r="AI137" s="46"/>
      <c r="AJ137" s="46"/>
      <c r="AK137" s="46"/>
      <c r="AL137" s="7"/>
      <c r="AM137" s="49" t="str">
        <f aca="false">IF(OR(C137="",G137=""),"",IFERROR(DATEDIF(C137,G137,"m"),""))</f>
        <v/>
      </c>
      <c r="AN137" s="49" t="str">
        <f aca="false">IF(OR(Q137="",AM137=""),"",60+2*Q137-AM137)</f>
        <v/>
      </c>
      <c r="AO137" s="49" t="str">
        <f aca="false">IF(OR(G137="",AJ137=""),"",AJ137-G137)</f>
        <v/>
      </c>
      <c r="AP137" s="50" t="str">
        <f aca="false">IF(AND(A137="",B137=""),"",IF(J137="","Status needed",IF(OR(J137="Applied",J137="Visit booked",J137="Withdrawn"),"OK",IF(G137="","Date assessed needed",IF(C137="","Date of birth needed",IF(COUNTA(L137,M137,P137,U137,V137,X137)&lt;6,"Band missing",IF(AND(OR(J137="Decision confirmed",J137="Family told",J137="Enrolled"),AG137=""),"Recommendation needed",IF(AND(OR(J137="Family told",J137="Enrolled"),AJ137=""),"Date family told needed","OK"))))))))</f>
        <v/>
      </c>
    </row>
    <row r="138" customFormat="false" ht="15" hidden="false" customHeight="false" outlineLevel="0" collapsed="false">
      <c r="A138" s="7"/>
      <c r="B138" s="7"/>
      <c r="C138" s="46"/>
      <c r="D138" s="7"/>
      <c r="E138" s="47"/>
      <c r="F138" s="46"/>
      <c r="G138" s="46"/>
      <c r="H138" s="7"/>
      <c r="I138" s="7"/>
      <c r="J138" s="47"/>
      <c r="K138" s="47"/>
      <c r="L138" s="47"/>
      <c r="M138" s="47"/>
      <c r="N138" s="47"/>
      <c r="O138" s="10"/>
      <c r="P138" s="47"/>
      <c r="Q138" s="47"/>
      <c r="R138" s="48" t="str">
        <f aca="false">IF(Q138="","",IF(Q138=0,"below 5:00",IF(Q138&gt;=66,"16:00 or above",INT((60+2*Q138)/12)&amp;":"&amp;TEXT(MOD(60+2*Q138,12),"00"))))</f>
        <v/>
      </c>
      <c r="S138" s="47"/>
      <c r="T138" s="47"/>
      <c r="U138" s="47"/>
      <c r="V138" s="47"/>
      <c r="W138" s="47"/>
      <c r="X138" s="47"/>
      <c r="Y138" s="47"/>
      <c r="Z138" s="47"/>
      <c r="AA138" s="10"/>
      <c r="AB138" s="10"/>
      <c r="AC138" s="47"/>
      <c r="AD138" s="47"/>
      <c r="AE138" s="47"/>
      <c r="AF138" s="47"/>
      <c r="AG138" s="47"/>
      <c r="AH138" s="47"/>
      <c r="AI138" s="46"/>
      <c r="AJ138" s="46"/>
      <c r="AK138" s="46"/>
      <c r="AL138" s="7"/>
      <c r="AM138" s="49" t="str">
        <f aca="false">IF(OR(C138="",G138=""),"",IFERROR(DATEDIF(C138,G138,"m"),""))</f>
        <v/>
      </c>
      <c r="AN138" s="49" t="str">
        <f aca="false">IF(OR(Q138="",AM138=""),"",60+2*Q138-AM138)</f>
        <v/>
      </c>
      <c r="AO138" s="49" t="str">
        <f aca="false">IF(OR(G138="",AJ138=""),"",AJ138-G138)</f>
        <v/>
      </c>
      <c r="AP138" s="50" t="str">
        <f aca="false">IF(AND(A138="",B138=""),"",IF(J138="","Status needed",IF(OR(J138="Applied",J138="Visit booked",J138="Withdrawn"),"OK",IF(G138="","Date assessed needed",IF(C138="","Date of birth needed",IF(COUNTA(L138,M138,P138,U138,V138,X138)&lt;6,"Band missing",IF(AND(OR(J138="Decision confirmed",J138="Family told",J138="Enrolled"),AG138=""),"Recommendation needed",IF(AND(OR(J138="Family told",J138="Enrolled"),AJ138=""),"Date family told needed","OK"))))))))</f>
        <v/>
      </c>
    </row>
    <row r="139" customFormat="false" ht="15" hidden="false" customHeight="false" outlineLevel="0" collapsed="false">
      <c r="A139" s="7"/>
      <c r="B139" s="7"/>
      <c r="C139" s="46"/>
      <c r="D139" s="7"/>
      <c r="E139" s="47"/>
      <c r="F139" s="46"/>
      <c r="G139" s="46"/>
      <c r="H139" s="7"/>
      <c r="I139" s="7"/>
      <c r="J139" s="47"/>
      <c r="K139" s="47"/>
      <c r="L139" s="47"/>
      <c r="M139" s="47"/>
      <c r="N139" s="47"/>
      <c r="O139" s="10"/>
      <c r="P139" s="47"/>
      <c r="Q139" s="47"/>
      <c r="R139" s="48" t="str">
        <f aca="false">IF(Q139="","",IF(Q139=0,"below 5:00",IF(Q139&gt;=66,"16:00 or above",INT((60+2*Q139)/12)&amp;":"&amp;TEXT(MOD(60+2*Q139,12),"00"))))</f>
        <v/>
      </c>
      <c r="S139" s="47"/>
      <c r="T139" s="47"/>
      <c r="U139" s="47"/>
      <c r="V139" s="47"/>
      <c r="W139" s="47"/>
      <c r="X139" s="47"/>
      <c r="Y139" s="47"/>
      <c r="Z139" s="47"/>
      <c r="AA139" s="10"/>
      <c r="AB139" s="10"/>
      <c r="AC139" s="47"/>
      <c r="AD139" s="47"/>
      <c r="AE139" s="47"/>
      <c r="AF139" s="47"/>
      <c r="AG139" s="47"/>
      <c r="AH139" s="47"/>
      <c r="AI139" s="46"/>
      <c r="AJ139" s="46"/>
      <c r="AK139" s="46"/>
      <c r="AL139" s="7"/>
      <c r="AM139" s="49" t="str">
        <f aca="false">IF(OR(C139="",G139=""),"",IFERROR(DATEDIF(C139,G139,"m"),""))</f>
        <v/>
      </c>
      <c r="AN139" s="49" t="str">
        <f aca="false">IF(OR(Q139="",AM139=""),"",60+2*Q139-AM139)</f>
        <v/>
      </c>
      <c r="AO139" s="49" t="str">
        <f aca="false">IF(OR(G139="",AJ139=""),"",AJ139-G139)</f>
        <v/>
      </c>
      <c r="AP139" s="50" t="str">
        <f aca="false">IF(AND(A139="",B139=""),"",IF(J139="","Status needed",IF(OR(J139="Applied",J139="Visit booked",J139="Withdrawn"),"OK",IF(G139="","Date assessed needed",IF(C139="","Date of birth needed",IF(COUNTA(L139,M139,P139,U139,V139,X139)&lt;6,"Band missing",IF(AND(OR(J139="Decision confirmed",J139="Family told",J139="Enrolled"),AG139=""),"Recommendation needed",IF(AND(OR(J139="Family told",J139="Enrolled"),AJ139=""),"Date family told needed","OK"))))))))</f>
        <v/>
      </c>
    </row>
    <row r="140" customFormat="false" ht="15" hidden="false" customHeight="false" outlineLevel="0" collapsed="false">
      <c r="A140" s="7"/>
      <c r="B140" s="7"/>
      <c r="C140" s="46"/>
      <c r="D140" s="7"/>
      <c r="E140" s="47"/>
      <c r="F140" s="46"/>
      <c r="G140" s="46"/>
      <c r="H140" s="7"/>
      <c r="I140" s="7"/>
      <c r="J140" s="47"/>
      <c r="K140" s="47"/>
      <c r="L140" s="47"/>
      <c r="M140" s="47"/>
      <c r="N140" s="47"/>
      <c r="O140" s="10"/>
      <c r="P140" s="47"/>
      <c r="Q140" s="47"/>
      <c r="R140" s="48" t="str">
        <f aca="false">IF(Q140="","",IF(Q140=0,"below 5:00",IF(Q140&gt;=66,"16:00 or above",INT((60+2*Q140)/12)&amp;":"&amp;TEXT(MOD(60+2*Q140,12),"00"))))</f>
        <v/>
      </c>
      <c r="S140" s="47"/>
      <c r="T140" s="47"/>
      <c r="U140" s="47"/>
      <c r="V140" s="47"/>
      <c r="W140" s="47"/>
      <c r="X140" s="47"/>
      <c r="Y140" s="47"/>
      <c r="Z140" s="47"/>
      <c r="AA140" s="10"/>
      <c r="AB140" s="10"/>
      <c r="AC140" s="47"/>
      <c r="AD140" s="47"/>
      <c r="AE140" s="47"/>
      <c r="AF140" s="47"/>
      <c r="AG140" s="47"/>
      <c r="AH140" s="47"/>
      <c r="AI140" s="46"/>
      <c r="AJ140" s="46"/>
      <c r="AK140" s="46"/>
      <c r="AL140" s="7"/>
      <c r="AM140" s="49" t="str">
        <f aca="false">IF(OR(C140="",G140=""),"",IFERROR(DATEDIF(C140,G140,"m"),""))</f>
        <v/>
      </c>
      <c r="AN140" s="49" t="str">
        <f aca="false">IF(OR(Q140="",AM140=""),"",60+2*Q140-AM140)</f>
        <v/>
      </c>
      <c r="AO140" s="49" t="str">
        <f aca="false">IF(OR(G140="",AJ140=""),"",AJ140-G140)</f>
        <v/>
      </c>
      <c r="AP140" s="50" t="str">
        <f aca="false">IF(AND(A140="",B140=""),"",IF(J140="","Status needed",IF(OR(J140="Applied",J140="Visit booked",J140="Withdrawn"),"OK",IF(G140="","Date assessed needed",IF(C140="","Date of birth needed",IF(COUNTA(L140,M140,P140,U140,V140,X140)&lt;6,"Band missing",IF(AND(OR(J140="Decision confirmed",J140="Family told",J140="Enrolled"),AG140=""),"Recommendation needed",IF(AND(OR(J140="Family told",J140="Enrolled"),AJ140=""),"Date family told needed","OK"))))))))</f>
        <v/>
      </c>
    </row>
    <row r="141" customFormat="false" ht="15" hidden="false" customHeight="false" outlineLevel="0" collapsed="false">
      <c r="A141" s="7"/>
      <c r="B141" s="7"/>
      <c r="C141" s="46"/>
      <c r="D141" s="7"/>
      <c r="E141" s="47"/>
      <c r="F141" s="46"/>
      <c r="G141" s="46"/>
      <c r="H141" s="7"/>
      <c r="I141" s="7"/>
      <c r="J141" s="47"/>
      <c r="K141" s="47"/>
      <c r="L141" s="47"/>
      <c r="M141" s="47"/>
      <c r="N141" s="47"/>
      <c r="O141" s="10"/>
      <c r="P141" s="47"/>
      <c r="Q141" s="47"/>
      <c r="R141" s="48" t="str">
        <f aca="false">IF(Q141="","",IF(Q141=0,"below 5:00",IF(Q141&gt;=66,"16:00 or above",INT((60+2*Q141)/12)&amp;":"&amp;TEXT(MOD(60+2*Q141,12),"00"))))</f>
        <v/>
      </c>
      <c r="S141" s="47"/>
      <c r="T141" s="47"/>
      <c r="U141" s="47"/>
      <c r="V141" s="47"/>
      <c r="W141" s="47"/>
      <c r="X141" s="47"/>
      <c r="Y141" s="47"/>
      <c r="Z141" s="47"/>
      <c r="AA141" s="10"/>
      <c r="AB141" s="10"/>
      <c r="AC141" s="47"/>
      <c r="AD141" s="47"/>
      <c r="AE141" s="47"/>
      <c r="AF141" s="47"/>
      <c r="AG141" s="47"/>
      <c r="AH141" s="47"/>
      <c r="AI141" s="46"/>
      <c r="AJ141" s="46"/>
      <c r="AK141" s="46"/>
      <c r="AL141" s="7"/>
      <c r="AM141" s="49" t="str">
        <f aca="false">IF(OR(C141="",G141=""),"",IFERROR(DATEDIF(C141,G141,"m"),""))</f>
        <v/>
      </c>
      <c r="AN141" s="49" t="str">
        <f aca="false">IF(OR(Q141="",AM141=""),"",60+2*Q141-AM141)</f>
        <v/>
      </c>
      <c r="AO141" s="49" t="str">
        <f aca="false">IF(OR(G141="",AJ141=""),"",AJ141-G141)</f>
        <v/>
      </c>
      <c r="AP141" s="50" t="str">
        <f aca="false">IF(AND(A141="",B141=""),"",IF(J141="","Status needed",IF(OR(J141="Applied",J141="Visit booked",J141="Withdrawn"),"OK",IF(G141="","Date assessed needed",IF(C141="","Date of birth needed",IF(COUNTA(L141,M141,P141,U141,V141,X141)&lt;6,"Band missing",IF(AND(OR(J141="Decision confirmed",J141="Family told",J141="Enrolled"),AG141=""),"Recommendation needed",IF(AND(OR(J141="Family told",J141="Enrolled"),AJ141=""),"Date family told needed","OK"))))))))</f>
        <v/>
      </c>
    </row>
    <row r="142" customFormat="false" ht="15" hidden="false" customHeight="false" outlineLevel="0" collapsed="false">
      <c r="A142" s="7"/>
      <c r="B142" s="7"/>
      <c r="C142" s="46"/>
      <c r="D142" s="7"/>
      <c r="E142" s="47"/>
      <c r="F142" s="46"/>
      <c r="G142" s="46"/>
      <c r="H142" s="7"/>
      <c r="I142" s="7"/>
      <c r="J142" s="47"/>
      <c r="K142" s="47"/>
      <c r="L142" s="47"/>
      <c r="M142" s="47"/>
      <c r="N142" s="47"/>
      <c r="O142" s="10"/>
      <c r="P142" s="47"/>
      <c r="Q142" s="47"/>
      <c r="R142" s="48" t="str">
        <f aca="false">IF(Q142="","",IF(Q142=0,"below 5:00",IF(Q142&gt;=66,"16:00 or above",INT((60+2*Q142)/12)&amp;":"&amp;TEXT(MOD(60+2*Q142,12),"00"))))</f>
        <v/>
      </c>
      <c r="S142" s="47"/>
      <c r="T142" s="47"/>
      <c r="U142" s="47"/>
      <c r="V142" s="47"/>
      <c r="W142" s="47"/>
      <c r="X142" s="47"/>
      <c r="Y142" s="47"/>
      <c r="Z142" s="47"/>
      <c r="AA142" s="10"/>
      <c r="AB142" s="10"/>
      <c r="AC142" s="47"/>
      <c r="AD142" s="47"/>
      <c r="AE142" s="47"/>
      <c r="AF142" s="47"/>
      <c r="AG142" s="47"/>
      <c r="AH142" s="47"/>
      <c r="AI142" s="46"/>
      <c r="AJ142" s="46"/>
      <c r="AK142" s="46"/>
      <c r="AL142" s="7"/>
      <c r="AM142" s="49" t="str">
        <f aca="false">IF(OR(C142="",G142=""),"",IFERROR(DATEDIF(C142,G142,"m"),""))</f>
        <v/>
      </c>
      <c r="AN142" s="49" t="str">
        <f aca="false">IF(OR(Q142="",AM142=""),"",60+2*Q142-AM142)</f>
        <v/>
      </c>
      <c r="AO142" s="49" t="str">
        <f aca="false">IF(OR(G142="",AJ142=""),"",AJ142-G142)</f>
        <v/>
      </c>
      <c r="AP142" s="50" t="str">
        <f aca="false">IF(AND(A142="",B142=""),"",IF(J142="","Status needed",IF(OR(J142="Applied",J142="Visit booked",J142="Withdrawn"),"OK",IF(G142="","Date assessed needed",IF(C142="","Date of birth needed",IF(COUNTA(L142,M142,P142,U142,V142,X142)&lt;6,"Band missing",IF(AND(OR(J142="Decision confirmed",J142="Family told",J142="Enrolled"),AG142=""),"Recommendation needed",IF(AND(OR(J142="Family told",J142="Enrolled"),AJ142=""),"Date family told needed","OK"))))))))</f>
        <v/>
      </c>
    </row>
    <row r="143" customFormat="false" ht="15" hidden="false" customHeight="false" outlineLevel="0" collapsed="false">
      <c r="A143" s="7"/>
      <c r="B143" s="7"/>
      <c r="C143" s="46"/>
      <c r="D143" s="7"/>
      <c r="E143" s="47"/>
      <c r="F143" s="46"/>
      <c r="G143" s="46"/>
      <c r="H143" s="7"/>
      <c r="I143" s="7"/>
      <c r="J143" s="47"/>
      <c r="K143" s="47"/>
      <c r="L143" s="47"/>
      <c r="M143" s="47"/>
      <c r="N143" s="47"/>
      <c r="O143" s="10"/>
      <c r="P143" s="47"/>
      <c r="Q143" s="47"/>
      <c r="R143" s="48" t="str">
        <f aca="false">IF(Q143="","",IF(Q143=0,"below 5:00",IF(Q143&gt;=66,"16:00 or above",INT((60+2*Q143)/12)&amp;":"&amp;TEXT(MOD(60+2*Q143,12),"00"))))</f>
        <v/>
      </c>
      <c r="S143" s="47"/>
      <c r="T143" s="47"/>
      <c r="U143" s="47"/>
      <c r="V143" s="47"/>
      <c r="W143" s="47"/>
      <c r="X143" s="47"/>
      <c r="Y143" s="47"/>
      <c r="Z143" s="47"/>
      <c r="AA143" s="10"/>
      <c r="AB143" s="10"/>
      <c r="AC143" s="47"/>
      <c r="AD143" s="47"/>
      <c r="AE143" s="47"/>
      <c r="AF143" s="47"/>
      <c r="AG143" s="47"/>
      <c r="AH143" s="47"/>
      <c r="AI143" s="46"/>
      <c r="AJ143" s="46"/>
      <c r="AK143" s="46"/>
      <c r="AL143" s="7"/>
      <c r="AM143" s="49" t="str">
        <f aca="false">IF(OR(C143="",G143=""),"",IFERROR(DATEDIF(C143,G143,"m"),""))</f>
        <v/>
      </c>
      <c r="AN143" s="49" t="str">
        <f aca="false">IF(OR(Q143="",AM143=""),"",60+2*Q143-AM143)</f>
        <v/>
      </c>
      <c r="AO143" s="49" t="str">
        <f aca="false">IF(OR(G143="",AJ143=""),"",AJ143-G143)</f>
        <v/>
      </c>
      <c r="AP143" s="50" t="str">
        <f aca="false">IF(AND(A143="",B143=""),"",IF(J143="","Status needed",IF(OR(J143="Applied",J143="Visit booked",J143="Withdrawn"),"OK",IF(G143="","Date assessed needed",IF(C143="","Date of birth needed",IF(COUNTA(L143,M143,P143,U143,V143,X143)&lt;6,"Band missing",IF(AND(OR(J143="Decision confirmed",J143="Family told",J143="Enrolled"),AG143=""),"Recommendation needed",IF(AND(OR(J143="Family told",J143="Enrolled"),AJ143=""),"Date family told needed","OK"))))))))</f>
        <v/>
      </c>
    </row>
    <row r="144" customFormat="false" ht="15" hidden="false" customHeight="false" outlineLevel="0" collapsed="false">
      <c r="A144" s="7"/>
      <c r="B144" s="7"/>
      <c r="C144" s="46"/>
      <c r="D144" s="7"/>
      <c r="E144" s="47"/>
      <c r="F144" s="46"/>
      <c r="G144" s="46"/>
      <c r="H144" s="7"/>
      <c r="I144" s="7"/>
      <c r="J144" s="47"/>
      <c r="K144" s="47"/>
      <c r="L144" s="47"/>
      <c r="M144" s="47"/>
      <c r="N144" s="47"/>
      <c r="O144" s="10"/>
      <c r="P144" s="47"/>
      <c r="Q144" s="47"/>
      <c r="R144" s="48" t="str">
        <f aca="false">IF(Q144="","",IF(Q144=0,"below 5:00",IF(Q144&gt;=66,"16:00 or above",INT((60+2*Q144)/12)&amp;":"&amp;TEXT(MOD(60+2*Q144,12),"00"))))</f>
        <v/>
      </c>
      <c r="S144" s="47"/>
      <c r="T144" s="47"/>
      <c r="U144" s="47"/>
      <c r="V144" s="47"/>
      <c r="W144" s="47"/>
      <c r="X144" s="47"/>
      <c r="Y144" s="47"/>
      <c r="Z144" s="47"/>
      <c r="AA144" s="10"/>
      <c r="AB144" s="10"/>
      <c r="AC144" s="47"/>
      <c r="AD144" s="47"/>
      <c r="AE144" s="47"/>
      <c r="AF144" s="47"/>
      <c r="AG144" s="47"/>
      <c r="AH144" s="47"/>
      <c r="AI144" s="46"/>
      <c r="AJ144" s="46"/>
      <c r="AK144" s="46"/>
      <c r="AL144" s="7"/>
      <c r="AM144" s="49" t="str">
        <f aca="false">IF(OR(C144="",G144=""),"",IFERROR(DATEDIF(C144,G144,"m"),""))</f>
        <v/>
      </c>
      <c r="AN144" s="49" t="str">
        <f aca="false">IF(OR(Q144="",AM144=""),"",60+2*Q144-AM144)</f>
        <v/>
      </c>
      <c r="AO144" s="49" t="str">
        <f aca="false">IF(OR(G144="",AJ144=""),"",AJ144-G144)</f>
        <v/>
      </c>
      <c r="AP144" s="50" t="str">
        <f aca="false">IF(AND(A144="",B144=""),"",IF(J144="","Status needed",IF(OR(J144="Applied",J144="Visit booked",J144="Withdrawn"),"OK",IF(G144="","Date assessed needed",IF(C144="","Date of birth needed",IF(COUNTA(L144,M144,P144,U144,V144,X144)&lt;6,"Band missing",IF(AND(OR(J144="Decision confirmed",J144="Family told",J144="Enrolled"),AG144=""),"Recommendation needed",IF(AND(OR(J144="Family told",J144="Enrolled"),AJ144=""),"Date family told needed","OK"))))))))</f>
        <v/>
      </c>
    </row>
    <row r="145" customFormat="false" ht="15" hidden="false" customHeight="false" outlineLevel="0" collapsed="false">
      <c r="A145" s="7"/>
      <c r="B145" s="7"/>
      <c r="C145" s="46"/>
      <c r="D145" s="7"/>
      <c r="E145" s="47"/>
      <c r="F145" s="46"/>
      <c r="G145" s="46"/>
      <c r="H145" s="7"/>
      <c r="I145" s="7"/>
      <c r="J145" s="47"/>
      <c r="K145" s="47"/>
      <c r="L145" s="47"/>
      <c r="M145" s="47"/>
      <c r="N145" s="47"/>
      <c r="O145" s="10"/>
      <c r="P145" s="47"/>
      <c r="Q145" s="47"/>
      <c r="R145" s="48" t="str">
        <f aca="false">IF(Q145="","",IF(Q145=0,"below 5:00",IF(Q145&gt;=66,"16:00 or above",INT((60+2*Q145)/12)&amp;":"&amp;TEXT(MOD(60+2*Q145,12),"00"))))</f>
        <v/>
      </c>
      <c r="S145" s="47"/>
      <c r="T145" s="47"/>
      <c r="U145" s="47"/>
      <c r="V145" s="47"/>
      <c r="W145" s="47"/>
      <c r="X145" s="47"/>
      <c r="Y145" s="47"/>
      <c r="Z145" s="47"/>
      <c r="AA145" s="10"/>
      <c r="AB145" s="10"/>
      <c r="AC145" s="47"/>
      <c r="AD145" s="47"/>
      <c r="AE145" s="47"/>
      <c r="AF145" s="47"/>
      <c r="AG145" s="47"/>
      <c r="AH145" s="47"/>
      <c r="AI145" s="46"/>
      <c r="AJ145" s="46"/>
      <c r="AK145" s="46"/>
      <c r="AL145" s="7"/>
      <c r="AM145" s="49" t="str">
        <f aca="false">IF(OR(C145="",G145=""),"",IFERROR(DATEDIF(C145,G145,"m"),""))</f>
        <v/>
      </c>
      <c r="AN145" s="49" t="str">
        <f aca="false">IF(OR(Q145="",AM145=""),"",60+2*Q145-AM145)</f>
        <v/>
      </c>
      <c r="AO145" s="49" t="str">
        <f aca="false">IF(OR(G145="",AJ145=""),"",AJ145-G145)</f>
        <v/>
      </c>
      <c r="AP145" s="50" t="str">
        <f aca="false">IF(AND(A145="",B145=""),"",IF(J145="","Status needed",IF(OR(J145="Applied",J145="Visit booked",J145="Withdrawn"),"OK",IF(G145="","Date assessed needed",IF(C145="","Date of birth needed",IF(COUNTA(L145,M145,P145,U145,V145,X145)&lt;6,"Band missing",IF(AND(OR(J145="Decision confirmed",J145="Family told",J145="Enrolled"),AG145=""),"Recommendation needed",IF(AND(OR(J145="Family told",J145="Enrolled"),AJ145=""),"Date family told needed","OK"))))))))</f>
        <v/>
      </c>
    </row>
    <row r="146" customFormat="false" ht="15" hidden="false" customHeight="false" outlineLevel="0" collapsed="false">
      <c r="A146" s="7"/>
      <c r="B146" s="7"/>
      <c r="C146" s="46"/>
      <c r="D146" s="7"/>
      <c r="E146" s="47"/>
      <c r="F146" s="46"/>
      <c r="G146" s="46"/>
      <c r="H146" s="7"/>
      <c r="I146" s="7"/>
      <c r="J146" s="47"/>
      <c r="K146" s="47"/>
      <c r="L146" s="47"/>
      <c r="M146" s="47"/>
      <c r="N146" s="47"/>
      <c r="O146" s="10"/>
      <c r="P146" s="47"/>
      <c r="Q146" s="47"/>
      <c r="R146" s="48" t="str">
        <f aca="false">IF(Q146="","",IF(Q146=0,"below 5:00",IF(Q146&gt;=66,"16:00 or above",INT((60+2*Q146)/12)&amp;":"&amp;TEXT(MOD(60+2*Q146,12),"00"))))</f>
        <v/>
      </c>
      <c r="S146" s="47"/>
      <c r="T146" s="47"/>
      <c r="U146" s="47"/>
      <c r="V146" s="47"/>
      <c r="W146" s="47"/>
      <c r="X146" s="47"/>
      <c r="Y146" s="47"/>
      <c r="Z146" s="47"/>
      <c r="AA146" s="10"/>
      <c r="AB146" s="10"/>
      <c r="AC146" s="47"/>
      <c r="AD146" s="47"/>
      <c r="AE146" s="47"/>
      <c r="AF146" s="47"/>
      <c r="AG146" s="47"/>
      <c r="AH146" s="47"/>
      <c r="AI146" s="46"/>
      <c r="AJ146" s="46"/>
      <c r="AK146" s="46"/>
      <c r="AL146" s="7"/>
      <c r="AM146" s="49" t="str">
        <f aca="false">IF(OR(C146="",G146=""),"",IFERROR(DATEDIF(C146,G146,"m"),""))</f>
        <v/>
      </c>
      <c r="AN146" s="49" t="str">
        <f aca="false">IF(OR(Q146="",AM146=""),"",60+2*Q146-AM146)</f>
        <v/>
      </c>
      <c r="AO146" s="49" t="str">
        <f aca="false">IF(OR(G146="",AJ146=""),"",AJ146-G146)</f>
        <v/>
      </c>
      <c r="AP146" s="50" t="str">
        <f aca="false">IF(AND(A146="",B146=""),"",IF(J146="","Status needed",IF(OR(J146="Applied",J146="Visit booked",J146="Withdrawn"),"OK",IF(G146="","Date assessed needed",IF(C146="","Date of birth needed",IF(COUNTA(L146,M146,P146,U146,V146,X146)&lt;6,"Band missing",IF(AND(OR(J146="Decision confirmed",J146="Family told",J146="Enrolled"),AG146=""),"Recommendation needed",IF(AND(OR(J146="Family told",J146="Enrolled"),AJ146=""),"Date family told needed","OK"))))))))</f>
        <v/>
      </c>
    </row>
    <row r="147" customFormat="false" ht="15" hidden="false" customHeight="false" outlineLevel="0" collapsed="false">
      <c r="A147" s="7"/>
      <c r="B147" s="7"/>
      <c r="C147" s="46"/>
      <c r="D147" s="7"/>
      <c r="E147" s="47"/>
      <c r="F147" s="46"/>
      <c r="G147" s="46"/>
      <c r="H147" s="7"/>
      <c r="I147" s="7"/>
      <c r="J147" s="47"/>
      <c r="K147" s="47"/>
      <c r="L147" s="47"/>
      <c r="M147" s="47"/>
      <c r="N147" s="47"/>
      <c r="O147" s="10"/>
      <c r="P147" s="47"/>
      <c r="Q147" s="47"/>
      <c r="R147" s="48" t="str">
        <f aca="false">IF(Q147="","",IF(Q147=0,"below 5:00",IF(Q147&gt;=66,"16:00 or above",INT((60+2*Q147)/12)&amp;":"&amp;TEXT(MOD(60+2*Q147,12),"00"))))</f>
        <v/>
      </c>
      <c r="S147" s="47"/>
      <c r="T147" s="47"/>
      <c r="U147" s="47"/>
      <c r="V147" s="47"/>
      <c r="W147" s="47"/>
      <c r="X147" s="47"/>
      <c r="Y147" s="47"/>
      <c r="Z147" s="47"/>
      <c r="AA147" s="10"/>
      <c r="AB147" s="10"/>
      <c r="AC147" s="47"/>
      <c r="AD147" s="47"/>
      <c r="AE147" s="47"/>
      <c r="AF147" s="47"/>
      <c r="AG147" s="47"/>
      <c r="AH147" s="47"/>
      <c r="AI147" s="46"/>
      <c r="AJ147" s="46"/>
      <c r="AK147" s="46"/>
      <c r="AL147" s="7"/>
      <c r="AM147" s="49" t="str">
        <f aca="false">IF(OR(C147="",G147=""),"",IFERROR(DATEDIF(C147,G147,"m"),""))</f>
        <v/>
      </c>
      <c r="AN147" s="49" t="str">
        <f aca="false">IF(OR(Q147="",AM147=""),"",60+2*Q147-AM147)</f>
        <v/>
      </c>
      <c r="AO147" s="49" t="str">
        <f aca="false">IF(OR(G147="",AJ147=""),"",AJ147-G147)</f>
        <v/>
      </c>
      <c r="AP147" s="50" t="str">
        <f aca="false">IF(AND(A147="",B147=""),"",IF(J147="","Status needed",IF(OR(J147="Applied",J147="Visit booked",J147="Withdrawn"),"OK",IF(G147="","Date assessed needed",IF(C147="","Date of birth needed",IF(COUNTA(L147,M147,P147,U147,V147,X147)&lt;6,"Band missing",IF(AND(OR(J147="Decision confirmed",J147="Family told",J147="Enrolled"),AG147=""),"Recommendation needed",IF(AND(OR(J147="Family told",J147="Enrolled"),AJ147=""),"Date family told needed","OK"))))))))</f>
        <v/>
      </c>
    </row>
    <row r="148" customFormat="false" ht="15" hidden="false" customHeight="false" outlineLevel="0" collapsed="false">
      <c r="A148" s="7"/>
      <c r="B148" s="7"/>
      <c r="C148" s="46"/>
      <c r="D148" s="7"/>
      <c r="E148" s="47"/>
      <c r="F148" s="46"/>
      <c r="G148" s="46"/>
      <c r="H148" s="7"/>
      <c r="I148" s="7"/>
      <c r="J148" s="47"/>
      <c r="K148" s="47"/>
      <c r="L148" s="47"/>
      <c r="M148" s="47"/>
      <c r="N148" s="47"/>
      <c r="O148" s="10"/>
      <c r="P148" s="47"/>
      <c r="Q148" s="47"/>
      <c r="R148" s="48" t="str">
        <f aca="false">IF(Q148="","",IF(Q148=0,"below 5:00",IF(Q148&gt;=66,"16:00 or above",INT((60+2*Q148)/12)&amp;":"&amp;TEXT(MOD(60+2*Q148,12),"00"))))</f>
        <v/>
      </c>
      <c r="S148" s="47"/>
      <c r="T148" s="47"/>
      <c r="U148" s="47"/>
      <c r="V148" s="47"/>
      <c r="W148" s="47"/>
      <c r="X148" s="47"/>
      <c r="Y148" s="47"/>
      <c r="Z148" s="47"/>
      <c r="AA148" s="10"/>
      <c r="AB148" s="10"/>
      <c r="AC148" s="47"/>
      <c r="AD148" s="47"/>
      <c r="AE148" s="47"/>
      <c r="AF148" s="47"/>
      <c r="AG148" s="47"/>
      <c r="AH148" s="47"/>
      <c r="AI148" s="46"/>
      <c r="AJ148" s="46"/>
      <c r="AK148" s="46"/>
      <c r="AL148" s="7"/>
      <c r="AM148" s="49" t="str">
        <f aca="false">IF(OR(C148="",G148=""),"",IFERROR(DATEDIF(C148,G148,"m"),""))</f>
        <v/>
      </c>
      <c r="AN148" s="49" t="str">
        <f aca="false">IF(OR(Q148="",AM148=""),"",60+2*Q148-AM148)</f>
        <v/>
      </c>
      <c r="AO148" s="49" t="str">
        <f aca="false">IF(OR(G148="",AJ148=""),"",AJ148-G148)</f>
        <v/>
      </c>
      <c r="AP148" s="50" t="str">
        <f aca="false">IF(AND(A148="",B148=""),"",IF(J148="","Status needed",IF(OR(J148="Applied",J148="Visit booked",J148="Withdrawn"),"OK",IF(G148="","Date assessed needed",IF(C148="","Date of birth needed",IF(COUNTA(L148,M148,P148,U148,V148,X148)&lt;6,"Band missing",IF(AND(OR(J148="Decision confirmed",J148="Family told",J148="Enrolled"),AG148=""),"Recommendation needed",IF(AND(OR(J148="Family told",J148="Enrolled"),AJ148=""),"Date family told needed","OK"))))))))</f>
        <v/>
      </c>
    </row>
    <row r="149" customFormat="false" ht="15" hidden="false" customHeight="false" outlineLevel="0" collapsed="false">
      <c r="A149" s="7"/>
      <c r="B149" s="7"/>
      <c r="C149" s="46"/>
      <c r="D149" s="7"/>
      <c r="E149" s="47"/>
      <c r="F149" s="46"/>
      <c r="G149" s="46"/>
      <c r="H149" s="7"/>
      <c r="I149" s="7"/>
      <c r="J149" s="47"/>
      <c r="K149" s="47"/>
      <c r="L149" s="47"/>
      <c r="M149" s="47"/>
      <c r="N149" s="47"/>
      <c r="O149" s="10"/>
      <c r="P149" s="47"/>
      <c r="Q149" s="47"/>
      <c r="R149" s="48" t="str">
        <f aca="false">IF(Q149="","",IF(Q149=0,"below 5:00",IF(Q149&gt;=66,"16:00 or above",INT((60+2*Q149)/12)&amp;":"&amp;TEXT(MOD(60+2*Q149,12),"00"))))</f>
        <v/>
      </c>
      <c r="S149" s="47"/>
      <c r="T149" s="47"/>
      <c r="U149" s="47"/>
      <c r="V149" s="47"/>
      <c r="W149" s="47"/>
      <c r="X149" s="47"/>
      <c r="Y149" s="47"/>
      <c r="Z149" s="47"/>
      <c r="AA149" s="10"/>
      <c r="AB149" s="10"/>
      <c r="AC149" s="47"/>
      <c r="AD149" s="47"/>
      <c r="AE149" s="47"/>
      <c r="AF149" s="47"/>
      <c r="AG149" s="47"/>
      <c r="AH149" s="47"/>
      <c r="AI149" s="46"/>
      <c r="AJ149" s="46"/>
      <c r="AK149" s="46"/>
      <c r="AL149" s="7"/>
      <c r="AM149" s="49" t="str">
        <f aca="false">IF(OR(C149="",G149=""),"",IFERROR(DATEDIF(C149,G149,"m"),""))</f>
        <v/>
      </c>
      <c r="AN149" s="49" t="str">
        <f aca="false">IF(OR(Q149="",AM149=""),"",60+2*Q149-AM149)</f>
        <v/>
      </c>
      <c r="AO149" s="49" t="str">
        <f aca="false">IF(OR(G149="",AJ149=""),"",AJ149-G149)</f>
        <v/>
      </c>
      <c r="AP149" s="50" t="str">
        <f aca="false">IF(AND(A149="",B149=""),"",IF(J149="","Status needed",IF(OR(J149="Applied",J149="Visit booked",J149="Withdrawn"),"OK",IF(G149="","Date assessed needed",IF(C149="","Date of birth needed",IF(COUNTA(L149,M149,P149,U149,V149,X149)&lt;6,"Band missing",IF(AND(OR(J149="Decision confirmed",J149="Family told",J149="Enrolled"),AG149=""),"Recommendation needed",IF(AND(OR(J149="Family told",J149="Enrolled"),AJ149=""),"Date family told needed","OK"))))))))</f>
        <v/>
      </c>
    </row>
    <row r="150" customFormat="false" ht="15" hidden="false" customHeight="false" outlineLevel="0" collapsed="false">
      <c r="A150" s="7"/>
      <c r="B150" s="7"/>
      <c r="C150" s="46"/>
      <c r="D150" s="7"/>
      <c r="E150" s="47"/>
      <c r="F150" s="46"/>
      <c r="G150" s="46"/>
      <c r="H150" s="7"/>
      <c r="I150" s="7"/>
      <c r="J150" s="47"/>
      <c r="K150" s="47"/>
      <c r="L150" s="47"/>
      <c r="M150" s="47"/>
      <c r="N150" s="47"/>
      <c r="O150" s="10"/>
      <c r="P150" s="47"/>
      <c r="Q150" s="47"/>
      <c r="R150" s="48" t="str">
        <f aca="false">IF(Q150="","",IF(Q150=0,"below 5:00",IF(Q150&gt;=66,"16:00 or above",INT((60+2*Q150)/12)&amp;":"&amp;TEXT(MOD(60+2*Q150,12),"00"))))</f>
        <v/>
      </c>
      <c r="S150" s="47"/>
      <c r="T150" s="47"/>
      <c r="U150" s="47"/>
      <c r="V150" s="47"/>
      <c r="W150" s="47"/>
      <c r="X150" s="47"/>
      <c r="Y150" s="47"/>
      <c r="Z150" s="47"/>
      <c r="AA150" s="10"/>
      <c r="AB150" s="10"/>
      <c r="AC150" s="47"/>
      <c r="AD150" s="47"/>
      <c r="AE150" s="47"/>
      <c r="AF150" s="47"/>
      <c r="AG150" s="47"/>
      <c r="AH150" s="47"/>
      <c r="AI150" s="46"/>
      <c r="AJ150" s="46"/>
      <c r="AK150" s="46"/>
      <c r="AL150" s="7"/>
      <c r="AM150" s="49" t="str">
        <f aca="false">IF(OR(C150="",G150=""),"",IFERROR(DATEDIF(C150,G150,"m"),""))</f>
        <v/>
      </c>
      <c r="AN150" s="49" t="str">
        <f aca="false">IF(OR(Q150="",AM150=""),"",60+2*Q150-AM150)</f>
        <v/>
      </c>
      <c r="AO150" s="49" t="str">
        <f aca="false">IF(OR(G150="",AJ150=""),"",AJ150-G150)</f>
        <v/>
      </c>
      <c r="AP150" s="50" t="str">
        <f aca="false">IF(AND(A150="",B150=""),"",IF(J150="","Status needed",IF(OR(J150="Applied",J150="Visit booked",J150="Withdrawn"),"OK",IF(G150="","Date assessed needed",IF(C150="","Date of birth needed",IF(COUNTA(L150,M150,P150,U150,V150,X150)&lt;6,"Band missing",IF(AND(OR(J150="Decision confirmed",J150="Family told",J150="Enrolled"),AG150=""),"Recommendation needed",IF(AND(OR(J150="Family told",J150="Enrolled"),AJ150=""),"Date family told needed","OK"))))))))</f>
        <v/>
      </c>
    </row>
    <row r="151" customFormat="false" ht="15" hidden="false" customHeight="false" outlineLevel="0" collapsed="false">
      <c r="A151" s="7"/>
      <c r="B151" s="7"/>
      <c r="C151" s="46"/>
      <c r="D151" s="7"/>
      <c r="E151" s="47"/>
      <c r="F151" s="46"/>
      <c r="G151" s="46"/>
      <c r="H151" s="7"/>
      <c r="I151" s="7"/>
      <c r="J151" s="47"/>
      <c r="K151" s="47"/>
      <c r="L151" s="47"/>
      <c r="M151" s="47"/>
      <c r="N151" s="47"/>
      <c r="O151" s="10"/>
      <c r="P151" s="47"/>
      <c r="Q151" s="47"/>
      <c r="R151" s="48" t="str">
        <f aca="false">IF(Q151="","",IF(Q151=0,"below 5:00",IF(Q151&gt;=66,"16:00 or above",INT((60+2*Q151)/12)&amp;":"&amp;TEXT(MOD(60+2*Q151,12),"00"))))</f>
        <v/>
      </c>
      <c r="S151" s="47"/>
      <c r="T151" s="47"/>
      <c r="U151" s="47"/>
      <c r="V151" s="47"/>
      <c r="W151" s="47"/>
      <c r="X151" s="47"/>
      <c r="Y151" s="47"/>
      <c r="Z151" s="47"/>
      <c r="AA151" s="10"/>
      <c r="AB151" s="10"/>
      <c r="AC151" s="47"/>
      <c r="AD151" s="47"/>
      <c r="AE151" s="47"/>
      <c r="AF151" s="47"/>
      <c r="AG151" s="47"/>
      <c r="AH151" s="47"/>
      <c r="AI151" s="46"/>
      <c r="AJ151" s="46"/>
      <c r="AK151" s="46"/>
      <c r="AL151" s="7"/>
      <c r="AM151" s="49" t="str">
        <f aca="false">IF(OR(C151="",G151=""),"",IFERROR(DATEDIF(C151,G151,"m"),""))</f>
        <v/>
      </c>
      <c r="AN151" s="49" t="str">
        <f aca="false">IF(OR(Q151="",AM151=""),"",60+2*Q151-AM151)</f>
        <v/>
      </c>
      <c r="AO151" s="49" t="str">
        <f aca="false">IF(OR(G151="",AJ151=""),"",AJ151-G151)</f>
        <v/>
      </c>
      <c r="AP151" s="50" t="str">
        <f aca="false">IF(AND(A151="",B151=""),"",IF(J151="","Status needed",IF(OR(J151="Applied",J151="Visit booked",J151="Withdrawn"),"OK",IF(G151="","Date assessed needed",IF(C151="","Date of birth needed",IF(COUNTA(L151,M151,P151,U151,V151,X151)&lt;6,"Band missing",IF(AND(OR(J151="Decision confirmed",J151="Family told",J151="Enrolled"),AG151=""),"Recommendation needed",IF(AND(OR(J151="Family told",J151="Enrolled"),AJ151=""),"Date family told needed","OK"))))))))</f>
        <v/>
      </c>
    </row>
    <row r="152" customFormat="false" ht="15" hidden="false" customHeight="false" outlineLevel="0" collapsed="false">
      <c r="A152" s="7"/>
      <c r="B152" s="7"/>
      <c r="C152" s="46"/>
      <c r="D152" s="7"/>
      <c r="E152" s="47"/>
      <c r="F152" s="46"/>
      <c r="G152" s="46"/>
      <c r="H152" s="7"/>
      <c r="I152" s="7"/>
      <c r="J152" s="47"/>
      <c r="K152" s="47"/>
      <c r="L152" s="47"/>
      <c r="M152" s="47"/>
      <c r="N152" s="47"/>
      <c r="O152" s="10"/>
      <c r="P152" s="47"/>
      <c r="Q152" s="47"/>
      <c r="R152" s="48" t="str">
        <f aca="false">IF(Q152="","",IF(Q152=0,"below 5:00",IF(Q152&gt;=66,"16:00 or above",INT((60+2*Q152)/12)&amp;":"&amp;TEXT(MOD(60+2*Q152,12),"00"))))</f>
        <v/>
      </c>
      <c r="S152" s="47"/>
      <c r="T152" s="47"/>
      <c r="U152" s="47"/>
      <c r="V152" s="47"/>
      <c r="W152" s="47"/>
      <c r="X152" s="47"/>
      <c r="Y152" s="47"/>
      <c r="Z152" s="47"/>
      <c r="AA152" s="10"/>
      <c r="AB152" s="10"/>
      <c r="AC152" s="47"/>
      <c r="AD152" s="47"/>
      <c r="AE152" s="47"/>
      <c r="AF152" s="47"/>
      <c r="AG152" s="47"/>
      <c r="AH152" s="47"/>
      <c r="AI152" s="46"/>
      <c r="AJ152" s="46"/>
      <c r="AK152" s="46"/>
      <c r="AL152" s="7"/>
      <c r="AM152" s="49" t="str">
        <f aca="false">IF(OR(C152="",G152=""),"",IFERROR(DATEDIF(C152,G152,"m"),""))</f>
        <v/>
      </c>
      <c r="AN152" s="49" t="str">
        <f aca="false">IF(OR(Q152="",AM152=""),"",60+2*Q152-AM152)</f>
        <v/>
      </c>
      <c r="AO152" s="49" t="str">
        <f aca="false">IF(OR(G152="",AJ152=""),"",AJ152-G152)</f>
        <v/>
      </c>
      <c r="AP152" s="50" t="str">
        <f aca="false">IF(AND(A152="",B152=""),"",IF(J152="","Status needed",IF(OR(J152="Applied",J152="Visit booked",J152="Withdrawn"),"OK",IF(G152="","Date assessed needed",IF(C152="","Date of birth needed",IF(COUNTA(L152,M152,P152,U152,V152,X152)&lt;6,"Band missing",IF(AND(OR(J152="Decision confirmed",J152="Family told",J152="Enrolled"),AG152=""),"Recommendation needed",IF(AND(OR(J152="Family told",J152="Enrolled"),AJ152=""),"Date family told needed","OK"))))))))</f>
        <v/>
      </c>
    </row>
    <row r="153" customFormat="false" ht="15" hidden="false" customHeight="false" outlineLevel="0" collapsed="false">
      <c r="A153" s="7"/>
      <c r="B153" s="7"/>
      <c r="C153" s="46"/>
      <c r="D153" s="7"/>
      <c r="E153" s="47"/>
      <c r="F153" s="46"/>
      <c r="G153" s="46"/>
      <c r="H153" s="7"/>
      <c r="I153" s="7"/>
      <c r="J153" s="47"/>
      <c r="K153" s="47"/>
      <c r="L153" s="47"/>
      <c r="M153" s="47"/>
      <c r="N153" s="47"/>
      <c r="O153" s="10"/>
      <c r="P153" s="47"/>
      <c r="Q153" s="47"/>
      <c r="R153" s="48" t="str">
        <f aca="false">IF(Q153="","",IF(Q153=0,"below 5:00",IF(Q153&gt;=66,"16:00 or above",INT((60+2*Q153)/12)&amp;":"&amp;TEXT(MOD(60+2*Q153,12),"00"))))</f>
        <v/>
      </c>
      <c r="S153" s="47"/>
      <c r="T153" s="47"/>
      <c r="U153" s="47"/>
      <c r="V153" s="47"/>
      <c r="W153" s="47"/>
      <c r="X153" s="47"/>
      <c r="Y153" s="47"/>
      <c r="Z153" s="47"/>
      <c r="AA153" s="10"/>
      <c r="AB153" s="10"/>
      <c r="AC153" s="47"/>
      <c r="AD153" s="47"/>
      <c r="AE153" s="47"/>
      <c r="AF153" s="47"/>
      <c r="AG153" s="47"/>
      <c r="AH153" s="47"/>
      <c r="AI153" s="46"/>
      <c r="AJ153" s="46"/>
      <c r="AK153" s="46"/>
      <c r="AL153" s="7"/>
      <c r="AM153" s="49" t="str">
        <f aca="false">IF(OR(C153="",G153=""),"",IFERROR(DATEDIF(C153,G153,"m"),""))</f>
        <v/>
      </c>
      <c r="AN153" s="49" t="str">
        <f aca="false">IF(OR(Q153="",AM153=""),"",60+2*Q153-AM153)</f>
        <v/>
      </c>
      <c r="AO153" s="49" t="str">
        <f aca="false">IF(OR(G153="",AJ153=""),"",AJ153-G153)</f>
        <v/>
      </c>
      <c r="AP153" s="50" t="str">
        <f aca="false">IF(AND(A153="",B153=""),"",IF(J153="","Status needed",IF(OR(J153="Applied",J153="Visit booked",J153="Withdrawn"),"OK",IF(G153="","Date assessed needed",IF(C153="","Date of birth needed",IF(COUNTA(L153,M153,P153,U153,V153,X153)&lt;6,"Band missing",IF(AND(OR(J153="Decision confirmed",J153="Family told",J153="Enrolled"),AG153=""),"Recommendation needed",IF(AND(OR(J153="Family told",J153="Enrolled"),AJ153=""),"Date family told needed","OK"))))))))</f>
        <v/>
      </c>
    </row>
    <row r="154" customFormat="false" ht="15" hidden="false" customHeight="false" outlineLevel="0" collapsed="false">
      <c r="A154" s="7"/>
      <c r="B154" s="7"/>
      <c r="C154" s="46"/>
      <c r="D154" s="7"/>
      <c r="E154" s="47"/>
      <c r="F154" s="46"/>
      <c r="G154" s="46"/>
      <c r="H154" s="7"/>
      <c r="I154" s="7"/>
      <c r="J154" s="47"/>
      <c r="K154" s="47"/>
      <c r="L154" s="47"/>
      <c r="M154" s="47"/>
      <c r="N154" s="47"/>
      <c r="O154" s="10"/>
      <c r="P154" s="47"/>
      <c r="Q154" s="47"/>
      <c r="R154" s="48" t="str">
        <f aca="false">IF(Q154="","",IF(Q154=0,"below 5:00",IF(Q154&gt;=66,"16:00 or above",INT((60+2*Q154)/12)&amp;":"&amp;TEXT(MOD(60+2*Q154,12),"00"))))</f>
        <v/>
      </c>
      <c r="S154" s="47"/>
      <c r="T154" s="47"/>
      <c r="U154" s="47"/>
      <c r="V154" s="47"/>
      <c r="W154" s="47"/>
      <c r="X154" s="47"/>
      <c r="Y154" s="47"/>
      <c r="Z154" s="47"/>
      <c r="AA154" s="10"/>
      <c r="AB154" s="10"/>
      <c r="AC154" s="47"/>
      <c r="AD154" s="47"/>
      <c r="AE154" s="47"/>
      <c r="AF154" s="47"/>
      <c r="AG154" s="47"/>
      <c r="AH154" s="47"/>
      <c r="AI154" s="46"/>
      <c r="AJ154" s="46"/>
      <c r="AK154" s="46"/>
      <c r="AL154" s="7"/>
      <c r="AM154" s="49" t="str">
        <f aca="false">IF(OR(C154="",G154=""),"",IFERROR(DATEDIF(C154,G154,"m"),""))</f>
        <v/>
      </c>
      <c r="AN154" s="49" t="str">
        <f aca="false">IF(OR(Q154="",AM154=""),"",60+2*Q154-AM154)</f>
        <v/>
      </c>
      <c r="AO154" s="49" t="str">
        <f aca="false">IF(OR(G154="",AJ154=""),"",AJ154-G154)</f>
        <v/>
      </c>
      <c r="AP154" s="50" t="str">
        <f aca="false">IF(AND(A154="",B154=""),"",IF(J154="","Status needed",IF(OR(J154="Applied",J154="Visit booked",J154="Withdrawn"),"OK",IF(G154="","Date assessed needed",IF(C154="","Date of birth needed",IF(COUNTA(L154,M154,P154,U154,V154,X154)&lt;6,"Band missing",IF(AND(OR(J154="Decision confirmed",J154="Family told",J154="Enrolled"),AG154=""),"Recommendation needed",IF(AND(OR(J154="Family told",J154="Enrolled"),AJ154=""),"Date family told needed","OK"))))))))</f>
        <v/>
      </c>
    </row>
    <row r="155" customFormat="false" ht="15" hidden="false" customHeight="false" outlineLevel="0" collapsed="false">
      <c r="A155" s="7"/>
      <c r="B155" s="7"/>
      <c r="C155" s="46"/>
      <c r="D155" s="7"/>
      <c r="E155" s="47"/>
      <c r="F155" s="46"/>
      <c r="G155" s="46"/>
      <c r="H155" s="7"/>
      <c r="I155" s="7"/>
      <c r="J155" s="47"/>
      <c r="K155" s="47"/>
      <c r="L155" s="47"/>
      <c r="M155" s="47"/>
      <c r="N155" s="47"/>
      <c r="O155" s="10"/>
      <c r="P155" s="47"/>
      <c r="Q155" s="47"/>
      <c r="R155" s="48" t="str">
        <f aca="false">IF(Q155="","",IF(Q155=0,"below 5:00",IF(Q155&gt;=66,"16:00 or above",INT((60+2*Q155)/12)&amp;":"&amp;TEXT(MOD(60+2*Q155,12),"00"))))</f>
        <v/>
      </c>
      <c r="S155" s="47"/>
      <c r="T155" s="47"/>
      <c r="U155" s="47"/>
      <c r="V155" s="47"/>
      <c r="W155" s="47"/>
      <c r="X155" s="47"/>
      <c r="Y155" s="47"/>
      <c r="Z155" s="47"/>
      <c r="AA155" s="10"/>
      <c r="AB155" s="10"/>
      <c r="AC155" s="47"/>
      <c r="AD155" s="47"/>
      <c r="AE155" s="47"/>
      <c r="AF155" s="47"/>
      <c r="AG155" s="47"/>
      <c r="AH155" s="47"/>
      <c r="AI155" s="46"/>
      <c r="AJ155" s="46"/>
      <c r="AK155" s="46"/>
      <c r="AL155" s="7"/>
      <c r="AM155" s="49" t="str">
        <f aca="false">IF(OR(C155="",G155=""),"",IFERROR(DATEDIF(C155,G155,"m"),""))</f>
        <v/>
      </c>
      <c r="AN155" s="49" t="str">
        <f aca="false">IF(OR(Q155="",AM155=""),"",60+2*Q155-AM155)</f>
        <v/>
      </c>
      <c r="AO155" s="49" t="str">
        <f aca="false">IF(OR(G155="",AJ155=""),"",AJ155-G155)</f>
        <v/>
      </c>
      <c r="AP155" s="50" t="str">
        <f aca="false">IF(AND(A155="",B155=""),"",IF(J155="","Status needed",IF(OR(J155="Applied",J155="Visit booked",J155="Withdrawn"),"OK",IF(G155="","Date assessed needed",IF(C155="","Date of birth needed",IF(COUNTA(L155,M155,P155,U155,V155,X155)&lt;6,"Band missing",IF(AND(OR(J155="Decision confirmed",J155="Family told",J155="Enrolled"),AG155=""),"Recommendation needed",IF(AND(OR(J155="Family told",J155="Enrolled"),AJ155=""),"Date family told needed","OK"))))))))</f>
        <v/>
      </c>
    </row>
    <row r="156" customFormat="false" ht="15" hidden="false" customHeight="false" outlineLevel="0" collapsed="false">
      <c r="A156" s="7"/>
      <c r="B156" s="7"/>
      <c r="C156" s="46"/>
      <c r="D156" s="7"/>
      <c r="E156" s="47"/>
      <c r="F156" s="46"/>
      <c r="G156" s="46"/>
      <c r="H156" s="7"/>
      <c r="I156" s="7"/>
      <c r="J156" s="47"/>
      <c r="K156" s="47"/>
      <c r="L156" s="47"/>
      <c r="M156" s="47"/>
      <c r="N156" s="47"/>
      <c r="O156" s="10"/>
      <c r="P156" s="47"/>
      <c r="Q156" s="47"/>
      <c r="R156" s="48" t="str">
        <f aca="false">IF(Q156="","",IF(Q156=0,"below 5:00",IF(Q156&gt;=66,"16:00 or above",INT((60+2*Q156)/12)&amp;":"&amp;TEXT(MOD(60+2*Q156,12),"00"))))</f>
        <v/>
      </c>
      <c r="S156" s="47"/>
      <c r="T156" s="47"/>
      <c r="U156" s="47"/>
      <c r="V156" s="47"/>
      <c r="W156" s="47"/>
      <c r="X156" s="47"/>
      <c r="Y156" s="47"/>
      <c r="Z156" s="47"/>
      <c r="AA156" s="10"/>
      <c r="AB156" s="10"/>
      <c r="AC156" s="47"/>
      <c r="AD156" s="47"/>
      <c r="AE156" s="47"/>
      <c r="AF156" s="47"/>
      <c r="AG156" s="47"/>
      <c r="AH156" s="47"/>
      <c r="AI156" s="46"/>
      <c r="AJ156" s="46"/>
      <c r="AK156" s="46"/>
      <c r="AL156" s="7"/>
      <c r="AM156" s="49" t="str">
        <f aca="false">IF(OR(C156="",G156=""),"",IFERROR(DATEDIF(C156,G156,"m"),""))</f>
        <v/>
      </c>
      <c r="AN156" s="49" t="str">
        <f aca="false">IF(OR(Q156="",AM156=""),"",60+2*Q156-AM156)</f>
        <v/>
      </c>
      <c r="AO156" s="49" t="str">
        <f aca="false">IF(OR(G156="",AJ156=""),"",AJ156-G156)</f>
        <v/>
      </c>
      <c r="AP156" s="50" t="str">
        <f aca="false">IF(AND(A156="",B156=""),"",IF(J156="","Status needed",IF(OR(J156="Applied",J156="Visit booked",J156="Withdrawn"),"OK",IF(G156="","Date assessed needed",IF(C156="","Date of birth needed",IF(COUNTA(L156,M156,P156,U156,V156,X156)&lt;6,"Band missing",IF(AND(OR(J156="Decision confirmed",J156="Family told",J156="Enrolled"),AG156=""),"Recommendation needed",IF(AND(OR(J156="Family told",J156="Enrolled"),AJ156=""),"Date family told needed","OK"))))))))</f>
        <v/>
      </c>
    </row>
    <row r="157" customFormat="false" ht="15" hidden="false" customHeight="false" outlineLevel="0" collapsed="false">
      <c r="A157" s="7"/>
      <c r="B157" s="7"/>
      <c r="C157" s="46"/>
      <c r="D157" s="7"/>
      <c r="E157" s="47"/>
      <c r="F157" s="46"/>
      <c r="G157" s="46"/>
      <c r="H157" s="7"/>
      <c r="I157" s="7"/>
      <c r="J157" s="47"/>
      <c r="K157" s="47"/>
      <c r="L157" s="47"/>
      <c r="M157" s="47"/>
      <c r="N157" s="47"/>
      <c r="O157" s="10"/>
      <c r="P157" s="47"/>
      <c r="Q157" s="47"/>
      <c r="R157" s="48" t="str">
        <f aca="false">IF(Q157="","",IF(Q157=0,"below 5:00",IF(Q157&gt;=66,"16:00 or above",INT((60+2*Q157)/12)&amp;":"&amp;TEXT(MOD(60+2*Q157,12),"00"))))</f>
        <v/>
      </c>
      <c r="S157" s="47"/>
      <c r="T157" s="47"/>
      <c r="U157" s="47"/>
      <c r="V157" s="47"/>
      <c r="W157" s="47"/>
      <c r="X157" s="47"/>
      <c r="Y157" s="47"/>
      <c r="Z157" s="47"/>
      <c r="AA157" s="10"/>
      <c r="AB157" s="10"/>
      <c r="AC157" s="47"/>
      <c r="AD157" s="47"/>
      <c r="AE157" s="47"/>
      <c r="AF157" s="47"/>
      <c r="AG157" s="47"/>
      <c r="AH157" s="47"/>
      <c r="AI157" s="46"/>
      <c r="AJ157" s="46"/>
      <c r="AK157" s="46"/>
      <c r="AL157" s="7"/>
      <c r="AM157" s="49" t="str">
        <f aca="false">IF(OR(C157="",G157=""),"",IFERROR(DATEDIF(C157,G157,"m"),""))</f>
        <v/>
      </c>
      <c r="AN157" s="49" t="str">
        <f aca="false">IF(OR(Q157="",AM157=""),"",60+2*Q157-AM157)</f>
        <v/>
      </c>
      <c r="AO157" s="49" t="str">
        <f aca="false">IF(OR(G157="",AJ157=""),"",AJ157-G157)</f>
        <v/>
      </c>
      <c r="AP157" s="50" t="str">
        <f aca="false">IF(AND(A157="",B157=""),"",IF(J157="","Status needed",IF(OR(J157="Applied",J157="Visit booked",J157="Withdrawn"),"OK",IF(G157="","Date assessed needed",IF(C157="","Date of birth needed",IF(COUNTA(L157,M157,P157,U157,V157,X157)&lt;6,"Band missing",IF(AND(OR(J157="Decision confirmed",J157="Family told",J157="Enrolled"),AG157=""),"Recommendation needed",IF(AND(OR(J157="Family told",J157="Enrolled"),AJ157=""),"Date family told needed","OK"))))))))</f>
        <v/>
      </c>
    </row>
    <row r="158" customFormat="false" ht="15" hidden="false" customHeight="false" outlineLevel="0" collapsed="false">
      <c r="A158" s="7"/>
      <c r="B158" s="7"/>
      <c r="C158" s="46"/>
      <c r="D158" s="7"/>
      <c r="E158" s="47"/>
      <c r="F158" s="46"/>
      <c r="G158" s="46"/>
      <c r="H158" s="7"/>
      <c r="I158" s="7"/>
      <c r="J158" s="47"/>
      <c r="K158" s="47"/>
      <c r="L158" s="47"/>
      <c r="M158" s="47"/>
      <c r="N158" s="47"/>
      <c r="O158" s="10"/>
      <c r="P158" s="47"/>
      <c r="Q158" s="47"/>
      <c r="R158" s="48" t="str">
        <f aca="false">IF(Q158="","",IF(Q158=0,"below 5:00",IF(Q158&gt;=66,"16:00 or above",INT((60+2*Q158)/12)&amp;":"&amp;TEXT(MOD(60+2*Q158,12),"00"))))</f>
        <v/>
      </c>
      <c r="S158" s="47"/>
      <c r="T158" s="47"/>
      <c r="U158" s="47"/>
      <c r="V158" s="47"/>
      <c r="W158" s="47"/>
      <c r="X158" s="47"/>
      <c r="Y158" s="47"/>
      <c r="Z158" s="47"/>
      <c r="AA158" s="10"/>
      <c r="AB158" s="10"/>
      <c r="AC158" s="47"/>
      <c r="AD158" s="47"/>
      <c r="AE158" s="47"/>
      <c r="AF158" s="47"/>
      <c r="AG158" s="47"/>
      <c r="AH158" s="47"/>
      <c r="AI158" s="46"/>
      <c r="AJ158" s="46"/>
      <c r="AK158" s="46"/>
      <c r="AL158" s="7"/>
      <c r="AM158" s="49" t="str">
        <f aca="false">IF(OR(C158="",G158=""),"",IFERROR(DATEDIF(C158,G158,"m"),""))</f>
        <v/>
      </c>
      <c r="AN158" s="49" t="str">
        <f aca="false">IF(OR(Q158="",AM158=""),"",60+2*Q158-AM158)</f>
        <v/>
      </c>
      <c r="AO158" s="49" t="str">
        <f aca="false">IF(OR(G158="",AJ158=""),"",AJ158-G158)</f>
        <v/>
      </c>
      <c r="AP158" s="50" t="str">
        <f aca="false">IF(AND(A158="",B158=""),"",IF(J158="","Status needed",IF(OR(J158="Applied",J158="Visit booked",J158="Withdrawn"),"OK",IF(G158="","Date assessed needed",IF(C158="","Date of birth needed",IF(COUNTA(L158,M158,P158,U158,V158,X158)&lt;6,"Band missing",IF(AND(OR(J158="Decision confirmed",J158="Family told",J158="Enrolled"),AG158=""),"Recommendation needed",IF(AND(OR(J158="Family told",J158="Enrolled"),AJ158=""),"Date family told needed","OK"))))))))</f>
        <v/>
      </c>
    </row>
    <row r="159" customFormat="false" ht="15" hidden="false" customHeight="false" outlineLevel="0" collapsed="false">
      <c r="A159" s="7"/>
      <c r="B159" s="7"/>
      <c r="C159" s="46"/>
      <c r="D159" s="7"/>
      <c r="E159" s="47"/>
      <c r="F159" s="46"/>
      <c r="G159" s="46"/>
      <c r="H159" s="7"/>
      <c r="I159" s="7"/>
      <c r="J159" s="47"/>
      <c r="K159" s="47"/>
      <c r="L159" s="47"/>
      <c r="M159" s="47"/>
      <c r="N159" s="47"/>
      <c r="O159" s="10"/>
      <c r="P159" s="47"/>
      <c r="Q159" s="47"/>
      <c r="R159" s="48" t="str">
        <f aca="false">IF(Q159="","",IF(Q159=0,"below 5:00",IF(Q159&gt;=66,"16:00 or above",INT((60+2*Q159)/12)&amp;":"&amp;TEXT(MOD(60+2*Q159,12),"00"))))</f>
        <v/>
      </c>
      <c r="S159" s="47"/>
      <c r="T159" s="47"/>
      <c r="U159" s="47"/>
      <c r="V159" s="47"/>
      <c r="W159" s="47"/>
      <c r="X159" s="47"/>
      <c r="Y159" s="47"/>
      <c r="Z159" s="47"/>
      <c r="AA159" s="10"/>
      <c r="AB159" s="10"/>
      <c r="AC159" s="47"/>
      <c r="AD159" s="47"/>
      <c r="AE159" s="47"/>
      <c r="AF159" s="47"/>
      <c r="AG159" s="47"/>
      <c r="AH159" s="47"/>
      <c r="AI159" s="46"/>
      <c r="AJ159" s="46"/>
      <c r="AK159" s="46"/>
      <c r="AL159" s="7"/>
      <c r="AM159" s="49" t="str">
        <f aca="false">IF(OR(C159="",G159=""),"",IFERROR(DATEDIF(C159,G159,"m"),""))</f>
        <v/>
      </c>
      <c r="AN159" s="49" t="str">
        <f aca="false">IF(OR(Q159="",AM159=""),"",60+2*Q159-AM159)</f>
        <v/>
      </c>
      <c r="AO159" s="49" t="str">
        <f aca="false">IF(OR(G159="",AJ159=""),"",AJ159-G159)</f>
        <v/>
      </c>
      <c r="AP159" s="50" t="str">
        <f aca="false">IF(AND(A159="",B159=""),"",IF(J159="","Status needed",IF(OR(J159="Applied",J159="Visit booked",J159="Withdrawn"),"OK",IF(G159="","Date assessed needed",IF(C159="","Date of birth needed",IF(COUNTA(L159,M159,P159,U159,V159,X159)&lt;6,"Band missing",IF(AND(OR(J159="Decision confirmed",J159="Family told",J159="Enrolled"),AG159=""),"Recommendation needed",IF(AND(OR(J159="Family told",J159="Enrolled"),AJ159=""),"Date family told needed","OK"))))))))</f>
        <v/>
      </c>
    </row>
    <row r="160" customFormat="false" ht="15" hidden="false" customHeight="false" outlineLevel="0" collapsed="false">
      <c r="A160" s="7"/>
      <c r="B160" s="7"/>
      <c r="C160" s="46"/>
      <c r="D160" s="7"/>
      <c r="E160" s="47"/>
      <c r="F160" s="46"/>
      <c r="G160" s="46"/>
      <c r="H160" s="7"/>
      <c r="I160" s="7"/>
      <c r="J160" s="47"/>
      <c r="K160" s="47"/>
      <c r="L160" s="47"/>
      <c r="M160" s="47"/>
      <c r="N160" s="47"/>
      <c r="O160" s="10"/>
      <c r="P160" s="47"/>
      <c r="Q160" s="47"/>
      <c r="R160" s="48" t="str">
        <f aca="false">IF(Q160="","",IF(Q160=0,"below 5:00",IF(Q160&gt;=66,"16:00 or above",INT((60+2*Q160)/12)&amp;":"&amp;TEXT(MOD(60+2*Q160,12),"00"))))</f>
        <v/>
      </c>
      <c r="S160" s="47"/>
      <c r="T160" s="47"/>
      <c r="U160" s="47"/>
      <c r="V160" s="47"/>
      <c r="W160" s="47"/>
      <c r="X160" s="47"/>
      <c r="Y160" s="47"/>
      <c r="Z160" s="47"/>
      <c r="AA160" s="10"/>
      <c r="AB160" s="10"/>
      <c r="AC160" s="47"/>
      <c r="AD160" s="47"/>
      <c r="AE160" s="47"/>
      <c r="AF160" s="47"/>
      <c r="AG160" s="47"/>
      <c r="AH160" s="47"/>
      <c r="AI160" s="46"/>
      <c r="AJ160" s="46"/>
      <c r="AK160" s="46"/>
      <c r="AL160" s="7"/>
      <c r="AM160" s="49" t="str">
        <f aca="false">IF(OR(C160="",G160=""),"",IFERROR(DATEDIF(C160,G160,"m"),""))</f>
        <v/>
      </c>
      <c r="AN160" s="49" t="str">
        <f aca="false">IF(OR(Q160="",AM160=""),"",60+2*Q160-AM160)</f>
        <v/>
      </c>
      <c r="AO160" s="49" t="str">
        <f aca="false">IF(OR(G160="",AJ160=""),"",AJ160-G160)</f>
        <v/>
      </c>
      <c r="AP160" s="50" t="str">
        <f aca="false">IF(AND(A160="",B160=""),"",IF(J160="","Status needed",IF(OR(J160="Applied",J160="Visit booked",J160="Withdrawn"),"OK",IF(G160="","Date assessed needed",IF(C160="","Date of birth needed",IF(COUNTA(L160,M160,P160,U160,V160,X160)&lt;6,"Band missing",IF(AND(OR(J160="Decision confirmed",J160="Family told",J160="Enrolled"),AG160=""),"Recommendation needed",IF(AND(OR(J160="Family told",J160="Enrolled"),AJ160=""),"Date family told needed","OK"))))))))</f>
        <v/>
      </c>
    </row>
    <row r="161" customFormat="false" ht="15" hidden="false" customHeight="false" outlineLevel="0" collapsed="false">
      <c r="A161" s="7"/>
      <c r="B161" s="7"/>
      <c r="C161" s="46"/>
      <c r="D161" s="7"/>
      <c r="E161" s="47"/>
      <c r="F161" s="46"/>
      <c r="G161" s="46"/>
      <c r="H161" s="7"/>
      <c r="I161" s="7"/>
      <c r="J161" s="47"/>
      <c r="K161" s="47"/>
      <c r="L161" s="47"/>
      <c r="M161" s="47"/>
      <c r="N161" s="47"/>
      <c r="O161" s="10"/>
      <c r="P161" s="47"/>
      <c r="Q161" s="47"/>
      <c r="R161" s="48" t="str">
        <f aca="false">IF(Q161="","",IF(Q161=0,"below 5:00",IF(Q161&gt;=66,"16:00 or above",INT((60+2*Q161)/12)&amp;":"&amp;TEXT(MOD(60+2*Q161,12),"00"))))</f>
        <v/>
      </c>
      <c r="S161" s="47"/>
      <c r="T161" s="47"/>
      <c r="U161" s="47"/>
      <c r="V161" s="47"/>
      <c r="W161" s="47"/>
      <c r="X161" s="47"/>
      <c r="Y161" s="47"/>
      <c r="Z161" s="47"/>
      <c r="AA161" s="10"/>
      <c r="AB161" s="10"/>
      <c r="AC161" s="47"/>
      <c r="AD161" s="47"/>
      <c r="AE161" s="47"/>
      <c r="AF161" s="47"/>
      <c r="AG161" s="47"/>
      <c r="AH161" s="47"/>
      <c r="AI161" s="46"/>
      <c r="AJ161" s="46"/>
      <c r="AK161" s="46"/>
      <c r="AL161" s="7"/>
      <c r="AM161" s="49" t="str">
        <f aca="false">IF(OR(C161="",G161=""),"",IFERROR(DATEDIF(C161,G161,"m"),""))</f>
        <v/>
      </c>
      <c r="AN161" s="49" t="str">
        <f aca="false">IF(OR(Q161="",AM161=""),"",60+2*Q161-AM161)</f>
        <v/>
      </c>
      <c r="AO161" s="49" t="str">
        <f aca="false">IF(OR(G161="",AJ161=""),"",AJ161-G161)</f>
        <v/>
      </c>
      <c r="AP161" s="50" t="str">
        <f aca="false">IF(AND(A161="",B161=""),"",IF(J161="","Status needed",IF(OR(J161="Applied",J161="Visit booked",J161="Withdrawn"),"OK",IF(G161="","Date assessed needed",IF(C161="","Date of birth needed",IF(COUNTA(L161,M161,P161,U161,V161,X161)&lt;6,"Band missing",IF(AND(OR(J161="Decision confirmed",J161="Family told",J161="Enrolled"),AG161=""),"Recommendation needed",IF(AND(OR(J161="Family told",J161="Enrolled"),AJ161=""),"Date family told needed","OK"))))))))</f>
        <v/>
      </c>
    </row>
    <row r="162" customFormat="false" ht="15" hidden="false" customHeight="false" outlineLevel="0" collapsed="false">
      <c r="A162" s="7"/>
      <c r="B162" s="7"/>
      <c r="C162" s="46"/>
      <c r="D162" s="7"/>
      <c r="E162" s="47"/>
      <c r="F162" s="46"/>
      <c r="G162" s="46"/>
      <c r="H162" s="7"/>
      <c r="I162" s="7"/>
      <c r="J162" s="47"/>
      <c r="K162" s="47"/>
      <c r="L162" s="47"/>
      <c r="M162" s="47"/>
      <c r="N162" s="47"/>
      <c r="O162" s="10"/>
      <c r="P162" s="47"/>
      <c r="Q162" s="47"/>
      <c r="R162" s="48" t="str">
        <f aca="false">IF(Q162="","",IF(Q162=0,"below 5:00",IF(Q162&gt;=66,"16:00 or above",INT((60+2*Q162)/12)&amp;":"&amp;TEXT(MOD(60+2*Q162,12),"00"))))</f>
        <v/>
      </c>
      <c r="S162" s="47"/>
      <c r="T162" s="47"/>
      <c r="U162" s="47"/>
      <c r="V162" s="47"/>
      <c r="W162" s="47"/>
      <c r="X162" s="47"/>
      <c r="Y162" s="47"/>
      <c r="Z162" s="47"/>
      <c r="AA162" s="10"/>
      <c r="AB162" s="10"/>
      <c r="AC162" s="47"/>
      <c r="AD162" s="47"/>
      <c r="AE162" s="47"/>
      <c r="AF162" s="47"/>
      <c r="AG162" s="47"/>
      <c r="AH162" s="47"/>
      <c r="AI162" s="46"/>
      <c r="AJ162" s="46"/>
      <c r="AK162" s="46"/>
      <c r="AL162" s="7"/>
      <c r="AM162" s="49" t="str">
        <f aca="false">IF(OR(C162="",G162=""),"",IFERROR(DATEDIF(C162,G162,"m"),""))</f>
        <v/>
      </c>
      <c r="AN162" s="49" t="str">
        <f aca="false">IF(OR(Q162="",AM162=""),"",60+2*Q162-AM162)</f>
        <v/>
      </c>
      <c r="AO162" s="49" t="str">
        <f aca="false">IF(OR(G162="",AJ162=""),"",AJ162-G162)</f>
        <v/>
      </c>
      <c r="AP162" s="50" t="str">
        <f aca="false">IF(AND(A162="",B162=""),"",IF(J162="","Status needed",IF(OR(J162="Applied",J162="Visit booked",J162="Withdrawn"),"OK",IF(G162="","Date assessed needed",IF(C162="","Date of birth needed",IF(COUNTA(L162,M162,P162,U162,V162,X162)&lt;6,"Band missing",IF(AND(OR(J162="Decision confirmed",J162="Family told",J162="Enrolled"),AG162=""),"Recommendation needed",IF(AND(OR(J162="Family told",J162="Enrolled"),AJ162=""),"Date family told needed","OK"))))))))</f>
        <v/>
      </c>
    </row>
    <row r="163" customFormat="false" ht="15" hidden="false" customHeight="false" outlineLevel="0" collapsed="false">
      <c r="A163" s="7"/>
      <c r="B163" s="7"/>
      <c r="C163" s="46"/>
      <c r="D163" s="7"/>
      <c r="E163" s="47"/>
      <c r="F163" s="46"/>
      <c r="G163" s="46"/>
      <c r="H163" s="7"/>
      <c r="I163" s="7"/>
      <c r="J163" s="47"/>
      <c r="K163" s="47"/>
      <c r="L163" s="47"/>
      <c r="M163" s="47"/>
      <c r="N163" s="47"/>
      <c r="O163" s="10"/>
      <c r="P163" s="47"/>
      <c r="Q163" s="47"/>
      <c r="R163" s="48" t="str">
        <f aca="false">IF(Q163="","",IF(Q163=0,"below 5:00",IF(Q163&gt;=66,"16:00 or above",INT((60+2*Q163)/12)&amp;":"&amp;TEXT(MOD(60+2*Q163,12),"00"))))</f>
        <v/>
      </c>
      <c r="S163" s="47"/>
      <c r="T163" s="47"/>
      <c r="U163" s="47"/>
      <c r="V163" s="47"/>
      <c r="W163" s="47"/>
      <c r="X163" s="47"/>
      <c r="Y163" s="47"/>
      <c r="Z163" s="47"/>
      <c r="AA163" s="10"/>
      <c r="AB163" s="10"/>
      <c r="AC163" s="47"/>
      <c r="AD163" s="47"/>
      <c r="AE163" s="47"/>
      <c r="AF163" s="47"/>
      <c r="AG163" s="47"/>
      <c r="AH163" s="47"/>
      <c r="AI163" s="46"/>
      <c r="AJ163" s="46"/>
      <c r="AK163" s="46"/>
      <c r="AL163" s="7"/>
      <c r="AM163" s="49" t="str">
        <f aca="false">IF(OR(C163="",G163=""),"",IFERROR(DATEDIF(C163,G163,"m"),""))</f>
        <v/>
      </c>
      <c r="AN163" s="49" t="str">
        <f aca="false">IF(OR(Q163="",AM163=""),"",60+2*Q163-AM163)</f>
        <v/>
      </c>
      <c r="AO163" s="49" t="str">
        <f aca="false">IF(OR(G163="",AJ163=""),"",AJ163-G163)</f>
        <v/>
      </c>
      <c r="AP163" s="50" t="str">
        <f aca="false">IF(AND(A163="",B163=""),"",IF(J163="","Status needed",IF(OR(J163="Applied",J163="Visit booked",J163="Withdrawn"),"OK",IF(G163="","Date assessed needed",IF(C163="","Date of birth needed",IF(COUNTA(L163,M163,P163,U163,V163,X163)&lt;6,"Band missing",IF(AND(OR(J163="Decision confirmed",J163="Family told",J163="Enrolled"),AG163=""),"Recommendation needed",IF(AND(OR(J163="Family told",J163="Enrolled"),AJ163=""),"Date family told needed","OK"))))))))</f>
        <v/>
      </c>
    </row>
    <row r="164" customFormat="false" ht="15" hidden="false" customHeight="false" outlineLevel="0" collapsed="false">
      <c r="A164" s="7"/>
      <c r="B164" s="7"/>
      <c r="C164" s="46"/>
      <c r="D164" s="7"/>
      <c r="E164" s="47"/>
      <c r="F164" s="46"/>
      <c r="G164" s="46"/>
      <c r="H164" s="7"/>
      <c r="I164" s="7"/>
      <c r="J164" s="47"/>
      <c r="K164" s="47"/>
      <c r="L164" s="47"/>
      <c r="M164" s="47"/>
      <c r="N164" s="47"/>
      <c r="O164" s="10"/>
      <c r="P164" s="47"/>
      <c r="Q164" s="47"/>
      <c r="R164" s="48" t="str">
        <f aca="false">IF(Q164="","",IF(Q164=0,"below 5:00",IF(Q164&gt;=66,"16:00 or above",INT((60+2*Q164)/12)&amp;":"&amp;TEXT(MOD(60+2*Q164,12),"00"))))</f>
        <v/>
      </c>
      <c r="S164" s="47"/>
      <c r="T164" s="47"/>
      <c r="U164" s="47"/>
      <c r="V164" s="47"/>
      <c r="W164" s="47"/>
      <c r="X164" s="47"/>
      <c r="Y164" s="47"/>
      <c r="Z164" s="47"/>
      <c r="AA164" s="10"/>
      <c r="AB164" s="10"/>
      <c r="AC164" s="47"/>
      <c r="AD164" s="47"/>
      <c r="AE164" s="47"/>
      <c r="AF164" s="47"/>
      <c r="AG164" s="47"/>
      <c r="AH164" s="47"/>
      <c r="AI164" s="46"/>
      <c r="AJ164" s="46"/>
      <c r="AK164" s="46"/>
      <c r="AL164" s="7"/>
      <c r="AM164" s="49" t="str">
        <f aca="false">IF(OR(C164="",G164=""),"",IFERROR(DATEDIF(C164,G164,"m"),""))</f>
        <v/>
      </c>
      <c r="AN164" s="49" t="str">
        <f aca="false">IF(OR(Q164="",AM164=""),"",60+2*Q164-AM164)</f>
        <v/>
      </c>
      <c r="AO164" s="49" t="str">
        <f aca="false">IF(OR(G164="",AJ164=""),"",AJ164-G164)</f>
        <v/>
      </c>
      <c r="AP164" s="50" t="str">
        <f aca="false">IF(AND(A164="",B164=""),"",IF(J164="","Status needed",IF(OR(J164="Applied",J164="Visit booked",J164="Withdrawn"),"OK",IF(G164="","Date assessed needed",IF(C164="","Date of birth needed",IF(COUNTA(L164,M164,P164,U164,V164,X164)&lt;6,"Band missing",IF(AND(OR(J164="Decision confirmed",J164="Family told",J164="Enrolled"),AG164=""),"Recommendation needed",IF(AND(OR(J164="Family told",J164="Enrolled"),AJ164=""),"Date family told needed","OK"))))))))</f>
        <v/>
      </c>
    </row>
    <row r="165" customFormat="false" ht="15" hidden="false" customHeight="false" outlineLevel="0" collapsed="false">
      <c r="A165" s="7"/>
      <c r="B165" s="7"/>
      <c r="C165" s="46"/>
      <c r="D165" s="7"/>
      <c r="E165" s="47"/>
      <c r="F165" s="46"/>
      <c r="G165" s="46"/>
      <c r="H165" s="7"/>
      <c r="I165" s="7"/>
      <c r="J165" s="47"/>
      <c r="K165" s="47"/>
      <c r="L165" s="47"/>
      <c r="M165" s="47"/>
      <c r="N165" s="47"/>
      <c r="O165" s="10"/>
      <c r="P165" s="47"/>
      <c r="Q165" s="47"/>
      <c r="R165" s="48" t="str">
        <f aca="false">IF(Q165="","",IF(Q165=0,"below 5:00",IF(Q165&gt;=66,"16:00 or above",INT((60+2*Q165)/12)&amp;":"&amp;TEXT(MOD(60+2*Q165,12),"00"))))</f>
        <v/>
      </c>
      <c r="S165" s="47"/>
      <c r="T165" s="47"/>
      <c r="U165" s="47"/>
      <c r="V165" s="47"/>
      <c r="W165" s="47"/>
      <c r="X165" s="47"/>
      <c r="Y165" s="47"/>
      <c r="Z165" s="47"/>
      <c r="AA165" s="10"/>
      <c r="AB165" s="10"/>
      <c r="AC165" s="47"/>
      <c r="AD165" s="47"/>
      <c r="AE165" s="47"/>
      <c r="AF165" s="47"/>
      <c r="AG165" s="47"/>
      <c r="AH165" s="47"/>
      <c r="AI165" s="46"/>
      <c r="AJ165" s="46"/>
      <c r="AK165" s="46"/>
      <c r="AL165" s="7"/>
      <c r="AM165" s="49" t="str">
        <f aca="false">IF(OR(C165="",G165=""),"",IFERROR(DATEDIF(C165,G165,"m"),""))</f>
        <v/>
      </c>
      <c r="AN165" s="49" t="str">
        <f aca="false">IF(OR(Q165="",AM165=""),"",60+2*Q165-AM165)</f>
        <v/>
      </c>
      <c r="AO165" s="49" t="str">
        <f aca="false">IF(OR(G165="",AJ165=""),"",AJ165-G165)</f>
        <v/>
      </c>
      <c r="AP165" s="50" t="str">
        <f aca="false">IF(AND(A165="",B165=""),"",IF(J165="","Status needed",IF(OR(J165="Applied",J165="Visit booked",J165="Withdrawn"),"OK",IF(G165="","Date assessed needed",IF(C165="","Date of birth needed",IF(COUNTA(L165,M165,P165,U165,V165,X165)&lt;6,"Band missing",IF(AND(OR(J165="Decision confirmed",J165="Family told",J165="Enrolled"),AG165=""),"Recommendation needed",IF(AND(OR(J165="Family told",J165="Enrolled"),AJ165=""),"Date family told needed","OK"))))))))</f>
        <v/>
      </c>
    </row>
    <row r="166" customFormat="false" ht="15" hidden="false" customHeight="false" outlineLevel="0" collapsed="false">
      <c r="A166" s="7"/>
      <c r="B166" s="7"/>
      <c r="C166" s="46"/>
      <c r="D166" s="7"/>
      <c r="E166" s="47"/>
      <c r="F166" s="46"/>
      <c r="G166" s="46"/>
      <c r="H166" s="7"/>
      <c r="I166" s="7"/>
      <c r="J166" s="47"/>
      <c r="K166" s="47"/>
      <c r="L166" s="47"/>
      <c r="M166" s="47"/>
      <c r="N166" s="47"/>
      <c r="O166" s="10"/>
      <c r="P166" s="47"/>
      <c r="Q166" s="47"/>
      <c r="R166" s="48" t="str">
        <f aca="false">IF(Q166="","",IF(Q166=0,"below 5:00",IF(Q166&gt;=66,"16:00 or above",INT((60+2*Q166)/12)&amp;":"&amp;TEXT(MOD(60+2*Q166,12),"00"))))</f>
        <v/>
      </c>
      <c r="S166" s="47"/>
      <c r="T166" s="47"/>
      <c r="U166" s="47"/>
      <c r="V166" s="47"/>
      <c r="W166" s="47"/>
      <c r="X166" s="47"/>
      <c r="Y166" s="47"/>
      <c r="Z166" s="47"/>
      <c r="AA166" s="10"/>
      <c r="AB166" s="10"/>
      <c r="AC166" s="47"/>
      <c r="AD166" s="47"/>
      <c r="AE166" s="47"/>
      <c r="AF166" s="47"/>
      <c r="AG166" s="47"/>
      <c r="AH166" s="47"/>
      <c r="AI166" s="46"/>
      <c r="AJ166" s="46"/>
      <c r="AK166" s="46"/>
      <c r="AL166" s="7"/>
      <c r="AM166" s="49" t="str">
        <f aca="false">IF(OR(C166="",G166=""),"",IFERROR(DATEDIF(C166,G166,"m"),""))</f>
        <v/>
      </c>
      <c r="AN166" s="49" t="str">
        <f aca="false">IF(OR(Q166="",AM166=""),"",60+2*Q166-AM166)</f>
        <v/>
      </c>
      <c r="AO166" s="49" t="str">
        <f aca="false">IF(OR(G166="",AJ166=""),"",AJ166-G166)</f>
        <v/>
      </c>
      <c r="AP166" s="50" t="str">
        <f aca="false">IF(AND(A166="",B166=""),"",IF(J166="","Status needed",IF(OR(J166="Applied",J166="Visit booked",J166="Withdrawn"),"OK",IF(G166="","Date assessed needed",IF(C166="","Date of birth needed",IF(COUNTA(L166,M166,P166,U166,V166,X166)&lt;6,"Band missing",IF(AND(OR(J166="Decision confirmed",J166="Family told",J166="Enrolled"),AG166=""),"Recommendation needed",IF(AND(OR(J166="Family told",J166="Enrolled"),AJ166=""),"Date family told needed","OK"))))))))</f>
        <v/>
      </c>
    </row>
    <row r="167" customFormat="false" ht="15" hidden="false" customHeight="false" outlineLevel="0" collapsed="false">
      <c r="A167" s="7"/>
      <c r="B167" s="7"/>
      <c r="C167" s="46"/>
      <c r="D167" s="7"/>
      <c r="E167" s="47"/>
      <c r="F167" s="46"/>
      <c r="G167" s="46"/>
      <c r="H167" s="7"/>
      <c r="I167" s="7"/>
      <c r="J167" s="47"/>
      <c r="K167" s="47"/>
      <c r="L167" s="47"/>
      <c r="M167" s="47"/>
      <c r="N167" s="47"/>
      <c r="O167" s="10"/>
      <c r="P167" s="47"/>
      <c r="Q167" s="47"/>
      <c r="R167" s="48" t="str">
        <f aca="false">IF(Q167="","",IF(Q167=0,"below 5:00",IF(Q167&gt;=66,"16:00 or above",INT((60+2*Q167)/12)&amp;":"&amp;TEXT(MOD(60+2*Q167,12),"00"))))</f>
        <v/>
      </c>
      <c r="S167" s="47"/>
      <c r="T167" s="47"/>
      <c r="U167" s="47"/>
      <c r="V167" s="47"/>
      <c r="W167" s="47"/>
      <c r="X167" s="47"/>
      <c r="Y167" s="47"/>
      <c r="Z167" s="47"/>
      <c r="AA167" s="10"/>
      <c r="AB167" s="10"/>
      <c r="AC167" s="47"/>
      <c r="AD167" s="47"/>
      <c r="AE167" s="47"/>
      <c r="AF167" s="47"/>
      <c r="AG167" s="47"/>
      <c r="AH167" s="47"/>
      <c r="AI167" s="46"/>
      <c r="AJ167" s="46"/>
      <c r="AK167" s="46"/>
      <c r="AL167" s="7"/>
      <c r="AM167" s="49" t="str">
        <f aca="false">IF(OR(C167="",G167=""),"",IFERROR(DATEDIF(C167,G167,"m"),""))</f>
        <v/>
      </c>
      <c r="AN167" s="49" t="str">
        <f aca="false">IF(OR(Q167="",AM167=""),"",60+2*Q167-AM167)</f>
        <v/>
      </c>
      <c r="AO167" s="49" t="str">
        <f aca="false">IF(OR(G167="",AJ167=""),"",AJ167-G167)</f>
        <v/>
      </c>
      <c r="AP167" s="50" t="str">
        <f aca="false">IF(AND(A167="",B167=""),"",IF(J167="","Status needed",IF(OR(J167="Applied",J167="Visit booked",J167="Withdrawn"),"OK",IF(G167="","Date assessed needed",IF(C167="","Date of birth needed",IF(COUNTA(L167,M167,P167,U167,V167,X167)&lt;6,"Band missing",IF(AND(OR(J167="Decision confirmed",J167="Family told",J167="Enrolled"),AG167=""),"Recommendation needed",IF(AND(OR(J167="Family told",J167="Enrolled"),AJ167=""),"Date family told needed","OK"))))))))</f>
        <v/>
      </c>
    </row>
    <row r="168" customFormat="false" ht="15" hidden="false" customHeight="false" outlineLevel="0" collapsed="false">
      <c r="A168" s="7"/>
      <c r="B168" s="7"/>
      <c r="C168" s="46"/>
      <c r="D168" s="7"/>
      <c r="E168" s="47"/>
      <c r="F168" s="46"/>
      <c r="G168" s="46"/>
      <c r="H168" s="7"/>
      <c r="I168" s="7"/>
      <c r="J168" s="47"/>
      <c r="K168" s="47"/>
      <c r="L168" s="47"/>
      <c r="M168" s="47"/>
      <c r="N168" s="47"/>
      <c r="O168" s="10"/>
      <c r="P168" s="47"/>
      <c r="Q168" s="47"/>
      <c r="R168" s="48" t="str">
        <f aca="false">IF(Q168="","",IF(Q168=0,"below 5:00",IF(Q168&gt;=66,"16:00 or above",INT((60+2*Q168)/12)&amp;":"&amp;TEXT(MOD(60+2*Q168,12),"00"))))</f>
        <v/>
      </c>
      <c r="S168" s="47"/>
      <c r="T168" s="47"/>
      <c r="U168" s="47"/>
      <c r="V168" s="47"/>
      <c r="W168" s="47"/>
      <c r="X168" s="47"/>
      <c r="Y168" s="47"/>
      <c r="Z168" s="47"/>
      <c r="AA168" s="10"/>
      <c r="AB168" s="10"/>
      <c r="AC168" s="47"/>
      <c r="AD168" s="47"/>
      <c r="AE168" s="47"/>
      <c r="AF168" s="47"/>
      <c r="AG168" s="47"/>
      <c r="AH168" s="47"/>
      <c r="AI168" s="46"/>
      <c r="AJ168" s="46"/>
      <c r="AK168" s="46"/>
      <c r="AL168" s="7"/>
      <c r="AM168" s="49" t="str">
        <f aca="false">IF(OR(C168="",G168=""),"",IFERROR(DATEDIF(C168,G168,"m"),""))</f>
        <v/>
      </c>
      <c r="AN168" s="49" t="str">
        <f aca="false">IF(OR(Q168="",AM168=""),"",60+2*Q168-AM168)</f>
        <v/>
      </c>
      <c r="AO168" s="49" t="str">
        <f aca="false">IF(OR(G168="",AJ168=""),"",AJ168-G168)</f>
        <v/>
      </c>
      <c r="AP168" s="50" t="str">
        <f aca="false">IF(AND(A168="",B168=""),"",IF(J168="","Status needed",IF(OR(J168="Applied",J168="Visit booked",J168="Withdrawn"),"OK",IF(G168="","Date assessed needed",IF(C168="","Date of birth needed",IF(COUNTA(L168,M168,P168,U168,V168,X168)&lt;6,"Band missing",IF(AND(OR(J168="Decision confirmed",J168="Family told",J168="Enrolled"),AG168=""),"Recommendation needed",IF(AND(OR(J168="Family told",J168="Enrolled"),AJ168=""),"Date family told needed","OK"))))))))</f>
        <v/>
      </c>
    </row>
    <row r="169" customFormat="false" ht="15" hidden="false" customHeight="false" outlineLevel="0" collapsed="false">
      <c r="A169" s="7"/>
      <c r="B169" s="7"/>
      <c r="C169" s="46"/>
      <c r="D169" s="7"/>
      <c r="E169" s="47"/>
      <c r="F169" s="46"/>
      <c r="G169" s="46"/>
      <c r="H169" s="7"/>
      <c r="I169" s="7"/>
      <c r="J169" s="47"/>
      <c r="K169" s="47"/>
      <c r="L169" s="47"/>
      <c r="M169" s="47"/>
      <c r="N169" s="47"/>
      <c r="O169" s="10"/>
      <c r="P169" s="47"/>
      <c r="Q169" s="47"/>
      <c r="R169" s="48" t="str">
        <f aca="false">IF(Q169="","",IF(Q169=0,"below 5:00",IF(Q169&gt;=66,"16:00 or above",INT((60+2*Q169)/12)&amp;":"&amp;TEXT(MOD(60+2*Q169,12),"00"))))</f>
        <v/>
      </c>
      <c r="S169" s="47"/>
      <c r="T169" s="47"/>
      <c r="U169" s="47"/>
      <c r="V169" s="47"/>
      <c r="W169" s="47"/>
      <c r="X169" s="47"/>
      <c r="Y169" s="47"/>
      <c r="Z169" s="47"/>
      <c r="AA169" s="10"/>
      <c r="AB169" s="10"/>
      <c r="AC169" s="47"/>
      <c r="AD169" s="47"/>
      <c r="AE169" s="47"/>
      <c r="AF169" s="47"/>
      <c r="AG169" s="47"/>
      <c r="AH169" s="47"/>
      <c r="AI169" s="46"/>
      <c r="AJ169" s="46"/>
      <c r="AK169" s="46"/>
      <c r="AL169" s="7"/>
      <c r="AM169" s="49" t="str">
        <f aca="false">IF(OR(C169="",G169=""),"",IFERROR(DATEDIF(C169,G169,"m"),""))</f>
        <v/>
      </c>
      <c r="AN169" s="49" t="str">
        <f aca="false">IF(OR(Q169="",AM169=""),"",60+2*Q169-AM169)</f>
        <v/>
      </c>
      <c r="AO169" s="49" t="str">
        <f aca="false">IF(OR(G169="",AJ169=""),"",AJ169-G169)</f>
        <v/>
      </c>
      <c r="AP169" s="50" t="str">
        <f aca="false">IF(AND(A169="",B169=""),"",IF(J169="","Status needed",IF(OR(J169="Applied",J169="Visit booked",J169="Withdrawn"),"OK",IF(G169="","Date assessed needed",IF(C169="","Date of birth needed",IF(COUNTA(L169,M169,P169,U169,V169,X169)&lt;6,"Band missing",IF(AND(OR(J169="Decision confirmed",J169="Family told",J169="Enrolled"),AG169=""),"Recommendation needed",IF(AND(OR(J169="Family told",J169="Enrolled"),AJ169=""),"Date family told needed","OK"))))))))</f>
        <v/>
      </c>
    </row>
    <row r="170" customFormat="false" ht="15" hidden="false" customHeight="false" outlineLevel="0" collapsed="false">
      <c r="A170" s="7"/>
      <c r="B170" s="7"/>
      <c r="C170" s="46"/>
      <c r="D170" s="7"/>
      <c r="E170" s="47"/>
      <c r="F170" s="46"/>
      <c r="G170" s="46"/>
      <c r="H170" s="7"/>
      <c r="I170" s="7"/>
      <c r="J170" s="47"/>
      <c r="K170" s="47"/>
      <c r="L170" s="47"/>
      <c r="M170" s="47"/>
      <c r="N170" s="47"/>
      <c r="O170" s="10"/>
      <c r="P170" s="47"/>
      <c r="Q170" s="47"/>
      <c r="R170" s="48" t="str">
        <f aca="false">IF(Q170="","",IF(Q170=0,"below 5:00",IF(Q170&gt;=66,"16:00 or above",INT((60+2*Q170)/12)&amp;":"&amp;TEXT(MOD(60+2*Q170,12),"00"))))</f>
        <v/>
      </c>
      <c r="S170" s="47"/>
      <c r="T170" s="47"/>
      <c r="U170" s="47"/>
      <c r="V170" s="47"/>
      <c r="W170" s="47"/>
      <c r="X170" s="47"/>
      <c r="Y170" s="47"/>
      <c r="Z170" s="47"/>
      <c r="AA170" s="10"/>
      <c r="AB170" s="10"/>
      <c r="AC170" s="47"/>
      <c r="AD170" s="47"/>
      <c r="AE170" s="47"/>
      <c r="AF170" s="47"/>
      <c r="AG170" s="47"/>
      <c r="AH170" s="47"/>
      <c r="AI170" s="46"/>
      <c r="AJ170" s="46"/>
      <c r="AK170" s="46"/>
      <c r="AL170" s="7"/>
      <c r="AM170" s="49" t="str">
        <f aca="false">IF(OR(C170="",G170=""),"",IFERROR(DATEDIF(C170,G170,"m"),""))</f>
        <v/>
      </c>
      <c r="AN170" s="49" t="str">
        <f aca="false">IF(OR(Q170="",AM170=""),"",60+2*Q170-AM170)</f>
        <v/>
      </c>
      <c r="AO170" s="49" t="str">
        <f aca="false">IF(OR(G170="",AJ170=""),"",AJ170-G170)</f>
        <v/>
      </c>
      <c r="AP170" s="50" t="str">
        <f aca="false">IF(AND(A170="",B170=""),"",IF(J170="","Status needed",IF(OR(J170="Applied",J170="Visit booked",J170="Withdrawn"),"OK",IF(G170="","Date assessed needed",IF(C170="","Date of birth needed",IF(COUNTA(L170,M170,P170,U170,V170,X170)&lt;6,"Band missing",IF(AND(OR(J170="Decision confirmed",J170="Family told",J170="Enrolled"),AG170=""),"Recommendation needed",IF(AND(OR(J170="Family told",J170="Enrolled"),AJ170=""),"Date family told needed","OK"))))))))</f>
        <v/>
      </c>
    </row>
    <row r="171" customFormat="false" ht="15" hidden="false" customHeight="false" outlineLevel="0" collapsed="false">
      <c r="A171" s="7"/>
      <c r="B171" s="7"/>
      <c r="C171" s="46"/>
      <c r="D171" s="7"/>
      <c r="E171" s="47"/>
      <c r="F171" s="46"/>
      <c r="G171" s="46"/>
      <c r="H171" s="7"/>
      <c r="I171" s="7"/>
      <c r="J171" s="47"/>
      <c r="K171" s="47"/>
      <c r="L171" s="47"/>
      <c r="M171" s="47"/>
      <c r="N171" s="47"/>
      <c r="O171" s="10"/>
      <c r="P171" s="47"/>
      <c r="Q171" s="47"/>
      <c r="R171" s="48" t="str">
        <f aca="false">IF(Q171="","",IF(Q171=0,"below 5:00",IF(Q171&gt;=66,"16:00 or above",INT((60+2*Q171)/12)&amp;":"&amp;TEXT(MOD(60+2*Q171,12),"00"))))</f>
        <v/>
      </c>
      <c r="S171" s="47"/>
      <c r="T171" s="47"/>
      <c r="U171" s="47"/>
      <c r="V171" s="47"/>
      <c r="W171" s="47"/>
      <c r="X171" s="47"/>
      <c r="Y171" s="47"/>
      <c r="Z171" s="47"/>
      <c r="AA171" s="10"/>
      <c r="AB171" s="10"/>
      <c r="AC171" s="47"/>
      <c r="AD171" s="47"/>
      <c r="AE171" s="47"/>
      <c r="AF171" s="47"/>
      <c r="AG171" s="47"/>
      <c r="AH171" s="47"/>
      <c r="AI171" s="46"/>
      <c r="AJ171" s="46"/>
      <c r="AK171" s="46"/>
      <c r="AL171" s="7"/>
      <c r="AM171" s="49" t="str">
        <f aca="false">IF(OR(C171="",G171=""),"",IFERROR(DATEDIF(C171,G171,"m"),""))</f>
        <v/>
      </c>
      <c r="AN171" s="49" t="str">
        <f aca="false">IF(OR(Q171="",AM171=""),"",60+2*Q171-AM171)</f>
        <v/>
      </c>
      <c r="AO171" s="49" t="str">
        <f aca="false">IF(OR(G171="",AJ171=""),"",AJ171-G171)</f>
        <v/>
      </c>
      <c r="AP171" s="50" t="str">
        <f aca="false">IF(AND(A171="",B171=""),"",IF(J171="","Status needed",IF(OR(J171="Applied",J171="Visit booked",J171="Withdrawn"),"OK",IF(G171="","Date assessed needed",IF(C171="","Date of birth needed",IF(COUNTA(L171,M171,P171,U171,V171,X171)&lt;6,"Band missing",IF(AND(OR(J171="Decision confirmed",J171="Family told",J171="Enrolled"),AG171=""),"Recommendation needed",IF(AND(OR(J171="Family told",J171="Enrolled"),AJ171=""),"Date family told needed","OK"))))))))</f>
        <v/>
      </c>
    </row>
    <row r="172" customFormat="false" ht="15" hidden="false" customHeight="false" outlineLevel="0" collapsed="false">
      <c r="A172" s="7"/>
      <c r="B172" s="7"/>
      <c r="C172" s="46"/>
      <c r="D172" s="7"/>
      <c r="E172" s="47"/>
      <c r="F172" s="46"/>
      <c r="G172" s="46"/>
      <c r="H172" s="7"/>
      <c r="I172" s="7"/>
      <c r="J172" s="47"/>
      <c r="K172" s="47"/>
      <c r="L172" s="47"/>
      <c r="M172" s="47"/>
      <c r="N172" s="47"/>
      <c r="O172" s="10"/>
      <c r="P172" s="47"/>
      <c r="Q172" s="47"/>
      <c r="R172" s="48" t="str">
        <f aca="false">IF(Q172="","",IF(Q172=0,"below 5:00",IF(Q172&gt;=66,"16:00 or above",INT((60+2*Q172)/12)&amp;":"&amp;TEXT(MOD(60+2*Q172,12),"00"))))</f>
        <v/>
      </c>
      <c r="S172" s="47"/>
      <c r="T172" s="47"/>
      <c r="U172" s="47"/>
      <c r="V172" s="47"/>
      <c r="W172" s="47"/>
      <c r="X172" s="47"/>
      <c r="Y172" s="47"/>
      <c r="Z172" s="47"/>
      <c r="AA172" s="10"/>
      <c r="AB172" s="10"/>
      <c r="AC172" s="47"/>
      <c r="AD172" s="47"/>
      <c r="AE172" s="47"/>
      <c r="AF172" s="47"/>
      <c r="AG172" s="47"/>
      <c r="AH172" s="47"/>
      <c r="AI172" s="46"/>
      <c r="AJ172" s="46"/>
      <c r="AK172" s="46"/>
      <c r="AL172" s="7"/>
      <c r="AM172" s="49" t="str">
        <f aca="false">IF(OR(C172="",G172=""),"",IFERROR(DATEDIF(C172,G172,"m"),""))</f>
        <v/>
      </c>
      <c r="AN172" s="49" t="str">
        <f aca="false">IF(OR(Q172="",AM172=""),"",60+2*Q172-AM172)</f>
        <v/>
      </c>
      <c r="AO172" s="49" t="str">
        <f aca="false">IF(OR(G172="",AJ172=""),"",AJ172-G172)</f>
        <v/>
      </c>
      <c r="AP172" s="50" t="str">
        <f aca="false">IF(AND(A172="",B172=""),"",IF(J172="","Status needed",IF(OR(J172="Applied",J172="Visit booked",J172="Withdrawn"),"OK",IF(G172="","Date assessed needed",IF(C172="","Date of birth needed",IF(COUNTA(L172,M172,P172,U172,V172,X172)&lt;6,"Band missing",IF(AND(OR(J172="Decision confirmed",J172="Family told",J172="Enrolled"),AG172=""),"Recommendation needed",IF(AND(OR(J172="Family told",J172="Enrolled"),AJ172=""),"Date family told needed","OK"))))))))</f>
        <v/>
      </c>
    </row>
    <row r="173" customFormat="false" ht="15" hidden="false" customHeight="false" outlineLevel="0" collapsed="false">
      <c r="A173" s="7"/>
      <c r="B173" s="7"/>
      <c r="C173" s="46"/>
      <c r="D173" s="7"/>
      <c r="E173" s="47"/>
      <c r="F173" s="46"/>
      <c r="G173" s="46"/>
      <c r="H173" s="7"/>
      <c r="I173" s="7"/>
      <c r="J173" s="47"/>
      <c r="K173" s="47"/>
      <c r="L173" s="47"/>
      <c r="M173" s="47"/>
      <c r="N173" s="47"/>
      <c r="O173" s="10"/>
      <c r="P173" s="47"/>
      <c r="Q173" s="47"/>
      <c r="R173" s="48" t="str">
        <f aca="false">IF(Q173="","",IF(Q173=0,"below 5:00",IF(Q173&gt;=66,"16:00 or above",INT((60+2*Q173)/12)&amp;":"&amp;TEXT(MOD(60+2*Q173,12),"00"))))</f>
        <v/>
      </c>
      <c r="S173" s="47"/>
      <c r="T173" s="47"/>
      <c r="U173" s="47"/>
      <c r="V173" s="47"/>
      <c r="W173" s="47"/>
      <c r="X173" s="47"/>
      <c r="Y173" s="47"/>
      <c r="Z173" s="47"/>
      <c r="AA173" s="10"/>
      <c r="AB173" s="10"/>
      <c r="AC173" s="47"/>
      <c r="AD173" s="47"/>
      <c r="AE173" s="47"/>
      <c r="AF173" s="47"/>
      <c r="AG173" s="47"/>
      <c r="AH173" s="47"/>
      <c r="AI173" s="46"/>
      <c r="AJ173" s="46"/>
      <c r="AK173" s="46"/>
      <c r="AL173" s="7"/>
      <c r="AM173" s="49" t="str">
        <f aca="false">IF(OR(C173="",G173=""),"",IFERROR(DATEDIF(C173,G173,"m"),""))</f>
        <v/>
      </c>
      <c r="AN173" s="49" t="str">
        <f aca="false">IF(OR(Q173="",AM173=""),"",60+2*Q173-AM173)</f>
        <v/>
      </c>
      <c r="AO173" s="49" t="str">
        <f aca="false">IF(OR(G173="",AJ173=""),"",AJ173-G173)</f>
        <v/>
      </c>
      <c r="AP173" s="50" t="str">
        <f aca="false">IF(AND(A173="",B173=""),"",IF(J173="","Status needed",IF(OR(J173="Applied",J173="Visit booked",J173="Withdrawn"),"OK",IF(G173="","Date assessed needed",IF(C173="","Date of birth needed",IF(COUNTA(L173,M173,P173,U173,V173,X173)&lt;6,"Band missing",IF(AND(OR(J173="Decision confirmed",J173="Family told",J173="Enrolled"),AG173=""),"Recommendation needed",IF(AND(OR(J173="Family told",J173="Enrolled"),AJ173=""),"Date family told needed","OK"))))))))</f>
        <v/>
      </c>
    </row>
    <row r="174" customFormat="false" ht="15" hidden="false" customHeight="false" outlineLevel="0" collapsed="false">
      <c r="A174" s="7"/>
      <c r="B174" s="7"/>
      <c r="C174" s="46"/>
      <c r="D174" s="7"/>
      <c r="E174" s="47"/>
      <c r="F174" s="46"/>
      <c r="G174" s="46"/>
      <c r="H174" s="7"/>
      <c r="I174" s="7"/>
      <c r="J174" s="47"/>
      <c r="K174" s="47"/>
      <c r="L174" s="47"/>
      <c r="M174" s="47"/>
      <c r="N174" s="47"/>
      <c r="O174" s="10"/>
      <c r="P174" s="47"/>
      <c r="Q174" s="47"/>
      <c r="R174" s="48" t="str">
        <f aca="false">IF(Q174="","",IF(Q174=0,"below 5:00",IF(Q174&gt;=66,"16:00 or above",INT((60+2*Q174)/12)&amp;":"&amp;TEXT(MOD(60+2*Q174,12),"00"))))</f>
        <v/>
      </c>
      <c r="S174" s="47"/>
      <c r="T174" s="47"/>
      <c r="U174" s="47"/>
      <c r="V174" s="47"/>
      <c r="W174" s="47"/>
      <c r="X174" s="47"/>
      <c r="Y174" s="47"/>
      <c r="Z174" s="47"/>
      <c r="AA174" s="10"/>
      <c r="AB174" s="10"/>
      <c r="AC174" s="47"/>
      <c r="AD174" s="47"/>
      <c r="AE174" s="47"/>
      <c r="AF174" s="47"/>
      <c r="AG174" s="47"/>
      <c r="AH174" s="47"/>
      <c r="AI174" s="46"/>
      <c r="AJ174" s="46"/>
      <c r="AK174" s="46"/>
      <c r="AL174" s="7"/>
      <c r="AM174" s="49" t="str">
        <f aca="false">IF(OR(C174="",G174=""),"",IFERROR(DATEDIF(C174,G174,"m"),""))</f>
        <v/>
      </c>
      <c r="AN174" s="49" t="str">
        <f aca="false">IF(OR(Q174="",AM174=""),"",60+2*Q174-AM174)</f>
        <v/>
      </c>
      <c r="AO174" s="49" t="str">
        <f aca="false">IF(OR(G174="",AJ174=""),"",AJ174-G174)</f>
        <v/>
      </c>
      <c r="AP174" s="50" t="str">
        <f aca="false">IF(AND(A174="",B174=""),"",IF(J174="","Status needed",IF(OR(J174="Applied",J174="Visit booked",J174="Withdrawn"),"OK",IF(G174="","Date assessed needed",IF(C174="","Date of birth needed",IF(COUNTA(L174,M174,P174,U174,V174,X174)&lt;6,"Band missing",IF(AND(OR(J174="Decision confirmed",J174="Family told",J174="Enrolled"),AG174=""),"Recommendation needed",IF(AND(OR(J174="Family told",J174="Enrolled"),AJ174=""),"Date family told needed","OK"))))))))</f>
        <v/>
      </c>
    </row>
    <row r="175" customFormat="false" ht="15" hidden="false" customHeight="false" outlineLevel="0" collapsed="false">
      <c r="A175" s="7"/>
      <c r="B175" s="7"/>
      <c r="C175" s="46"/>
      <c r="D175" s="7"/>
      <c r="E175" s="47"/>
      <c r="F175" s="46"/>
      <c r="G175" s="46"/>
      <c r="H175" s="7"/>
      <c r="I175" s="7"/>
      <c r="J175" s="47"/>
      <c r="K175" s="47"/>
      <c r="L175" s="47"/>
      <c r="M175" s="47"/>
      <c r="N175" s="47"/>
      <c r="O175" s="10"/>
      <c r="P175" s="47"/>
      <c r="Q175" s="47"/>
      <c r="R175" s="48" t="str">
        <f aca="false">IF(Q175="","",IF(Q175=0,"below 5:00",IF(Q175&gt;=66,"16:00 or above",INT((60+2*Q175)/12)&amp;":"&amp;TEXT(MOD(60+2*Q175,12),"00"))))</f>
        <v/>
      </c>
      <c r="S175" s="47"/>
      <c r="T175" s="47"/>
      <c r="U175" s="47"/>
      <c r="V175" s="47"/>
      <c r="W175" s="47"/>
      <c r="X175" s="47"/>
      <c r="Y175" s="47"/>
      <c r="Z175" s="47"/>
      <c r="AA175" s="10"/>
      <c r="AB175" s="10"/>
      <c r="AC175" s="47"/>
      <c r="AD175" s="47"/>
      <c r="AE175" s="47"/>
      <c r="AF175" s="47"/>
      <c r="AG175" s="47"/>
      <c r="AH175" s="47"/>
      <c r="AI175" s="46"/>
      <c r="AJ175" s="46"/>
      <c r="AK175" s="46"/>
      <c r="AL175" s="7"/>
      <c r="AM175" s="49" t="str">
        <f aca="false">IF(OR(C175="",G175=""),"",IFERROR(DATEDIF(C175,G175,"m"),""))</f>
        <v/>
      </c>
      <c r="AN175" s="49" t="str">
        <f aca="false">IF(OR(Q175="",AM175=""),"",60+2*Q175-AM175)</f>
        <v/>
      </c>
      <c r="AO175" s="49" t="str">
        <f aca="false">IF(OR(G175="",AJ175=""),"",AJ175-G175)</f>
        <v/>
      </c>
      <c r="AP175" s="50" t="str">
        <f aca="false">IF(AND(A175="",B175=""),"",IF(J175="","Status needed",IF(OR(J175="Applied",J175="Visit booked",J175="Withdrawn"),"OK",IF(G175="","Date assessed needed",IF(C175="","Date of birth needed",IF(COUNTA(L175,M175,P175,U175,V175,X175)&lt;6,"Band missing",IF(AND(OR(J175="Decision confirmed",J175="Family told",J175="Enrolled"),AG175=""),"Recommendation needed",IF(AND(OR(J175="Family told",J175="Enrolled"),AJ175=""),"Date family told needed","OK"))))))))</f>
        <v/>
      </c>
    </row>
    <row r="176" customFormat="false" ht="15" hidden="false" customHeight="false" outlineLevel="0" collapsed="false">
      <c r="A176" s="7"/>
      <c r="B176" s="7"/>
      <c r="C176" s="46"/>
      <c r="D176" s="7"/>
      <c r="E176" s="47"/>
      <c r="F176" s="46"/>
      <c r="G176" s="46"/>
      <c r="H176" s="7"/>
      <c r="I176" s="7"/>
      <c r="J176" s="47"/>
      <c r="K176" s="47"/>
      <c r="L176" s="47"/>
      <c r="M176" s="47"/>
      <c r="N176" s="47"/>
      <c r="O176" s="10"/>
      <c r="P176" s="47"/>
      <c r="Q176" s="47"/>
      <c r="R176" s="48" t="str">
        <f aca="false">IF(Q176="","",IF(Q176=0,"below 5:00",IF(Q176&gt;=66,"16:00 or above",INT((60+2*Q176)/12)&amp;":"&amp;TEXT(MOD(60+2*Q176,12),"00"))))</f>
        <v/>
      </c>
      <c r="S176" s="47"/>
      <c r="T176" s="47"/>
      <c r="U176" s="47"/>
      <c r="V176" s="47"/>
      <c r="W176" s="47"/>
      <c r="X176" s="47"/>
      <c r="Y176" s="47"/>
      <c r="Z176" s="47"/>
      <c r="AA176" s="10"/>
      <c r="AB176" s="10"/>
      <c r="AC176" s="47"/>
      <c r="AD176" s="47"/>
      <c r="AE176" s="47"/>
      <c r="AF176" s="47"/>
      <c r="AG176" s="47"/>
      <c r="AH176" s="47"/>
      <c r="AI176" s="46"/>
      <c r="AJ176" s="46"/>
      <c r="AK176" s="46"/>
      <c r="AL176" s="7"/>
      <c r="AM176" s="49" t="str">
        <f aca="false">IF(OR(C176="",G176=""),"",IFERROR(DATEDIF(C176,G176,"m"),""))</f>
        <v/>
      </c>
      <c r="AN176" s="49" t="str">
        <f aca="false">IF(OR(Q176="",AM176=""),"",60+2*Q176-AM176)</f>
        <v/>
      </c>
      <c r="AO176" s="49" t="str">
        <f aca="false">IF(OR(G176="",AJ176=""),"",AJ176-G176)</f>
        <v/>
      </c>
      <c r="AP176" s="50" t="str">
        <f aca="false">IF(AND(A176="",B176=""),"",IF(J176="","Status needed",IF(OR(J176="Applied",J176="Visit booked",J176="Withdrawn"),"OK",IF(G176="","Date assessed needed",IF(C176="","Date of birth needed",IF(COUNTA(L176,M176,P176,U176,V176,X176)&lt;6,"Band missing",IF(AND(OR(J176="Decision confirmed",J176="Family told",J176="Enrolled"),AG176=""),"Recommendation needed",IF(AND(OR(J176="Family told",J176="Enrolled"),AJ176=""),"Date family told needed","OK"))))))))</f>
        <v/>
      </c>
    </row>
    <row r="177" customFormat="false" ht="15" hidden="false" customHeight="false" outlineLevel="0" collapsed="false">
      <c r="A177" s="7"/>
      <c r="B177" s="7"/>
      <c r="C177" s="46"/>
      <c r="D177" s="7"/>
      <c r="E177" s="47"/>
      <c r="F177" s="46"/>
      <c r="G177" s="46"/>
      <c r="H177" s="7"/>
      <c r="I177" s="7"/>
      <c r="J177" s="47"/>
      <c r="K177" s="47"/>
      <c r="L177" s="47"/>
      <c r="M177" s="47"/>
      <c r="N177" s="47"/>
      <c r="O177" s="10"/>
      <c r="P177" s="47"/>
      <c r="Q177" s="47"/>
      <c r="R177" s="48" t="str">
        <f aca="false">IF(Q177="","",IF(Q177=0,"below 5:00",IF(Q177&gt;=66,"16:00 or above",INT((60+2*Q177)/12)&amp;":"&amp;TEXT(MOD(60+2*Q177,12),"00"))))</f>
        <v/>
      </c>
      <c r="S177" s="47"/>
      <c r="T177" s="47"/>
      <c r="U177" s="47"/>
      <c r="V177" s="47"/>
      <c r="W177" s="47"/>
      <c r="X177" s="47"/>
      <c r="Y177" s="47"/>
      <c r="Z177" s="47"/>
      <c r="AA177" s="10"/>
      <c r="AB177" s="10"/>
      <c r="AC177" s="47"/>
      <c r="AD177" s="47"/>
      <c r="AE177" s="47"/>
      <c r="AF177" s="47"/>
      <c r="AG177" s="47"/>
      <c r="AH177" s="47"/>
      <c r="AI177" s="46"/>
      <c r="AJ177" s="46"/>
      <c r="AK177" s="46"/>
      <c r="AL177" s="7"/>
      <c r="AM177" s="49" t="str">
        <f aca="false">IF(OR(C177="",G177=""),"",IFERROR(DATEDIF(C177,G177,"m"),""))</f>
        <v/>
      </c>
      <c r="AN177" s="49" t="str">
        <f aca="false">IF(OR(Q177="",AM177=""),"",60+2*Q177-AM177)</f>
        <v/>
      </c>
      <c r="AO177" s="49" t="str">
        <f aca="false">IF(OR(G177="",AJ177=""),"",AJ177-G177)</f>
        <v/>
      </c>
      <c r="AP177" s="50" t="str">
        <f aca="false">IF(AND(A177="",B177=""),"",IF(J177="","Status needed",IF(OR(J177="Applied",J177="Visit booked",J177="Withdrawn"),"OK",IF(G177="","Date assessed needed",IF(C177="","Date of birth needed",IF(COUNTA(L177,M177,P177,U177,V177,X177)&lt;6,"Band missing",IF(AND(OR(J177="Decision confirmed",J177="Family told",J177="Enrolled"),AG177=""),"Recommendation needed",IF(AND(OR(J177="Family told",J177="Enrolled"),AJ177=""),"Date family told needed","OK"))))))))</f>
        <v/>
      </c>
    </row>
    <row r="178" customFormat="false" ht="15" hidden="false" customHeight="false" outlineLevel="0" collapsed="false">
      <c r="A178" s="7"/>
      <c r="B178" s="7"/>
      <c r="C178" s="46"/>
      <c r="D178" s="7"/>
      <c r="E178" s="47"/>
      <c r="F178" s="46"/>
      <c r="G178" s="46"/>
      <c r="H178" s="7"/>
      <c r="I178" s="7"/>
      <c r="J178" s="47"/>
      <c r="K178" s="47"/>
      <c r="L178" s="47"/>
      <c r="M178" s="47"/>
      <c r="N178" s="47"/>
      <c r="O178" s="10"/>
      <c r="P178" s="47"/>
      <c r="Q178" s="47"/>
      <c r="R178" s="48" t="str">
        <f aca="false">IF(Q178="","",IF(Q178=0,"below 5:00",IF(Q178&gt;=66,"16:00 or above",INT((60+2*Q178)/12)&amp;":"&amp;TEXT(MOD(60+2*Q178,12),"00"))))</f>
        <v/>
      </c>
      <c r="S178" s="47"/>
      <c r="T178" s="47"/>
      <c r="U178" s="47"/>
      <c r="V178" s="47"/>
      <c r="W178" s="47"/>
      <c r="X178" s="47"/>
      <c r="Y178" s="47"/>
      <c r="Z178" s="47"/>
      <c r="AA178" s="10"/>
      <c r="AB178" s="10"/>
      <c r="AC178" s="47"/>
      <c r="AD178" s="47"/>
      <c r="AE178" s="47"/>
      <c r="AF178" s="47"/>
      <c r="AG178" s="47"/>
      <c r="AH178" s="47"/>
      <c r="AI178" s="46"/>
      <c r="AJ178" s="46"/>
      <c r="AK178" s="46"/>
      <c r="AL178" s="7"/>
      <c r="AM178" s="49" t="str">
        <f aca="false">IF(OR(C178="",G178=""),"",IFERROR(DATEDIF(C178,G178,"m"),""))</f>
        <v/>
      </c>
      <c r="AN178" s="49" t="str">
        <f aca="false">IF(OR(Q178="",AM178=""),"",60+2*Q178-AM178)</f>
        <v/>
      </c>
      <c r="AO178" s="49" t="str">
        <f aca="false">IF(OR(G178="",AJ178=""),"",AJ178-G178)</f>
        <v/>
      </c>
      <c r="AP178" s="50" t="str">
        <f aca="false">IF(AND(A178="",B178=""),"",IF(J178="","Status needed",IF(OR(J178="Applied",J178="Visit booked",J178="Withdrawn"),"OK",IF(G178="","Date assessed needed",IF(C178="","Date of birth needed",IF(COUNTA(L178,M178,P178,U178,V178,X178)&lt;6,"Band missing",IF(AND(OR(J178="Decision confirmed",J178="Family told",J178="Enrolled"),AG178=""),"Recommendation needed",IF(AND(OR(J178="Family told",J178="Enrolled"),AJ178=""),"Date family told needed","OK"))))))))</f>
        <v/>
      </c>
    </row>
    <row r="179" customFormat="false" ht="15" hidden="false" customHeight="false" outlineLevel="0" collapsed="false">
      <c r="A179" s="7"/>
      <c r="B179" s="7"/>
      <c r="C179" s="46"/>
      <c r="D179" s="7"/>
      <c r="E179" s="47"/>
      <c r="F179" s="46"/>
      <c r="G179" s="46"/>
      <c r="H179" s="7"/>
      <c r="I179" s="7"/>
      <c r="J179" s="47"/>
      <c r="K179" s="47"/>
      <c r="L179" s="47"/>
      <c r="M179" s="47"/>
      <c r="N179" s="47"/>
      <c r="O179" s="10"/>
      <c r="P179" s="47"/>
      <c r="Q179" s="47"/>
      <c r="R179" s="48" t="str">
        <f aca="false">IF(Q179="","",IF(Q179=0,"below 5:00",IF(Q179&gt;=66,"16:00 or above",INT((60+2*Q179)/12)&amp;":"&amp;TEXT(MOD(60+2*Q179,12),"00"))))</f>
        <v/>
      </c>
      <c r="S179" s="47"/>
      <c r="T179" s="47"/>
      <c r="U179" s="47"/>
      <c r="V179" s="47"/>
      <c r="W179" s="47"/>
      <c r="X179" s="47"/>
      <c r="Y179" s="47"/>
      <c r="Z179" s="47"/>
      <c r="AA179" s="10"/>
      <c r="AB179" s="10"/>
      <c r="AC179" s="47"/>
      <c r="AD179" s="47"/>
      <c r="AE179" s="47"/>
      <c r="AF179" s="47"/>
      <c r="AG179" s="47"/>
      <c r="AH179" s="47"/>
      <c r="AI179" s="46"/>
      <c r="AJ179" s="46"/>
      <c r="AK179" s="46"/>
      <c r="AL179" s="7"/>
      <c r="AM179" s="49" t="str">
        <f aca="false">IF(OR(C179="",G179=""),"",IFERROR(DATEDIF(C179,G179,"m"),""))</f>
        <v/>
      </c>
      <c r="AN179" s="49" t="str">
        <f aca="false">IF(OR(Q179="",AM179=""),"",60+2*Q179-AM179)</f>
        <v/>
      </c>
      <c r="AO179" s="49" t="str">
        <f aca="false">IF(OR(G179="",AJ179=""),"",AJ179-G179)</f>
        <v/>
      </c>
      <c r="AP179" s="50" t="str">
        <f aca="false">IF(AND(A179="",B179=""),"",IF(J179="","Status needed",IF(OR(J179="Applied",J179="Visit booked",J179="Withdrawn"),"OK",IF(G179="","Date assessed needed",IF(C179="","Date of birth needed",IF(COUNTA(L179,M179,P179,U179,V179,X179)&lt;6,"Band missing",IF(AND(OR(J179="Decision confirmed",J179="Family told",J179="Enrolled"),AG179=""),"Recommendation needed",IF(AND(OR(J179="Family told",J179="Enrolled"),AJ179=""),"Date family told needed","OK"))))))))</f>
        <v/>
      </c>
    </row>
    <row r="180" customFormat="false" ht="15" hidden="false" customHeight="false" outlineLevel="0" collapsed="false">
      <c r="A180" s="7"/>
      <c r="B180" s="7"/>
      <c r="C180" s="46"/>
      <c r="D180" s="7"/>
      <c r="E180" s="47"/>
      <c r="F180" s="46"/>
      <c r="G180" s="46"/>
      <c r="H180" s="7"/>
      <c r="I180" s="7"/>
      <c r="J180" s="47"/>
      <c r="K180" s="47"/>
      <c r="L180" s="47"/>
      <c r="M180" s="47"/>
      <c r="N180" s="47"/>
      <c r="O180" s="10"/>
      <c r="P180" s="47"/>
      <c r="Q180" s="47"/>
      <c r="R180" s="48" t="str">
        <f aca="false">IF(Q180="","",IF(Q180=0,"below 5:00",IF(Q180&gt;=66,"16:00 or above",INT((60+2*Q180)/12)&amp;":"&amp;TEXT(MOD(60+2*Q180,12),"00"))))</f>
        <v/>
      </c>
      <c r="S180" s="47"/>
      <c r="T180" s="47"/>
      <c r="U180" s="47"/>
      <c r="V180" s="47"/>
      <c r="W180" s="47"/>
      <c r="X180" s="47"/>
      <c r="Y180" s="47"/>
      <c r="Z180" s="47"/>
      <c r="AA180" s="10"/>
      <c r="AB180" s="10"/>
      <c r="AC180" s="47"/>
      <c r="AD180" s="47"/>
      <c r="AE180" s="47"/>
      <c r="AF180" s="47"/>
      <c r="AG180" s="47"/>
      <c r="AH180" s="47"/>
      <c r="AI180" s="46"/>
      <c r="AJ180" s="46"/>
      <c r="AK180" s="46"/>
      <c r="AL180" s="7"/>
      <c r="AM180" s="49" t="str">
        <f aca="false">IF(OR(C180="",G180=""),"",IFERROR(DATEDIF(C180,G180,"m"),""))</f>
        <v/>
      </c>
      <c r="AN180" s="49" t="str">
        <f aca="false">IF(OR(Q180="",AM180=""),"",60+2*Q180-AM180)</f>
        <v/>
      </c>
      <c r="AO180" s="49" t="str">
        <f aca="false">IF(OR(G180="",AJ180=""),"",AJ180-G180)</f>
        <v/>
      </c>
      <c r="AP180" s="50" t="str">
        <f aca="false">IF(AND(A180="",B180=""),"",IF(J180="","Status needed",IF(OR(J180="Applied",J180="Visit booked",J180="Withdrawn"),"OK",IF(G180="","Date assessed needed",IF(C180="","Date of birth needed",IF(COUNTA(L180,M180,P180,U180,V180,X180)&lt;6,"Band missing",IF(AND(OR(J180="Decision confirmed",J180="Family told",J180="Enrolled"),AG180=""),"Recommendation needed",IF(AND(OR(J180="Family told",J180="Enrolled"),AJ180=""),"Date family told needed","OK"))))))))</f>
        <v/>
      </c>
    </row>
    <row r="181" customFormat="false" ht="15" hidden="false" customHeight="false" outlineLevel="0" collapsed="false">
      <c r="A181" s="7"/>
      <c r="B181" s="7"/>
      <c r="C181" s="46"/>
      <c r="D181" s="7"/>
      <c r="E181" s="47"/>
      <c r="F181" s="46"/>
      <c r="G181" s="46"/>
      <c r="H181" s="7"/>
      <c r="I181" s="7"/>
      <c r="J181" s="47"/>
      <c r="K181" s="47"/>
      <c r="L181" s="47"/>
      <c r="M181" s="47"/>
      <c r="N181" s="47"/>
      <c r="O181" s="10"/>
      <c r="P181" s="47"/>
      <c r="Q181" s="47"/>
      <c r="R181" s="48" t="str">
        <f aca="false">IF(Q181="","",IF(Q181=0,"below 5:00",IF(Q181&gt;=66,"16:00 or above",INT((60+2*Q181)/12)&amp;":"&amp;TEXT(MOD(60+2*Q181,12),"00"))))</f>
        <v/>
      </c>
      <c r="S181" s="47"/>
      <c r="T181" s="47"/>
      <c r="U181" s="47"/>
      <c r="V181" s="47"/>
      <c r="W181" s="47"/>
      <c r="X181" s="47"/>
      <c r="Y181" s="47"/>
      <c r="Z181" s="47"/>
      <c r="AA181" s="10"/>
      <c r="AB181" s="10"/>
      <c r="AC181" s="47"/>
      <c r="AD181" s="47"/>
      <c r="AE181" s="47"/>
      <c r="AF181" s="47"/>
      <c r="AG181" s="47"/>
      <c r="AH181" s="47"/>
      <c r="AI181" s="46"/>
      <c r="AJ181" s="46"/>
      <c r="AK181" s="46"/>
      <c r="AL181" s="7"/>
      <c r="AM181" s="49" t="str">
        <f aca="false">IF(OR(C181="",G181=""),"",IFERROR(DATEDIF(C181,G181,"m"),""))</f>
        <v/>
      </c>
      <c r="AN181" s="49" t="str">
        <f aca="false">IF(OR(Q181="",AM181=""),"",60+2*Q181-AM181)</f>
        <v/>
      </c>
      <c r="AO181" s="49" t="str">
        <f aca="false">IF(OR(G181="",AJ181=""),"",AJ181-G181)</f>
        <v/>
      </c>
      <c r="AP181" s="50" t="str">
        <f aca="false">IF(AND(A181="",B181=""),"",IF(J181="","Status needed",IF(OR(J181="Applied",J181="Visit booked",J181="Withdrawn"),"OK",IF(G181="","Date assessed needed",IF(C181="","Date of birth needed",IF(COUNTA(L181,M181,P181,U181,V181,X181)&lt;6,"Band missing",IF(AND(OR(J181="Decision confirmed",J181="Family told",J181="Enrolled"),AG181=""),"Recommendation needed",IF(AND(OR(J181="Family told",J181="Enrolled"),AJ181=""),"Date family told needed","OK"))))))))</f>
        <v/>
      </c>
    </row>
    <row r="182" customFormat="false" ht="15" hidden="false" customHeight="false" outlineLevel="0" collapsed="false">
      <c r="A182" s="7"/>
      <c r="B182" s="7"/>
      <c r="C182" s="46"/>
      <c r="D182" s="7"/>
      <c r="E182" s="47"/>
      <c r="F182" s="46"/>
      <c r="G182" s="46"/>
      <c r="H182" s="7"/>
      <c r="I182" s="7"/>
      <c r="J182" s="47"/>
      <c r="K182" s="47"/>
      <c r="L182" s="47"/>
      <c r="M182" s="47"/>
      <c r="N182" s="47"/>
      <c r="O182" s="10"/>
      <c r="P182" s="47"/>
      <c r="Q182" s="47"/>
      <c r="R182" s="48" t="str">
        <f aca="false">IF(Q182="","",IF(Q182=0,"below 5:00",IF(Q182&gt;=66,"16:00 or above",INT((60+2*Q182)/12)&amp;":"&amp;TEXT(MOD(60+2*Q182,12),"00"))))</f>
        <v/>
      </c>
      <c r="S182" s="47"/>
      <c r="T182" s="47"/>
      <c r="U182" s="47"/>
      <c r="V182" s="47"/>
      <c r="W182" s="47"/>
      <c r="X182" s="47"/>
      <c r="Y182" s="47"/>
      <c r="Z182" s="47"/>
      <c r="AA182" s="10"/>
      <c r="AB182" s="10"/>
      <c r="AC182" s="47"/>
      <c r="AD182" s="47"/>
      <c r="AE182" s="47"/>
      <c r="AF182" s="47"/>
      <c r="AG182" s="47"/>
      <c r="AH182" s="47"/>
      <c r="AI182" s="46"/>
      <c r="AJ182" s="46"/>
      <c r="AK182" s="46"/>
      <c r="AL182" s="7"/>
      <c r="AM182" s="49" t="str">
        <f aca="false">IF(OR(C182="",G182=""),"",IFERROR(DATEDIF(C182,G182,"m"),""))</f>
        <v/>
      </c>
      <c r="AN182" s="49" t="str">
        <f aca="false">IF(OR(Q182="",AM182=""),"",60+2*Q182-AM182)</f>
        <v/>
      </c>
      <c r="AO182" s="49" t="str">
        <f aca="false">IF(OR(G182="",AJ182=""),"",AJ182-G182)</f>
        <v/>
      </c>
      <c r="AP182" s="50" t="str">
        <f aca="false">IF(AND(A182="",B182=""),"",IF(J182="","Status needed",IF(OR(J182="Applied",J182="Visit booked",J182="Withdrawn"),"OK",IF(G182="","Date assessed needed",IF(C182="","Date of birth needed",IF(COUNTA(L182,M182,P182,U182,V182,X182)&lt;6,"Band missing",IF(AND(OR(J182="Decision confirmed",J182="Family told",J182="Enrolled"),AG182=""),"Recommendation needed",IF(AND(OR(J182="Family told",J182="Enrolled"),AJ182=""),"Date family told needed","OK"))))))))</f>
        <v/>
      </c>
    </row>
    <row r="183" customFormat="false" ht="15" hidden="false" customHeight="false" outlineLevel="0" collapsed="false">
      <c r="A183" s="7"/>
      <c r="B183" s="7"/>
      <c r="C183" s="46"/>
      <c r="D183" s="7"/>
      <c r="E183" s="47"/>
      <c r="F183" s="46"/>
      <c r="G183" s="46"/>
      <c r="H183" s="7"/>
      <c r="I183" s="7"/>
      <c r="J183" s="47"/>
      <c r="K183" s="47"/>
      <c r="L183" s="47"/>
      <c r="M183" s="47"/>
      <c r="N183" s="47"/>
      <c r="O183" s="10"/>
      <c r="P183" s="47"/>
      <c r="Q183" s="47"/>
      <c r="R183" s="48" t="str">
        <f aca="false">IF(Q183="","",IF(Q183=0,"below 5:00",IF(Q183&gt;=66,"16:00 or above",INT((60+2*Q183)/12)&amp;":"&amp;TEXT(MOD(60+2*Q183,12),"00"))))</f>
        <v/>
      </c>
      <c r="S183" s="47"/>
      <c r="T183" s="47"/>
      <c r="U183" s="47"/>
      <c r="V183" s="47"/>
      <c r="W183" s="47"/>
      <c r="X183" s="47"/>
      <c r="Y183" s="47"/>
      <c r="Z183" s="47"/>
      <c r="AA183" s="10"/>
      <c r="AB183" s="10"/>
      <c r="AC183" s="47"/>
      <c r="AD183" s="47"/>
      <c r="AE183" s="47"/>
      <c r="AF183" s="47"/>
      <c r="AG183" s="47"/>
      <c r="AH183" s="47"/>
      <c r="AI183" s="46"/>
      <c r="AJ183" s="46"/>
      <c r="AK183" s="46"/>
      <c r="AL183" s="7"/>
      <c r="AM183" s="49" t="str">
        <f aca="false">IF(OR(C183="",G183=""),"",IFERROR(DATEDIF(C183,G183,"m"),""))</f>
        <v/>
      </c>
      <c r="AN183" s="49" t="str">
        <f aca="false">IF(OR(Q183="",AM183=""),"",60+2*Q183-AM183)</f>
        <v/>
      </c>
      <c r="AO183" s="49" t="str">
        <f aca="false">IF(OR(G183="",AJ183=""),"",AJ183-G183)</f>
        <v/>
      </c>
      <c r="AP183" s="50" t="str">
        <f aca="false">IF(AND(A183="",B183=""),"",IF(J183="","Status needed",IF(OR(J183="Applied",J183="Visit booked",J183="Withdrawn"),"OK",IF(G183="","Date assessed needed",IF(C183="","Date of birth needed",IF(COUNTA(L183,M183,P183,U183,V183,X183)&lt;6,"Band missing",IF(AND(OR(J183="Decision confirmed",J183="Family told",J183="Enrolled"),AG183=""),"Recommendation needed",IF(AND(OR(J183="Family told",J183="Enrolled"),AJ183=""),"Date family told needed","OK"))))))))</f>
        <v/>
      </c>
    </row>
    <row r="184" customFormat="false" ht="15" hidden="false" customHeight="false" outlineLevel="0" collapsed="false">
      <c r="A184" s="7"/>
      <c r="B184" s="7"/>
      <c r="C184" s="46"/>
      <c r="D184" s="7"/>
      <c r="E184" s="47"/>
      <c r="F184" s="46"/>
      <c r="G184" s="46"/>
      <c r="H184" s="7"/>
      <c r="I184" s="7"/>
      <c r="J184" s="47"/>
      <c r="K184" s="47"/>
      <c r="L184" s="47"/>
      <c r="M184" s="47"/>
      <c r="N184" s="47"/>
      <c r="O184" s="10"/>
      <c r="P184" s="47"/>
      <c r="Q184" s="47"/>
      <c r="R184" s="48" t="str">
        <f aca="false">IF(Q184="","",IF(Q184=0,"below 5:00",IF(Q184&gt;=66,"16:00 or above",INT((60+2*Q184)/12)&amp;":"&amp;TEXT(MOD(60+2*Q184,12),"00"))))</f>
        <v/>
      </c>
      <c r="S184" s="47"/>
      <c r="T184" s="47"/>
      <c r="U184" s="47"/>
      <c r="V184" s="47"/>
      <c r="W184" s="47"/>
      <c r="X184" s="47"/>
      <c r="Y184" s="47"/>
      <c r="Z184" s="47"/>
      <c r="AA184" s="10"/>
      <c r="AB184" s="10"/>
      <c r="AC184" s="47"/>
      <c r="AD184" s="47"/>
      <c r="AE184" s="47"/>
      <c r="AF184" s="47"/>
      <c r="AG184" s="47"/>
      <c r="AH184" s="47"/>
      <c r="AI184" s="46"/>
      <c r="AJ184" s="46"/>
      <c r="AK184" s="46"/>
      <c r="AL184" s="7"/>
      <c r="AM184" s="49" t="str">
        <f aca="false">IF(OR(C184="",G184=""),"",IFERROR(DATEDIF(C184,G184,"m"),""))</f>
        <v/>
      </c>
      <c r="AN184" s="49" t="str">
        <f aca="false">IF(OR(Q184="",AM184=""),"",60+2*Q184-AM184)</f>
        <v/>
      </c>
      <c r="AO184" s="49" t="str">
        <f aca="false">IF(OR(G184="",AJ184=""),"",AJ184-G184)</f>
        <v/>
      </c>
      <c r="AP184" s="50" t="str">
        <f aca="false">IF(AND(A184="",B184=""),"",IF(J184="","Status needed",IF(OR(J184="Applied",J184="Visit booked",J184="Withdrawn"),"OK",IF(G184="","Date assessed needed",IF(C184="","Date of birth needed",IF(COUNTA(L184,M184,P184,U184,V184,X184)&lt;6,"Band missing",IF(AND(OR(J184="Decision confirmed",J184="Family told",J184="Enrolled"),AG184=""),"Recommendation needed",IF(AND(OR(J184="Family told",J184="Enrolled"),AJ184=""),"Date family told needed","OK"))))))))</f>
        <v/>
      </c>
    </row>
    <row r="185" customFormat="false" ht="15" hidden="false" customHeight="false" outlineLevel="0" collapsed="false">
      <c r="A185" s="7"/>
      <c r="B185" s="7"/>
      <c r="C185" s="46"/>
      <c r="D185" s="7"/>
      <c r="E185" s="47"/>
      <c r="F185" s="46"/>
      <c r="G185" s="46"/>
      <c r="H185" s="7"/>
      <c r="I185" s="7"/>
      <c r="J185" s="47"/>
      <c r="K185" s="47"/>
      <c r="L185" s="47"/>
      <c r="M185" s="47"/>
      <c r="N185" s="47"/>
      <c r="O185" s="10"/>
      <c r="P185" s="47"/>
      <c r="Q185" s="47"/>
      <c r="R185" s="48" t="str">
        <f aca="false">IF(Q185="","",IF(Q185=0,"below 5:00",IF(Q185&gt;=66,"16:00 or above",INT((60+2*Q185)/12)&amp;":"&amp;TEXT(MOD(60+2*Q185,12),"00"))))</f>
        <v/>
      </c>
      <c r="S185" s="47"/>
      <c r="T185" s="47"/>
      <c r="U185" s="47"/>
      <c r="V185" s="47"/>
      <c r="W185" s="47"/>
      <c r="X185" s="47"/>
      <c r="Y185" s="47"/>
      <c r="Z185" s="47"/>
      <c r="AA185" s="10"/>
      <c r="AB185" s="10"/>
      <c r="AC185" s="47"/>
      <c r="AD185" s="47"/>
      <c r="AE185" s="47"/>
      <c r="AF185" s="47"/>
      <c r="AG185" s="47"/>
      <c r="AH185" s="47"/>
      <c r="AI185" s="46"/>
      <c r="AJ185" s="46"/>
      <c r="AK185" s="46"/>
      <c r="AL185" s="7"/>
      <c r="AM185" s="49" t="str">
        <f aca="false">IF(OR(C185="",G185=""),"",IFERROR(DATEDIF(C185,G185,"m"),""))</f>
        <v/>
      </c>
      <c r="AN185" s="49" t="str">
        <f aca="false">IF(OR(Q185="",AM185=""),"",60+2*Q185-AM185)</f>
        <v/>
      </c>
      <c r="AO185" s="49" t="str">
        <f aca="false">IF(OR(G185="",AJ185=""),"",AJ185-G185)</f>
        <v/>
      </c>
      <c r="AP185" s="50" t="str">
        <f aca="false">IF(AND(A185="",B185=""),"",IF(J185="","Status needed",IF(OR(J185="Applied",J185="Visit booked",J185="Withdrawn"),"OK",IF(G185="","Date assessed needed",IF(C185="","Date of birth needed",IF(COUNTA(L185,M185,P185,U185,V185,X185)&lt;6,"Band missing",IF(AND(OR(J185="Decision confirmed",J185="Family told",J185="Enrolled"),AG185=""),"Recommendation needed",IF(AND(OR(J185="Family told",J185="Enrolled"),AJ185=""),"Date family told needed","OK"))))))))</f>
        <v/>
      </c>
    </row>
    <row r="186" customFormat="false" ht="15" hidden="false" customHeight="false" outlineLevel="0" collapsed="false">
      <c r="A186" s="7"/>
      <c r="B186" s="7"/>
      <c r="C186" s="46"/>
      <c r="D186" s="7"/>
      <c r="E186" s="47"/>
      <c r="F186" s="46"/>
      <c r="G186" s="46"/>
      <c r="H186" s="7"/>
      <c r="I186" s="7"/>
      <c r="J186" s="47"/>
      <c r="K186" s="47"/>
      <c r="L186" s="47"/>
      <c r="M186" s="47"/>
      <c r="N186" s="47"/>
      <c r="O186" s="10"/>
      <c r="P186" s="47"/>
      <c r="Q186" s="47"/>
      <c r="R186" s="48" t="str">
        <f aca="false">IF(Q186="","",IF(Q186=0,"below 5:00",IF(Q186&gt;=66,"16:00 or above",INT((60+2*Q186)/12)&amp;":"&amp;TEXT(MOD(60+2*Q186,12),"00"))))</f>
        <v/>
      </c>
      <c r="S186" s="47"/>
      <c r="T186" s="47"/>
      <c r="U186" s="47"/>
      <c r="V186" s="47"/>
      <c r="W186" s="47"/>
      <c r="X186" s="47"/>
      <c r="Y186" s="47"/>
      <c r="Z186" s="47"/>
      <c r="AA186" s="10"/>
      <c r="AB186" s="10"/>
      <c r="AC186" s="47"/>
      <c r="AD186" s="47"/>
      <c r="AE186" s="47"/>
      <c r="AF186" s="47"/>
      <c r="AG186" s="47"/>
      <c r="AH186" s="47"/>
      <c r="AI186" s="46"/>
      <c r="AJ186" s="46"/>
      <c r="AK186" s="46"/>
      <c r="AL186" s="7"/>
      <c r="AM186" s="49" t="str">
        <f aca="false">IF(OR(C186="",G186=""),"",IFERROR(DATEDIF(C186,G186,"m"),""))</f>
        <v/>
      </c>
      <c r="AN186" s="49" t="str">
        <f aca="false">IF(OR(Q186="",AM186=""),"",60+2*Q186-AM186)</f>
        <v/>
      </c>
      <c r="AO186" s="49" t="str">
        <f aca="false">IF(OR(G186="",AJ186=""),"",AJ186-G186)</f>
        <v/>
      </c>
      <c r="AP186" s="50" t="str">
        <f aca="false">IF(AND(A186="",B186=""),"",IF(J186="","Status needed",IF(OR(J186="Applied",J186="Visit booked",J186="Withdrawn"),"OK",IF(G186="","Date assessed needed",IF(C186="","Date of birth needed",IF(COUNTA(L186,M186,P186,U186,V186,X186)&lt;6,"Band missing",IF(AND(OR(J186="Decision confirmed",J186="Family told",J186="Enrolled"),AG186=""),"Recommendation needed",IF(AND(OR(J186="Family told",J186="Enrolled"),AJ186=""),"Date family told needed","OK"))))))))</f>
        <v/>
      </c>
    </row>
    <row r="187" customFormat="false" ht="15" hidden="false" customHeight="false" outlineLevel="0" collapsed="false">
      <c r="A187" s="7"/>
      <c r="B187" s="7"/>
      <c r="C187" s="46"/>
      <c r="D187" s="7"/>
      <c r="E187" s="47"/>
      <c r="F187" s="46"/>
      <c r="G187" s="46"/>
      <c r="H187" s="7"/>
      <c r="I187" s="7"/>
      <c r="J187" s="47"/>
      <c r="K187" s="47"/>
      <c r="L187" s="47"/>
      <c r="M187" s="47"/>
      <c r="N187" s="47"/>
      <c r="O187" s="10"/>
      <c r="P187" s="47"/>
      <c r="Q187" s="47"/>
      <c r="R187" s="48" t="str">
        <f aca="false">IF(Q187="","",IF(Q187=0,"below 5:00",IF(Q187&gt;=66,"16:00 or above",INT((60+2*Q187)/12)&amp;":"&amp;TEXT(MOD(60+2*Q187,12),"00"))))</f>
        <v/>
      </c>
      <c r="S187" s="47"/>
      <c r="T187" s="47"/>
      <c r="U187" s="47"/>
      <c r="V187" s="47"/>
      <c r="W187" s="47"/>
      <c r="X187" s="47"/>
      <c r="Y187" s="47"/>
      <c r="Z187" s="47"/>
      <c r="AA187" s="10"/>
      <c r="AB187" s="10"/>
      <c r="AC187" s="47"/>
      <c r="AD187" s="47"/>
      <c r="AE187" s="47"/>
      <c r="AF187" s="47"/>
      <c r="AG187" s="47"/>
      <c r="AH187" s="47"/>
      <c r="AI187" s="46"/>
      <c r="AJ187" s="46"/>
      <c r="AK187" s="46"/>
      <c r="AL187" s="7"/>
      <c r="AM187" s="49" t="str">
        <f aca="false">IF(OR(C187="",G187=""),"",IFERROR(DATEDIF(C187,G187,"m"),""))</f>
        <v/>
      </c>
      <c r="AN187" s="49" t="str">
        <f aca="false">IF(OR(Q187="",AM187=""),"",60+2*Q187-AM187)</f>
        <v/>
      </c>
      <c r="AO187" s="49" t="str">
        <f aca="false">IF(OR(G187="",AJ187=""),"",AJ187-G187)</f>
        <v/>
      </c>
      <c r="AP187" s="50" t="str">
        <f aca="false">IF(AND(A187="",B187=""),"",IF(J187="","Status needed",IF(OR(J187="Applied",J187="Visit booked",J187="Withdrawn"),"OK",IF(G187="","Date assessed needed",IF(C187="","Date of birth needed",IF(COUNTA(L187,M187,P187,U187,V187,X187)&lt;6,"Band missing",IF(AND(OR(J187="Decision confirmed",J187="Family told",J187="Enrolled"),AG187=""),"Recommendation needed",IF(AND(OR(J187="Family told",J187="Enrolled"),AJ187=""),"Date family told needed","OK"))))))))</f>
        <v/>
      </c>
    </row>
    <row r="188" customFormat="false" ht="15" hidden="false" customHeight="false" outlineLevel="0" collapsed="false">
      <c r="A188" s="7"/>
      <c r="B188" s="7"/>
      <c r="C188" s="46"/>
      <c r="D188" s="7"/>
      <c r="E188" s="47"/>
      <c r="F188" s="46"/>
      <c r="G188" s="46"/>
      <c r="H188" s="7"/>
      <c r="I188" s="7"/>
      <c r="J188" s="47"/>
      <c r="K188" s="47"/>
      <c r="L188" s="47"/>
      <c r="M188" s="47"/>
      <c r="N188" s="47"/>
      <c r="O188" s="10"/>
      <c r="P188" s="47"/>
      <c r="Q188" s="47"/>
      <c r="R188" s="48" t="str">
        <f aca="false">IF(Q188="","",IF(Q188=0,"below 5:00",IF(Q188&gt;=66,"16:00 or above",INT((60+2*Q188)/12)&amp;":"&amp;TEXT(MOD(60+2*Q188,12),"00"))))</f>
        <v/>
      </c>
      <c r="S188" s="47"/>
      <c r="T188" s="47"/>
      <c r="U188" s="47"/>
      <c r="V188" s="47"/>
      <c r="W188" s="47"/>
      <c r="X188" s="47"/>
      <c r="Y188" s="47"/>
      <c r="Z188" s="47"/>
      <c r="AA188" s="10"/>
      <c r="AB188" s="10"/>
      <c r="AC188" s="47"/>
      <c r="AD188" s="47"/>
      <c r="AE188" s="47"/>
      <c r="AF188" s="47"/>
      <c r="AG188" s="47"/>
      <c r="AH188" s="47"/>
      <c r="AI188" s="46"/>
      <c r="AJ188" s="46"/>
      <c r="AK188" s="46"/>
      <c r="AL188" s="7"/>
      <c r="AM188" s="49" t="str">
        <f aca="false">IF(OR(C188="",G188=""),"",IFERROR(DATEDIF(C188,G188,"m"),""))</f>
        <v/>
      </c>
      <c r="AN188" s="49" t="str">
        <f aca="false">IF(OR(Q188="",AM188=""),"",60+2*Q188-AM188)</f>
        <v/>
      </c>
      <c r="AO188" s="49" t="str">
        <f aca="false">IF(OR(G188="",AJ188=""),"",AJ188-G188)</f>
        <v/>
      </c>
      <c r="AP188" s="50" t="str">
        <f aca="false">IF(AND(A188="",B188=""),"",IF(J188="","Status needed",IF(OR(J188="Applied",J188="Visit booked",J188="Withdrawn"),"OK",IF(G188="","Date assessed needed",IF(C188="","Date of birth needed",IF(COUNTA(L188,M188,P188,U188,V188,X188)&lt;6,"Band missing",IF(AND(OR(J188="Decision confirmed",J188="Family told",J188="Enrolled"),AG188=""),"Recommendation needed",IF(AND(OR(J188="Family told",J188="Enrolled"),AJ188=""),"Date family told needed","OK"))))))))</f>
        <v/>
      </c>
    </row>
    <row r="189" customFormat="false" ht="15" hidden="false" customHeight="false" outlineLevel="0" collapsed="false">
      <c r="A189" s="7"/>
      <c r="B189" s="7"/>
      <c r="C189" s="46"/>
      <c r="D189" s="7"/>
      <c r="E189" s="47"/>
      <c r="F189" s="46"/>
      <c r="G189" s="46"/>
      <c r="H189" s="7"/>
      <c r="I189" s="7"/>
      <c r="J189" s="47"/>
      <c r="K189" s="47"/>
      <c r="L189" s="47"/>
      <c r="M189" s="47"/>
      <c r="N189" s="47"/>
      <c r="O189" s="10"/>
      <c r="P189" s="47"/>
      <c r="Q189" s="47"/>
      <c r="R189" s="48" t="str">
        <f aca="false">IF(Q189="","",IF(Q189=0,"below 5:00",IF(Q189&gt;=66,"16:00 or above",INT((60+2*Q189)/12)&amp;":"&amp;TEXT(MOD(60+2*Q189,12),"00"))))</f>
        <v/>
      </c>
      <c r="S189" s="47"/>
      <c r="T189" s="47"/>
      <c r="U189" s="47"/>
      <c r="V189" s="47"/>
      <c r="W189" s="47"/>
      <c r="X189" s="47"/>
      <c r="Y189" s="47"/>
      <c r="Z189" s="47"/>
      <c r="AA189" s="10"/>
      <c r="AB189" s="10"/>
      <c r="AC189" s="47"/>
      <c r="AD189" s="47"/>
      <c r="AE189" s="47"/>
      <c r="AF189" s="47"/>
      <c r="AG189" s="47"/>
      <c r="AH189" s="47"/>
      <c r="AI189" s="46"/>
      <c r="AJ189" s="46"/>
      <c r="AK189" s="46"/>
      <c r="AL189" s="7"/>
      <c r="AM189" s="49" t="str">
        <f aca="false">IF(OR(C189="",G189=""),"",IFERROR(DATEDIF(C189,G189,"m"),""))</f>
        <v/>
      </c>
      <c r="AN189" s="49" t="str">
        <f aca="false">IF(OR(Q189="",AM189=""),"",60+2*Q189-AM189)</f>
        <v/>
      </c>
      <c r="AO189" s="49" t="str">
        <f aca="false">IF(OR(G189="",AJ189=""),"",AJ189-G189)</f>
        <v/>
      </c>
      <c r="AP189" s="50" t="str">
        <f aca="false">IF(AND(A189="",B189=""),"",IF(J189="","Status needed",IF(OR(J189="Applied",J189="Visit booked",J189="Withdrawn"),"OK",IF(G189="","Date assessed needed",IF(C189="","Date of birth needed",IF(COUNTA(L189,M189,P189,U189,V189,X189)&lt;6,"Band missing",IF(AND(OR(J189="Decision confirmed",J189="Family told",J189="Enrolled"),AG189=""),"Recommendation needed",IF(AND(OR(J189="Family told",J189="Enrolled"),AJ189=""),"Date family told needed","OK"))))))))</f>
        <v/>
      </c>
    </row>
    <row r="190" customFormat="false" ht="15" hidden="false" customHeight="false" outlineLevel="0" collapsed="false">
      <c r="A190" s="7"/>
      <c r="B190" s="7"/>
      <c r="C190" s="46"/>
      <c r="D190" s="7"/>
      <c r="E190" s="47"/>
      <c r="F190" s="46"/>
      <c r="G190" s="46"/>
      <c r="H190" s="7"/>
      <c r="I190" s="7"/>
      <c r="J190" s="47"/>
      <c r="K190" s="47"/>
      <c r="L190" s="47"/>
      <c r="M190" s="47"/>
      <c r="N190" s="47"/>
      <c r="O190" s="10"/>
      <c r="P190" s="47"/>
      <c r="Q190" s="47"/>
      <c r="R190" s="48" t="str">
        <f aca="false">IF(Q190="","",IF(Q190=0,"below 5:00",IF(Q190&gt;=66,"16:00 or above",INT((60+2*Q190)/12)&amp;":"&amp;TEXT(MOD(60+2*Q190,12),"00"))))</f>
        <v/>
      </c>
      <c r="S190" s="47"/>
      <c r="T190" s="47"/>
      <c r="U190" s="47"/>
      <c r="V190" s="47"/>
      <c r="W190" s="47"/>
      <c r="X190" s="47"/>
      <c r="Y190" s="47"/>
      <c r="Z190" s="47"/>
      <c r="AA190" s="10"/>
      <c r="AB190" s="10"/>
      <c r="AC190" s="47"/>
      <c r="AD190" s="47"/>
      <c r="AE190" s="47"/>
      <c r="AF190" s="47"/>
      <c r="AG190" s="47"/>
      <c r="AH190" s="47"/>
      <c r="AI190" s="46"/>
      <c r="AJ190" s="46"/>
      <c r="AK190" s="46"/>
      <c r="AL190" s="7"/>
      <c r="AM190" s="49" t="str">
        <f aca="false">IF(OR(C190="",G190=""),"",IFERROR(DATEDIF(C190,G190,"m"),""))</f>
        <v/>
      </c>
      <c r="AN190" s="49" t="str">
        <f aca="false">IF(OR(Q190="",AM190=""),"",60+2*Q190-AM190)</f>
        <v/>
      </c>
      <c r="AO190" s="49" t="str">
        <f aca="false">IF(OR(G190="",AJ190=""),"",AJ190-G190)</f>
        <v/>
      </c>
      <c r="AP190" s="50" t="str">
        <f aca="false">IF(AND(A190="",B190=""),"",IF(J190="","Status needed",IF(OR(J190="Applied",J190="Visit booked",J190="Withdrawn"),"OK",IF(G190="","Date assessed needed",IF(C190="","Date of birth needed",IF(COUNTA(L190,M190,P190,U190,V190,X190)&lt;6,"Band missing",IF(AND(OR(J190="Decision confirmed",J190="Family told",J190="Enrolled"),AG190=""),"Recommendation needed",IF(AND(OR(J190="Family told",J190="Enrolled"),AJ190=""),"Date family told needed","OK"))))))))</f>
        <v/>
      </c>
    </row>
    <row r="191" customFormat="false" ht="15" hidden="false" customHeight="false" outlineLevel="0" collapsed="false">
      <c r="A191" s="7"/>
      <c r="B191" s="7"/>
      <c r="C191" s="46"/>
      <c r="D191" s="7"/>
      <c r="E191" s="47"/>
      <c r="F191" s="46"/>
      <c r="G191" s="46"/>
      <c r="H191" s="7"/>
      <c r="I191" s="7"/>
      <c r="J191" s="47"/>
      <c r="K191" s="47"/>
      <c r="L191" s="47"/>
      <c r="M191" s="47"/>
      <c r="N191" s="47"/>
      <c r="O191" s="10"/>
      <c r="P191" s="47"/>
      <c r="Q191" s="47"/>
      <c r="R191" s="48" t="str">
        <f aca="false">IF(Q191="","",IF(Q191=0,"below 5:00",IF(Q191&gt;=66,"16:00 or above",INT((60+2*Q191)/12)&amp;":"&amp;TEXT(MOD(60+2*Q191,12),"00"))))</f>
        <v/>
      </c>
      <c r="S191" s="47"/>
      <c r="T191" s="47"/>
      <c r="U191" s="47"/>
      <c r="V191" s="47"/>
      <c r="W191" s="47"/>
      <c r="X191" s="47"/>
      <c r="Y191" s="47"/>
      <c r="Z191" s="47"/>
      <c r="AA191" s="10"/>
      <c r="AB191" s="10"/>
      <c r="AC191" s="47"/>
      <c r="AD191" s="47"/>
      <c r="AE191" s="47"/>
      <c r="AF191" s="47"/>
      <c r="AG191" s="47"/>
      <c r="AH191" s="47"/>
      <c r="AI191" s="46"/>
      <c r="AJ191" s="46"/>
      <c r="AK191" s="46"/>
      <c r="AL191" s="7"/>
      <c r="AM191" s="49" t="str">
        <f aca="false">IF(OR(C191="",G191=""),"",IFERROR(DATEDIF(C191,G191,"m"),""))</f>
        <v/>
      </c>
      <c r="AN191" s="49" t="str">
        <f aca="false">IF(OR(Q191="",AM191=""),"",60+2*Q191-AM191)</f>
        <v/>
      </c>
      <c r="AO191" s="49" t="str">
        <f aca="false">IF(OR(G191="",AJ191=""),"",AJ191-G191)</f>
        <v/>
      </c>
      <c r="AP191" s="50" t="str">
        <f aca="false">IF(AND(A191="",B191=""),"",IF(J191="","Status needed",IF(OR(J191="Applied",J191="Visit booked",J191="Withdrawn"),"OK",IF(G191="","Date assessed needed",IF(C191="","Date of birth needed",IF(COUNTA(L191,M191,P191,U191,V191,X191)&lt;6,"Band missing",IF(AND(OR(J191="Decision confirmed",J191="Family told",J191="Enrolled"),AG191=""),"Recommendation needed",IF(AND(OR(J191="Family told",J191="Enrolled"),AJ191=""),"Date family told needed","OK"))))))))</f>
        <v/>
      </c>
    </row>
    <row r="192" customFormat="false" ht="15" hidden="false" customHeight="false" outlineLevel="0" collapsed="false">
      <c r="A192" s="7"/>
      <c r="B192" s="7"/>
      <c r="C192" s="46"/>
      <c r="D192" s="7"/>
      <c r="E192" s="47"/>
      <c r="F192" s="46"/>
      <c r="G192" s="46"/>
      <c r="H192" s="7"/>
      <c r="I192" s="7"/>
      <c r="J192" s="47"/>
      <c r="K192" s="47"/>
      <c r="L192" s="47"/>
      <c r="M192" s="47"/>
      <c r="N192" s="47"/>
      <c r="O192" s="10"/>
      <c r="P192" s="47"/>
      <c r="Q192" s="47"/>
      <c r="R192" s="48" t="str">
        <f aca="false">IF(Q192="","",IF(Q192=0,"below 5:00",IF(Q192&gt;=66,"16:00 or above",INT((60+2*Q192)/12)&amp;":"&amp;TEXT(MOD(60+2*Q192,12),"00"))))</f>
        <v/>
      </c>
      <c r="S192" s="47"/>
      <c r="T192" s="47"/>
      <c r="U192" s="47"/>
      <c r="V192" s="47"/>
      <c r="W192" s="47"/>
      <c r="X192" s="47"/>
      <c r="Y192" s="47"/>
      <c r="Z192" s="47"/>
      <c r="AA192" s="10"/>
      <c r="AB192" s="10"/>
      <c r="AC192" s="47"/>
      <c r="AD192" s="47"/>
      <c r="AE192" s="47"/>
      <c r="AF192" s="47"/>
      <c r="AG192" s="47"/>
      <c r="AH192" s="47"/>
      <c r="AI192" s="46"/>
      <c r="AJ192" s="46"/>
      <c r="AK192" s="46"/>
      <c r="AL192" s="7"/>
      <c r="AM192" s="49" t="str">
        <f aca="false">IF(OR(C192="",G192=""),"",IFERROR(DATEDIF(C192,G192,"m"),""))</f>
        <v/>
      </c>
      <c r="AN192" s="49" t="str">
        <f aca="false">IF(OR(Q192="",AM192=""),"",60+2*Q192-AM192)</f>
        <v/>
      </c>
      <c r="AO192" s="49" t="str">
        <f aca="false">IF(OR(G192="",AJ192=""),"",AJ192-G192)</f>
        <v/>
      </c>
      <c r="AP192" s="50" t="str">
        <f aca="false">IF(AND(A192="",B192=""),"",IF(J192="","Status needed",IF(OR(J192="Applied",J192="Visit booked",J192="Withdrawn"),"OK",IF(G192="","Date assessed needed",IF(C192="","Date of birth needed",IF(COUNTA(L192,M192,P192,U192,V192,X192)&lt;6,"Band missing",IF(AND(OR(J192="Decision confirmed",J192="Family told",J192="Enrolled"),AG192=""),"Recommendation needed",IF(AND(OR(J192="Family told",J192="Enrolled"),AJ192=""),"Date family told needed","OK"))))))))</f>
        <v/>
      </c>
    </row>
    <row r="193" customFormat="false" ht="15" hidden="false" customHeight="false" outlineLevel="0" collapsed="false">
      <c r="A193" s="7"/>
      <c r="B193" s="7"/>
      <c r="C193" s="46"/>
      <c r="D193" s="7"/>
      <c r="E193" s="47"/>
      <c r="F193" s="46"/>
      <c r="G193" s="46"/>
      <c r="H193" s="7"/>
      <c r="I193" s="7"/>
      <c r="J193" s="47"/>
      <c r="K193" s="47"/>
      <c r="L193" s="47"/>
      <c r="M193" s="47"/>
      <c r="N193" s="47"/>
      <c r="O193" s="10"/>
      <c r="P193" s="47"/>
      <c r="Q193" s="47"/>
      <c r="R193" s="48" t="str">
        <f aca="false">IF(Q193="","",IF(Q193=0,"below 5:00",IF(Q193&gt;=66,"16:00 or above",INT((60+2*Q193)/12)&amp;":"&amp;TEXT(MOD(60+2*Q193,12),"00"))))</f>
        <v/>
      </c>
      <c r="S193" s="47"/>
      <c r="T193" s="47"/>
      <c r="U193" s="47"/>
      <c r="V193" s="47"/>
      <c r="W193" s="47"/>
      <c r="X193" s="47"/>
      <c r="Y193" s="47"/>
      <c r="Z193" s="47"/>
      <c r="AA193" s="10"/>
      <c r="AB193" s="10"/>
      <c r="AC193" s="47"/>
      <c r="AD193" s="47"/>
      <c r="AE193" s="47"/>
      <c r="AF193" s="47"/>
      <c r="AG193" s="47"/>
      <c r="AH193" s="47"/>
      <c r="AI193" s="46"/>
      <c r="AJ193" s="46"/>
      <c r="AK193" s="46"/>
      <c r="AL193" s="7"/>
      <c r="AM193" s="49" t="str">
        <f aca="false">IF(OR(C193="",G193=""),"",IFERROR(DATEDIF(C193,G193,"m"),""))</f>
        <v/>
      </c>
      <c r="AN193" s="49" t="str">
        <f aca="false">IF(OR(Q193="",AM193=""),"",60+2*Q193-AM193)</f>
        <v/>
      </c>
      <c r="AO193" s="49" t="str">
        <f aca="false">IF(OR(G193="",AJ193=""),"",AJ193-G193)</f>
        <v/>
      </c>
      <c r="AP193" s="50" t="str">
        <f aca="false">IF(AND(A193="",B193=""),"",IF(J193="","Status needed",IF(OR(J193="Applied",J193="Visit booked",J193="Withdrawn"),"OK",IF(G193="","Date assessed needed",IF(C193="","Date of birth needed",IF(COUNTA(L193,M193,P193,U193,V193,X193)&lt;6,"Band missing",IF(AND(OR(J193="Decision confirmed",J193="Family told",J193="Enrolled"),AG193=""),"Recommendation needed",IF(AND(OR(J193="Family told",J193="Enrolled"),AJ193=""),"Date family told needed","OK"))))))))</f>
        <v/>
      </c>
    </row>
    <row r="194" customFormat="false" ht="15" hidden="false" customHeight="false" outlineLevel="0" collapsed="false">
      <c r="A194" s="7"/>
      <c r="B194" s="7"/>
      <c r="C194" s="46"/>
      <c r="D194" s="7"/>
      <c r="E194" s="47"/>
      <c r="F194" s="46"/>
      <c r="G194" s="46"/>
      <c r="H194" s="7"/>
      <c r="I194" s="7"/>
      <c r="J194" s="47"/>
      <c r="K194" s="47"/>
      <c r="L194" s="47"/>
      <c r="M194" s="47"/>
      <c r="N194" s="47"/>
      <c r="O194" s="10"/>
      <c r="P194" s="47"/>
      <c r="Q194" s="47"/>
      <c r="R194" s="48" t="str">
        <f aca="false">IF(Q194="","",IF(Q194=0,"below 5:00",IF(Q194&gt;=66,"16:00 or above",INT((60+2*Q194)/12)&amp;":"&amp;TEXT(MOD(60+2*Q194,12),"00"))))</f>
        <v/>
      </c>
      <c r="S194" s="47"/>
      <c r="T194" s="47"/>
      <c r="U194" s="47"/>
      <c r="V194" s="47"/>
      <c r="W194" s="47"/>
      <c r="X194" s="47"/>
      <c r="Y194" s="47"/>
      <c r="Z194" s="47"/>
      <c r="AA194" s="10"/>
      <c r="AB194" s="10"/>
      <c r="AC194" s="47"/>
      <c r="AD194" s="47"/>
      <c r="AE194" s="47"/>
      <c r="AF194" s="47"/>
      <c r="AG194" s="47"/>
      <c r="AH194" s="47"/>
      <c r="AI194" s="46"/>
      <c r="AJ194" s="46"/>
      <c r="AK194" s="46"/>
      <c r="AL194" s="7"/>
      <c r="AM194" s="49" t="str">
        <f aca="false">IF(OR(C194="",G194=""),"",IFERROR(DATEDIF(C194,G194,"m"),""))</f>
        <v/>
      </c>
      <c r="AN194" s="49" t="str">
        <f aca="false">IF(OR(Q194="",AM194=""),"",60+2*Q194-AM194)</f>
        <v/>
      </c>
      <c r="AO194" s="49" t="str">
        <f aca="false">IF(OR(G194="",AJ194=""),"",AJ194-G194)</f>
        <v/>
      </c>
      <c r="AP194" s="50" t="str">
        <f aca="false">IF(AND(A194="",B194=""),"",IF(J194="","Status needed",IF(OR(J194="Applied",J194="Visit booked",J194="Withdrawn"),"OK",IF(G194="","Date assessed needed",IF(C194="","Date of birth needed",IF(COUNTA(L194,M194,P194,U194,V194,X194)&lt;6,"Band missing",IF(AND(OR(J194="Decision confirmed",J194="Family told",J194="Enrolled"),AG194=""),"Recommendation needed",IF(AND(OR(J194="Family told",J194="Enrolled"),AJ194=""),"Date family told needed","OK"))))))))</f>
        <v/>
      </c>
    </row>
    <row r="195" customFormat="false" ht="15" hidden="false" customHeight="false" outlineLevel="0" collapsed="false">
      <c r="A195" s="7"/>
      <c r="B195" s="7"/>
      <c r="C195" s="46"/>
      <c r="D195" s="7"/>
      <c r="E195" s="47"/>
      <c r="F195" s="46"/>
      <c r="G195" s="46"/>
      <c r="H195" s="7"/>
      <c r="I195" s="7"/>
      <c r="J195" s="47"/>
      <c r="K195" s="47"/>
      <c r="L195" s="47"/>
      <c r="M195" s="47"/>
      <c r="N195" s="47"/>
      <c r="O195" s="10"/>
      <c r="P195" s="47"/>
      <c r="Q195" s="47"/>
      <c r="R195" s="48" t="str">
        <f aca="false">IF(Q195="","",IF(Q195=0,"below 5:00",IF(Q195&gt;=66,"16:00 or above",INT((60+2*Q195)/12)&amp;":"&amp;TEXT(MOD(60+2*Q195,12),"00"))))</f>
        <v/>
      </c>
      <c r="S195" s="47"/>
      <c r="T195" s="47"/>
      <c r="U195" s="47"/>
      <c r="V195" s="47"/>
      <c r="W195" s="47"/>
      <c r="X195" s="47"/>
      <c r="Y195" s="47"/>
      <c r="Z195" s="47"/>
      <c r="AA195" s="10"/>
      <c r="AB195" s="10"/>
      <c r="AC195" s="47"/>
      <c r="AD195" s="47"/>
      <c r="AE195" s="47"/>
      <c r="AF195" s="47"/>
      <c r="AG195" s="47"/>
      <c r="AH195" s="47"/>
      <c r="AI195" s="46"/>
      <c r="AJ195" s="46"/>
      <c r="AK195" s="46"/>
      <c r="AL195" s="7"/>
      <c r="AM195" s="49" t="str">
        <f aca="false">IF(OR(C195="",G195=""),"",IFERROR(DATEDIF(C195,G195,"m"),""))</f>
        <v/>
      </c>
      <c r="AN195" s="49" t="str">
        <f aca="false">IF(OR(Q195="",AM195=""),"",60+2*Q195-AM195)</f>
        <v/>
      </c>
      <c r="AO195" s="49" t="str">
        <f aca="false">IF(OR(G195="",AJ195=""),"",AJ195-G195)</f>
        <v/>
      </c>
      <c r="AP195" s="50" t="str">
        <f aca="false">IF(AND(A195="",B195=""),"",IF(J195="","Status needed",IF(OR(J195="Applied",J195="Visit booked",J195="Withdrawn"),"OK",IF(G195="","Date assessed needed",IF(C195="","Date of birth needed",IF(COUNTA(L195,M195,P195,U195,V195,X195)&lt;6,"Band missing",IF(AND(OR(J195="Decision confirmed",J195="Family told",J195="Enrolled"),AG195=""),"Recommendation needed",IF(AND(OR(J195="Family told",J195="Enrolled"),AJ195=""),"Date family told needed","OK"))))))))</f>
        <v/>
      </c>
    </row>
    <row r="196" customFormat="false" ht="15" hidden="false" customHeight="false" outlineLevel="0" collapsed="false">
      <c r="A196" s="7"/>
      <c r="B196" s="7"/>
      <c r="C196" s="46"/>
      <c r="D196" s="7"/>
      <c r="E196" s="47"/>
      <c r="F196" s="46"/>
      <c r="G196" s="46"/>
      <c r="H196" s="7"/>
      <c r="I196" s="7"/>
      <c r="J196" s="47"/>
      <c r="K196" s="47"/>
      <c r="L196" s="47"/>
      <c r="M196" s="47"/>
      <c r="N196" s="47"/>
      <c r="O196" s="10"/>
      <c r="P196" s="47"/>
      <c r="Q196" s="47"/>
      <c r="R196" s="48" t="str">
        <f aca="false">IF(Q196="","",IF(Q196=0,"below 5:00",IF(Q196&gt;=66,"16:00 or above",INT((60+2*Q196)/12)&amp;":"&amp;TEXT(MOD(60+2*Q196,12),"00"))))</f>
        <v/>
      </c>
      <c r="S196" s="47"/>
      <c r="T196" s="47"/>
      <c r="U196" s="47"/>
      <c r="V196" s="47"/>
      <c r="W196" s="47"/>
      <c r="X196" s="47"/>
      <c r="Y196" s="47"/>
      <c r="Z196" s="47"/>
      <c r="AA196" s="10"/>
      <c r="AB196" s="10"/>
      <c r="AC196" s="47"/>
      <c r="AD196" s="47"/>
      <c r="AE196" s="47"/>
      <c r="AF196" s="47"/>
      <c r="AG196" s="47"/>
      <c r="AH196" s="47"/>
      <c r="AI196" s="46"/>
      <c r="AJ196" s="46"/>
      <c r="AK196" s="46"/>
      <c r="AL196" s="7"/>
      <c r="AM196" s="49" t="str">
        <f aca="false">IF(OR(C196="",G196=""),"",IFERROR(DATEDIF(C196,G196,"m"),""))</f>
        <v/>
      </c>
      <c r="AN196" s="49" t="str">
        <f aca="false">IF(OR(Q196="",AM196=""),"",60+2*Q196-AM196)</f>
        <v/>
      </c>
      <c r="AO196" s="49" t="str">
        <f aca="false">IF(OR(G196="",AJ196=""),"",AJ196-G196)</f>
        <v/>
      </c>
      <c r="AP196" s="50" t="str">
        <f aca="false">IF(AND(A196="",B196=""),"",IF(J196="","Status needed",IF(OR(J196="Applied",J196="Visit booked",J196="Withdrawn"),"OK",IF(G196="","Date assessed needed",IF(C196="","Date of birth needed",IF(COUNTA(L196,M196,P196,U196,V196,X196)&lt;6,"Band missing",IF(AND(OR(J196="Decision confirmed",J196="Family told",J196="Enrolled"),AG196=""),"Recommendation needed",IF(AND(OR(J196="Family told",J196="Enrolled"),AJ196=""),"Date family told needed","OK"))))))))</f>
        <v/>
      </c>
    </row>
    <row r="197" customFormat="false" ht="15" hidden="false" customHeight="false" outlineLevel="0" collapsed="false">
      <c r="A197" s="7"/>
      <c r="B197" s="7"/>
      <c r="C197" s="46"/>
      <c r="D197" s="7"/>
      <c r="E197" s="47"/>
      <c r="F197" s="46"/>
      <c r="G197" s="46"/>
      <c r="H197" s="7"/>
      <c r="I197" s="7"/>
      <c r="J197" s="47"/>
      <c r="K197" s="47"/>
      <c r="L197" s="47"/>
      <c r="M197" s="47"/>
      <c r="N197" s="47"/>
      <c r="O197" s="10"/>
      <c r="P197" s="47"/>
      <c r="Q197" s="47"/>
      <c r="R197" s="48" t="str">
        <f aca="false">IF(Q197="","",IF(Q197=0,"below 5:00",IF(Q197&gt;=66,"16:00 or above",INT((60+2*Q197)/12)&amp;":"&amp;TEXT(MOD(60+2*Q197,12),"00"))))</f>
        <v/>
      </c>
      <c r="S197" s="47"/>
      <c r="T197" s="47"/>
      <c r="U197" s="47"/>
      <c r="V197" s="47"/>
      <c r="W197" s="47"/>
      <c r="X197" s="47"/>
      <c r="Y197" s="47"/>
      <c r="Z197" s="47"/>
      <c r="AA197" s="10"/>
      <c r="AB197" s="10"/>
      <c r="AC197" s="47"/>
      <c r="AD197" s="47"/>
      <c r="AE197" s="47"/>
      <c r="AF197" s="47"/>
      <c r="AG197" s="47"/>
      <c r="AH197" s="47"/>
      <c r="AI197" s="46"/>
      <c r="AJ197" s="46"/>
      <c r="AK197" s="46"/>
      <c r="AL197" s="7"/>
      <c r="AM197" s="49" t="str">
        <f aca="false">IF(OR(C197="",G197=""),"",IFERROR(DATEDIF(C197,G197,"m"),""))</f>
        <v/>
      </c>
      <c r="AN197" s="49" t="str">
        <f aca="false">IF(OR(Q197="",AM197=""),"",60+2*Q197-AM197)</f>
        <v/>
      </c>
      <c r="AO197" s="49" t="str">
        <f aca="false">IF(OR(G197="",AJ197=""),"",AJ197-G197)</f>
        <v/>
      </c>
      <c r="AP197" s="50" t="str">
        <f aca="false">IF(AND(A197="",B197=""),"",IF(J197="","Status needed",IF(OR(J197="Applied",J197="Visit booked",J197="Withdrawn"),"OK",IF(G197="","Date assessed needed",IF(C197="","Date of birth needed",IF(COUNTA(L197,M197,P197,U197,V197,X197)&lt;6,"Band missing",IF(AND(OR(J197="Decision confirmed",J197="Family told",J197="Enrolled"),AG197=""),"Recommendation needed",IF(AND(OR(J197="Family told",J197="Enrolled"),AJ197=""),"Date family told needed","OK"))))))))</f>
        <v/>
      </c>
    </row>
    <row r="198" customFormat="false" ht="15" hidden="false" customHeight="false" outlineLevel="0" collapsed="false">
      <c r="A198" s="7"/>
      <c r="B198" s="7"/>
      <c r="C198" s="46"/>
      <c r="D198" s="7"/>
      <c r="E198" s="47"/>
      <c r="F198" s="46"/>
      <c r="G198" s="46"/>
      <c r="H198" s="7"/>
      <c r="I198" s="7"/>
      <c r="J198" s="47"/>
      <c r="K198" s="47"/>
      <c r="L198" s="47"/>
      <c r="M198" s="47"/>
      <c r="N198" s="47"/>
      <c r="O198" s="10"/>
      <c r="P198" s="47"/>
      <c r="Q198" s="47"/>
      <c r="R198" s="48" t="str">
        <f aca="false">IF(Q198="","",IF(Q198=0,"below 5:00",IF(Q198&gt;=66,"16:00 or above",INT((60+2*Q198)/12)&amp;":"&amp;TEXT(MOD(60+2*Q198,12),"00"))))</f>
        <v/>
      </c>
      <c r="S198" s="47"/>
      <c r="T198" s="47"/>
      <c r="U198" s="47"/>
      <c r="V198" s="47"/>
      <c r="W198" s="47"/>
      <c r="X198" s="47"/>
      <c r="Y198" s="47"/>
      <c r="Z198" s="47"/>
      <c r="AA198" s="10"/>
      <c r="AB198" s="10"/>
      <c r="AC198" s="47"/>
      <c r="AD198" s="47"/>
      <c r="AE198" s="47"/>
      <c r="AF198" s="47"/>
      <c r="AG198" s="47"/>
      <c r="AH198" s="47"/>
      <c r="AI198" s="46"/>
      <c r="AJ198" s="46"/>
      <c r="AK198" s="46"/>
      <c r="AL198" s="7"/>
      <c r="AM198" s="49" t="str">
        <f aca="false">IF(OR(C198="",G198=""),"",IFERROR(DATEDIF(C198,G198,"m"),""))</f>
        <v/>
      </c>
      <c r="AN198" s="49" t="str">
        <f aca="false">IF(OR(Q198="",AM198=""),"",60+2*Q198-AM198)</f>
        <v/>
      </c>
      <c r="AO198" s="49" t="str">
        <f aca="false">IF(OR(G198="",AJ198=""),"",AJ198-G198)</f>
        <v/>
      </c>
      <c r="AP198" s="50" t="str">
        <f aca="false">IF(AND(A198="",B198=""),"",IF(J198="","Status needed",IF(OR(J198="Applied",J198="Visit booked",J198="Withdrawn"),"OK",IF(G198="","Date assessed needed",IF(C198="","Date of birth needed",IF(COUNTA(L198,M198,P198,U198,V198,X198)&lt;6,"Band missing",IF(AND(OR(J198="Decision confirmed",J198="Family told",J198="Enrolled"),AG198=""),"Recommendation needed",IF(AND(OR(J198="Family told",J198="Enrolled"),AJ198=""),"Date family told needed","OK"))))))))</f>
        <v/>
      </c>
    </row>
    <row r="199" customFormat="false" ht="15" hidden="false" customHeight="false" outlineLevel="0" collapsed="false">
      <c r="A199" s="7"/>
      <c r="B199" s="7"/>
      <c r="C199" s="46"/>
      <c r="D199" s="7"/>
      <c r="E199" s="47"/>
      <c r="F199" s="46"/>
      <c r="G199" s="46"/>
      <c r="H199" s="7"/>
      <c r="I199" s="7"/>
      <c r="J199" s="47"/>
      <c r="K199" s="47"/>
      <c r="L199" s="47"/>
      <c r="M199" s="47"/>
      <c r="N199" s="47"/>
      <c r="O199" s="10"/>
      <c r="P199" s="47"/>
      <c r="Q199" s="47"/>
      <c r="R199" s="48" t="str">
        <f aca="false">IF(Q199="","",IF(Q199=0,"below 5:00",IF(Q199&gt;=66,"16:00 or above",INT((60+2*Q199)/12)&amp;":"&amp;TEXT(MOD(60+2*Q199,12),"00"))))</f>
        <v/>
      </c>
      <c r="S199" s="47"/>
      <c r="T199" s="47"/>
      <c r="U199" s="47"/>
      <c r="V199" s="47"/>
      <c r="W199" s="47"/>
      <c r="X199" s="47"/>
      <c r="Y199" s="47"/>
      <c r="Z199" s="47"/>
      <c r="AA199" s="10"/>
      <c r="AB199" s="10"/>
      <c r="AC199" s="47"/>
      <c r="AD199" s="47"/>
      <c r="AE199" s="47"/>
      <c r="AF199" s="47"/>
      <c r="AG199" s="47"/>
      <c r="AH199" s="47"/>
      <c r="AI199" s="46"/>
      <c r="AJ199" s="46"/>
      <c r="AK199" s="46"/>
      <c r="AL199" s="7"/>
      <c r="AM199" s="49" t="str">
        <f aca="false">IF(OR(C199="",G199=""),"",IFERROR(DATEDIF(C199,G199,"m"),""))</f>
        <v/>
      </c>
      <c r="AN199" s="49" t="str">
        <f aca="false">IF(OR(Q199="",AM199=""),"",60+2*Q199-AM199)</f>
        <v/>
      </c>
      <c r="AO199" s="49" t="str">
        <f aca="false">IF(OR(G199="",AJ199=""),"",AJ199-G199)</f>
        <v/>
      </c>
      <c r="AP199" s="50" t="str">
        <f aca="false">IF(AND(A199="",B199=""),"",IF(J199="","Status needed",IF(OR(J199="Applied",J199="Visit booked",J199="Withdrawn"),"OK",IF(G199="","Date assessed needed",IF(C199="","Date of birth needed",IF(COUNTA(L199,M199,P199,U199,V199,X199)&lt;6,"Band missing",IF(AND(OR(J199="Decision confirmed",J199="Family told",J199="Enrolled"),AG199=""),"Recommendation needed",IF(AND(OR(J199="Family told",J199="Enrolled"),AJ199=""),"Date family told needed","OK"))))))))</f>
        <v/>
      </c>
    </row>
    <row r="200" customFormat="false" ht="15" hidden="false" customHeight="false" outlineLevel="0" collapsed="false">
      <c r="A200" s="7"/>
      <c r="B200" s="7"/>
      <c r="C200" s="46"/>
      <c r="D200" s="7"/>
      <c r="E200" s="47"/>
      <c r="F200" s="46"/>
      <c r="G200" s="46"/>
      <c r="H200" s="7"/>
      <c r="I200" s="7"/>
      <c r="J200" s="47"/>
      <c r="K200" s="47"/>
      <c r="L200" s="47"/>
      <c r="M200" s="47"/>
      <c r="N200" s="47"/>
      <c r="O200" s="10"/>
      <c r="P200" s="47"/>
      <c r="Q200" s="47"/>
      <c r="R200" s="48" t="str">
        <f aca="false">IF(Q200="","",IF(Q200=0,"below 5:00",IF(Q200&gt;=66,"16:00 or above",INT((60+2*Q200)/12)&amp;":"&amp;TEXT(MOD(60+2*Q200,12),"00"))))</f>
        <v/>
      </c>
      <c r="S200" s="47"/>
      <c r="T200" s="47"/>
      <c r="U200" s="47"/>
      <c r="V200" s="47"/>
      <c r="W200" s="47"/>
      <c r="X200" s="47"/>
      <c r="Y200" s="47"/>
      <c r="Z200" s="47"/>
      <c r="AA200" s="10"/>
      <c r="AB200" s="10"/>
      <c r="AC200" s="47"/>
      <c r="AD200" s="47"/>
      <c r="AE200" s="47"/>
      <c r="AF200" s="47"/>
      <c r="AG200" s="47"/>
      <c r="AH200" s="47"/>
      <c r="AI200" s="46"/>
      <c r="AJ200" s="46"/>
      <c r="AK200" s="46"/>
      <c r="AL200" s="7"/>
      <c r="AM200" s="49" t="str">
        <f aca="false">IF(OR(C200="",G200=""),"",IFERROR(DATEDIF(C200,G200,"m"),""))</f>
        <v/>
      </c>
      <c r="AN200" s="49" t="str">
        <f aca="false">IF(OR(Q200="",AM200=""),"",60+2*Q200-AM200)</f>
        <v/>
      </c>
      <c r="AO200" s="49" t="str">
        <f aca="false">IF(OR(G200="",AJ200=""),"",AJ200-G200)</f>
        <v/>
      </c>
      <c r="AP200" s="50" t="str">
        <f aca="false">IF(AND(A200="",B200=""),"",IF(J200="","Status needed",IF(OR(J200="Applied",J200="Visit booked",J200="Withdrawn"),"OK",IF(G200="","Date assessed needed",IF(C200="","Date of birth needed",IF(COUNTA(L200,M200,P200,U200,V200,X200)&lt;6,"Band missing",IF(AND(OR(J200="Decision confirmed",J200="Family told",J200="Enrolled"),AG200=""),"Recommendation needed",IF(AND(OR(J200="Family told",J200="Enrolled"),AJ200=""),"Date family told needed","OK"))))))))</f>
        <v/>
      </c>
    </row>
    <row r="201" customFormat="false" ht="15" hidden="false" customHeight="false" outlineLevel="0" collapsed="false">
      <c r="A201" s="7"/>
      <c r="B201" s="7"/>
      <c r="C201" s="46"/>
      <c r="D201" s="7"/>
      <c r="E201" s="47"/>
      <c r="F201" s="46"/>
      <c r="G201" s="46"/>
      <c r="H201" s="7"/>
      <c r="I201" s="7"/>
      <c r="J201" s="47"/>
      <c r="K201" s="47"/>
      <c r="L201" s="47"/>
      <c r="M201" s="47"/>
      <c r="N201" s="47"/>
      <c r="O201" s="10"/>
      <c r="P201" s="47"/>
      <c r="Q201" s="47"/>
      <c r="R201" s="48" t="str">
        <f aca="false">IF(Q201="","",IF(Q201=0,"below 5:00",IF(Q201&gt;=66,"16:00 or above",INT((60+2*Q201)/12)&amp;":"&amp;TEXT(MOD(60+2*Q201,12),"00"))))</f>
        <v/>
      </c>
      <c r="S201" s="47"/>
      <c r="T201" s="47"/>
      <c r="U201" s="47"/>
      <c r="V201" s="47"/>
      <c r="W201" s="47"/>
      <c r="X201" s="47"/>
      <c r="Y201" s="47"/>
      <c r="Z201" s="47"/>
      <c r="AA201" s="10"/>
      <c r="AB201" s="10"/>
      <c r="AC201" s="47"/>
      <c r="AD201" s="47"/>
      <c r="AE201" s="47"/>
      <c r="AF201" s="47"/>
      <c r="AG201" s="47"/>
      <c r="AH201" s="47"/>
      <c r="AI201" s="46"/>
      <c r="AJ201" s="46"/>
      <c r="AK201" s="46"/>
      <c r="AL201" s="7"/>
      <c r="AM201" s="49" t="str">
        <f aca="false">IF(OR(C201="",G201=""),"",IFERROR(DATEDIF(C201,G201,"m"),""))</f>
        <v/>
      </c>
      <c r="AN201" s="49" t="str">
        <f aca="false">IF(OR(Q201="",AM201=""),"",60+2*Q201-AM201)</f>
        <v/>
      </c>
      <c r="AO201" s="49" t="str">
        <f aca="false">IF(OR(G201="",AJ201=""),"",AJ201-G201)</f>
        <v/>
      </c>
      <c r="AP201" s="50" t="str">
        <f aca="false">IF(AND(A201="",B201=""),"",IF(J201="","Status needed",IF(OR(J201="Applied",J201="Visit booked",J201="Withdrawn"),"OK",IF(G201="","Date assessed needed",IF(C201="","Date of birth needed",IF(COUNTA(L201,M201,P201,U201,V201,X201)&lt;6,"Band missing",IF(AND(OR(J201="Decision confirmed",J201="Family told",J201="Enrolled"),AG201=""),"Recommendation needed",IF(AND(OR(J201="Family told",J201="Enrolled"),AJ201=""),"Date family told needed","OK"))))))))</f>
        <v/>
      </c>
    </row>
    <row r="202" customFormat="false" ht="15" hidden="false" customHeight="false" outlineLevel="0" collapsed="false">
      <c r="A202" s="7"/>
      <c r="B202" s="7"/>
      <c r="C202" s="46"/>
      <c r="D202" s="7"/>
      <c r="E202" s="47"/>
      <c r="F202" s="46"/>
      <c r="G202" s="46"/>
      <c r="H202" s="7"/>
      <c r="I202" s="7"/>
      <c r="J202" s="47"/>
      <c r="K202" s="47"/>
      <c r="L202" s="47"/>
      <c r="M202" s="47"/>
      <c r="N202" s="47"/>
      <c r="O202" s="10"/>
      <c r="P202" s="47"/>
      <c r="Q202" s="47"/>
      <c r="R202" s="48" t="str">
        <f aca="false">IF(Q202="","",IF(Q202=0,"below 5:00",IF(Q202&gt;=66,"16:00 or above",INT((60+2*Q202)/12)&amp;":"&amp;TEXT(MOD(60+2*Q202,12),"00"))))</f>
        <v/>
      </c>
      <c r="S202" s="47"/>
      <c r="T202" s="47"/>
      <c r="U202" s="47"/>
      <c r="V202" s="47"/>
      <c r="W202" s="47"/>
      <c r="X202" s="47"/>
      <c r="Y202" s="47"/>
      <c r="Z202" s="47"/>
      <c r="AA202" s="10"/>
      <c r="AB202" s="10"/>
      <c r="AC202" s="47"/>
      <c r="AD202" s="47"/>
      <c r="AE202" s="47"/>
      <c r="AF202" s="47"/>
      <c r="AG202" s="47"/>
      <c r="AH202" s="47"/>
      <c r="AI202" s="46"/>
      <c r="AJ202" s="46"/>
      <c r="AK202" s="46"/>
      <c r="AL202" s="7"/>
      <c r="AM202" s="49" t="str">
        <f aca="false">IF(OR(C202="",G202=""),"",IFERROR(DATEDIF(C202,G202,"m"),""))</f>
        <v/>
      </c>
      <c r="AN202" s="49" t="str">
        <f aca="false">IF(OR(Q202="",AM202=""),"",60+2*Q202-AM202)</f>
        <v/>
      </c>
      <c r="AO202" s="49" t="str">
        <f aca="false">IF(OR(G202="",AJ202=""),"",AJ202-G202)</f>
        <v/>
      </c>
      <c r="AP202" s="50" t="str">
        <f aca="false">IF(AND(A202="",B202=""),"",IF(J202="","Status needed",IF(OR(J202="Applied",J202="Visit booked",J202="Withdrawn"),"OK",IF(G202="","Date assessed needed",IF(C202="","Date of birth needed",IF(COUNTA(L202,M202,P202,U202,V202,X202)&lt;6,"Band missing",IF(AND(OR(J202="Decision confirmed",J202="Family told",J202="Enrolled"),AG202=""),"Recommendation needed",IF(AND(OR(J202="Family told",J202="Enrolled"),AJ202=""),"Date family told needed","OK"))))))))</f>
        <v/>
      </c>
    </row>
    <row r="203" customFormat="false" ht="15" hidden="false" customHeight="false" outlineLevel="0" collapsed="false">
      <c r="A203" s="7"/>
      <c r="B203" s="7"/>
      <c r="C203" s="46"/>
      <c r="D203" s="7"/>
      <c r="E203" s="47"/>
      <c r="F203" s="46"/>
      <c r="G203" s="46"/>
      <c r="H203" s="7"/>
      <c r="I203" s="7"/>
      <c r="J203" s="47"/>
      <c r="K203" s="47"/>
      <c r="L203" s="47"/>
      <c r="M203" s="47"/>
      <c r="N203" s="47"/>
      <c r="O203" s="10"/>
      <c r="P203" s="47"/>
      <c r="Q203" s="47"/>
      <c r="R203" s="48" t="str">
        <f aca="false">IF(Q203="","",IF(Q203=0,"below 5:00",IF(Q203&gt;=66,"16:00 or above",INT((60+2*Q203)/12)&amp;":"&amp;TEXT(MOD(60+2*Q203,12),"00"))))</f>
        <v/>
      </c>
      <c r="S203" s="47"/>
      <c r="T203" s="47"/>
      <c r="U203" s="47"/>
      <c r="V203" s="47"/>
      <c r="W203" s="47"/>
      <c r="X203" s="47"/>
      <c r="Y203" s="47"/>
      <c r="Z203" s="47"/>
      <c r="AA203" s="10"/>
      <c r="AB203" s="10"/>
      <c r="AC203" s="47"/>
      <c r="AD203" s="47"/>
      <c r="AE203" s="47"/>
      <c r="AF203" s="47"/>
      <c r="AG203" s="47"/>
      <c r="AH203" s="47"/>
      <c r="AI203" s="46"/>
      <c r="AJ203" s="46"/>
      <c r="AK203" s="46"/>
      <c r="AL203" s="7"/>
      <c r="AM203" s="49" t="str">
        <f aca="false">IF(OR(C203="",G203=""),"",IFERROR(DATEDIF(C203,G203,"m"),""))</f>
        <v/>
      </c>
      <c r="AN203" s="49" t="str">
        <f aca="false">IF(OR(Q203="",AM203=""),"",60+2*Q203-AM203)</f>
        <v/>
      </c>
      <c r="AO203" s="49" t="str">
        <f aca="false">IF(OR(G203="",AJ203=""),"",AJ203-G203)</f>
        <v/>
      </c>
      <c r="AP203" s="50" t="str">
        <f aca="false">IF(AND(A203="",B203=""),"",IF(J203="","Status needed",IF(OR(J203="Applied",J203="Visit booked",J203="Withdrawn"),"OK",IF(G203="","Date assessed needed",IF(C203="","Date of birth needed",IF(COUNTA(L203,M203,P203,U203,V203,X203)&lt;6,"Band missing",IF(AND(OR(J203="Decision confirmed",J203="Family told",J203="Enrolled"),AG203=""),"Recommendation needed",IF(AND(OR(J203="Family told",J203="Enrolled"),AJ203=""),"Date family told needed","OK"))))))))</f>
        <v/>
      </c>
    </row>
    <row r="204" customFormat="false" ht="15" hidden="false" customHeight="false" outlineLevel="0" collapsed="false">
      <c r="A204" s="7"/>
      <c r="B204" s="7"/>
      <c r="C204" s="46"/>
      <c r="D204" s="7"/>
      <c r="E204" s="47"/>
      <c r="F204" s="46"/>
      <c r="G204" s="46"/>
      <c r="H204" s="7"/>
      <c r="I204" s="7"/>
      <c r="J204" s="47"/>
      <c r="K204" s="47"/>
      <c r="L204" s="47"/>
      <c r="M204" s="47"/>
      <c r="N204" s="47"/>
      <c r="O204" s="10"/>
      <c r="P204" s="47"/>
      <c r="Q204" s="47"/>
      <c r="R204" s="48" t="str">
        <f aca="false">IF(Q204="","",IF(Q204=0,"below 5:00",IF(Q204&gt;=66,"16:00 or above",INT((60+2*Q204)/12)&amp;":"&amp;TEXT(MOD(60+2*Q204,12),"00"))))</f>
        <v/>
      </c>
      <c r="S204" s="47"/>
      <c r="T204" s="47"/>
      <c r="U204" s="47"/>
      <c r="V204" s="47"/>
      <c r="W204" s="47"/>
      <c r="X204" s="47"/>
      <c r="Y204" s="47"/>
      <c r="Z204" s="47"/>
      <c r="AA204" s="10"/>
      <c r="AB204" s="10"/>
      <c r="AC204" s="47"/>
      <c r="AD204" s="47"/>
      <c r="AE204" s="47"/>
      <c r="AF204" s="47"/>
      <c r="AG204" s="47"/>
      <c r="AH204" s="47"/>
      <c r="AI204" s="46"/>
      <c r="AJ204" s="46"/>
      <c r="AK204" s="46"/>
      <c r="AL204" s="7"/>
      <c r="AM204" s="49" t="str">
        <f aca="false">IF(OR(C204="",G204=""),"",IFERROR(DATEDIF(C204,G204,"m"),""))</f>
        <v/>
      </c>
      <c r="AN204" s="49" t="str">
        <f aca="false">IF(OR(Q204="",AM204=""),"",60+2*Q204-AM204)</f>
        <v/>
      </c>
      <c r="AO204" s="49" t="str">
        <f aca="false">IF(OR(G204="",AJ204=""),"",AJ204-G204)</f>
        <v/>
      </c>
      <c r="AP204" s="50" t="str">
        <f aca="false">IF(AND(A204="",B204=""),"",IF(J204="","Status needed",IF(OR(J204="Applied",J204="Visit booked",J204="Withdrawn"),"OK",IF(G204="","Date assessed needed",IF(C204="","Date of birth needed",IF(COUNTA(L204,M204,P204,U204,V204,X204)&lt;6,"Band missing",IF(AND(OR(J204="Decision confirmed",J204="Family told",J204="Enrolled"),AG204=""),"Recommendation needed",IF(AND(OR(J204="Family told",J204="Enrolled"),AJ204=""),"Date family told needed","OK"))))))))</f>
        <v/>
      </c>
    </row>
    <row r="205" customFormat="false" ht="15" hidden="false" customHeight="false" outlineLevel="0" collapsed="false">
      <c r="A205" s="7"/>
      <c r="B205" s="7"/>
      <c r="C205" s="46"/>
      <c r="D205" s="7"/>
      <c r="E205" s="47"/>
      <c r="F205" s="46"/>
      <c r="G205" s="46"/>
      <c r="H205" s="7"/>
      <c r="I205" s="7"/>
      <c r="J205" s="47"/>
      <c r="K205" s="47"/>
      <c r="L205" s="47"/>
      <c r="M205" s="47"/>
      <c r="N205" s="47"/>
      <c r="O205" s="10"/>
      <c r="P205" s="47"/>
      <c r="Q205" s="47"/>
      <c r="R205" s="48" t="str">
        <f aca="false">IF(Q205="","",IF(Q205=0,"below 5:00",IF(Q205&gt;=66,"16:00 or above",INT((60+2*Q205)/12)&amp;":"&amp;TEXT(MOD(60+2*Q205,12),"00"))))</f>
        <v/>
      </c>
      <c r="S205" s="47"/>
      <c r="T205" s="47"/>
      <c r="U205" s="47"/>
      <c r="V205" s="47"/>
      <c r="W205" s="47"/>
      <c r="X205" s="47"/>
      <c r="Y205" s="47"/>
      <c r="Z205" s="47"/>
      <c r="AA205" s="10"/>
      <c r="AB205" s="10"/>
      <c r="AC205" s="47"/>
      <c r="AD205" s="47"/>
      <c r="AE205" s="47"/>
      <c r="AF205" s="47"/>
      <c r="AG205" s="47"/>
      <c r="AH205" s="47"/>
      <c r="AI205" s="46"/>
      <c r="AJ205" s="46"/>
      <c r="AK205" s="46"/>
      <c r="AL205" s="7"/>
      <c r="AM205" s="49" t="str">
        <f aca="false">IF(OR(C205="",G205=""),"",IFERROR(DATEDIF(C205,G205,"m"),""))</f>
        <v/>
      </c>
      <c r="AN205" s="49" t="str">
        <f aca="false">IF(OR(Q205="",AM205=""),"",60+2*Q205-AM205)</f>
        <v/>
      </c>
      <c r="AO205" s="49" t="str">
        <f aca="false">IF(OR(G205="",AJ205=""),"",AJ205-G205)</f>
        <v/>
      </c>
      <c r="AP205" s="50" t="str">
        <f aca="false">IF(AND(A205="",B205=""),"",IF(J205="","Status needed",IF(OR(J205="Applied",J205="Visit booked",J205="Withdrawn"),"OK",IF(G205="","Date assessed needed",IF(C205="","Date of birth needed",IF(COUNTA(L205,M205,P205,U205,V205,X205)&lt;6,"Band missing",IF(AND(OR(J205="Decision confirmed",J205="Family told",J205="Enrolled"),AG205=""),"Recommendation needed",IF(AND(OR(J205="Family told",J205="Enrolled"),AJ205=""),"Date family told needed","OK"))))))))</f>
        <v/>
      </c>
    </row>
    <row r="206" customFormat="false" ht="15" hidden="false" customHeight="false" outlineLevel="0" collapsed="false">
      <c r="A206" s="7"/>
      <c r="B206" s="7"/>
      <c r="C206" s="46"/>
      <c r="D206" s="7"/>
      <c r="E206" s="47"/>
      <c r="F206" s="46"/>
      <c r="G206" s="46"/>
      <c r="H206" s="7"/>
      <c r="I206" s="7"/>
      <c r="J206" s="47"/>
      <c r="K206" s="47"/>
      <c r="L206" s="47"/>
      <c r="M206" s="47"/>
      <c r="N206" s="47"/>
      <c r="O206" s="10"/>
      <c r="P206" s="47"/>
      <c r="Q206" s="47"/>
      <c r="R206" s="48" t="str">
        <f aca="false">IF(Q206="","",IF(Q206=0,"below 5:00",IF(Q206&gt;=66,"16:00 or above",INT((60+2*Q206)/12)&amp;":"&amp;TEXT(MOD(60+2*Q206,12),"00"))))</f>
        <v/>
      </c>
      <c r="S206" s="47"/>
      <c r="T206" s="47"/>
      <c r="U206" s="47"/>
      <c r="V206" s="47"/>
      <c r="W206" s="47"/>
      <c r="X206" s="47"/>
      <c r="Y206" s="47"/>
      <c r="Z206" s="47"/>
      <c r="AA206" s="10"/>
      <c r="AB206" s="10"/>
      <c r="AC206" s="47"/>
      <c r="AD206" s="47"/>
      <c r="AE206" s="47"/>
      <c r="AF206" s="47"/>
      <c r="AG206" s="47"/>
      <c r="AH206" s="47"/>
      <c r="AI206" s="46"/>
      <c r="AJ206" s="46"/>
      <c r="AK206" s="46"/>
      <c r="AL206" s="7"/>
      <c r="AM206" s="49" t="str">
        <f aca="false">IF(OR(C206="",G206=""),"",IFERROR(DATEDIF(C206,G206,"m"),""))</f>
        <v/>
      </c>
      <c r="AN206" s="49" t="str">
        <f aca="false">IF(OR(Q206="",AM206=""),"",60+2*Q206-AM206)</f>
        <v/>
      </c>
      <c r="AO206" s="49" t="str">
        <f aca="false">IF(OR(G206="",AJ206=""),"",AJ206-G206)</f>
        <v/>
      </c>
      <c r="AP206" s="50" t="str">
        <f aca="false">IF(AND(A206="",B206=""),"",IF(J206="","Status needed",IF(OR(J206="Applied",J206="Visit booked",J206="Withdrawn"),"OK",IF(G206="","Date assessed needed",IF(C206="","Date of birth needed",IF(COUNTA(L206,M206,P206,U206,V206,X206)&lt;6,"Band missing",IF(AND(OR(J206="Decision confirmed",J206="Family told",J206="Enrolled"),AG206=""),"Recommendation needed",IF(AND(OR(J206="Family told",J206="Enrolled"),AJ206=""),"Date family told needed","OK"))))))))</f>
        <v/>
      </c>
    </row>
    <row r="207" customFormat="false" ht="15" hidden="false" customHeight="false" outlineLevel="0" collapsed="false">
      <c r="A207" s="7"/>
      <c r="B207" s="7"/>
      <c r="C207" s="46"/>
      <c r="D207" s="7"/>
      <c r="E207" s="47"/>
      <c r="F207" s="46"/>
      <c r="G207" s="46"/>
      <c r="H207" s="7"/>
      <c r="I207" s="7"/>
      <c r="J207" s="47"/>
      <c r="K207" s="47"/>
      <c r="L207" s="47"/>
      <c r="M207" s="47"/>
      <c r="N207" s="47"/>
      <c r="O207" s="10"/>
      <c r="P207" s="47"/>
      <c r="Q207" s="47"/>
      <c r="R207" s="48" t="str">
        <f aca="false">IF(Q207="","",IF(Q207=0,"below 5:00",IF(Q207&gt;=66,"16:00 or above",INT((60+2*Q207)/12)&amp;":"&amp;TEXT(MOD(60+2*Q207,12),"00"))))</f>
        <v/>
      </c>
      <c r="S207" s="47"/>
      <c r="T207" s="47"/>
      <c r="U207" s="47"/>
      <c r="V207" s="47"/>
      <c r="W207" s="47"/>
      <c r="X207" s="47"/>
      <c r="Y207" s="47"/>
      <c r="Z207" s="47"/>
      <c r="AA207" s="10"/>
      <c r="AB207" s="10"/>
      <c r="AC207" s="47"/>
      <c r="AD207" s="47"/>
      <c r="AE207" s="47"/>
      <c r="AF207" s="47"/>
      <c r="AG207" s="47"/>
      <c r="AH207" s="47"/>
      <c r="AI207" s="46"/>
      <c r="AJ207" s="46"/>
      <c r="AK207" s="46"/>
      <c r="AL207" s="7"/>
      <c r="AM207" s="49" t="str">
        <f aca="false">IF(OR(C207="",G207=""),"",IFERROR(DATEDIF(C207,G207,"m"),""))</f>
        <v/>
      </c>
      <c r="AN207" s="49" t="str">
        <f aca="false">IF(OR(Q207="",AM207=""),"",60+2*Q207-AM207)</f>
        <v/>
      </c>
      <c r="AO207" s="49" t="str">
        <f aca="false">IF(OR(G207="",AJ207=""),"",AJ207-G207)</f>
        <v/>
      </c>
      <c r="AP207" s="50" t="str">
        <f aca="false">IF(AND(A207="",B207=""),"",IF(J207="","Status needed",IF(OR(J207="Applied",J207="Visit booked",J207="Withdrawn"),"OK",IF(G207="","Date assessed needed",IF(C207="","Date of birth needed",IF(COUNTA(L207,M207,P207,U207,V207,X207)&lt;6,"Band missing",IF(AND(OR(J207="Decision confirmed",J207="Family told",J207="Enrolled"),AG207=""),"Recommendation needed",IF(AND(OR(J207="Family told",J207="Enrolled"),AJ207=""),"Date family told needed","OK"))))))))</f>
        <v/>
      </c>
    </row>
    <row r="208" customFormat="false" ht="15" hidden="false" customHeight="false" outlineLevel="0" collapsed="false">
      <c r="A208" s="7"/>
      <c r="B208" s="7"/>
      <c r="C208" s="46"/>
      <c r="D208" s="7"/>
      <c r="E208" s="47"/>
      <c r="F208" s="46"/>
      <c r="G208" s="46"/>
      <c r="H208" s="7"/>
      <c r="I208" s="7"/>
      <c r="J208" s="47"/>
      <c r="K208" s="47"/>
      <c r="L208" s="47"/>
      <c r="M208" s="47"/>
      <c r="N208" s="47"/>
      <c r="O208" s="10"/>
      <c r="P208" s="47"/>
      <c r="Q208" s="47"/>
      <c r="R208" s="48" t="str">
        <f aca="false">IF(Q208="","",IF(Q208=0,"below 5:00",IF(Q208&gt;=66,"16:00 or above",INT((60+2*Q208)/12)&amp;":"&amp;TEXT(MOD(60+2*Q208,12),"00"))))</f>
        <v/>
      </c>
      <c r="S208" s="47"/>
      <c r="T208" s="47"/>
      <c r="U208" s="47"/>
      <c r="V208" s="47"/>
      <c r="W208" s="47"/>
      <c r="X208" s="47"/>
      <c r="Y208" s="47"/>
      <c r="Z208" s="47"/>
      <c r="AA208" s="10"/>
      <c r="AB208" s="10"/>
      <c r="AC208" s="47"/>
      <c r="AD208" s="47"/>
      <c r="AE208" s="47"/>
      <c r="AF208" s="47"/>
      <c r="AG208" s="47"/>
      <c r="AH208" s="47"/>
      <c r="AI208" s="46"/>
      <c r="AJ208" s="46"/>
      <c r="AK208" s="46"/>
      <c r="AL208" s="7"/>
      <c r="AM208" s="49" t="str">
        <f aca="false">IF(OR(C208="",G208=""),"",IFERROR(DATEDIF(C208,G208,"m"),""))</f>
        <v/>
      </c>
      <c r="AN208" s="49" t="str">
        <f aca="false">IF(OR(Q208="",AM208=""),"",60+2*Q208-AM208)</f>
        <v/>
      </c>
      <c r="AO208" s="49" t="str">
        <f aca="false">IF(OR(G208="",AJ208=""),"",AJ208-G208)</f>
        <v/>
      </c>
      <c r="AP208" s="50" t="str">
        <f aca="false">IF(AND(A208="",B208=""),"",IF(J208="","Status needed",IF(OR(J208="Applied",J208="Visit booked",J208="Withdrawn"),"OK",IF(G208="","Date assessed needed",IF(C208="","Date of birth needed",IF(COUNTA(L208,M208,P208,U208,V208,X208)&lt;6,"Band missing",IF(AND(OR(J208="Decision confirmed",J208="Family told",J208="Enrolled"),AG208=""),"Recommendation needed",IF(AND(OR(J208="Family told",J208="Enrolled"),AJ208=""),"Date family told needed","OK"))))))))</f>
        <v/>
      </c>
    </row>
    <row r="209" customFormat="false" ht="15" hidden="false" customHeight="false" outlineLevel="0" collapsed="false">
      <c r="A209" s="7"/>
      <c r="B209" s="7"/>
      <c r="C209" s="46"/>
      <c r="D209" s="7"/>
      <c r="E209" s="47"/>
      <c r="F209" s="46"/>
      <c r="G209" s="46"/>
      <c r="H209" s="7"/>
      <c r="I209" s="7"/>
      <c r="J209" s="47"/>
      <c r="K209" s="47"/>
      <c r="L209" s="47"/>
      <c r="M209" s="47"/>
      <c r="N209" s="47"/>
      <c r="O209" s="10"/>
      <c r="P209" s="47"/>
      <c r="Q209" s="47"/>
      <c r="R209" s="48" t="str">
        <f aca="false">IF(Q209="","",IF(Q209=0,"below 5:00",IF(Q209&gt;=66,"16:00 or above",INT((60+2*Q209)/12)&amp;":"&amp;TEXT(MOD(60+2*Q209,12),"00"))))</f>
        <v/>
      </c>
      <c r="S209" s="47"/>
      <c r="T209" s="47"/>
      <c r="U209" s="47"/>
      <c r="V209" s="47"/>
      <c r="W209" s="47"/>
      <c r="X209" s="47"/>
      <c r="Y209" s="47"/>
      <c r="Z209" s="47"/>
      <c r="AA209" s="10"/>
      <c r="AB209" s="10"/>
      <c r="AC209" s="47"/>
      <c r="AD209" s="47"/>
      <c r="AE209" s="47"/>
      <c r="AF209" s="47"/>
      <c r="AG209" s="47"/>
      <c r="AH209" s="47"/>
      <c r="AI209" s="46"/>
      <c r="AJ209" s="46"/>
      <c r="AK209" s="46"/>
      <c r="AL209" s="7"/>
      <c r="AM209" s="49" t="str">
        <f aca="false">IF(OR(C209="",G209=""),"",IFERROR(DATEDIF(C209,G209,"m"),""))</f>
        <v/>
      </c>
      <c r="AN209" s="49" t="str">
        <f aca="false">IF(OR(Q209="",AM209=""),"",60+2*Q209-AM209)</f>
        <v/>
      </c>
      <c r="AO209" s="49" t="str">
        <f aca="false">IF(OR(G209="",AJ209=""),"",AJ209-G209)</f>
        <v/>
      </c>
      <c r="AP209" s="50" t="str">
        <f aca="false">IF(AND(A209="",B209=""),"",IF(J209="","Status needed",IF(OR(J209="Applied",J209="Visit booked",J209="Withdrawn"),"OK",IF(G209="","Date assessed needed",IF(C209="","Date of birth needed",IF(COUNTA(L209,M209,P209,U209,V209,X209)&lt;6,"Band missing",IF(AND(OR(J209="Decision confirmed",J209="Family told",J209="Enrolled"),AG209=""),"Recommendation needed",IF(AND(OR(J209="Family told",J209="Enrolled"),AJ209=""),"Date family told needed","OK"))))))))</f>
        <v/>
      </c>
    </row>
    <row r="210" customFormat="false" ht="15" hidden="false" customHeight="false" outlineLevel="0" collapsed="false">
      <c r="A210" s="7"/>
      <c r="B210" s="7"/>
      <c r="C210" s="46"/>
      <c r="D210" s="7"/>
      <c r="E210" s="47"/>
      <c r="F210" s="46"/>
      <c r="G210" s="46"/>
      <c r="H210" s="7"/>
      <c r="I210" s="7"/>
      <c r="J210" s="47"/>
      <c r="K210" s="47"/>
      <c r="L210" s="47"/>
      <c r="M210" s="47"/>
      <c r="N210" s="47"/>
      <c r="O210" s="10"/>
      <c r="P210" s="47"/>
      <c r="Q210" s="47"/>
      <c r="R210" s="48" t="str">
        <f aca="false">IF(Q210="","",IF(Q210=0,"below 5:00",IF(Q210&gt;=66,"16:00 or above",INT((60+2*Q210)/12)&amp;":"&amp;TEXT(MOD(60+2*Q210,12),"00"))))</f>
        <v/>
      </c>
      <c r="S210" s="47"/>
      <c r="T210" s="47"/>
      <c r="U210" s="47"/>
      <c r="V210" s="47"/>
      <c r="W210" s="47"/>
      <c r="X210" s="47"/>
      <c r="Y210" s="47"/>
      <c r="Z210" s="47"/>
      <c r="AA210" s="10"/>
      <c r="AB210" s="10"/>
      <c r="AC210" s="47"/>
      <c r="AD210" s="47"/>
      <c r="AE210" s="47"/>
      <c r="AF210" s="47"/>
      <c r="AG210" s="47"/>
      <c r="AH210" s="47"/>
      <c r="AI210" s="46"/>
      <c r="AJ210" s="46"/>
      <c r="AK210" s="46"/>
      <c r="AL210" s="7"/>
      <c r="AM210" s="49" t="str">
        <f aca="false">IF(OR(C210="",G210=""),"",IFERROR(DATEDIF(C210,G210,"m"),""))</f>
        <v/>
      </c>
      <c r="AN210" s="49" t="str">
        <f aca="false">IF(OR(Q210="",AM210=""),"",60+2*Q210-AM210)</f>
        <v/>
      </c>
      <c r="AO210" s="49" t="str">
        <f aca="false">IF(OR(G210="",AJ210=""),"",AJ210-G210)</f>
        <v/>
      </c>
      <c r="AP210" s="50" t="str">
        <f aca="false">IF(AND(A210="",B210=""),"",IF(J210="","Status needed",IF(OR(J210="Applied",J210="Visit booked",J210="Withdrawn"),"OK",IF(G210="","Date assessed needed",IF(C210="","Date of birth needed",IF(COUNTA(L210,M210,P210,U210,V210,X210)&lt;6,"Band missing",IF(AND(OR(J210="Decision confirmed",J210="Family told",J210="Enrolled"),AG210=""),"Recommendation needed",IF(AND(OR(J210="Family told",J210="Enrolled"),AJ210=""),"Date family told needed","OK"))))))))</f>
        <v/>
      </c>
    </row>
    <row r="211" customFormat="false" ht="15" hidden="false" customHeight="false" outlineLevel="0" collapsed="false">
      <c r="A211" s="7"/>
      <c r="B211" s="7"/>
      <c r="C211" s="46"/>
      <c r="D211" s="7"/>
      <c r="E211" s="47"/>
      <c r="F211" s="46"/>
      <c r="G211" s="46"/>
      <c r="H211" s="7"/>
      <c r="I211" s="7"/>
      <c r="J211" s="47"/>
      <c r="K211" s="47"/>
      <c r="L211" s="47"/>
      <c r="M211" s="47"/>
      <c r="N211" s="47"/>
      <c r="O211" s="10"/>
      <c r="P211" s="47"/>
      <c r="Q211" s="47"/>
      <c r="R211" s="48" t="str">
        <f aca="false">IF(Q211="","",IF(Q211=0,"below 5:00",IF(Q211&gt;=66,"16:00 or above",INT((60+2*Q211)/12)&amp;":"&amp;TEXT(MOD(60+2*Q211,12),"00"))))</f>
        <v/>
      </c>
      <c r="S211" s="47"/>
      <c r="T211" s="47"/>
      <c r="U211" s="47"/>
      <c r="V211" s="47"/>
      <c r="W211" s="47"/>
      <c r="X211" s="47"/>
      <c r="Y211" s="47"/>
      <c r="Z211" s="47"/>
      <c r="AA211" s="10"/>
      <c r="AB211" s="10"/>
      <c r="AC211" s="47"/>
      <c r="AD211" s="47"/>
      <c r="AE211" s="47"/>
      <c r="AF211" s="47"/>
      <c r="AG211" s="47"/>
      <c r="AH211" s="47"/>
      <c r="AI211" s="46"/>
      <c r="AJ211" s="46"/>
      <c r="AK211" s="46"/>
      <c r="AL211" s="7"/>
      <c r="AM211" s="49" t="str">
        <f aca="false">IF(OR(C211="",G211=""),"",IFERROR(DATEDIF(C211,G211,"m"),""))</f>
        <v/>
      </c>
      <c r="AN211" s="49" t="str">
        <f aca="false">IF(OR(Q211="",AM211=""),"",60+2*Q211-AM211)</f>
        <v/>
      </c>
      <c r="AO211" s="49" t="str">
        <f aca="false">IF(OR(G211="",AJ211=""),"",AJ211-G211)</f>
        <v/>
      </c>
      <c r="AP211" s="50" t="str">
        <f aca="false">IF(AND(A211="",B211=""),"",IF(J211="","Status needed",IF(OR(J211="Applied",J211="Visit booked",J211="Withdrawn"),"OK",IF(G211="","Date assessed needed",IF(C211="","Date of birth needed",IF(COUNTA(L211,M211,P211,U211,V211,X211)&lt;6,"Band missing",IF(AND(OR(J211="Decision confirmed",J211="Family told",J211="Enrolled"),AG211=""),"Recommendation needed",IF(AND(OR(J211="Family told",J211="Enrolled"),AJ211=""),"Date family told needed","OK"))))))))</f>
        <v/>
      </c>
    </row>
    <row r="212" customFormat="false" ht="15" hidden="false" customHeight="false" outlineLevel="0" collapsed="false">
      <c r="A212" s="7"/>
      <c r="B212" s="7"/>
      <c r="C212" s="46"/>
      <c r="D212" s="7"/>
      <c r="E212" s="47"/>
      <c r="F212" s="46"/>
      <c r="G212" s="46"/>
      <c r="H212" s="7"/>
      <c r="I212" s="7"/>
      <c r="J212" s="47"/>
      <c r="K212" s="47"/>
      <c r="L212" s="47"/>
      <c r="M212" s="47"/>
      <c r="N212" s="47"/>
      <c r="O212" s="10"/>
      <c r="P212" s="47"/>
      <c r="Q212" s="47"/>
      <c r="R212" s="48" t="str">
        <f aca="false">IF(Q212="","",IF(Q212=0,"below 5:00",IF(Q212&gt;=66,"16:00 or above",INT((60+2*Q212)/12)&amp;":"&amp;TEXT(MOD(60+2*Q212,12),"00"))))</f>
        <v/>
      </c>
      <c r="S212" s="47"/>
      <c r="T212" s="47"/>
      <c r="U212" s="47"/>
      <c r="V212" s="47"/>
      <c r="W212" s="47"/>
      <c r="X212" s="47"/>
      <c r="Y212" s="47"/>
      <c r="Z212" s="47"/>
      <c r="AA212" s="10"/>
      <c r="AB212" s="10"/>
      <c r="AC212" s="47"/>
      <c r="AD212" s="47"/>
      <c r="AE212" s="47"/>
      <c r="AF212" s="47"/>
      <c r="AG212" s="47"/>
      <c r="AH212" s="47"/>
      <c r="AI212" s="46"/>
      <c r="AJ212" s="46"/>
      <c r="AK212" s="46"/>
      <c r="AL212" s="7"/>
      <c r="AM212" s="49" t="str">
        <f aca="false">IF(OR(C212="",G212=""),"",IFERROR(DATEDIF(C212,G212,"m"),""))</f>
        <v/>
      </c>
      <c r="AN212" s="49" t="str">
        <f aca="false">IF(OR(Q212="",AM212=""),"",60+2*Q212-AM212)</f>
        <v/>
      </c>
      <c r="AO212" s="49" t="str">
        <f aca="false">IF(OR(G212="",AJ212=""),"",AJ212-G212)</f>
        <v/>
      </c>
      <c r="AP212" s="50" t="str">
        <f aca="false">IF(AND(A212="",B212=""),"",IF(J212="","Status needed",IF(OR(J212="Applied",J212="Visit booked",J212="Withdrawn"),"OK",IF(G212="","Date assessed needed",IF(C212="","Date of birth needed",IF(COUNTA(L212,M212,P212,U212,V212,X212)&lt;6,"Band missing",IF(AND(OR(J212="Decision confirmed",J212="Family told",J212="Enrolled"),AG212=""),"Recommendation needed",IF(AND(OR(J212="Family told",J212="Enrolled"),AJ212=""),"Date family told needed","OK"))))))))</f>
        <v/>
      </c>
    </row>
    <row r="213" customFormat="false" ht="15" hidden="false" customHeight="false" outlineLevel="0" collapsed="false">
      <c r="A213" s="7"/>
      <c r="B213" s="7"/>
      <c r="C213" s="46"/>
      <c r="D213" s="7"/>
      <c r="E213" s="47"/>
      <c r="F213" s="46"/>
      <c r="G213" s="46"/>
      <c r="H213" s="7"/>
      <c r="I213" s="7"/>
      <c r="J213" s="47"/>
      <c r="K213" s="47"/>
      <c r="L213" s="47"/>
      <c r="M213" s="47"/>
      <c r="N213" s="47"/>
      <c r="O213" s="10"/>
      <c r="P213" s="47"/>
      <c r="Q213" s="47"/>
      <c r="R213" s="48" t="str">
        <f aca="false">IF(Q213="","",IF(Q213=0,"below 5:00",IF(Q213&gt;=66,"16:00 or above",INT((60+2*Q213)/12)&amp;":"&amp;TEXT(MOD(60+2*Q213,12),"00"))))</f>
        <v/>
      </c>
      <c r="S213" s="47"/>
      <c r="T213" s="47"/>
      <c r="U213" s="47"/>
      <c r="V213" s="47"/>
      <c r="W213" s="47"/>
      <c r="X213" s="47"/>
      <c r="Y213" s="47"/>
      <c r="Z213" s="47"/>
      <c r="AA213" s="10"/>
      <c r="AB213" s="10"/>
      <c r="AC213" s="47"/>
      <c r="AD213" s="47"/>
      <c r="AE213" s="47"/>
      <c r="AF213" s="47"/>
      <c r="AG213" s="47"/>
      <c r="AH213" s="47"/>
      <c r="AI213" s="46"/>
      <c r="AJ213" s="46"/>
      <c r="AK213" s="46"/>
      <c r="AL213" s="7"/>
      <c r="AM213" s="49" t="str">
        <f aca="false">IF(OR(C213="",G213=""),"",IFERROR(DATEDIF(C213,G213,"m"),""))</f>
        <v/>
      </c>
      <c r="AN213" s="49" t="str">
        <f aca="false">IF(OR(Q213="",AM213=""),"",60+2*Q213-AM213)</f>
        <v/>
      </c>
      <c r="AO213" s="49" t="str">
        <f aca="false">IF(OR(G213="",AJ213=""),"",AJ213-G213)</f>
        <v/>
      </c>
      <c r="AP213" s="50" t="str">
        <f aca="false">IF(AND(A213="",B213=""),"",IF(J213="","Status needed",IF(OR(J213="Applied",J213="Visit booked",J213="Withdrawn"),"OK",IF(G213="","Date assessed needed",IF(C213="","Date of birth needed",IF(COUNTA(L213,M213,P213,U213,V213,X213)&lt;6,"Band missing",IF(AND(OR(J213="Decision confirmed",J213="Family told",J213="Enrolled"),AG213=""),"Recommendation needed",IF(AND(OR(J213="Family told",J213="Enrolled"),AJ213=""),"Date family told needed","OK"))))))))</f>
        <v/>
      </c>
    </row>
    <row r="214" customFormat="false" ht="15" hidden="false" customHeight="false" outlineLevel="0" collapsed="false">
      <c r="A214" s="7"/>
      <c r="B214" s="7"/>
      <c r="C214" s="46"/>
      <c r="D214" s="7"/>
      <c r="E214" s="47"/>
      <c r="F214" s="46"/>
      <c r="G214" s="46"/>
      <c r="H214" s="7"/>
      <c r="I214" s="7"/>
      <c r="J214" s="47"/>
      <c r="K214" s="47"/>
      <c r="L214" s="47"/>
      <c r="M214" s="47"/>
      <c r="N214" s="47"/>
      <c r="O214" s="10"/>
      <c r="P214" s="47"/>
      <c r="Q214" s="47"/>
      <c r="R214" s="48" t="str">
        <f aca="false">IF(Q214="","",IF(Q214=0,"below 5:00",IF(Q214&gt;=66,"16:00 or above",INT((60+2*Q214)/12)&amp;":"&amp;TEXT(MOD(60+2*Q214,12),"00"))))</f>
        <v/>
      </c>
      <c r="S214" s="47"/>
      <c r="T214" s="47"/>
      <c r="U214" s="47"/>
      <c r="V214" s="47"/>
      <c r="W214" s="47"/>
      <c r="X214" s="47"/>
      <c r="Y214" s="47"/>
      <c r="Z214" s="47"/>
      <c r="AA214" s="10"/>
      <c r="AB214" s="10"/>
      <c r="AC214" s="47"/>
      <c r="AD214" s="47"/>
      <c r="AE214" s="47"/>
      <c r="AF214" s="47"/>
      <c r="AG214" s="47"/>
      <c r="AH214" s="47"/>
      <c r="AI214" s="46"/>
      <c r="AJ214" s="46"/>
      <c r="AK214" s="46"/>
      <c r="AL214" s="7"/>
      <c r="AM214" s="49" t="str">
        <f aca="false">IF(OR(C214="",G214=""),"",IFERROR(DATEDIF(C214,G214,"m"),""))</f>
        <v/>
      </c>
      <c r="AN214" s="49" t="str">
        <f aca="false">IF(OR(Q214="",AM214=""),"",60+2*Q214-AM214)</f>
        <v/>
      </c>
      <c r="AO214" s="49" t="str">
        <f aca="false">IF(OR(G214="",AJ214=""),"",AJ214-G214)</f>
        <v/>
      </c>
      <c r="AP214" s="50" t="str">
        <f aca="false">IF(AND(A214="",B214=""),"",IF(J214="","Status needed",IF(OR(J214="Applied",J214="Visit booked",J214="Withdrawn"),"OK",IF(G214="","Date assessed needed",IF(C214="","Date of birth needed",IF(COUNTA(L214,M214,P214,U214,V214,X214)&lt;6,"Band missing",IF(AND(OR(J214="Decision confirmed",J214="Family told",J214="Enrolled"),AG214=""),"Recommendation needed",IF(AND(OR(J214="Family told",J214="Enrolled"),AJ214=""),"Date family told needed","OK"))))))))</f>
        <v/>
      </c>
    </row>
    <row r="215" customFormat="false" ht="15" hidden="false" customHeight="false" outlineLevel="0" collapsed="false">
      <c r="A215" s="7"/>
      <c r="B215" s="7"/>
      <c r="C215" s="46"/>
      <c r="D215" s="7"/>
      <c r="E215" s="47"/>
      <c r="F215" s="46"/>
      <c r="G215" s="46"/>
      <c r="H215" s="7"/>
      <c r="I215" s="7"/>
      <c r="J215" s="47"/>
      <c r="K215" s="47"/>
      <c r="L215" s="47"/>
      <c r="M215" s="47"/>
      <c r="N215" s="47"/>
      <c r="O215" s="10"/>
      <c r="P215" s="47"/>
      <c r="Q215" s="47"/>
      <c r="R215" s="48" t="str">
        <f aca="false">IF(Q215="","",IF(Q215=0,"below 5:00",IF(Q215&gt;=66,"16:00 or above",INT((60+2*Q215)/12)&amp;":"&amp;TEXT(MOD(60+2*Q215,12),"00"))))</f>
        <v/>
      </c>
      <c r="S215" s="47"/>
      <c r="T215" s="47"/>
      <c r="U215" s="47"/>
      <c r="V215" s="47"/>
      <c r="W215" s="47"/>
      <c r="X215" s="47"/>
      <c r="Y215" s="47"/>
      <c r="Z215" s="47"/>
      <c r="AA215" s="10"/>
      <c r="AB215" s="10"/>
      <c r="AC215" s="47"/>
      <c r="AD215" s="47"/>
      <c r="AE215" s="47"/>
      <c r="AF215" s="47"/>
      <c r="AG215" s="47"/>
      <c r="AH215" s="47"/>
      <c r="AI215" s="46"/>
      <c r="AJ215" s="46"/>
      <c r="AK215" s="46"/>
      <c r="AL215" s="7"/>
      <c r="AM215" s="49" t="str">
        <f aca="false">IF(OR(C215="",G215=""),"",IFERROR(DATEDIF(C215,G215,"m"),""))</f>
        <v/>
      </c>
      <c r="AN215" s="49" t="str">
        <f aca="false">IF(OR(Q215="",AM215=""),"",60+2*Q215-AM215)</f>
        <v/>
      </c>
      <c r="AO215" s="49" t="str">
        <f aca="false">IF(OR(G215="",AJ215=""),"",AJ215-G215)</f>
        <v/>
      </c>
      <c r="AP215" s="50" t="str">
        <f aca="false">IF(AND(A215="",B215=""),"",IF(J215="","Status needed",IF(OR(J215="Applied",J215="Visit booked",J215="Withdrawn"),"OK",IF(G215="","Date assessed needed",IF(C215="","Date of birth needed",IF(COUNTA(L215,M215,P215,U215,V215,X215)&lt;6,"Band missing",IF(AND(OR(J215="Decision confirmed",J215="Family told",J215="Enrolled"),AG215=""),"Recommendation needed",IF(AND(OR(J215="Family told",J215="Enrolled"),AJ215=""),"Date family told needed","OK"))))))))</f>
        <v/>
      </c>
    </row>
    <row r="216" customFormat="false" ht="15" hidden="false" customHeight="false" outlineLevel="0" collapsed="false">
      <c r="A216" s="7"/>
      <c r="B216" s="7"/>
      <c r="C216" s="46"/>
      <c r="D216" s="7"/>
      <c r="E216" s="47"/>
      <c r="F216" s="46"/>
      <c r="G216" s="46"/>
      <c r="H216" s="7"/>
      <c r="I216" s="7"/>
      <c r="J216" s="47"/>
      <c r="K216" s="47"/>
      <c r="L216" s="47"/>
      <c r="M216" s="47"/>
      <c r="N216" s="47"/>
      <c r="O216" s="10"/>
      <c r="P216" s="47"/>
      <c r="Q216" s="47"/>
      <c r="R216" s="48" t="str">
        <f aca="false">IF(Q216="","",IF(Q216=0,"below 5:00",IF(Q216&gt;=66,"16:00 or above",INT((60+2*Q216)/12)&amp;":"&amp;TEXT(MOD(60+2*Q216,12),"00"))))</f>
        <v/>
      </c>
      <c r="S216" s="47"/>
      <c r="T216" s="47"/>
      <c r="U216" s="47"/>
      <c r="V216" s="47"/>
      <c r="W216" s="47"/>
      <c r="X216" s="47"/>
      <c r="Y216" s="47"/>
      <c r="Z216" s="47"/>
      <c r="AA216" s="10"/>
      <c r="AB216" s="10"/>
      <c r="AC216" s="47"/>
      <c r="AD216" s="47"/>
      <c r="AE216" s="47"/>
      <c r="AF216" s="47"/>
      <c r="AG216" s="47"/>
      <c r="AH216" s="47"/>
      <c r="AI216" s="46"/>
      <c r="AJ216" s="46"/>
      <c r="AK216" s="46"/>
      <c r="AL216" s="7"/>
      <c r="AM216" s="49" t="str">
        <f aca="false">IF(OR(C216="",G216=""),"",IFERROR(DATEDIF(C216,G216,"m"),""))</f>
        <v/>
      </c>
      <c r="AN216" s="49" t="str">
        <f aca="false">IF(OR(Q216="",AM216=""),"",60+2*Q216-AM216)</f>
        <v/>
      </c>
      <c r="AO216" s="49" t="str">
        <f aca="false">IF(OR(G216="",AJ216=""),"",AJ216-G216)</f>
        <v/>
      </c>
      <c r="AP216" s="50" t="str">
        <f aca="false">IF(AND(A216="",B216=""),"",IF(J216="","Status needed",IF(OR(J216="Applied",J216="Visit booked",J216="Withdrawn"),"OK",IF(G216="","Date assessed needed",IF(C216="","Date of birth needed",IF(COUNTA(L216,M216,P216,U216,V216,X216)&lt;6,"Band missing",IF(AND(OR(J216="Decision confirmed",J216="Family told",J216="Enrolled"),AG216=""),"Recommendation needed",IF(AND(OR(J216="Family told",J216="Enrolled"),AJ216=""),"Date family told needed","OK"))))))))</f>
        <v/>
      </c>
    </row>
    <row r="217" customFormat="false" ht="15" hidden="false" customHeight="false" outlineLevel="0" collapsed="false">
      <c r="A217" s="7"/>
      <c r="B217" s="7"/>
      <c r="C217" s="46"/>
      <c r="D217" s="7"/>
      <c r="E217" s="47"/>
      <c r="F217" s="46"/>
      <c r="G217" s="46"/>
      <c r="H217" s="7"/>
      <c r="I217" s="7"/>
      <c r="J217" s="47"/>
      <c r="K217" s="47"/>
      <c r="L217" s="47"/>
      <c r="M217" s="47"/>
      <c r="N217" s="47"/>
      <c r="O217" s="10"/>
      <c r="P217" s="47"/>
      <c r="Q217" s="47"/>
      <c r="R217" s="48" t="str">
        <f aca="false">IF(Q217="","",IF(Q217=0,"below 5:00",IF(Q217&gt;=66,"16:00 or above",INT((60+2*Q217)/12)&amp;":"&amp;TEXT(MOD(60+2*Q217,12),"00"))))</f>
        <v/>
      </c>
      <c r="S217" s="47"/>
      <c r="T217" s="47"/>
      <c r="U217" s="47"/>
      <c r="V217" s="47"/>
      <c r="W217" s="47"/>
      <c r="X217" s="47"/>
      <c r="Y217" s="47"/>
      <c r="Z217" s="47"/>
      <c r="AA217" s="10"/>
      <c r="AB217" s="10"/>
      <c r="AC217" s="47"/>
      <c r="AD217" s="47"/>
      <c r="AE217" s="47"/>
      <c r="AF217" s="47"/>
      <c r="AG217" s="47"/>
      <c r="AH217" s="47"/>
      <c r="AI217" s="46"/>
      <c r="AJ217" s="46"/>
      <c r="AK217" s="46"/>
      <c r="AL217" s="7"/>
      <c r="AM217" s="49" t="str">
        <f aca="false">IF(OR(C217="",G217=""),"",IFERROR(DATEDIF(C217,G217,"m"),""))</f>
        <v/>
      </c>
      <c r="AN217" s="49" t="str">
        <f aca="false">IF(OR(Q217="",AM217=""),"",60+2*Q217-AM217)</f>
        <v/>
      </c>
      <c r="AO217" s="49" t="str">
        <f aca="false">IF(OR(G217="",AJ217=""),"",AJ217-G217)</f>
        <v/>
      </c>
      <c r="AP217" s="50" t="str">
        <f aca="false">IF(AND(A217="",B217=""),"",IF(J217="","Status needed",IF(OR(J217="Applied",J217="Visit booked",J217="Withdrawn"),"OK",IF(G217="","Date assessed needed",IF(C217="","Date of birth needed",IF(COUNTA(L217,M217,P217,U217,V217,X217)&lt;6,"Band missing",IF(AND(OR(J217="Decision confirmed",J217="Family told",J217="Enrolled"),AG217=""),"Recommendation needed",IF(AND(OR(J217="Family told",J217="Enrolled"),AJ217=""),"Date family told needed","OK"))))))))</f>
        <v/>
      </c>
    </row>
    <row r="218" customFormat="false" ht="15" hidden="false" customHeight="false" outlineLevel="0" collapsed="false">
      <c r="A218" s="7"/>
      <c r="B218" s="7"/>
      <c r="C218" s="46"/>
      <c r="D218" s="7"/>
      <c r="E218" s="47"/>
      <c r="F218" s="46"/>
      <c r="G218" s="46"/>
      <c r="H218" s="7"/>
      <c r="I218" s="7"/>
      <c r="J218" s="47"/>
      <c r="K218" s="47"/>
      <c r="L218" s="47"/>
      <c r="M218" s="47"/>
      <c r="N218" s="47"/>
      <c r="O218" s="10"/>
      <c r="P218" s="47"/>
      <c r="Q218" s="47"/>
      <c r="R218" s="48" t="str">
        <f aca="false">IF(Q218="","",IF(Q218=0,"below 5:00",IF(Q218&gt;=66,"16:00 or above",INT((60+2*Q218)/12)&amp;":"&amp;TEXT(MOD(60+2*Q218,12),"00"))))</f>
        <v/>
      </c>
      <c r="S218" s="47"/>
      <c r="T218" s="47"/>
      <c r="U218" s="47"/>
      <c r="V218" s="47"/>
      <c r="W218" s="47"/>
      <c r="X218" s="47"/>
      <c r="Y218" s="47"/>
      <c r="Z218" s="47"/>
      <c r="AA218" s="10"/>
      <c r="AB218" s="10"/>
      <c r="AC218" s="47"/>
      <c r="AD218" s="47"/>
      <c r="AE218" s="47"/>
      <c r="AF218" s="47"/>
      <c r="AG218" s="47"/>
      <c r="AH218" s="47"/>
      <c r="AI218" s="46"/>
      <c r="AJ218" s="46"/>
      <c r="AK218" s="46"/>
      <c r="AL218" s="7"/>
      <c r="AM218" s="49" t="str">
        <f aca="false">IF(OR(C218="",G218=""),"",IFERROR(DATEDIF(C218,G218,"m"),""))</f>
        <v/>
      </c>
      <c r="AN218" s="49" t="str">
        <f aca="false">IF(OR(Q218="",AM218=""),"",60+2*Q218-AM218)</f>
        <v/>
      </c>
      <c r="AO218" s="49" t="str">
        <f aca="false">IF(OR(G218="",AJ218=""),"",AJ218-G218)</f>
        <v/>
      </c>
      <c r="AP218" s="50" t="str">
        <f aca="false">IF(AND(A218="",B218=""),"",IF(J218="","Status needed",IF(OR(J218="Applied",J218="Visit booked",J218="Withdrawn"),"OK",IF(G218="","Date assessed needed",IF(C218="","Date of birth needed",IF(COUNTA(L218,M218,P218,U218,V218,X218)&lt;6,"Band missing",IF(AND(OR(J218="Decision confirmed",J218="Family told",J218="Enrolled"),AG218=""),"Recommendation needed",IF(AND(OR(J218="Family told",J218="Enrolled"),AJ218=""),"Date family told needed","OK"))))))))</f>
        <v/>
      </c>
    </row>
    <row r="219" customFormat="false" ht="15" hidden="false" customHeight="false" outlineLevel="0" collapsed="false">
      <c r="A219" s="7"/>
      <c r="B219" s="7"/>
      <c r="C219" s="46"/>
      <c r="D219" s="7"/>
      <c r="E219" s="47"/>
      <c r="F219" s="46"/>
      <c r="G219" s="46"/>
      <c r="H219" s="7"/>
      <c r="I219" s="7"/>
      <c r="J219" s="47"/>
      <c r="K219" s="47"/>
      <c r="L219" s="47"/>
      <c r="M219" s="47"/>
      <c r="N219" s="47"/>
      <c r="O219" s="10"/>
      <c r="P219" s="47"/>
      <c r="Q219" s="47"/>
      <c r="R219" s="48" t="str">
        <f aca="false">IF(Q219="","",IF(Q219=0,"below 5:00",IF(Q219&gt;=66,"16:00 or above",INT((60+2*Q219)/12)&amp;":"&amp;TEXT(MOD(60+2*Q219,12),"00"))))</f>
        <v/>
      </c>
      <c r="S219" s="47"/>
      <c r="T219" s="47"/>
      <c r="U219" s="47"/>
      <c r="V219" s="47"/>
      <c r="W219" s="47"/>
      <c r="X219" s="47"/>
      <c r="Y219" s="47"/>
      <c r="Z219" s="47"/>
      <c r="AA219" s="10"/>
      <c r="AB219" s="10"/>
      <c r="AC219" s="47"/>
      <c r="AD219" s="47"/>
      <c r="AE219" s="47"/>
      <c r="AF219" s="47"/>
      <c r="AG219" s="47"/>
      <c r="AH219" s="47"/>
      <c r="AI219" s="46"/>
      <c r="AJ219" s="46"/>
      <c r="AK219" s="46"/>
      <c r="AL219" s="7"/>
      <c r="AM219" s="49" t="str">
        <f aca="false">IF(OR(C219="",G219=""),"",IFERROR(DATEDIF(C219,G219,"m"),""))</f>
        <v/>
      </c>
      <c r="AN219" s="49" t="str">
        <f aca="false">IF(OR(Q219="",AM219=""),"",60+2*Q219-AM219)</f>
        <v/>
      </c>
      <c r="AO219" s="49" t="str">
        <f aca="false">IF(OR(G219="",AJ219=""),"",AJ219-G219)</f>
        <v/>
      </c>
      <c r="AP219" s="50" t="str">
        <f aca="false">IF(AND(A219="",B219=""),"",IF(J219="","Status needed",IF(OR(J219="Applied",J219="Visit booked",J219="Withdrawn"),"OK",IF(G219="","Date assessed needed",IF(C219="","Date of birth needed",IF(COUNTA(L219,M219,P219,U219,V219,X219)&lt;6,"Band missing",IF(AND(OR(J219="Decision confirmed",J219="Family told",J219="Enrolled"),AG219=""),"Recommendation needed",IF(AND(OR(J219="Family told",J219="Enrolled"),AJ219=""),"Date family told needed","OK"))))))))</f>
        <v/>
      </c>
    </row>
    <row r="220" customFormat="false" ht="15" hidden="false" customHeight="false" outlineLevel="0" collapsed="false">
      <c r="A220" s="7"/>
      <c r="B220" s="7"/>
      <c r="C220" s="46"/>
      <c r="D220" s="7"/>
      <c r="E220" s="47"/>
      <c r="F220" s="46"/>
      <c r="G220" s="46"/>
      <c r="H220" s="7"/>
      <c r="I220" s="7"/>
      <c r="J220" s="47"/>
      <c r="K220" s="47"/>
      <c r="L220" s="47"/>
      <c r="M220" s="47"/>
      <c r="N220" s="47"/>
      <c r="O220" s="10"/>
      <c r="P220" s="47"/>
      <c r="Q220" s="47"/>
      <c r="R220" s="48" t="str">
        <f aca="false">IF(Q220="","",IF(Q220=0,"below 5:00",IF(Q220&gt;=66,"16:00 or above",INT((60+2*Q220)/12)&amp;":"&amp;TEXT(MOD(60+2*Q220,12),"00"))))</f>
        <v/>
      </c>
      <c r="S220" s="47"/>
      <c r="T220" s="47"/>
      <c r="U220" s="47"/>
      <c r="V220" s="47"/>
      <c r="W220" s="47"/>
      <c r="X220" s="47"/>
      <c r="Y220" s="47"/>
      <c r="Z220" s="47"/>
      <c r="AA220" s="10"/>
      <c r="AB220" s="10"/>
      <c r="AC220" s="47"/>
      <c r="AD220" s="47"/>
      <c r="AE220" s="47"/>
      <c r="AF220" s="47"/>
      <c r="AG220" s="47"/>
      <c r="AH220" s="47"/>
      <c r="AI220" s="46"/>
      <c r="AJ220" s="46"/>
      <c r="AK220" s="46"/>
      <c r="AL220" s="7"/>
      <c r="AM220" s="49" t="str">
        <f aca="false">IF(OR(C220="",G220=""),"",IFERROR(DATEDIF(C220,G220,"m"),""))</f>
        <v/>
      </c>
      <c r="AN220" s="49" t="str">
        <f aca="false">IF(OR(Q220="",AM220=""),"",60+2*Q220-AM220)</f>
        <v/>
      </c>
      <c r="AO220" s="49" t="str">
        <f aca="false">IF(OR(G220="",AJ220=""),"",AJ220-G220)</f>
        <v/>
      </c>
      <c r="AP220" s="50" t="str">
        <f aca="false">IF(AND(A220="",B220=""),"",IF(J220="","Status needed",IF(OR(J220="Applied",J220="Visit booked",J220="Withdrawn"),"OK",IF(G220="","Date assessed needed",IF(C220="","Date of birth needed",IF(COUNTA(L220,M220,P220,U220,V220,X220)&lt;6,"Band missing",IF(AND(OR(J220="Decision confirmed",J220="Family told",J220="Enrolled"),AG220=""),"Recommendation needed",IF(AND(OR(J220="Family told",J220="Enrolled"),AJ220=""),"Date family told needed","OK"))))))))</f>
        <v/>
      </c>
    </row>
    <row r="221" customFormat="false" ht="15" hidden="false" customHeight="false" outlineLevel="0" collapsed="false">
      <c r="A221" s="7"/>
      <c r="B221" s="7"/>
      <c r="C221" s="46"/>
      <c r="D221" s="7"/>
      <c r="E221" s="47"/>
      <c r="F221" s="46"/>
      <c r="G221" s="46"/>
      <c r="H221" s="7"/>
      <c r="I221" s="7"/>
      <c r="J221" s="47"/>
      <c r="K221" s="47"/>
      <c r="L221" s="47"/>
      <c r="M221" s="47"/>
      <c r="N221" s="47"/>
      <c r="O221" s="10"/>
      <c r="P221" s="47"/>
      <c r="Q221" s="47"/>
      <c r="R221" s="48" t="str">
        <f aca="false">IF(Q221="","",IF(Q221=0,"below 5:00",IF(Q221&gt;=66,"16:00 or above",INT((60+2*Q221)/12)&amp;":"&amp;TEXT(MOD(60+2*Q221,12),"00"))))</f>
        <v/>
      </c>
      <c r="S221" s="47"/>
      <c r="T221" s="47"/>
      <c r="U221" s="47"/>
      <c r="V221" s="47"/>
      <c r="W221" s="47"/>
      <c r="X221" s="47"/>
      <c r="Y221" s="47"/>
      <c r="Z221" s="47"/>
      <c r="AA221" s="10"/>
      <c r="AB221" s="10"/>
      <c r="AC221" s="47"/>
      <c r="AD221" s="47"/>
      <c r="AE221" s="47"/>
      <c r="AF221" s="47"/>
      <c r="AG221" s="47"/>
      <c r="AH221" s="47"/>
      <c r="AI221" s="46"/>
      <c r="AJ221" s="46"/>
      <c r="AK221" s="46"/>
      <c r="AL221" s="7"/>
      <c r="AM221" s="49" t="str">
        <f aca="false">IF(OR(C221="",G221=""),"",IFERROR(DATEDIF(C221,G221,"m"),""))</f>
        <v/>
      </c>
      <c r="AN221" s="49" t="str">
        <f aca="false">IF(OR(Q221="",AM221=""),"",60+2*Q221-AM221)</f>
        <v/>
      </c>
      <c r="AO221" s="49" t="str">
        <f aca="false">IF(OR(G221="",AJ221=""),"",AJ221-G221)</f>
        <v/>
      </c>
      <c r="AP221" s="50" t="str">
        <f aca="false">IF(AND(A221="",B221=""),"",IF(J221="","Status needed",IF(OR(J221="Applied",J221="Visit booked",J221="Withdrawn"),"OK",IF(G221="","Date assessed needed",IF(C221="","Date of birth needed",IF(COUNTA(L221,M221,P221,U221,V221,X221)&lt;6,"Band missing",IF(AND(OR(J221="Decision confirmed",J221="Family told",J221="Enrolled"),AG221=""),"Recommendation needed",IF(AND(OR(J221="Family told",J221="Enrolled"),AJ221=""),"Date family told needed","OK"))))))))</f>
        <v/>
      </c>
    </row>
    <row r="222" customFormat="false" ht="15" hidden="false" customHeight="false" outlineLevel="0" collapsed="false">
      <c r="A222" s="7"/>
      <c r="B222" s="7"/>
      <c r="C222" s="46"/>
      <c r="D222" s="7"/>
      <c r="E222" s="47"/>
      <c r="F222" s="46"/>
      <c r="G222" s="46"/>
      <c r="H222" s="7"/>
      <c r="I222" s="7"/>
      <c r="J222" s="47"/>
      <c r="K222" s="47"/>
      <c r="L222" s="47"/>
      <c r="M222" s="47"/>
      <c r="N222" s="47"/>
      <c r="O222" s="10"/>
      <c r="P222" s="47"/>
      <c r="Q222" s="47"/>
      <c r="R222" s="48" t="str">
        <f aca="false">IF(Q222="","",IF(Q222=0,"below 5:00",IF(Q222&gt;=66,"16:00 or above",INT((60+2*Q222)/12)&amp;":"&amp;TEXT(MOD(60+2*Q222,12),"00"))))</f>
        <v/>
      </c>
      <c r="S222" s="47"/>
      <c r="T222" s="47"/>
      <c r="U222" s="47"/>
      <c r="V222" s="47"/>
      <c r="W222" s="47"/>
      <c r="X222" s="47"/>
      <c r="Y222" s="47"/>
      <c r="Z222" s="47"/>
      <c r="AA222" s="10"/>
      <c r="AB222" s="10"/>
      <c r="AC222" s="47"/>
      <c r="AD222" s="47"/>
      <c r="AE222" s="47"/>
      <c r="AF222" s="47"/>
      <c r="AG222" s="47"/>
      <c r="AH222" s="47"/>
      <c r="AI222" s="46"/>
      <c r="AJ222" s="46"/>
      <c r="AK222" s="46"/>
      <c r="AL222" s="7"/>
      <c r="AM222" s="49" t="str">
        <f aca="false">IF(OR(C222="",G222=""),"",IFERROR(DATEDIF(C222,G222,"m"),""))</f>
        <v/>
      </c>
      <c r="AN222" s="49" t="str">
        <f aca="false">IF(OR(Q222="",AM222=""),"",60+2*Q222-AM222)</f>
        <v/>
      </c>
      <c r="AO222" s="49" t="str">
        <f aca="false">IF(OR(G222="",AJ222=""),"",AJ222-G222)</f>
        <v/>
      </c>
      <c r="AP222" s="50" t="str">
        <f aca="false">IF(AND(A222="",B222=""),"",IF(J222="","Status needed",IF(OR(J222="Applied",J222="Visit booked",J222="Withdrawn"),"OK",IF(G222="","Date assessed needed",IF(C222="","Date of birth needed",IF(COUNTA(L222,M222,P222,U222,V222,X222)&lt;6,"Band missing",IF(AND(OR(J222="Decision confirmed",J222="Family told",J222="Enrolled"),AG222=""),"Recommendation needed",IF(AND(OR(J222="Family told",J222="Enrolled"),AJ222=""),"Date family told needed","OK"))))))))</f>
        <v/>
      </c>
    </row>
    <row r="223" customFormat="false" ht="15" hidden="false" customHeight="false" outlineLevel="0" collapsed="false">
      <c r="A223" s="7"/>
      <c r="B223" s="7"/>
      <c r="C223" s="46"/>
      <c r="D223" s="7"/>
      <c r="E223" s="47"/>
      <c r="F223" s="46"/>
      <c r="G223" s="46"/>
      <c r="H223" s="7"/>
      <c r="I223" s="7"/>
      <c r="J223" s="47"/>
      <c r="K223" s="47"/>
      <c r="L223" s="47"/>
      <c r="M223" s="47"/>
      <c r="N223" s="47"/>
      <c r="O223" s="10"/>
      <c r="P223" s="47"/>
      <c r="Q223" s="47"/>
      <c r="R223" s="48" t="str">
        <f aca="false">IF(Q223="","",IF(Q223=0,"below 5:00",IF(Q223&gt;=66,"16:00 or above",INT((60+2*Q223)/12)&amp;":"&amp;TEXT(MOD(60+2*Q223,12),"00"))))</f>
        <v/>
      </c>
      <c r="S223" s="47"/>
      <c r="T223" s="47"/>
      <c r="U223" s="47"/>
      <c r="V223" s="47"/>
      <c r="W223" s="47"/>
      <c r="X223" s="47"/>
      <c r="Y223" s="47"/>
      <c r="Z223" s="47"/>
      <c r="AA223" s="10"/>
      <c r="AB223" s="10"/>
      <c r="AC223" s="47"/>
      <c r="AD223" s="47"/>
      <c r="AE223" s="47"/>
      <c r="AF223" s="47"/>
      <c r="AG223" s="47"/>
      <c r="AH223" s="47"/>
      <c r="AI223" s="46"/>
      <c r="AJ223" s="46"/>
      <c r="AK223" s="46"/>
      <c r="AL223" s="7"/>
      <c r="AM223" s="49" t="str">
        <f aca="false">IF(OR(C223="",G223=""),"",IFERROR(DATEDIF(C223,G223,"m"),""))</f>
        <v/>
      </c>
      <c r="AN223" s="49" t="str">
        <f aca="false">IF(OR(Q223="",AM223=""),"",60+2*Q223-AM223)</f>
        <v/>
      </c>
      <c r="AO223" s="49" t="str">
        <f aca="false">IF(OR(G223="",AJ223=""),"",AJ223-G223)</f>
        <v/>
      </c>
      <c r="AP223" s="50" t="str">
        <f aca="false">IF(AND(A223="",B223=""),"",IF(J223="","Status needed",IF(OR(J223="Applied",J223="Visit booked",J223="Withdrawn"),"OK",IF(G223="","Date assessed needed",IF(C223="","Date of birth needed",IF(COUNTA(L223,M223,P223,U223,V223,X223)&lt;6,"Band missing",IF(AND(OR(J223="Decision confirmed",J223="Family told",J223="Enrolled"),AG223=""),"Recommendation needed",IF(AND(OR(J223="Family told",J223="Enrolled"),AJ223=""),"Date family told needed","OK"))))))))</f>
        <v/>
      </c>
    </row>
    <row r="224" customFormat="false" ht="15" hidden="false" customHeight="false" outlineLevel="0" collapsed="false">
      <c r="A224" s="7"/>
      <c r="B224" s="7"/>
      <c r="C224" s="46"/>
      <c r="D224" s="7"/>
      <c r="E224" s="47"/>
      <c r="F224" s="46"/>
      <c r="G224" s="46"/>
      <c r="H224" s="7"/>
      <c r="I224" s="7"/>
      <c r="J224" s="47"/>
      <c r="K224" s="47"/>
      <c r="L224" s="47"/>
      <c r="M224" s="47"/>
      <c r="N224" s="47"/>
      <c r="O224" s="10"/>
      <c r="P224" s="47"/>
      <c r="Q224" s="47"/>
      <c r="R224" s="48" t="str">
        <f aca="false">IF(Q224="","",IF(Q224=0,"below 5:00",IF(Q224&gt;=66,"16:00 or above",INT((60+2*Q224)/12)&amp;":"&amp;TEXT(MOD(60+2*Q224,12),"00"))))</f>
        <v/>
      </c>
      <c r="S224" s="47"/>
      <c r="T224" s="47"/>
      <c r="U224" s="47"/>
      <c r="V224" s="47"/>
      <c r="W224" s="47"/>
      <c r="X224" s="47"/>
      <c r="Y224" s="47"/>
      <c r="Z224" s="47"/>
      <c r="AA224" s="10"/>
      <c r="AB224" s="10"/>
      <c r="AC224" s="47"/>
      <c r="AD224" s="47"/>
      <c r="AE224" s="47"/>
      <c r="AF224" s="47"/>
      <c r="AG224" s="47"/>
      <c r="AH224" s="47"/>
      <c r="AI224" s="46"/>
      <c r="AJ224" s="46"/>
      <c r="AK224" s="46"/>
      <c r="AL224" s="7"/>
      <c r="AM224" s="49" t="str">
        <f aca="false">IF(OR(C224="",G224=""),"",IFERROR(DATEDIF(C224,G224,"m"),""))</f>
        <v/>
      </c>
      <c r="AN224" s="49" t="str">
        <f aca="false">IF(OR(Q224="",AM224=""),"",60+2*Q224-AM224)</f>
        <v/>
      </c>
      <c r="AO224" s="49" t="str">
        <f aca="false">IF(OR(G224="",AJ224=""),"",AJ224-G224)</f>
        <v/>
      </c>
      <c r="AP224" s="50" t="str">
        <f aca="false">IF(AND(A224="",B224=""),"",IF(J224="","Status needed",IF(OR(J224="Applied",J224="Visit booked",J224="Withdrawn"),"OK",IF(G224="","Date assessed needed",IF(C224="","Date of birth needed",IF(COUNTA(L224,M224,P224,U224,V224,X224)&lt;6,"Band missing",IF(AND(OR(J224="Decision confirmed",J224="Family told",J224="Enrolled"),AG224=""),"Recommendation needed",IF(AND(OR(J224="Family told",J224="Enrolled"),AJ224=""),"Date family told needed","OK"))))))))</f>
        <v/>
      </c>
    </row>
    <row r="225" customFormat="false" ht="15" hidden="false" customHeight="false" outlineLevel="0" collapsed="false">
      <c r="A225" s="7"/>
      <c r="B225" s="7"/>
      <c r="C225" s="46"/>
      <c r="D225" s="7"/>
      <c r="E225" s="47"/>
      <c r="F225" s="46"/>
      <c r="G225" s="46"/>
      <c r="H225" s="7"/>
      <c r="I225" s="7"/>
      <c r="J225" s="47"/>
      <c r="K225" s="47"/>
      <c r="L225" s="47"/>
      <c r="M225" s="47"/>
      <c r="N225" s="47"/>
      <c r="O225" s="10"/>
      <c r="P225" s="47"/>
      <c r="Q225" s="47"/>
      <c r="R225" s="48" t="str">
        <f aca="false">IF(Q225="","",IF(Q225=0,"below 5:00",IF(Q225&gt;=66,"16:00 or above",INT((60+2*Q225)/12)&amp;":"&amp;TEXT(MOD(60+2*Q225,12),"00"))))</f>
        <v/>
      </c>
      <c r="S225" s="47"/>
      <c r="T225" s="47"/>
      <c r="U225" s="47"/>
      <c r="V225" s="47"/>
      <c r="W225" s="47"/>
      <c r="X225" s="47"/>
      <c r="Y225" s="47"/>
      <c r="Z225" s="47"/>
      <c r="AA225" s="10"/>
      <c r="AB225" s="10"/>
      <c r="AC225" s="47"/>
      <c r="AD225" s="47"/>
      <c r="AE225" s="47"/>
      <c r="AF225" s="47"/>
      <c r="AG225" s="47"/>
      <c r="AH225" s="47"/>
      <c r="AI225" s="46"/>
      <c r="AJ225" s="46"/>
      <c r="AK225" s="46"/>
      <c r="AL225" s="7"/>
      <c r="AM225" s="49" t="str">
        <f aca="false">IF(OR(C225="",G225=""),"",IFERROR(DATEDIF(C225,G225,"m"),""))</f>
        <v/>
      </c>
      <c r="AN225" s="49" t="str">
        <f aca="false">IF(OR(Q225="",AM225=""),"",60+2*Q225-AM225)</f>
        <v/>
      </c>
      <c r="AO225" s="49" t="str">
        <f aca="false">IF(OR(G225="",AJ225=""),"",AJ225-G225)</f>
        <v/>
      </c>
      <c r="AP225" s="50" t="str">
        <f aca="false">IF(AND(A225="",B225=""),"",IF(J225="","Status needed",IF(OR(J225="Applied",J225="Visit booked",J225="Withdrawn"),"OK",IF(G225="","Date assessed needed",IF(C225="","Date of birth needed",IF(COUNTA(L225,M225,P225,U225,V225,X225)&lt;6,"Band missing",IF(AND(OR(J225="Decision confirmed",J225="Family told",J225="Enrolled"),AG225=""),"Recommendation needed",IF(AND(OR(J225="Family told",J225="Enrolled"),AJ225=""),"Date family told needed","OK"))))))))</f>
        <v/>
      </c>
    </row>
    <row r="226" customFormat="false" ht="15" hidden="false" customHeight="false" outlineLevel="0" collapsed="false">
      <c r="A226" s="7"/>
      <c r="B226" s="7"/>
      <c r="C226" s="46"/>
      <c r="D226" s="7"/>
      <c r="E226" s="47"/>
      <c r="F226" s="46"/>
      <c r="G226" s="46"/>
      <c r="H226" s="7"/>
      <c r="I226" s="7"/>
      <c r="J226" s="47"/>
      <c r="K226" s="47"/>
      <c r="L226" s="47"/>
      <c r="M226" s="47"/>
      <c r="N226" s="47"/>
      <c r="O226" s="10"/>
      <c r="P226" s="47"/>
      <c r="Q226" s="47"/>
      <c r="R226" s="48" t="str">
        <f aca="false">IF(Q226="","",IF(Q226=0,"below 5:00",IF(Q226&gt;=66,"16:00 or above",INT((60+2*Q226)/12)&amp;":"&amp;TEXT(MOD(60+2*Q226,12),"00"))))</f>
        <v/>
      </c>
      <c r="S226" s="47"/>
      <c r="T226" s="47"/>
      <c r="U226" s="47"/>
      <c r="V226" s="47"/>
      <c r="W226" s="47"/>
      <c r="X226" s="47"/>
      <c r="Y226" s="47"/>
      <c r="Z226" s="47"/>
      <c r="AA226" s="10"/>
      <c r="AB226" s="10"/>
      <c r="AC226" s="47"/>
      <c r="AD226" s="47"/>
      <c r="AE226" s="47"/>
      <c r="AF226" s="47"/>
      <c r="AG226" s="47"/>
      <c r="AH226" s="47"/>
      <c r="AI226" s="46"/>
      <c r="AJ226" s="46"/>
      <c r="AK226" s="46"/>
      <c r="AL226" s="7"/>
      <c r="AM226" s="49" t="str">
        <f aca="false">IF(OR(C226="",G226=""),"",IFERROR(DATEDIF(C226,G226,"m"),""))</f>
        <v/>
      </c>
      <c r="AN226" s="49" t="str">
        <f aca="false">IF(OR(Q226="",AM226=""),"",60+2*Q226-AM226)</f>
        <v/>
      </c>
      <c r="AO226" s="49" t="str">
        <f aca="false">IF(OR(G226="",AJ226=""),"",AJ226-G226)</f>
        <v/>
      </c>
      <c r="AP226" s="50" t="str">
        <f aca="false">IF(AND(A226="",B226=""),"",IF(J226="","Status needed",IF(OR(J226="Applied",J226="Visit booked",J226="Withdrawn"),"OK",IF(G226="","Date assessed needed",IF(C226="","Date of birth needed",IF(COUNTA(L226,M226,P226,U226,V226,X226)&lt;6,"Band missing",IF(AND(OR(J226="Decision confirmed",J226="Family told",J226="Enrolled"),AG226=""),"Recommendation needed",IF(AND(OR(J226="Family told",J226="Enrolled"),AJ226=""),"Date family told needed","OK"))))))))</f>
        <v/>
      </c>
    </row>
    <row r="227" customFormat="false" ht="15" hidden="false" customHeight="false" outlineLevel="0" collapsed="false">
      <c r="A227" s="7"/>
      <c r="B227" s="7"/>
      <c r="C227" s="46"/>
      <c r="D227" s="7"/>
      <c r="E227" s="47"/>
      <c r="F227" s="46"/>
      <c r="G227" s="46"/>
      <c r="H227" s="7"/>
      <c r="I227" s="7"/>
      <c r="J227" s="47"/>
      <c r="K227" s="47"/>
      <c r="L227" s="47"/>
      <c r="M227" s="47"/>
      <c r="N227" s="47"/>
      <c r="O227" s="10"/>
      <c r="P227" s="47"/>
      <c r="Q227" s="47"/>
      <c r="R227" s="48" t="str">
        <f aca="false">IF(Q227="","",IF(Q227=0,"below 5:00",IF(Q227&gt;=66,"16:00 or above",INT((60+2*Q227)/12)&amp;":"&amp;TEXT(MOD(60+2*Q227,12),"00"))))</f>
        <v/>
      </c>
      <c r="S227" s="47"/>
      <c r="T227" s="47"/>
      <c r="U227" s="47"/>
      <c r="V227" s="47"/>
      <c r="W227" s="47"/>
      <c r="X227" s="47"/>
      <c r="Y227" s="47"/>
      <c r="Z227" s="47"/>
      <c r="AA227" s="10"/>
      <c r="AB227" s="10"/>
      <c r="AC227" s="47"/>
      <c r="AD227" s="47"/>
      <c r="AE227" s="47"/>
      <c r="AF227" s="47"/>
      <c r="AG227" s="47"/>
      <c r="AH227" s="47"/>
      <c r="AI227" s="46"/>
      <c r="AJ227" s="46"/>
      <c r="AK227" s="46"/>
      <c r="AL227" s="7"/>
      <c r="AM227" s="49" t="str">
        <f aca="false">IF(OR(C227="",G227=""),"",IFERROR(DATEDIF(C227,G227,"m"),""))</f>
        <v/>
      </c>
      <c r="AN227" s="49" t="str">
        <f aca="false">IF(OR(Q227="",AM227=""),"",60+2*Q227-AM227)</f>
        <v/>
      </c>
      <c r="AO227" s="49" t="str">
        <f aca="false">IF(OR(G227="",AJ227=""),"",AJ227-G227)</f>
        <v/>
      </c>
      <c r="AP227" s="50" t="str">
        <f aca="false">IF(AND(A227="",B227=""),"",IF(J227="","Status needed",IF(OR(J227="Applied",J227="Visit booked",J227="Withdrawn"),"OK",IF(G227="","Date assessed needed",IF(C227="","Date of birth needed",IF(COUNTA(L227,M227,P227,U227,V227,X227)&lt;6,"Band missing",IF(AND(OR(J227="Decision confirmed",J227="Family told",J227="Enrolled"),AG227=""),"Recommendation needed",IF(AND(OR(J227="Family told",J227="Enrolled"),AJ227=""),"Date family told needed","OK"))))))))</f>
        <v/>
      </c>
    </row>
    <row r="228" customFormat="false" ht="15" hidden="false" customHeight="false" outlineLevel="0" collapsed="false">
      <c r="A228" s="7"/>
      <c r="B228" s="7"/>
      <c r="C228" s="46"/>
      <c r="D228" s="7"/>
      <c r="E228" s="47"/>
      <c r="F228" s="46"/>
      <c r="G228" s="46"/>
      <c r="H228" s="7"/>
      <c r="I228" s="7"/>
      <c r="J228" s="47"/>
      <c r="K228" s="47"/>
      <c r="L228" s="47"/>
      <c r="M228" s="47"/>
      <c r="N228" s="47"/>
      <c r="O228" s="10"/>
      <c r="P228" s="47"/>
      <c r="Q228" s="47"/>
      <c r="R228" s="48" t="str">
        <f aca="false">IF(Q228="","",IF(Q228=0,"below 5:00",IF(Q228&gt;=66,"16:00 or above",INT((60+2*Q228)/12)&amp;":"&amp;TEXT(MOD(60+2*Q228,12),"00"))))</f>
        <v/>
      </c>
      <c r="S228" s="47"/>
      <c r="T228" s="47"/>
      <c r="U228" s="47"/>
      <c r="V228" s="47"/>
      <c r="W228" s="47"/>
      <c r="X228" s="47"/>
      <c r="Y228" s="47"/>
      <c r="Z228" s="47"/>
      <c r="AA228" s="10"/>
      <c r="AB228" s="10"/>
      <c r="AC228" s="47"/>
      <c r="AD228" s="47"/>
      <c r="AE228" s="47"/>
      <c r="AF228" s="47"/>
      <c r="AG228" s="47"/>
      <c r="AH228" s="47"/>
      <c r="AI228" s="46"/>
      <c r="AJ228" s="46"/>
      <c r="AK228" s="46"/>
      <c r="AL228" s="7"/>
      <c r="AM228" s="49" t="str">
        <f aca="false">IF(OR(C228="",G228=""),"",IFERROR(DATEDIF(C228,G228,"m"),""))</f>
        <v/>
      </c>
      <c r="AN228" s="49" t="str">
        <f aca="false">IF(OR(Q228="",AM228=""),"",60+2*Q228-AM228)</f>
        <v/>
      </c>
      <c r="AO228" s="49" t="str">
        <f aca="false">IF(OR(G228="",AJ228=""),"",AJ228-G228)</f>
        <v/>
      </c>
      <c r="AP228" s="50" t="str">
        <f aca="false">IF(AND(A228="",B228=""),"",IF(J228="","Status needed",IF(OR(J228="Applied",J228="Visit booked",J228="Withdrawn"),"OK",IF(G228="","Date assessed needed",IF(C228="","Date of birth needed",IF(COUNTA(L228,M228,P228,U228,V228,X228)&lt;6,"Band missing",IF(AND(OR(J228="Decision confirmed",J228="Family told",J228="Enrolled"),AG228=""),"Recommendation needed",IF(AND(OR(J228="Family told",J228="Enrolled"),AJ228=""),"Date family told needed","OK"))))))))</f>
        <v/>
      </c>
    </row>
    <row r="229" customFormat="false" ht="15" hidden="false" customHeight="false" outlineLevel="0" collapsed="false">
      <c r="A229" s="7"/>
      <c r="B229" s="7"/>
      <c r="C229" s="46"/>
      <c r="D229" s="7"/>
      <c r="E229" s="47"/>
      <c r="F229" s="46"/>
      <c r="G229" s="46"/>
      <c r="H229" s="7"/>
      <c r="I229" s="7"/>
      <c r="J229" s="47"/>
      <c r="K229" s="47"/>
      <c r="L229" s="47"/>
      <c r="M229" s="47"/>
      <c r="N229" s="47"/>
      <c r="O229" s="10"/>
      <c r="P229" s="47"/>
      <c r="Q229" s="47"/>
      <c r="R229" s="48" t="str">
        <f aca="false">IF(Q229="","",IF(Q229=0,"below 5:00",IF(Q229&gt;=66,"16:00 or above",INT((60+2*Q229)/12)&amp;":"&amp;TEXT(MOD(60+2*Q229,12),"00"))))</f>
        <v/>
      </c>
      <c r="S229" s="47"/>
      <c r="T229" s="47"/>
      <c r="U229" s="47"/>
      <c r="V229" s="47"/>
      <c r="W229" s="47"/>
      <c r="X229" s="47"/>
      <c r="Y229" s="47"/>
      <c r="Z229" s="47"/>
      <c r="AA229" s="10"/>
      <c r="AB229" s="10"/>
      <c r="AC229" s="47"/>
      <c r="AD229" s="47"/>
      <c r="AE229" s="47"/>
      <c r="AF229" s="47"/>
      <c r="AG229" s="47"/>
      <c r="AH229" s="47"/>
      <c r="AI229" s="46"/>
      <c r="AJ229" s="46"/>
      <c r="AK229" s="46"/>
      <c r="AL229" s="7"/>
      <c r="AM229" s="49" t="str">
        <f aca="false">IF(OR(C229="",G229=""),"",IFERROR(DATEDIF(C229,G229,"m"),""))</f>
        <v/>
      </c>
      <c r="AN229" s="49" t="str">
        <f aca="false">IF(OR(Q229="",AM229=""),"",60+2*Q229-AM229)</f>
        <v/>
      </c>
      <c r="AO229" s="49" t="str">
        <f aca="false">IF(OR(G229="",AJ229=""),"",AJ229-G229)</f>
        <v/>
      </c>
      <c r="AP229" s="50" t="str">
        <f aca="false">IF(AND(A229="",B229=""),"",IF(J229="","Status needed",IF(OR(J229="Applied",J229="Visit booked",J229="Withdrawn"),"OK",IF(G229="","Date assessed needed",IF(C229="","Date of birth needed",IF(COUNTA(L229,M229,P229,U229,V229,X229)&lt;6,"Band missing",IF(AND(OR(J229="Decision confirmed",J229="Family told",J229="Enrolled"),AG229=""),"Recommendation needed",IF(AND(OR(J229="Family told",J229="Enrolled"),AJ229=""),"Date family told needed","OK"))))))))</f>
        <v/>
      </c>
    </row>
    <row r="230" customFormat="false" ht="15" hidden="false" customHeight="false" outlineLevel="0" collapsed="false">
      <c r="A230" s="7"/>
      <c r="B230" s="7"/>
      <c r="C230" s="46"/>
      <c r="D230" s="7"/>
      <c r="E230" s="47"/>
      <c r="F230" s="46"/>
      <c r="G230" s="46"/>
      <c r="H230" s="7"/>
      <c r="I230" s="7"/>
      <c r="J230" s="47"/>
      <c r="K230" s="47"/>
      <c r="L230" s="47"/>
      <c r="M230" s="47"/>
      <c r="N230" s="47"/>
      <c r="O230" s="10"/>
      <c r="P230" s="47"/>
      <c r="Q230" s="47"/>
      <c r="R230" s="48" t="str">
        <f aca="false">IF(Q230="","",IF(Q230=0,"below 5:00",IF(Q230&gt;=66,"16:00 or above",INT((60+2*Q230)/12)&amp;":"&amp;TEXT(MOD(60+2*Q230,12),"00"))))</f>
        <v/>
      </c>
      <c r="S230" s="47"/>
      <c r="T230" s="47"/>
      <c r="U230" s="47"/>
      <c r="V230" s="47"/>
      <c r="W230" s="47"/>
      <c r="X230" s="47"/>
      <c r="Y230" s="47"/>
      <c r="Z230" s="47"/>
      <c r="AA230" s="10"/>
      <c r="AB230" s="10"/>
      <c r="AC230" s="47"/>
      <c r="AD230" s="47"/>
      <c r="AE230" s="47"/>
      <c r="AF230" s="47"/>
      <c r="AG230" s="47"/>
      <c r="AH230" s="47"/>
      <c r="AI230" s="46"/>
      <c r="AJ230" s="46"/>
      <c r="AK230" s="46"/>
      <c r="AL230" s="7"/>
      <c r="AM230" s="49" t="str">
        <f aca="false">IF(OR(C230="",G230=""),"",IFERROR(DATEDIF(C230,G230,"m"),""))</f>
        <v/>
      </c>
      <c r="AN230" s="49" t="str">
        <f aca="false">IF(OR(Q230="",AM230=""),"",60+2*Q230-AM230)</f>
        <v/>
      </c>
      <c r="AO230" s="49" t="str">
        <f aca="false">IF(OR(G230="",AJ230=""),"",AJ230-G230)</f>
        <v/>
      </c>
      <c r="AP230" s="50" t="str">
        <f aca="false">IF(AND(A230="",B230=""),"",IF(J230="","Status needed",IF(OR(J230="Applied",J230="Visit booked",J230="Withdrawn"),"OK",IF(G230="","Date assessed needed",IF(C230="","Date of birth needed",IF(COUNTA(L230,M230,P230,U230,V230,X230)&lt;6,"Band missing",IF(AND(OR(J230="Decision confirmed",J230="Family told",J230="Enrolled"),AG230=""),"Recommendation needed",IF(AND(OR(J230="Family told",J230="Enrolled"),AJ230=""),"Date family told needed","OK"))))))))</f>
        <v/>
      </c>
    </row>
    <row r="231" customFormat="false" ht="15" hidden="false" customHeight="false" outlineLevel="0" collapsed="false">
      <c r="A231" s="7"/>
      <c r="B231" s="7"/>
      <c r="C231" s="46"/>
      <c r="D231" s="7"/>
      <c r="E231" s="47"/>
      <c r="F231" s="46"/>
      <c r="G231" s="46"/>
      <c r="H231" s="7"/>
      <c r="I231" s="7"/>
      <c r="J231" s="47"/>
      <c r="K231" s="47"/>
      <c r="L231" s="47"/>
      <c r="M231" s="47"/>
      <c r="N231" s="47"/>
      <c r="O231" s="10"/>
      <c r="P231" s="47"/>
      <c r="Q231" s="47"/>
      <c r="R231" s="48" t="str">
        <f aca="false">IF(Q231="","",IF(Q231=0,"below 5:00",IF(Q231&gt;=66,"16:00 or above",INT((60+2*Q231)/12)&amp;":"&amp;TEXT(MOD(60+2*Q231,12),"00"))))</f>
        <v/>
      </c>
      <c r="S231" s="47"/>
      <c r="T231" s="47"/>
      <c r="U231" s="47"/>
      <c r="V231" s="47"/>
      <c r="W231" s="47"/>
      <c r="X231" s="47"/>
      <c r="Y231" s="47"/>
      <c r="Z231" s="47"/>
      <c r="AA231" s="10"/>
      <c r="AB231" s="10"/>
      <c r="AC231" s="47"/>
      <c r="AD231" s="47"/>
      <c r="AE231" s="47"/>
      <c r="AF231" s="47"/>
      <c r="AG231" s="47"/>
      <c r="AH231" s="47"/>
      <c r="AI231" s="46"/>
      <c r="AJ231" s="46"/>
      <c r="AK231" s="46"/>
      <c r="AL231" s="7"/>
      <c r="AM231" s="49" t="str">
        <f aca="false">IF(OR(C231="",G231=""),"",IFERROR(DATEDIF(C231,G231,"m"),""))</f>
        <v/>
      </c>
      <c r="AN231" s="49" t="str">
        <f aca="false">IF(OR(Q231="",AM231=""),"",60+2*Q231-AM231)</f>
        <v/>
      </c>
      <c r="AO231" s="49" t="str">
        <f aca="false">IF(OR(G231="",AJ231=""),"",AJ231-G231)</f>
        <v/>
      </c>
      <c r="AP231" s="50" t="str">
        <f aca="false">IF(AND(A231="",B231=""),"",IF(J231="","Status needed",IF(OR(J231="Applied",J231="Visit booked",J231="Withdrawn"),"OK",IF(G231="","Date assessed needed",IF(C231="","Date of birth needed",IF(COUNTA(L231,M231,P231,U231,V231,X231)&lt;6,"Band missing",IF(AND(OR(J231="Decision confirmed",J231="Family told",J231="Enrolled"),AG231=""),"Recommendation needed",IF(AND(OR(J231="Family told",J231="Enrolled"),AJ231=""),"Date family told needed","OK"))))))))</f>
        <v/>
      </c>
    </row>
    <row r="232" customFormat="false" ht="15" hidden="false" customHeight="false" outlineLevel="0" collapsed="false">
      <c r="A232" s="7"/>
      <c r="B232" s="7"/>
      <c r="C232" s="46"/>
      <c r="D232" s="7"/>
      <c r="E232" s="47"/>
      <c r="F232" s="46"/>
      <c r="G232" s="46"/>
      <c r="H232" s="7"/>
      <c r="I232" s="7"/>
      <c r="J232" s="47"/>
      <c r="K232" s="47"/>
      <c r="L232" s="47"/>
      <c r="M232" s="47"/>
      <c r="N232" s="47"/>
      <c r="O232" s="10"/>
      <c r="P232" s="47"/>
      <c r="Q232" s="47"/>
      <c r="R232" s="48" t="str">
        <f aca="false">IF(Q232="","",IF(Q232=0,"below 5:00",IF(Q232&gt;=66,"16:00 or above",INT((60+2*Q232)/12)&amp;":"&amp;TEXT(MOD(60+2*Q232,12),"00"))))</f>
        <v/>
      </c>
      <c r="S232" s="47"/>
      <c r="T232" s="47"/>
      <c r="U232" s="47"/>
      <c r="V232" s="47"/>
      <c r="W232" s="47"/>
      <c r="X232" s="47"/>
      <c r="Y232" s="47"/>
      <c r="Z232" s="47"/>
      <c r="AA232" s="10"/>
      <c r="AB232" s="10"/>
      <c r="AC232" s="47"/>
      <c r="AD232" s="47"/>
      <c r="AE232" s="47"/>
      <c r="AF232" s="47"/>
      <c r="AG232" s="47"/>
      <c r="AH232" s="47"/>
      <c r="AI232" s="46"/>
      <c r="AJ232" s="46"/>
      <c r="AK232" s="46"/>
      <c r="AL232" s="7"/>
      <c r="AM232" s="49" t="str">
        <f aca="false">IF(OR(C232="",G232=""),"",IFERROR(DATEDIF(C232,G232,"m"),""))</f>
        <v/>
      </c>
      <c r="AN232" s="49" t="str">
        <f aca="false">IF(OR(Q232="",AM232=""),"",60+2*Q232-AM232)</f>
        <v/>
      </c>
      <c r="AO232" s="49" t="str">
        <f aca="false">IF(OR(G232="",AJ232=""),"",AJ232-G232)</f>
        <v/>
      </c>
      <c r="AP232" s="50" t="str">
        <f aca="false">IF(AND(A232="",B232=""),"",IF(J232="","Status needed",IF(OR(J232="Applied",J232="Visit booked",J232="Withdrawn"),"OK",IF(G232="","Date assessed needed",IF(C232="","Date of birth needed",IF(COUNTA(L232,M232,P232,U232,V232,X232)&lt;6,"Band missing",IF(AND(OR(J232="Decision confirmed",J232="Family told",J232="Enrolled"),AG232=""),"Recommendation needed",IF(AND(OR(J232="Family told",J232="Enrolled"),AJ232=""),"Date family told needed","OK"))))))))</f>
        <v/>
      </c>
    </row>
    <row r="233" customFormat="false" ht="15" hidden="false" customHeight="false" outlineLevel="0" collapsed="false">
      <c r="A233" s="7"/>
      <c r="B233" s="7"/>
      <c r="C233" s="46"/>
      <c r="D233" s="7"/>
      <c r="E233" s="47"/>
      <c r="F233" s="46"/>
      <c r="G233" s="46"/>
      <c r="H233" s="7"/>
      <c r="I233" s="7"/>
      <c r="J233" s="47"/>
      <c r="K233" s="47"/>
      <c r="L233" s="47"/>
      <c r="M233" s="47"/>
      <c r="N233" s="47"/>
      <c r="O233" s="10"/>
      <c r="P233" s="47"/>
      <c r="Q233" s="47"/>
      <c r="R233" s="48" t="str">
        <f aca="false">IF(Q233="","",IF(Q233=0,"below 5:00",IF(Q233&gt;=66,"16:00 or above",INT((60+2*Q233)/12)&amp;":"&amp;TEXT(MOD(60+2*Q233,12),"00"))))</f>
        <v/>
      </c>
      <c r="S233" s="47"/>
      <c r="T233" s="47"/>
      <c r="U233" s="47"/>
      <c r="V233" s="47"/>
      <c r="W233" s="47"/>
      <c r="X233" s="47"/>
      <c r="Y233" s="47"/>
      <c r="Z233" s="47"/>
      <c r="AA233" s="10"/>
      <c r="AB233" s="10"/>
      <c r="AC233" s="47"/>
      <c r="AD233" s="47"/>
      <c r="AE233" s="47"/>
      <c r="AF233" s="47"/>
      <c r="AG233" s="47"/>
      <c r="AH233" s="47"/>
      <c r="AI233" s="46"/>
      <c r="AJ233" s="46"/>
      <c r="AK233" s="46"/>
      <c r="AL233" s="7"/>
      <c r="AM233" s="49" t="str">
        <f aca="false">IF(OR(C233="",G233=""),"",IFERROR(DATEDIF(C233,G233,"m"),""))</f>
        <v/>
      </c>
      <c r="AN233" s="49" t="str">
        <f aca="false">IF(OR(Q233="",AM233=""),"",60+2*Q233-AM233)</f>
        <v/>
      </c>
      <c r="AO233" s="49" t="str">
        <f aca="false">IF(OR(G233="",AJ233=""),"",AJ233-G233)</f>
        <v/>
      </c>
      <c r="AP233" s="50" t="str">
        <f aca="false">IF(AND(A233="",B233=""),"",IF(J233="","Status needed",IF(OR(J233="Applied",J233="Visit booked",J233="Withdrawn"),"OK",IF(G233="","Date assessed needed",IF(C233="","Date of birth needed",IF(COUNTA(L233,M233,P233,U233,V233,X233)&lt;6,"Band missing",IF(AND(OR(J233="Decision confirmed",J233="Family told",J233="Enrolled"),AG233=""),"Recommendation needed",IF(AND(OR(J233="Family told",J233="Enrolled"),AJ233=""),"Date family told needed","OK"))))))))</f>
        <v/>
      </c>
    </row>
    <row r="234" customFormat="false" ht="15" hidden="false" customHeight="false" outlineLevel="0" collapsed="false">
      <c r="A234" s="7"/>
      <c r="B234" s="7"/>
      <c r="C234" s="46"/>
      <c r="D234" s="7"/>
      <c r="E234" s="47"/>
      <c r="F234" s="46"/>
      <c r="G234" s="46"/>
      <c r="H234" s="7"/>
      <c r="I234" s="7"/>
      <c r="J234" s="47"/>
      <c r="K234" s="47"/>
      <c r="L234" s="47"/>
      <c r="M234" s="47"/>
      <c r="N234" s="47"/>
      <c r="O234" s="10"/>
      <c r="P234" s="47"/>
      <c r="Q234" s="47"/>
      <c r="R234" s="48" t="str">
        <f aca="false">IF(Q234="","",IF(Q234=0,"below 5:00",IF(Q234&gt;=66,"16:00 or above",INT((60+2*Q234)/12)&amp;":"&amp;TEXT(MOD(60+2*Q234,12),"00"))))</f>
        <v/>
      </c>
      <c r="S234" s="47"/>
      <c r="T234" s="47"/>
      <c r="U234" s="47"/>
      <c r="V234" s="47"/>
      <c r="W234" s="47"/>
      <c r="X234" s="47"/>
      <c r="Y234" s="47"/>
      <c r="Z234" s="47"/>
      <c r="AA234" s="10"/>
      <c r="AB234" s="10"/>
      <c r="AC234" s="47"/>
      <c r="AD234" s="47"/>
      <c r="AE234" s="47"/>
      <c r="AF234" s="47"/>
      <c r="AG234" s="47"/>
      <c r="AH234" s="47"/>
      <c r="AI234" s="46"/>
      <c r="AJ234" s="46"/>
      <c r="AK234" s="46"/>
      <c r="AL234" s="7"/>
      <c r="AM234" s="49" t="str">
        <f aca="false">IF(OR(C234="",G234=""),"",IFERROR(DATEDIF(C234,G234,"m"),""))</f>
        <v/>
      </c>
      <c r="AN234" s="49" t="str">
        <f aca="false">IF(OR(Q234="",AM234=""),"",60+2*Q234-AM234)</f>
        <v/>
      </c>
      <c r="AO234" s="49" t="str">
        <f aca="false">IF(OR(G234="",AJ234=""),"",AJ234-G234)</f>
        <v/>
      </c>
      <c r="AP234" s="50" t="str">
        <f aca="false">IF(AND(A234="",B234=""),"",IF(J234="","Status needed",IF(OR(J234="Applied",J234="Visit booked",J234="Withdrawn"),"OK",IF(G234="","Date assessed needed",IF(C234="","Date of birth needed",IF(COUNTA(L234,M234,P234,U234,V234,X234)&lt;6,"Band missing",IF(AND(OR(J234="Decision confirmed",J234="Family told",J234="Enrolled"),AG234=""),"Recommendation needed",IF(AND(OR(J234="Family told",J234="Enrolled"),AJ234=""),"Date family told needed","OK"))))))))</f>
        <v/>
      </c>
    </row>
    <row r="235" customFormat="false" ht="15" hidden="false" customHeight="false" outlineLevel="0" collapsed="false">
      <c r="A235" s="7"/>
      <c r="B235" s="7"/>
      <c r="C235" s="46"/>
      <c r="D235" s="7"/>
      <c r="E235" s="47"/>
      <c r="F235" s="46"/>
      <c r="G235" s="46"/>
      <c r="H235" s="7"/>
      <c r="I235" s="7"/>
      <c r="J235" s="47"/>
      <c r="K235" s="47"/>
      <c r="L235" s="47"/>
      <c r="M235" s="47"/>
      <c r="N235" s="47"/>
      <c r="O235" s="10"/>
      <c r="P235" s="47"/>
      <c r="Q235" s="47"/>
      <c r="R235" s="48" t="str">
        <f aca="false">IF(Q235="","",IF(Q235=0,"below 5:00",IF(Q235&gt;=66,"16:00 or above",INT((60+2*Q235)/12)&amp;":"&amp;TEXT(MOD(60+2*Q235,12),"00"))))</f>
        <v/>
      </c>
      <c r="S235" s="47"/>
      <c r="T235" s="47"/>
      <c r="U235" s="47"/>
      <c r="V235" s="47"/>
      <c r="W235" s="47"/>
      <c r="X235" s="47"/>
      <c r="Y235" s="47"/>
      <c r="Z235" s="47"/>
      <c r="AA235" s="10"/>
      <c r="AB235" s="10"/>
      <c r="AC235" s="47"/>
      <c r="AD235" s="47"/>
      <c r="AE235" s="47"/>
      <c r="AF235" s="47"/>
      <c r="AG235" s="47"/>
      <c r="AH235" s="47"/>
      <c r="AI235" s="46"/>
      <c r="AJ235" s="46"/>
      <c r="AK235" s="46"/>
      <c r="AL235" s="7"/>
      <c r="AM235" s="49" t="str">
        <f aca="false">IF(OR(C235="",G235=""),"",IFERROR(DATEDIF(C235,G235,"m"),""))</f>
        <v/>
      </c>
      <c r="AN235" s="49" t="str">
        <f aca="false">IF(OR(Q235="",AM235=""),"",60+2*Q235-AM235)</f>
        <v/>
      </c>
      <c r="AO235" s="49" t="str">
        <f aca="false">IF(OR(G235="",AJ235=""),"",AJ235-G235)</f>
        <v/>
      </c>
      <c r="AP235" s="50" t="str">
        <f aca="false">IF(AND(A235="",B235=""),"",IF(J235="","Status needed",IF(OR(J235="Applied",J235="Visit booked",J235="Withdrawn"),"OK",IF(G235="","Date assessed needed",IF(C235="","Date of birth needed",IF(COUNTA(L235,M235,P235,U235,V235,X235)&lt;6,"Band missing",IF(AND(OR(J235="Decision confirmed",J235="Family told",J235="Enrolled"),AG235=""),"Recommendation needed",IF(AND(OR(J235="Family told",J235="Enrolled"),AJ235=""),"Date family told needed","OK"))))))))</f>
        <v/>
      </c>
    </row>
    <row r="236" customFormat="false" ht="15" hidden="false" customHeight="false" outlineLevel="0" collapsed="false">
      <c r="A236" s="7"/>
      <c r="B236" s="7"/>
      <c r="C236" s="46"/>
      <c r="D236" s="7"/>
      <c r="E236" s="47"/>
      <c r="F236" s="46"/>
      <c r="G236" s="46"/>
      <c r="H236" s="7"/>
      <c r="I236" s="7"/>
      <c r="J236" s="47"/>
      <c r="K236" s="47"/>
      <c r="L236" s="47"/>
      <c r="M236" s="47"/>
      <c r="N236" s="47"/>
      <c r="O236" s="10"/>
      <c r="P236" s="47"/>
      <c r="Q236" s="47"/>
      <c r="R236" s="48" t="str">
        <f aca="false">IF(Q236="","",IF(Q236=0,"below 5:00",IF(Q236&gt;=66,"16:00 or above",INT((60+2*Q236)/12)&amp;":"&amp;TEXT(MOD(60+2*Q236,12),"00"))))</f>
        <v/>
      </c>
      <c r="S236" s="47"/>
      <c r="T236" s="47"/>
      <c r="U236" s="47"/>
      <c r="V236" s="47"/>
      <c r="W236" s="47"/>
      <c r="X236" s="47"/>
      <c r="Y236" s="47"/>
      <c r="Z236" s="47"/>
      <c r="AA236" s="10"/>
      <c r="AB236" s="10"/>
      <c r="AC236" s="47"/>
      <c r="AD236" s="47"/>
      <c r="AE236" s="47"/>
      <c r="AF236" s="47"/>
      <c r="AG236" s="47"/>
      <c r="AH236" s="47"/>
      <c r="AI236" s="46"/>
      <c r="AJ236" s="46"/>
      <c r="AK236" s="46"/>
      <c r="AL236" s="7"/>
      <c r="AM236" s="49" t="str">
        <f aca="false">IF(OR(C236="",G236=""),"",IFERROR(DATEDIF(C236,G236,"m"),""))</f>
        <v/>
      </c>
      <c r="AN236" s="49" t="str">
        <f aca="false">IF(OR(Q236="",AM236=""),"",60+2*Q236-AM236)</f>
        <v/>
      </c>
      <c r="AO236" s="49" t="str">
        <f aca="false">IF(OR(G236="",AJ236=""),"",AJ236-G236)</f>
        <v/>
      </c>
      <c r="AP236" s="50" t="str">
        <f aca="false">IF(AND(A236="",B236=""),"",IF(J236="","Status needed",IF(OR(J236="Applied",J236="Visit booked",J236="Withdrawn"),"OK",IF(G236="","Date assessed needed",IF(C236="","Date of birth needed",IF(COUNTA(L236,M236,P236,U236,V236,X236)&lt;6,"Band missing",IF(AND(OR(J236="Decision confirmed",J236="Family told",J236="Enrolled"),AG236=""),"Recommendation needed",IF(AND(OR(J236="Family told",J236="Enrolled"),AJ236=""),"Date family told needed","OK"))))))))</f>
        <v/>
      </c>
    </row>
    <row r="237" customFormat="false" ht="15" hidden="false" customHeight="false" outlineLevel="0" collapsed="false">
      <c r="A237" s="7"/>
      <c r="B237" s="7"/>
      <c r="C237" s="46"/>
      <c r="D237" s="7"/>
      <c r="E237" s="47"/>
      <c r="F237" s="46"/>
      <c r="G237" s="46"/>
      <c r="H237" s="7"/>
      <c r="I237" s="7"/>
      <c r="J237" s="47"/>
      <c r="K237" s="47"/>
      <c r="L237" s="47"/>
      <c r="M237" s="47"/>
      <c r="N237" s="47"/>
      <c r="O237" s="10"/>
      <c r="P237" s="47"/>
      <c r="Q237" s="47"/>
      <c r="R237" s="48" t="str">
        <f aca="false">IF(Q237="","",IF(Q237=0,"below 5:00",IF(Q237&gt;=66,"16:00 or above",INT((60+2*Q237)/12)&amp;":"&amp;TEXT(MOD(60+2*Q237,12),"00"))))</f>
        <v/>
      </c>
      <c r="S237" s="47"/>
      <c r="T237" s="47"/>
      <c r="U237" s="47"/>
      <c r="V237" s="47"/>
      <c r="W237" s="47"/>
      <c r="X237" s="47"/>
      <c r="Y237" s="47"/>
      <c r="Z237" s="47"/>
      <c r="AA237" s="10"/>
      <c r="AB237" s="10"/>
      <c r="AC237" s="47"/>
      <c r="AD237" s="47"/>
      <c r="AE237" s="47"/>
      <c r="AF237" s="47"/>
      <c r="AG237" s="47"/>
      <c r="AH237" s="47"/>
      <c r="AI237" s="46"/>
      <c r="AJ237" s="46"/>
      <c r="AK237" s="46"/>
      <c r="AL237" s="7"/>
      <c r="AM237" s="49" t="str">
        <f aca="false">IF(OR(C237="",G237=""),"",IFERROR(DATEDIF(C237,G237,"m"),""))</f>
        <v/>
      </c>
      <c r="AN237" s="49" t="str">
        <f aca="false">IF(OR(Q237="",AM237=""),"",60+2*Q237-AM237)</f>
        <v/>
      </c>
      <c r="AO237" s="49" t="str">
        <f aca="false">IF(OR(G237="",AJ237=""),"",AJ237-G237)</f>
        <v/>
      </c>
      <c r="AP237" s="50" t="str">
        <f aca="false">IF(AND(A237="",B237=""),"",IF(J237="","Status needed",IF(OR(J237="Applied",J237="Visit booked",J237="Withdrawn"),"OK",IF(G237="","Date assessed needed",IF(C237="","Date of birth needed",IF(COUNTA(L237,M237,P237,U237,V237,X237)&lt;6,"Band missing",IF(AND(OR(J237="Decision confirmed",J237="Family told",J237="Enrolled"),AG237=""),"Recommendation needed",IF(AND(OR(J237="Family told",J237="Enrolled"),AJ237=""),"Date family told needed","OK"))))))))</f>
        <v/>
      </c>
    </row>
    <row r="238" customFormat="false" ht="15" hidden="false" customHeight="false" outlineLevel="0" collapsed="false">
      <c r="A238" s="7"/>
      <c r="B238" s="7"/>
      <c r="C238" s="46"/>
      <c r="D238" s="7"/>
      <c r="E238" s="47"/>
      <c r="F238" s="46"/>
      <c r="G238" s="46"/>
      <c r="H238" s="7"/>
      <c r="I238" s="7"/>
      <c r="J238" s="47"/>
      <c r="K238" s="47"/>
      <c r="L238" s="47"/>
      <c r="M238" s="47"/>
      <c r="N238" s="47"/>
      <c r="O238" s="10"/>
      <c r="P238" s="47"/>
      <c r="Q238" s="47"/>
      <c r="R238" s="48" t="str">
        <f aca="false">IF(Q238="","",IF(Q238=0,"below 5:00",IF(Q238&gt;=66,"16:00 or above",INT((60+2*Q238)/12)&amp;":"&amp;TEXT(MOD(60+2*Q238,12),"00"))))</f>
        <v/>
      </c>
      <c r="S238" s="47"/>
      <c r="T238" s="47"/>
      <c r="U238" s="47"/>
      <c r="V238" s="47"/>
      <c r="W238" s="47"/>
      <c r="X238" s="47"/>
      <c r="Y238" s="47"/>
      <c r="Z238" s="47"/>
      <c r="AA238" s="10"/>
      <c r="AB238" s="10"/>
      <c r="AC238" s="47"/>
      <c r="AD238" s="47"/>
      <c r="AE238" s="47"/>
      <c r="AF238" s="47"/>
      <c r="AG238" s="47"/>
      <c r="AH238" s="47"/>
      <c r="AI238" s="46"/>
      <c r="AJ238" s="46"/>
      <c r="AK238" s="46"/>
      <c r="AL238" s="7"/>
      <c r="AM238" s="49" t="str">
        <f aca="false">IF(OR(C238="",G238=""),"",IFERROR(DATEDIF(C238,G238,"m"),""))</f>
        <v/>
      </c>
      <c r="AN238" s="49" t="str">
        <f aca="false">IF(OR(Q238="",AM238=""),"",60+2*Q238-AM238)</f>
        <v/>
      </c>
      <c r="AO238" s="49" t="str">
        <f aca="false">IF(OR(G238="",AJ238=""),"",AJ238-G238)</f>
        <v/>
      </c>
      <c r="AP238" s="50" t="str">
        <f aca="false">IF(AND(A238="",B238=""),"",IF(J238="","Status needed",IF(OR(J238="Applied",J238="Visit booked",J238="Withdrawn"),"OK",IF(G238="","Date assessed needed",IF(C238="","Date of birth needed",IF(COUNTA(L238,M238,P238,U238,V238,X238)&lt;6,"Band missing",IF(AND(OR(J238="Decision confirmed",J238="Family told",J238="Enrolled"),AG238=""),"Recommendation needed",IF(AND(OR(J238="Family told",J238="Enrolled"),AJ238=""),"Date family told needed","OK"))))))))</f>
        <v/>
      </c>
    </row>
    <row r="239" customFormat="false" ht="15" hidden="false" customHeight="false" outlineLevel="0" collapsed="false">
      <c r="A239" s="7"/>
      <c r="B239" s="7"/>
      <c r="C239" s="46"/>
      <c r="D239" s="7"/>
      <c r="E239" s="47"/>
      <c r="F239" s="46"/>
      <c r="G239" s="46"/>
      <c r="H239" s="7"/>
      <c r="I239" s="7"/>
      <c r="J239" s="47"/>
      <c r="K239" s="47"/>
      <c r="L239" s="47"/>
      <c r="M239" s="47"/>
      <c r="N239" s="47"/>
      <c r="O239" s="10"/>
      <c r="P239" s="47"/>
      <c r="Q239" s="47"/>
      <c r="R239" s="48" t="str">
        <f aca="false">IF(Q239="","",IF(Q239=0,"below 5:00",IF(Q239&gt;=66,"16:00 or above",INT((60+2*Q239)/12)&amp;":"&amp;TEXT(MOD(60+2*Q239,12),"00"))))</f>
        <v/>
      </c>
      <c r="S239" s="47"/>
      <c r="T239" s="47"/>
      <c r="U239" s="47"/>
      <c r="V239" s="47"/>
      <c r="W239" s="47"/>
      <c r="X239" s="47"/>
      <c r="Y239" s="47"/>
      <c r="Z239" s="47"/>
      <c r="AA239" s="10"/>
      <c r="AB239" s="10"/>
      <c r="AC239" s="47"/>
      <c r="AD239" s="47"/>
      <c r="AE239" s="47"/>
      <c r="AF239" s="47"/>
      <c r="AG239" s="47"/>
      <c r="AH239" s="47"/>
      <c r="AI239" s="46"/>
      <c r="AJ239" s="46"/>
      <c r="AK239" s="46"/>
      <c r="AL239" s="7"/>
      <c r="AM239" s="49" t="str">
        <f aca="false">IF(OR(C239="",G239=""),"",IFERROR(DATEDIF(C239,G239,"m"),""))</f>
        <v/>
      </c>
      <c r="AN239" s="49" t="str">
        <f aca="false">IF(OR(Q239="",AM239=""),"",60+2*Q239-AM239)</f>
        <v/>
      </c>
      <c r="AO239" s="49" t="str">
        <f aca="false">IF(OR(G239="",AJ239=""),"",AJ239-G239)</f>
        <v/>
      </c>
      <c r="AP239" s="50" t="str">
        <f aca="false">IF(AND(A239="",B239=""),"",IF(J239="","Status needed",IF(OR(J239="Applied",J239="Visit booked",J239="Withdrawn"),"OK",IF(G239="","Date assessed needed",IF(C239="","Date of birth needed",IF(COUNTA(L239,M239,P239,U239,V239,X239)&lt;6,"Band missing",IF(AND(OR(J239="Decision confirmed",J239="Family told",J239="Enrolled"),AG239=""),"Recommendation needed",IF(AND(OR(J239="Family told",J239="Enrolled"),AJ239=""),"Date family told needed","OK"))))))))</f>
        <v/>
      </c>
    </row>
    <row r="240" customFormat="false" ht="15" hidden="false" customHeight="false" outlineLevel="0" collapsed="false">
      <c r="A240" s="7"/>
      <c r="B240" s="7"/>
      <c r="C240" s="46"/>
      <c r="D240" s="7"/>
      <c r="E240" s="47"/>
      <c r="F240" s="46"/>
      <c r="G240" s="46"/>
      <c r="H240" s="7"/>
      <c r="I240" s="7"/>
      <c r="J240" s="47"/>
      <c r="K240" s="47"/>
      <c r="L240" s="47"/>
      <c r="M240" s="47"/>
      <c r="N240" s="47"/>
      <c r="O240" s="10"/>
      <c r="P240" s="47"/>
      <c r="Q240" s="47"/>
      <c r="R240" s="48" t="str">
        <f aca="false">IF(Q240="","",IF(Q240=0,"below 5:00",IF(Q240&gt;=66,"16:00 or above",INT((60+2*Q240)/12)&amp;":"&amp;TEXT(MOD(60+2*Q240,12),"00"))))</f>
        <v/>
      </c>
      <c r="S240" s="47"/>
      <c r="T240" s="47"/>
      <c r="U240" s="47"/>
      <c r="V240" s="47"/>
      <c r="W240" s="47"/>
      <c r="X240" s="47"/>
      <c r="Y240" s="47"/>
      <c r="Z240" s="47"/>
      <c r="AA240" s="10"/>
      <c r="AB240" s="10"/>
      <c r="AC240" s="47"/>
      <c r="AD240" s="47"/>
      <c r="AE240" s="47"/>
      <c r="AF240" s="47"/>
      <c r="AG240" s="47"/>
      <c r="AH240" s="47"/>
      <c r="AI240" s="46"/>
      <c r="AJ240" s="46"/>
      <c r="AK240" s="46"/>
      <c r="AL240" s="7"/>
      <c r="AM240" s="49" t="str">
        <f aca="false">IF(OR(C240="",G240=""),"",IFERROR(DATEDIF(C240,G240,"m"),""))</f>
        <v/>
      </c>
      <c r="AN240" s="49" t="str">
        <f aca="false">IF(OR(Q240="",AM240=""),"",60+2*Q240-AM240)</f>
        <v/>
      </c>
      <c r="AO240" s="49" t="str">
        <f aca="false">IF(OR(G240="",AJ240=""),"",AJ240-G240)</f>
        <v/>
      </c>
      <c r="AP240" s="50" t="str">
        <f aca="false">IF(AND(A240="",B240=""),"",IF(J240="","Status needed",IF(OR(J240="Applied",J240="Visit booked",J240="Withdrawn"),"OK",IF(G240="","Date assessed needed",IF(C240="","Date of birth needed",IF(COUNTA(L240,M240,P240,U240,V240,X240)&lt;6,"Band missing",IF(AND(OR(J240="Decision confirmed",J240="Family told",J240="Enrolled"),AG240=""),"Recommendation needed",IF(AND(OR(J240="Family told",J240="Enrolled"),AJ240=""),"Date family told needed","OK"))))))))</f>
        <v/>
      </c>
    </row>
    <row r="241" customFormat="false" ht="15" hidden="false" customHeight="false" outlineLevel="0" collapsed="false">
      <c r="A241" s="7"/>
      <c r="B241" s="7"/>
      <c r="C241" s="46"/>
      <c r="D241" s="7"/>
      <c r="E241" s="47"/>
      <c r="F241" s="46"/>
      <c r="G241" s="46"/>
      <c r="H241" s="7"/>
      <c r="I241" s="7"/>
      <c r="J241" s="47"/>
      <c r="K241" s="47"/>
      <c r="L241" s="47"/>
      <c r="M241" s="47"/>
      <c r="N241" s="47"/>
      <c r="O241" s="10"/>
      <c r="P241" s="47"/>
      <c r="Q241" s="47"/>
      <c r="R241" s="48" t="str">
        <f aca="false">IF(Q241="","",IF(Q241=0,"below 5:00",IF(Q241&gt;=66,"16:00 or above",INT((60+2*Q241)/12)&amp;":"&amp;TEXT(MOD(60+2*Q241,12),"00"))))</f>
        <v/>
      </c>
      <c r="S241" s="47"/>
      <c r="T241" s="47"/>
      <c r="U241" s="47"/>
      <c r="V241" s="47"/>
      <c r="W241" s="47"/>
      <c r="X241" s="47"/>
      <c r="Y241" s="47"/>
      <c r="Z241" s="47"/>
      <c r="AA241" s="10"/>
      <c r="AB241" s="10"/>
      <c r="AC241" s="47"/>
      <c r="AD241" s="47"/>
      <c r="AE241" s="47"/>
      <c r="AF241" s="47"/>
      <c r="AG241" s="47"/>
      <c r="AH241" s="47"/>
      <c r="AI241" s="46"/>
      <c r="AJ241" s="46"/>
      <c r="AK241" s="46"/>
      <c r="AL241" s="7"/>
      <c r="AM241" s="49" t="str">
        <f aca="false">IF(OR(C241="",G241=""),"",IFERROR(DATEDIF(C241,G241,"m"),""))</f>
        <v/>
      </c>
      <c r="AN241" s="49" t="str">
        <f aca="false">IF(OR(Q241="",AM241=""),"",60+2*Q241-AM241)</f>
        <v/>
      </c>
      <c r="AO241" s="49" t="str">
        <f aca="false">IF(OR(G241="",AJ241=""),"",AJ241-G241)</f>
        <v/>
      </c>
      <c r="AP241" s="50" t="str">
        <f aca="false">IF(AND(A241="",B241=""),"",IF(J241="","Status needed",IF(OR(J241="Applied",J241="Visit booked",J241="Withdrawn"),"OK",IF(G241="","Date assessed needed",IF(C241="","Date of birth needed",IF(COUNTA(L241,M241,P241,U241,V241,X241)&lt;6,"Band missing",IF(AND(OR(J241="Decision confirmed",J241="Family told",J241="Enrolled"),AG241=""),"Recommendation needed",IF(AND(OR(J241="Family told",J241="Enrolled"),AJ241=""),"Date family told needed","OK"))))))))</f>
        <v/>
      </c>
    </row>
    <row r="242" customFormat="false" ht="15" hidden="false" customHeight="false" outlineLevel="0" collapsed="false">
      <c r="A242" s="7"/>
      <c r="B242" s="7"/>
      <c r="C242" s="46"/>
      <c r="D242" s="7"/>
      <c r="E242" s="47"/>
      <c r="F242" s="46"/>
      <c r="G242" s="46"/>
      <c r="H242" s="7"/>
      <c r="I242" s="7"/>
      <c r="J242" s="47"/>
      <c r="K242" s="47"/>
      <c r="L242" s="47"/>
      <c r="M242" s="47"/>
      <c r="N242" s="47"/>
      <c r="O242" s="10"/>
      <c r="P242" s="47"/>
      <c r="Q242" s="47"/>
      <c r="R242" s="48" t="str">
        <f aca="false">IF(Q242="","",IF(Q242=0,"below 5:00",IF(Q242&gt;=66,"16:00 or above",INT((60+2*Q242)/12)&amp;":"&amp;TEXT(MOD(60+2*Q242,12),"00"))))</f>
        <v/>
      </c>
      <c r="S242" s="47"/>
      <c r="T242" s="47"/>
      <c r="U242" s="47"/>
      <c r="V242" s="47"/>
      <c r="W242" s="47"/>
      <c r="X242" s="47"/>
      <c r="Y242" s="47"/>
      <c r="Z242" s="47"/>
      <c r="AA242" s="10"/>
      <c r="AB242" s="10"/>
      <c r="AC242" s="47"/>
      <c r="AD242" s="47"/>
      <c r="AE242" s="47"/>
      <c r="AF242" s="47"/>
      <c r="AG242" s="47"/>
      <c r="AH242" s="47"/>
      <c r="AI242" s="46"/>
      <c r="AJ242" s="46"/>
      <c r="AK242" s="46"/>
      <c r="AL242" s="7"/>
      <c r="AM242" s="49" t="str">
        <f aca="false">IF(OR(C242="",G242=""),"",IFERROR(DATEDIF(C242,G242,"m"),""))</f>
        <v/>
      </c>
      <c r="AN242" s="49" t="str">
        <f aca="false">IF(OR(Q242="",AM242=""),"",60+2*Q242-AM242)</f>
        <v/>
      </c>
      <c r="AO242" s="49" t="str">
        <f aca="false">IF(OR(G242="",AJ242=""),"",AJ242-G242)</f>
        <v/>
      </c>
      <c r="AP242" s="50" t="str">
        <f aca="false">IF(AND(A242="",B242=""),"",IF(J242="","Status needed",IF(OR(J242="Applied",J242="Visit booked",J242="Withdrawn"),"OK",IF(G242="","Date assessed needed",IF(C242="","Date of birth needed",IF(COUNTA(L242,M242,P242,U242,V242,X242)&lt;6,"Band missing",IF(AND(OR(J242="Decision confirmed",J242="Family told",J242="Enrolled"),AG242=""),"Recommendation needed",IF(AND(OR(J242="Family told",J242="Enrolled"),AJ242=""),"Date family told needed","OK"))))))))</f>
        <v/>
      </c>
    </row>
    <row r="243" customFormat="false" ht="15" hidden="false" customHeight="false" outlineLevel="0" collapsed="false">
      <c r="A243" s="7"/>
      <c r="B243" s="7"/>
      <c r="C243" s="46"/>
      <c r="D243" s="7"/>
      <c r="E243" s="47"/>
      <c r="F243" s="46"/>
      <c r="G243" s="46"/>
      <c r="H243" s="7"/>
      <c r="I243" s="7"/>
      <c r="J243" s="47"/>
      <c r="K243" s="47"/>
      <c r="L243" s="47"/>
      <c r="M243" s="47"/>
      <c r="N243" s="47"/>
      <c r="O243" s="10"/>
      <c r="P243" s="47"/>
      <c r="Q243" s="47"/>
      <c r="R243" s="48" t="str">
        <f aca="false">IF(Q243="","",IF(Q243=0,"below 5:00",IF(Q243&gt;=66,"16:00 or above",INT((60+2*Q243)/12)&amp;":"&amp;TEXT(MOD(60+2*Q243,12),"00"))))</f>
        <v/>
      </c>
      <c r="S243" s="47"/>
      <c r="T243" s="47"/>
      <c r="U243" s="47"/>
      <c r="V243" s="47"/>
      <c r="W243" s="47"/>
      <c r="X243" s="47"/>
      <c r="Y243" s="47"/>
      <c r="Z243" s="47"/>
      <c r="AA243" s="10"/>
      <c r="AB243" s="10"/>
      <c r="AC243" s="47"/>
      <c r="AD243" s="47"/>
      <c r="AE243" s="47"/>
      <c r="AF243" s="47"/>
      <c r="AG243" s="47"/>
      <c r="AH243" s="47"/>
      <c r="AI243" s="46"/>
      <c r="AJ243" s="46"/>
      <c r="AK243" s="46"/>
      <c r="AL243" s="7"/>
      <c r="AM243" s="49" t="str">
        <f aca="false">IF(OR(C243="",G243=""),"",IFERROR(DATEDIF(C243,G243,"m"),""))</f>
        <v/>
      </c>
      <c r="AN243" s="49" t="str">
        <f aca="false">IF(OR(Q243="",AM243=""),"",60+2*Q243-AM243)</f>
        <v/>
      </c>
      <c r="AO243" s="49" t="str">
        <f aca="false">IF(OR(G243="",AJ243=""),"",AJ243-G243)</f>
        <v/>
      </c>
      <c r="AP243" s="50" t="str">
        <f aca="false">IF(AND(A243="",B243=""),"",IF(J243="","Status needed",IF(OR(J243="Applied",J243="Visit booked",J243="Withdrawn"),"OK",IF(G243="","Date assessed needed",IF(C243="","Date of birth needed",IF(COUNTA(L243,M243,P243,U243,V243,X243)&lt;6,"Band missing",IF(AND(OR(J243="Decision confirmed",J243="Family told",J243="Enrolled"),AG243=""),"Recommendation needed",IF(AND(OR(J243="Family told",J243="Enrolled"),AJ243=""),"Date family told needed","OK"))))))))</f>
        <v/>
      </c>
    </row>
    <row r="244" customFormat="false" ht="15" hidden="false" customHeight="false" outlineLevel="0" collapsed="false">
      <c r="A244" s="7"/>
      <c r="B244" s="7"/>
      <c r="C244" s="46"/>
      <c r="D244" s="7"/>
      <c r="E244" s="47"/>
      <c r="F244" s="46"/>
      <c r="G244" s="46"/>
      <c r="H244" s="7"/>
      <c r="I244" s="7"/>
      <c r="J244" s="47"/>
      <c r="K244" s="47"/>
      <c r="L244" s="47"/>
      <c r="M244" s="47"/>
      <c r="N244" s="47"/>
      <c r="O244" s="10"/>
      <c r="P244" s="47"/>
      <c r="Q244" s="47"/>
      <c r="R244" s="48" t="str">
        <f aca="false">IF(Q244="","",IF(Q244=0,"below 5:00",IF(Q244&gt;=66,"16:00 or above",INT((60+2*Q244)/12)&amp;":"&amp;TEXT(MOD(60+2*Q244,12),"00"))))</f>
        <v/>
      </c>
      <c r="S244" s="47"/>
      <c r="T244" s="47"/>
      <c r="U244" s="47"/>
      <c r="V244" s="47"/>
      <c r="W244" s="47"/>
      <c r="X244" s="47"/>
      <c r="Y244" s="47"/>
      <c r="Z244" s="47"/>
      <c r="AA244" s="10"/>
      <c r="AB244" s="10"/>
      <c r="AC244" s="47"/>
      <c r="AD244" s="47"/>
      <c r="AE244" s="47"/>
      <c r="AF244" s="47"/>
      <c r="AG244" s="47"/>
      <c r="AH244" s="47"/>
      <c r="AI244" s="46"/>
      <c r="AJ244" s="46"/>
      <c r="AK244" s="46"/>
      <c r="AL244" s="7"/>
      <c r="AM244" s="49" t="str">
        <f aca="false">IF(OR(C244="",G244=""),"",IFERROR(DATEDIF(C244,G244,"m"),""))</f>
        <v/>
      </c>
      <c r="AN244" s="49" t="str">
        <f aca="false">IF(OR(Q244="",AM244=""),"",60+2*Q244-AM244)</f>
        <v/>
      </c>
      <c r="AO244" s="49" t="str">
        <f aca="false">IF(OR(G244="",AJ244=""),"",AJ244-G244)</f>
        <v/>
      </c>
      <c r="AP244" s="50" t="str">
        <f aca="false">IF(AND(A244="",B244=""),"",IF(J244="","Status needed",IF(OR(J244="Applied",J244="Visit booked",J244="Withdrawn"),"OK",IF(G244="","Date assessed needed",IF(C244="","Date of birth needed",IF(COUNTA(L244,M244,P244,U244,V244,X244)&lt;6,"Band missing",IF(AND(OR(J244="Decision confirmed",J244="Family told",J244="Enrolled"),AG244=""),"Recommendation needed",IF(AND(OR(J244="Family told",J244="Enrolled"),AJ244=""),"Date family told needed","OK"))))))))</f>
        <v/>
      </c>
    </row>
    <row r="245" customFormat="false" ht="15" hidden="false" customHeight="false" outlineLevel="0" collapsed="false">
      <c r="A245" s="7"/>
      <c r="B245" s="7"/>
      <c r="C245" s="46"/>
      <c r="D245" s="7"/>
      <c r="E245" s="47"/>
      <c r="F245" s="46"/>
      <c r="G245" s="46"/>
      <c r="H245" s="7"/>
      <c r="I245" s="7"/>
      <c r="J245" s="47"/>
      <c r="K245" s="47"/>
      <c r="L245" s="47"/>
      <c r="M245" s="47"/>
      <c r="N245" s="47"/>
      <c r="O245" s="10"/>
      <c r="P245" s="47"/>
      <c r="Q245" s="47"/>
      <c r="R245" s="48" t="str">
        <f aca="false">IF(Q245="","",IF(Q245=0,"below 5:00",IF(Q245&gt;=66,"16:00 or above",INT((60+2*Q245)/12)&amp;":"&amp;TEXT(MOD(60+2*Q245,12),"00"))))</f>
        <v/>
      </c>
      <c r="S245" s="47"/>
      <c r="T245" s="47"/>
      <c r="U245" s="47"/>
      <c r="V245" s="47"/>
      <c r="W245" s="47"/>
      <c r="X245" s="47"/>
      <c r="Y245" s="47"/>
      <c r="Z245" s="47"/>
      <c r="AA245" s="10"/>
      <c r="AB245" s="10"/>
      <c r="AC245" s="47"/>
      <c r="AD245" s="47"/>
      <c r="AE245" s="47"/>
      <c r="AF245" s="47"/>
      <c r="AG245" s="47"/>
      <c r="AH245" s="47"/>
      <c r="AI245" s="46"/>
      <c r="AJ245" s="46"/>
      <c r="AK245" s="46"/>
      <c r="AL245" s="7"/>
      <c r="AM245" s="49" t="str">
        <f aca="false">IF(OR(C245="",G245=""),"",IFERROR(DATEDIF(C245,G245,"m"),""))</f>
        <v/>
      </c>
      <c r="AN245" s="49" t="str">
        <f aca="false">IF(OR(Q245="",AM245=""),"",60+2*Q245-AM245)</f>
        <v/>
      </c>
      <c r="AO245" s="49" t="str">
        <f aca="false">IF(OR(G245="",AJ245=""),"",AJ245-G245)</f>
        <v/>
      </c>
      <c r="AP245" s="50" t="str">
        <f aca="false">IF(AND(A245="",B245=""),"",IF(J245="","Status needed",IF(OR(J245="Applied",J245="Visit booked",J245="Withdrawn"),"OK",IF(G245="","Date assessed needed",IF(C245="","Date of birth needed",IF(COUNTA(L245,M245,P245,U245,V245,X245)&lt;6,"Band missing",IF(AND(OR(J245="Decision confirmed",J245="Family told",J245="Enrolled"),AG245=""),"Recommendation needed",IF(AND(OR(J245="Family told",J245="Enrolled"),AJ245=""),"Date family told needed","OK"))))))))</f>
        <v/>
      </c>
    </row>
    <row r="246" customFormat="false" ht="15" hidden="false" customHeight="false" outlineLevel="0" collapsed="false">
      <c r="A246" s="7"/>
      <c r="B246" s="7"/>
      <c r="C246" s="46"/>
      <c r="D246" s="7"/>
      <c r="E246" s="47"/>
      <c r="F246" s="46"/>
      <c r="G246" s="46"/>
      <c r="H246" s="7"/>
      <c r="I246" s="7"/>
      <c r="J246" s="47"/>
      <c r="K246" s="47"/>
      <c r="L246" s="47"/>
      <c r="M246" s="47"/>
      <c r="N246" s="47"/>
      <c r="O246" s="10"/>
      <c r="P246" s="47"/>
      <c r="Q246" s="47"/>
      <c r="R246" s="48" t="str">
        <f aca="false">IF(Q246="","",IF(Q246=0,"below 5:00",IF(Q246&gt;=66,"16:00 or above",INT((60+2*Q246)/12)&amp;":"&amp;TEXT(MOD(60+2*Q246,12),"00"))))</f>
        <v/>
      </c>
      <c r="S246" s="47"/>
      <c r="T246" s="47"/>
      <c r="U246" s="47"/>
      <c r="V246" s="47"/>
      <c r="W246" s="47"/>
      <c r="X246" s="47"/>
      <c r="Y246" s="47"/>
      <c r="Z246" s="47"/>
      <c r="AA246" s="10"/>
      <c r="AB246" s="10"/>
      <c r="AC246" s="47"/>
      <c r="AD246" s="47"/>
      <c r="AE246" s="47"/>
      <c r="AF246" s="47"/>
      <c r="AG246" s="47"/>
      <c r="AH246" s="47"/>
      <c r="AI246" s="46"/>
      <c r="AJ246" s="46"/>
      <c r="AK246" s="46"/>
      <c r="AL246" s="7"/>
      <c r="AM246" s="49" t="str">
        <f aca="false">IF(OR(C246="",G246=""),"",IFERROR(DATEDIF(C246,G246,"m"),""))</f>
        <v/>
      </c>
      <c r="AN246" s="49" t="str">
        <f aca="false">IF(OR(Q246="",AM246=""),"",60+2*Q246-AM246)</f>
        <v/>
      </c>
      <c r="AO246" s="49" t="str">
        <f aca="false">IF(OR(G246="",AJ246=""),"",AJ246-G246)</f>
        <v/>
      </c>
      <c r="AP246" s="50" t="str">
        <f aca="false">IF(AND(A246="",B246=""),"",IF(J246="","Status needed",IF(OR(J246="Applied",J246="Visit booked",J246="Withdrawn"),"OK",IF(G246="","Date assessed needed",IF(C246="","Date of birth needed",IF(COUNTA(L246,M246,P246,U246,V246,X246)&lt;6,"Band missing",IF(AND(OR(J246="Decision confirmed",J246="Family told",J246="Enrolled"),AG246=""),"Recommendation needed",IF(AND(OR(J246="Family told",J246="Enrolled"),AJ246=""),"Date family told needed","OK"))))))))</f>
        <v/>
      </c>
    </row>
    <row r="247" customFormat="false" ht="15" hidden="false" customHeight="false" outlineLevel="0" collapsed="false">
      <c r="A247" s="7"/>
      <c r="B247" s="7"/>
      <c r="C247" s="46"/>
      <c r="D247" s="7"/>
      <c r="E247" s="47"/>
      <c r="F247" s="46"/>
      <c r="G247" s="46"/>
      <c r="H247" s="7"/>
      <c r="I247" s="7"/>
      <c r="J247" s="47"/>
      <c r="K247" s="47"/>
      <c r="L247" s="47"/>
      <c r="M247" s="47"/>
      <c r="N247" s="47"/>
      <c r="O247" s="10"/>
      <c r="P247" s="47"/>
      <c r="Q247" s="47"/>
      <c r="R247" s="48" t="str">
        <f aca="false">IF(Q247="","",IF(Q247=0,"below 5:00",IF(Q247&gt;=66,"16:00 or above",INT((60+2*Q247)/12)&amp;":"&amp;TEXT(MOD(60+2*Q247,12),"00"))))</f>
        <v/>
      </c>
      <c r="S247" s="47"/>
      <c r="T247" s="47"/>
      <c r="U247" s="47"/>
      <c r="V247" s="47"/>
      <c r="W247" s="47"/>
      <c r="X247" s="47"/>
      <c r="Y247" s="47"/>
      <c r="Z247" s="47"/>
      <c r="AA247" s="10"/>
      <c r="AB247" s="10"/>
      <c r="AC247" s="47"/>
      <c r="AD247" s="47"/>
      <c r="AE247" s="47"/>
      <c r="AF247" s="47"/>
      <c r="AG247" s="47"/>
      <c r="AH247" s="47"/>
      <c r="AI247" s="46"/>
      <c r="AJ247" s="46"/>
      <c r="AK247" s="46"/>
      <c r="AL247" s="7"/>
      <c r="AM247" s="49" t="str">
        <f aca="false">IF(OR(C247="",G247=""),"",IFERROR(DATEDIF(C247,G247,"m"),""))</f>
        <v/>
      </c>
      <c r="AN247" s="49" t="str">
        <f aca="false">IF(OR(Q247="",AM247=""),"",60+2*Q247-AM247)</f>
        <v/>
      </c>
      <c r="AO247" s="49" t="str">
        <f aca="false">IF(OR(G247="",AJ247=""),"",AJ247-G247)</f>
        <v/>
      </c>
      <c r="AP247" s="50" t="str">
        <f aca="false">IF(AND(A247="",B247=""),"",IF(J247="","Status needed",IF(OR(J247="Applied",J247="Visit booked",J247="Withdrawn"),"OK",IF(G247="","Date assessed needed",IF(C247="","Date of birth needed",IF(COUNTA(L247,M247,P247,U247,V247,X247)&lt;6,"Band missing",IF(AND(OR(J247="Decision confirmed",J247="Family told",J247="Enrolled"),AG247=""),"Recommendation needed",IF(AND(OR(J247="Family told",J247="Enrolled"),AJ247=""),"Date family told needed","OK"))))))))</f>
        <v/>
      </c>
    </row>
    <row r="248" customFormat="false" ht="15" hidden="false" customHeight="false" outlineLevel="0" collapsed="false">
      <c r="A248" s="7"/>
      <c r="B248" s="7"/>
      <c r="C248" s="46"/>
      <c r="D248" s="7"/>
      <c r="E248" s="47"/>
      <c r="F248" s="46"/>
      <c r="G248" s="46"/>
      <c r="H248" s="7"/>
      <c r="I248" s="7"/>
      <c r="J248" s="47"/>
      <c r="K248" s="47"/>
      <c r="L248" s="47"/>
      <c r="M248" s="47"/>
      <c r="N248" s="47"/>
      <c r="O248" s="10"/>
      <c r="P248" s="47"/>
      <c r="Q248" s="47"/>
      <c r="R248" s="48" t="str">
        <f aca="false">IF(Q248="","",IF(Q248=0,"below 5:00",IF(Q248&gt;=66,"16:00 or above",INT((60+2*Q248)/12)&amp;":"&amp;TEXT(MOD(60+2*Q248,12),"00"))))</f>
        <v/>
      </c>
      <c r="S248" s="47"/>
      <c r="T248" s="47"/>
      <c r="U248" s="47"/>
      <c r="V248" s="47"/>
      <c r="W248" s="47"/>
      <c r="X248" s="47"/>
      <c r="Y248" s="47"/>
      <c r="Z248" s="47"/>
      <c r="AA248" s="10"/>
      <c r="AB248" s="10"/>
      <c r="AC248" s="47"/>
      <c r="AD248" s="47"/>
      <c r="AE248" s="47"/>
      <c r="AF248" s="47"/>
      <c r="AG248" s="47"/>
      <c r="AH248" s="47"/>
      <c r="AI248" s="46"/>
      <c r="AJ248" s="46"/>
      <c r="AK248" s="46"/>
      <c r="AL248" s="7"/>
      <c r="AM248" s="49" t="str">
        <f aca="false">IF(OR(C248="",G248=""),"",IFERROR(DATEDIF(C248,G248,"m"),""))</f>
        <v/>
      </c>
      <c r="AN248" s="49" t="str">
        <f aca="false">IF(OR(Q248="",AM248=""),"",60+2*Q248-AM248)</f>
        <v/>
      </c>
      <c r="AO248" s="49" t="str">
        <f aca="false">IF(OR(G248="",AJ248=""),"",AJ248-G248)</f>
        <v/>
      </c>
      <c r="AP248" s="50" t="str">
        <f aca="false">IF(AND(A248="",B248=""),"",IF(J248="","Status needed",IF(OR(J248="Applied",J248="Visit booked",J248="Withdrawn"),"OK",IF(G248="","Date assessed needed",IF(C248="","Date of birth needed",IF(COUNTA(L248,M248,P248,U248,V248,X248)&lt;6,"Band missing",IF(AND(OR(J248="Decision confirmed",J248="Family told",J248="Enrolled"),AG248=""),"Recommendation needed",IF(AND(OR(J248="Family told",J248="Enrolled"),AJ248=""),"Date family told needed","OK"))))))))</f>
        <v/>
      </c>
    </row>
    <row r="249" customFormat="false" ht="15" hidden="false" customHeight="false" outlineLevel="0" collapsed="false">
      <c r="A249" s="7"/>
      <c r="B249" s="7"/>
      <c r="C249" s="46"/>
      <c r="D249" s="7"/>
      <c r="E249" s="47"/>
      <c r="F249" s="46"/>
      <c r="G249" s="46"/>
      <c r="H249" s="7"/>
      <c r="I249" s="7"/>
      <c r="J249" s="47"/>
      <c r="K249" s="47"/>
      <c r="L249" s="47"/>
      <c r="M249" s="47"/>
      <c r="N249" s="47"/>
      <c r="O249" s="10"/>
      <c r="P249" s="47"/>
      <c r="Q249" s="47"/>
      <c r="R249" s="48" t="str">
        <f aca="false">IF(Q249="","",IF(Q249=0,"below 5:00",IF(Q249&gt;=66,"16:00 or above",INT((60+2*Q249)/12)&amp;":"&amp;TEXT(MOD(60+2*Q249,12),"00"))))</f>
        <v/>
      </c>
      <c r="S249" s="47"/>
      <c r="T249" s="47"/>
      <c r="U249" s="47"/>
      <c r="V249" s="47"/>
      <c r="W249" s="47"/>
      <c r="X249" s="47"/>
      <c r="Y249" s="47"/>
      <c r="Z249" s="47"/>
      <c r="AA249" s="10"/>
      <c r="AB249" s="10"/>
      <c r="AC249" s="47"/>
      <c r="AD249" s="47"/>
      <c r="AE249" s="47"/>
      <c r="AF249" s="47"/>
      <c r="AG249" s="47"/>
      <c r="AH249" s="47"/>
      <c r="AI249" s="46"/>
      <c r="AJ249" s="46"/>
      <c r="AK249" s="46"/>
      <c r="AL249" s="7"/>
      <c r="AM249" s="49" t="str">
        <f aca="false">IF(OR(C249="",G249=""),"",IFERROR(DATEDIF(C249,G249,"m"),""))</f>
        <v/>
      </c>
      <c r="AN249" s="49" t="str">
        <f aca="false">IF(OR(Q249="",AM249=""),"",60+2*Q249-AM249)</f>
        <v/>
      </c>
      <c r="AO249" s="49" t="str">
        <f aca="false">IF(OR(G249="",AJ249=""),"",AJ249-G249)</f>
        <v/>
      </c>
      <c r="AP249" s="50" t="str">
        <f aca="false">IF(AND(A249="",B249=""),"",IF(J249="","Status needed",IF(OR(J249="Applied",J249="Visit booked",J249="Withdrawn"),"OK",IF(G249="","Date assessed needed",IF(C249="","Date of birth needed",IF(COUNTA(L249,M249,P249,U249,V249,X249)&lt;6,"Band missing",IF(AND(OR(J249="Decision confirmed",J249="Family told",J249="Enrolled"),AG249=""),"Recommendation needed",IF(AND(OR(J249="Family told",J249="Enrolled"),AJ249=""),"Date family told needed","OK"))))))))</f>
        <v/>
      </c>
    </row>
    <row r="250" customFormat="false" ht="15" hidden="false" customHeight="false" outlineLevel="0" collapsed="false">
      <c r="A250" s="7"/>
      <c r="B250" s="7"/>
      <c r="C250" s="46"/>
      <c r="D250" s="7"/>
      <c r="E250" s="47"/>
      <c r="F250" s="46"/>
      <c r="G250" s="46"/>
      <c r="H250" s="7"/>
      <c r="I250" s="7"/>
      <c r="J250" s="47"/>
      <c r="K250" s="47"/>
      <c r="L250" s="47"/>
      <c r="M250" s="47"/>
      <c r="N250" s="47"/>
      <c r="O250" s="10"/>
      <c r="P250" s="47"/>
      <c r="Q250" s="47"/>
      <c r="R250" s="48" t="str">
        <f aca="false">IF(Q250="","",IF(Q250=0,"below 5:00",IF(Q250&gt;=66,"16:00 or above",INT((60+2*Q250)/12)&amp;":"&amp;TEXT(MOD(60+2*Q250,12),"00"))))</f>
        <v/>
      </c>
      <c r="S250" s="47"/>
      <c r="T250" s="47"/>
      <c r="U250" s="47"/>
      <c r="V250" s="47"/>
      <c r="W250" s="47"/>
      <c r="X250" s="47"/>
      <c r="Y250" s="47"/>
      <c r="Z250" s="47"/>
      <c r="AA250" s="10"/>
      <c r="AB250" s="10"/>
      <c r="AC250" s="47"/>
      <c r="AD250" s="47"/>
      <c r="AE250" s="47"/>
      <c r="AF250" s="47"/>
      <c r="AG250" s="47"/>
      <c r="AH250" s="47"/>
      <c r="AI250" s="46"/>
      <c r="AJ250" s="46"/>
      <c r="AK250" s="46"/>
      <c r="AL250" s="7"/>
      <c r="AM250" s="49" t="str">
        <f aca="false">IF(OR(C250="",G250=""),"",IFERROR(DATEDIF(C250,G250,"m"),""))</f>
        <v/>
      </c>
      <c r="AN250" s="49" t="str">
        <f aca="false">IF(OR(Q250="",AM250=""),"",60+2*Q250-AM250)</f>
        <v/>
      </c>
      <c r="AO250" s="49" t="str">
        <f aca="false">IF(OR(G250="",AJ250=""),"",AJ250-G250)</f>
        <v/>
      </c>
      <c r="AP250" s="50" t="str">
        <f aca="false">IF(AND(A250="",B250=""),"",IF(J250="","Status needed",IF(OR(J250="Applied",J250="Visit booked",J250="Withdrawn"),"OK",IF(G250="","Date assessed needed",IF(C250="","Date of birth needed",IF(COUNTA(L250,M250,P250,U250,V250,X250)&lt;6,"Band missing",IF(AND(OR(J250="Decision confirmed",J250="Family told",J250="Enrolled"),AG250=""),"Recommendation needed",IF(AND(OR(J250="Family told",J250="Enrolled"),AJ250=""),"Date family told needed","OK"))))))))</f>
        <v/>
      </c>
    </row>
    <row r="251" customFormat="false" ht="15" hidden="false" customHeight="false" outlineLevel="0" collapsed="false">
      <c r="A251" s="7"/>
      <c r="B251" s="7"/>
      <c r="C251" s="46"/>
      <c r="D251" s="7"/>
      <c r="E251" s="47"/>
      <c r="F251" s="46"/>
      <c r="G251" s="46"/>
      <c r="H251" s="7"/>
      <c r="I251" s="7"/>
      <c r="J251" s="47"/>
      <c r="K251" s="47"/>
      <c r="L251" s="47"/>
      <c r="M251" s="47"/>
      <c r="N251" s="47"/>
      <c r="O251" s="10"/>
      <c r="P251" s="47"/>
      <c r="Q251" s="47"/>
      <c r="R251" s="48" t="str">
        <f aca="false">IF(Q251="","",IF(Q251=0,"below 5:00",IF(Q251&gt;=66,"16:00 or above",INT((60+2*Q251)/12)&amp;":"&amp;TEXT(MOD(60+2*Q251,12),"00"))))</f>
        <v/>
      </c>
      <c r="S251" s="47"/>
      <c r="T251" s="47"/>
      <c r="U251" s="47"/>
      <c r="V251" s="47"/>
      <c r="W251" s="47"/>
      <c r="X251" s="47"/>
      <c r="Y251" s="47"/>
      <c r="Z251" s="47"/>
      <c r="AA251" s="10"/>
      <c r="AB251" s="10"/>
      <c r="AC251" s="47"/>
      <c r="AD251" s="47"/>
      <c r="AE251" s="47"/>
      <c r="AF251" s="47"/>
      <c r="AG251" s="47"/>
      <c r="AH251" s="47"/>
      <c r="AI251" s="46"/>
      <c r="AJ251" s="46"/>
      <c r="AK251" s="46"/>
      <c r="AL251" s="7"/>
      <c r="AM251" s="49" t="str">
        <f aca="false">IF(OR(C251="",G251=""),"",IFERROR(DATEDIF(C251,G251,"m"),""))</f>
        <v/>
      </c>
      <c r="AN251" s="49" t="str">
        <f aca="false">IF(OR(Q251="",AM251=""),"",60+2*Q251-AM251)</f>
        <v/>
      </c>
      <c r="AO251" s="49" t="str">
        <f aca="false">IF(OR(G251="",AJ251=""),"",AJ251-G251)</f>
        <v/>
      </c>
      <c r="AP251" s="50" t="str">
        <f aca="false">IF(AND(A251="",B251=""),"",IF(J251="","Status needed",IF(OR(J251="Applied",J251="Visit booked",J251="Withdrawn"),"OK",IF(G251="","Date assessed needed",IF(C251="","Date of birth needed",IF(COUNTA(L251,M251,P251,U251,V251,X251)&lt;6,"Band missing",IF(AND(OR(J251="Decision confirmed",J251="Family told",J251="Enrolled"),AG251=""),"Recommendation needed",IF(AND(OR(J251="Family told",J251="Enrolled"),AJ251=""),"Date family told needed","OK"))))))))</f>
        <v/>
      </c>
    </row>
    <row r="252" customFormat="false" ht="15" hidden="false" customHeight="false" outlineLevel="0" collapsed="false">
      <c r="A252" s="7"/>
      <c r="B252" s="7"/>
      <c r="C252" s="46"/>
      <c r="D252" s="7"/>
      <c r="E252" s="47"/>
      <c r="F252" s="46"/>
      <c r="G252" s="46"/>
      <c r="H252" s="7"/>
      <c r="I252" s="7"/>
      <c r="J252" s="47"/>
      <c r="K252" s="47"/>
      <c r="L252" s="47"/>
      <c r="M252" s="47"/>
      <c r="N252" s="47"/>
      <c r="O252" s="10"/>
      <c r="P252" s="47"/>
      <c r="Q252" s="47"/>
      <c r="R252" s="48" t="str">
        <f aca="false">IF(Q252="","",IF(Q252=0,"below 5:00",IF(Q252&gt;=66,"16:00 or above",INT((60+2*Q252)/12)&amp;":"&amp;TEXT(MOD(60+2*Q252,12),"00"))))</f>
        <v/>
      </c>
      <c r="S252" s="47"/>
      <c r="T252" s="47"/>
      <c r="U252" s="47"/>
      <c r="V252" s="47"/>
      <c r="W252" s="47"/>
      <c r="X252" s="47"/>
      <c r="Y252" s="47"/>
      <c r="Z252" s="47"/>
      <c r="AA252" s="10"/>
      <c r="AB252" s="10"/>
      <c r="AC252" s="47"/>
      <c r="AD252" s="47"/>
      <c r="AE252" s="47"/>
      <c r="AF252" s="47"/>
      <c r="AG252" s="47"/>
      <c r="AH252" s="47"/>
      <c r="AI252" s="46"/>
      <c r="AJ252" s="46"/>
      <c r="AK252" s="46"/>
      <c r="AL252" s="7"/>
      <c r="AM252" s="49" t="str">
        <f aca="false">IF(OR(C252="",G252=""),"",IFERROR(DATEDIF(C252,G252,"m"),""))</f>
        <v/>
      </c>
      <c r="AN252" s="49" t="str">
        <f aca="false">IF(OR(Q252="",AM252=""),"",60+2*Q252-AM252)</f>
        <v/>
      </c>
      <c r="AO252" s="49" t="str">
        <f aca="false">IF(OR(G252="",AJ252=""),"",AJ252-G252)</f>
        <v/>
      </c>
      <c r="AP252" s="50" t="str">
        <f aca="false">IF(AND(A252="",B252=""),"",IF(J252="","Status needed",IF(OR(J252="Applied",J252="Visit booked",J252="Withdrawn"),"OK",IF(G252="","Date assessed needed",IF(C252="","Date of birth needed",IF(COUNTA(L252,M252,P252,U252,V252,X252)&lt;6,"Band missing",IF(AND(OR(J252="Decision confirmed",J252="Family told",J252="Enrolled"),AG252=""),"Recommendation needed",IF(AND(OR(J252="Family told",J252="Enrolled"),AJ252=""),"Date family told needed","OK"))))))))</f>
        <v/>
      </c>
    </row>
    <row r="253" customFormat="false" ht="15" hidden="false" customHeight="false" outlineLevel="0" collapsed="false">
      <c r="A253" s="7"/>
      <c r="B253" s="7"/>
      <c r="C253" s="46"/>
      <c r="D253" s="7"/>
      <c r="E253" s="47"/>
      <c r="F253" s="46"/>
      <c r="G253" s="46"/>
      <c r="H253" s="7"/>
      <c r="I253" s="7"/>
      <c r="J253" s="47"/>
      <c r="K253" s="47"/>
      <c r="L253" s="47"/>
      <c r="M253" s="47"/>
      <c r="N253" s="47"/>
      <c r="O253" s="10"/>
      <c r="P253" s="47"/>
      <c r="Q253" s="47"/>
      <c r="R253" s="48" t="str">
        <f aca="false">IF(Q253="","",IF(Q253=0,"below 5:00",IF(Q253&gt;=66,"16:00 or above",INT((60+2*Q253)/12)&amp;":"&amp;TEXT(MOD(60+2*Q253,12),"00"))))</f>
        <v/>
      </c>
      <c r="S253" s="47"/>
      <c r="T253" s="47"/>
      <c r="U253" s="47"/>
      <c r="V253" s="47"/>
      <c r="W253" s="47"/>
      <c r="X253" s="47"/>
      <c r="Y253" s="47"/>
      <c r="Z253" s="47"/>
      <c r="AA253" s="10"/>
      <c r="AB253" s="10"/>
      <c r="AC253" s="47"/>
      <c r="AD253" s="47"/>
      <c r="AE253" s="47"/>
      <c r="AF253" s="47"/>
      <c r="AG253" s="47"/>
      <c r="AH253" s="47"/>
      <c r="AI253" s="46"/>
      <c r="AJ253" s="46"/>
      <c r="AK253" s="46"/>
      <c r="AL253" s="7"/>
      <c r="AM253" s="49" t="str">
        <f aca="false">IF(OR(C253="",G253=""),"",IFERROR(DATEDIF(C253,G253,"m"),""))</f>
        <v/>
      </c>
      <c r="AN253" s="49" t="str">
        <f aca="false">IF(OR(Q253="",AM253=""),"",60+2*Q253-AM253)</f>
        <v/>
      </c>
      <c r="AO253" s="49" t="str">
        <f aca="false">IF(OR(G253="",AJ253=""),"",AJ253-G253)</f>
        <v/>
      </c>
      <c r="AP253" s="50" t="str">
        <f aca="false">IF(AND(A253="",B253=""),"",IF(J253="","Status needed",IF(OR(J253="Applied",J253="Visit booked",J253="Withdrawn"),"OK",IF(G253="","Date assessed needed",IF(C253="","Date of birth needed",IF(COUNTA(L253,M253,P253,U253,V253,X253)&lt;6,"Band missing",IF(AND(OR(J253="Decision confirmed",J253="Family told",J253="Enrolled"),AG253=""),"Recommendation needed",IF(AND(OR(J253="Family told",J253="Enrolled"),AJ253=""),"Date family told needed","OK"))))))))</f>
        <v/>
      </c>
    </row>
    <row r="254" customFormat="false" ht="15" hidden="false" customHeight="false" outlineLevel="0" collapsed="false">
      <c r="A254" s="7"/>
      <c r="B254" s="7"/>
      <c r="C254" s="46"/>
      <c r="D254" s="7"/>
      <c r="E254" s="47"/>
      <c r="F254" s="46"/>
      <c r="G254" s="46"/>
      <c r="H254" s="7"/>
      <c r="I254" s="7"/>
      <c r="J254" s="47"/>
      <c r="K254" s="47"/>
      <c r="L254" s="47"/>
      <c r="M254" s="47"/>
      <c r="N254" s="47"/>
      <c r="O254" s="10"/>
      <c r="P254" s="47"/>
      <c r="Q254" s="47"/>
      <c r="R254" s="48" t="str">
        <f aca="false">IF(Q254="","",IF(Q254=0,"below 5:00",IF(Q254&gt;=66,"16:00 or above",INT((60+2*Q254)/12)&amp;":"&amp;TEXT(MOD(60+2*Q254,12),"00"))))</f>
        <v/>
      </c>
      <c r="S254" s="47"/>
      <c r="T254" s="47"/>
      <c r="U254" s="47"/>
      <c r="V254" s="47"/>
      <c r="W254" s="47"/>
      <c r="X254" s="47"/>
      <c r="Y254" s="47"/>
      <c r="Z254" s="47"/>
      <c r="AA254" s="10"/>
      <c r="AB254" s="10"/>
      <c r="AC254" s="47"/>
      <c r="AD254" s="47"/>
      <c r="AE254" s="47"/>
      <c r="AF254" s="47"/>
      <c r="AG254" s="47"/>
      <c r="AH254" s="47"/>
      <c r="AI254" s="46"/>
      <c r="AJ254" s="46"/>
      <c r="AK254" s="46"/>
      <c r="AL254" s="7"/>
      <c r="AM254" s="49" t="str">
        <f aca="false">IF(OR(C254="",G254=""),"",IFERROR(DATEDIF(C254,G254,"m"),""))</f>
        <v/>
      </c>
      <c r="AN254" s="49" t="str">
        <f aca="false">IF(OR(Q254="",AM254=""),"",60+2*Q254-AM254)</f>
        <v/>
      </c>
      <c r="AO254" s="49" t="str">
        <f aca="false">IF(OR(G254="",AJ254=""),"",AJ254-G254)</f>
        <v/>
      </c>
      <c r="AP254" s="50" t="str">
        <f aca="false">IF(AND(A254="",B254=""),"",IF(J254="","Status needed",IF(OR(J254="Applied",J254="Visit booked",J254="Withdrawn"),"OK",IF(G254="","Date assessed needed",IF(C254="","Date of birth needed",IF(COUNTA(L254,M254,P254,U254,V254,X254)&lt;6,"Band missing",IF(AND(OR(J254="Decision confirmed",J254="Family told",J254="Enrolled"),AG254=""),"Recommendation needed",IF(AND(OR(J254="Family told",J254="Enrolled"),AJ254=""),"Date family told needed","OK"))))))))</f>
        <v/>
      </c>
    </row>
    <row r="255" customFormat="false" ht="15" hidden="false" customHeight="false" outlineLevel="0" collapsed="false">
      <c r="A255" s="7"/>
      <c r="B255" s="7"/>
      <c r="C255" s="46"/>
      <c r="D255" s="7"/>
      <c r="E255" s="47"/>
      <c r="F255" s="46"/>
      <c r="G255" s="46"/>
      <c r="H255" s="7"/>
      <c r="I255" s="7"/>
      <c r="J255" s="47"/>
      <c r="K255" s="47"/>
      <c r="L255" s="47"/>
      <c r="M255" s="47"/>
      <c r="N255" s="47"/>
      <c r="O255" s="10"/>
      <c r="P255" s="47"/>
      <c r="Q255" s="47"/>
      <c r="R255" s="48" t="str">
        <f aca="false">IF(Q255="","",IF(Q255=0,"below 5:00",IF(Q255&gt;=66,"16:00 or above",INT((60+2*Q255)/12)&amp;":"&amp;TEXT(MOD(60+2*Q255,12),"00"))))</f>
        <v/>
      </c>
      <c r="S255" s="47"/>
      <c r="T255" s="47"/>
      <c r="U255" s="47"/>
      <c r="V255" s="47"/>
      <c r="W255" s="47"/>
      <c r="X255" s="47"/>
      <c r="Y255" s="47"/>
      <c r="Z255" s="47"/>
      <c r="AA255" s="10"/>
      <c r="AB255" s="10"/>
      <c r="AC255" s="47"/>
      <c r="AD255" s="47"/>
      <c r="AE255" s="47"/>
      <c r="AF255" s="47"/>
      <c r="AG255" s="47"/>
      <c r="AH255" s="47"/>
      <c r="AI255" s="46"/>
      <c r="AJ255" s="46"/>
      <c r="AK255" s="46"/>
      <c r="AL255" s="7"/>
      <c r="AM255" s="49" t="str">
        <f aca="false">IF(OR(C255="",G255=""),"",IFERROR(DATEDIF(C255,G255,"m"),""))</f>
        <v/>
      </c>
      <c r="AN255" s="49" t="str">
        <f aca="false">IF(OR(Q255="",AM255=""),"",60+2*Q255-AM255)</f>
        <v/>
      </c>
      <c r="AO255" s="49" t="str">
        <f aca="false">IF(OR(G255="",AJ255=""),"",AJ255-G255)</f>
        <v/>
      </c>
      <c r="AP255" s="50" t="str">
        <f aca="false">IF(AND(A255="",B255=""),"",IF(J255="","Status needed",IF(OR(J255="Applied",J255="Visit booked",J255="Withdrawn"),"OK",IF(G255="","Date assessed needed",IF(C255="","Date of birth needed",IF(COUNTA(L255,M255,P255,U255,V255,X255)&lt;6,"Band missing",IF(AND(OR(J255="Decision confirmed",J255="Family told",J255="Enrolled"),AG255=""),"Recommendation needed",IF(AND(OR(J255="Family told",J255="Enrolled"),AJ255=""),"Date family told needed","OK"))))))))</f>
        <v/>
      </c>
    </row>
    <row r="256" customFormat="false" ht="15" hidden="false" customHeight="false" outlineLevel="0" collapsed="false">
      <c r="A256" s="7"/>
      <c r="B256" s="7"/>
      <c r="C256" s="46"/>
      <c r="D256" s="7"/>
      <c r="E256" s="47"/>
      <c r="F256" s="46"/>
      <c r="G256" s="46"/>
      <c r="H256" s="7"/>
      <c r="I256" s="7"/>
      <c r="J256" s="47"/>
      <c r="K256" s="47"/>
      <c r="L256" s="47"/>
      <c r="M256" s="47"/>
      <c r="N256" s="47"/>
      <c r="O256" s="10"/>
      <c r="P256" s="47"/>
      <c r="Q256" s="47"/>
      <c r="R256" s="48" t="str">
        <f aca="false">IF(Q256="","",IF(Q256=0,"below 5:00",IF(Q256&gt;=66,"16:00 or above",INT((60+2*Q256)/12)&amp;":"&amp;TEXT(MOD(60+2*Q256,12),"00"))))</f>
        <v/>
      </c>
      <c r="S256" s="47"/>
      <c r="T256" s="47"/>
      <c r="U256" s="47"/>
      <c r="V256" s="47"/>
      <c r="W256" s="47"/>
      <c r="X256" s="47"/>
      <c r="Y256" s="47"/>
      <c r="Z256" s="47"/>
      <c r="AA256" s="10"/>
      <c r="AB256" s="10"/>
      <c r="AC256" s="47"/>
      <c r="AD256" s="47"/>
      <c r="AE256" s="47"/>
      <c r="AF256" s="47"/>
      <c r="AG256" s="47"/>
      <c r="AH256" s="47"/>
      <c r="AI256" s="46"/>
      <c r="AJ256" s="46"/>
      <c r="AK256" s="46"/>
      <c r="AL256" s="7"/>
      <c r="AM256" s="49" t="str">
        <f aca="false">IF(OR(C256="",G256=""),"",IFERROR(DATEDIF(C256,G256,"m"),""))</f>
        <v/>
      </c>
      <c r="AN256" s="49" t="str">
        <f aca="false">IF(OR(Q256="",AM256=""),"",60+2*Q256-AM256)</f>
        <v/>
      </c>
      <c r="AO256" s="49" t="str">
        <f aca="false">IF(OR(G256="",AJ256=""),"",AJ256-G256)</f>
        <v/>
      </c>
      <c r="AP256" s="50" t="str">
        <f aca="false">IF(AND(A256="",B256=""),"",IF(J256="","Status needed",IF(OR(J256="Applied",J256="Visit booked",J256="Withdrawn"),"OK",IF(G256="","Date assessed needed",IF(C256="","Date of birth needed",IF(COUNTA(L256,M256,P256,U256,V256,X256)&lt;6,"Band missing",IF(AND(OR(J256="Decision confirmed",J256="Family told",J256="Enrolled"),AG256=""),"Recommendation needed",IF(AND(OR(J256="Family told",J256="Enrolled"),AJ256=""),"Date family told needed","OK"))))))))</f>
        <v/>
      </c>
    </row>
    <row r="257" customFormat="false" ht="15" hidden="false" customHeight="false" outlineLevel="0" collapsed="false">
      <c r="A257" s="7"/>
      <c r="B257" s="7"/>
      <c r="C257" s="46"/>
      <c r="D257" s="7"/>
      <c r="E257" s="47"/>
      <c r="F257" s="46"/>
      <c r="G257" s="46"/>
      <c r="H257" s="7"/>
      <c r="I257" s="7"/>
      <c r="J257" s="47"/>
      <c r="K257" s="47"/>
      <c r="L257" s="47"/>
      <c r="M257" s="47"/>
      <c r="N257" s="47"/>
      <c r="O257" s="10"/>
      <c r="P257" s="47"/>
      <c r="Q257" s="47"/>
      <c r="R257" s="48" t="str">
        <f aca="false">IF(Q257="","",IF(Q257=0,"below 5:00",IF(Q257&gt;=66,"16:00 or above",INT((60+2*Q257)/12)&amp;":"&amp;TEXT(MOD(60+2*Q257,12),"00"))))</f>
        <v/>
      </c>
      <c r="S257" s="47"/>
      <c r="T257" s="47"/>
      <c r="U257" s="47"/>
      <c r="V257" s="47"/>
      <c r="W257" s="47"/>
      <c r="X257" s="47"/>
      <c r="Y257" s="47"/>
      <c r="Z257" s="47"/>
      <c r="AA257" s="10"/>
      <c r="AB257" s="10"/>
      <c r="AC257" s="47"/>
      <c r="AD257" s="47"/>
      <c r="AE257" s="47"/>
      <c r="AF257" s="47"/>
      <c r="AG257" s="47"/>
      <c r="AH257" s="47"/>
      <c r="AI257" s="46"/>
      <c r="AJ257" s="46"/>
      <c r="AK257" s="46"/>
      <c r="AL257" s="7"/>
      <c r="AM257" s="49" t="str">
        <f aca="false">IF(OR(C257="",G257=""),"",IFERROR(DATEDIF(C257,G257,"m"),""))</f>
        <v/>
      </c>
      <c r="AN257" s="49" t="str">
        <f aca="false">IF(OR(Q257="",AM257=""),"",60+2*Q257-AM257)</f>
        <v/>
      </c>
      <c r="AO257" s="49" t="str">
        <f aca="false">IF(OR(G257="",AJ257=""),"",AJ257-G257)</f>
        <v/>
      </c>
      <c r="AP257" s="50" t="str">
        <f aca="false">IF(AND(A257="",B257=""),"",IF(J257="","Status needed",IF(OR(J257="Applied",J257="Visit booked",J257="Withdrawn"),"OK",IF(G257="","Date assessed needed",IF(C257="","Date of birth needed",IF(COUNTA(L257,M257,P257,U257,V257,X257)&lt;6,"Band missing",IF(AND(OR(J257="Decision confirmed",J257="Family told",J257="Enrolled"),AG257=""),"Recommendation needed",IF(AND(OR(J257="Family told",J257="Enrolled"),AJ257=""),"Date family told needed","OK"))))))))</f>
        <v/>
      </c>
    </row>
    <row r="258" customFormat="false" ht="15" hidden="false" customHeight="false" outlineLevel="0" collapsed="false">
      <c r="A258" s="7"/>
      <c r="B258" s="7"/>
      <c r="C258" s="46"/>
      <c r="D258" s="7"/>
      <c r="E258" s="47"/>
      <c r="F258" s="46"/>
      <c r="G258" s="46"/>
      <c r="H258" s="7"/>
      <c r="I258" s="7"/>
      <c r="J258" s="47"/>
      <c r="K258" s="47"/>
      <c r="L258" s="47"/>
      <c r="M258" s="47"/>
      <c r="N258" s="47"/>
      <c r="O258" s="10"/>
      <c r="P258" s="47"/>
      <c r="Q258" s="47"/>
      <c r="R258" s="48" t="str">
        <f aca="false">IF(Q258="","",IF(Q258=0,"below 5:00",IF(Q258&gt;=66,"16:00 or above",INT((60+2*Q258)/12)&amp;":"&amp;TEXT(MOD(60+2*Q258,12),"00"))))</f>
        <v/>
      </c>
      <c r="S258" s="47"/>
      <c r="T258" s="47"/>
      <c r="U258" s="47"/>
      <c r="V258" s="47"/>
      <c r="W258" s="47"/>
      <c r="X258" s="47"/>
      <c r="Y258" s="47"/>
      <c r="Z258" s="47"/>
      <c r="AA258" s="10"/>
      <c r="AB258" s="10"/>
      <c r="AC258" s="47"/>
      <c r="AD258" s="47"/>
      <c r="AE258" s="47"/>
      <c r="AF258" s="47"/>
      <c r="AG258" s="47"/>
      <c r="AH258" s="47"/>
      <c r="AI258" s="46"/>
      <c r="AJ258" s="46"/>
      <c r="AK258" s="46"/>
      <c r="AL258" s="7"/>
      <c r="AM258" s="49" t="str">
        <f aca="false">IF(OR(C258="",G258=""),"",IFERROR(DATEDIF(C258,G258,"m"),""))</f>
        <v/>
      </c>
      <c r="AN258" s="49" t="str">
        <f aca="false">IF(OR(Q258="",AM258=""),"",60+2*Q258-AM258)</f>
        <v/>
      </c>
      <c r="AO258" s="49" t="str">
        <f aca="false">IF(OR(G258="",AJ258=""),"",AJ258-G258)</f>
        <v/>
      </c>
      <c r="AP258" s="50" t="str">
        <f aca="false">IF(AND(A258="",B258=""),"",IF(J258="","Status needed",IF(OR(J258="Applied",J258="Visit booked",J258="Withdrawn"),"OK",IF(G258="","Date assessed needed",IF(C258="","Date of birth needed",IF(COUNTA(L258,M258,P258,U258,V258,X258)&lt;6,"Band missing",IF(AND(OR(J258="Decision confirmed",J258="Family told",J258="Enrolled"),AG258=""),"Recommendation needed",IF(AND(OR(J258="Family told",J258="Enrolled"),AJ258=""),"Date family told needed","OK"))))))))</f>
        <v/>
      </c>
    </row>
    <row r="259" customFormat="false" ht="15" hidden="false" customHeight="false" outlineLevel="0" collapsed="false">
      <c r="A259" s="7"/>
      <c r="B259" s="7"/>
      <c r="C259" s="46"/>
      <c r="D259" s="7"/>
      <c r="E259" s="47"/>
      <c r="F259" s="46"/>
      <c r="G259" s="46"/>
      <c r="H259" s="7"/>
      <c r="I259" s="7"/>
      <c r="J259" s="47"/>
      <c r="K259" s="47"/>
      <c r="L259" s="47"/>
      <c r="M259" s="47"/>
      <c r="N259" s="47"/>
      <c r="O259" s="10"/>
      <c r="P259" s="47"/>
      <c r="Q259" s="47"/>
      <c r="R259" s="48" t="str">
        <f aca="false">IF(Q259="","",IF(Q259=0,"below 5:00",IF(Q259&gt;=66,"16:00 or above",INT((60+2*Q259)/12)&amp;":"&amp;TEXT(MOD(60+2*Q259,12),"00"))))</f>
        <v/>
      </c>
      <c r="S259" s="47"/>
      <c r="T259" s="47"/>
      <c r="U259" s="47"/>
      <c r="V259" s="47"/>
      <c r="W259" s="47"/>
      <c r="X259" s="47"/>
      <c r="Y259" s="47"/>
      <c r="Z259" s="47"/>
      <c r="AA259" s="10"/>
      <c r="AB259" s="10"/>
      <c r="AC259" s="47"/>
      <c r="AD259" s="47"/>
      <c r="AE259" s="47"/>
      <c r="AF259" s="47"/>
      <c r="AG259" s="47"/>
      <c r="AH259" s="47"/>
      <c r="AI259" s="46"/>
      <c r="AJ259" s="46"/>
      <c r="AK259" s="46"/>
      <c r="AL259" s="7"/>
      <c r="AM259" s="49" t="str">
        <f aca="false">IF(OR(C259="",G259=""),"",IFERROR(DATEDIF(C259,G259,"m"),""))</f>
        <v/>
      </c>
      <c r="AN259" s="49" t="str">
        <f aca="false">IF(OR(Q259="",AM259=""),"",60+2*Q259-AM259)</f>
        <v/>
      </c>
      <c r="AO259" s="49" t="str">
        <f aca="false">IF(OR(G259="",AJ259=""),"",AJ259-G259)</f>
        <v/>
      </c>
      <c r="AP259" s="50" t="str">
        <f aca="false">IF(AND(A259="",B259=""),"",IF(J259="","Status needed",IF(OR(J259="Applied",J259="Visit booked",J259="Withdrawn"),"OK",IF(G259="","Date assessed needed",IF(C259="","Date of birth needed",IF(COUNTA(L259,M259,P259,U259,V259,X259)&lt;6,"Band missing",IF(AND(OR(J259="Decision confirmed",J259="Family told",J259="Enrolled"),AG259=""),"Recommendation needed",IF(AND(OR(J259="Family told",J259="Enrolled"),AJ259=""),"Date family told needed","OK"))))))))</f>
        <v/>
      </c>
    </row>
    <row r="260" customFormat="false" ht="15" hidden="false" customHeight="false" outlineLevel="0" collapsed="false">
      <c r="A260" s="7"/>
      <c r="B260" s="7"/>
      <c r="C260" s="46"/>
      <c r="D260" s="7"/>
      <c r="E260" s="47"/>
      <c r="F260" s="46"/>
      <c r="G260" s="46"/>
      <c r="H260" s="7"/>
      <c r="I260" s="7"/>
      <c r="J260" s="47"/>
      <c r="K260" s="47"/>
      <c r="L260" s="47"/>
      <c r="M260" s="47"/>
      <c r="N260" s="47"/>
      <c r="O260" s="10"/>
      <c r="P260" s="47"/>
      <c r="Q260" s="47"/>
      <c r="R260" s="48" t="str">
        <f aca="false">IF(Q260="","",IF(Q260=0,"below 5:00",IF(Q260&gt;=66,"16:00 or above",INT((60+2*Q260)/12)&amp;":"&amp;TEXT(MOD(60+2*Q260,12),"00"))))</f>
        <v/>
      </c>
      <c r="S260" s="47"/>
      <c r="T260" s="47"/>
      <c r="U260" s="47"/>
      <c r="V260" s="47"/>
      <c r="W260" s="47"/>
      <c r="X260" s="47"/>
      <c r="Y260" s="47"/>
      <c r="Z260" s="47"/>
      <c r="AA260" s="10"/>
      <c r="AB260" s="10"/>
      <c r="AC260" s="47"/>
      <c r="AD260" s="47"/>
      <c r="AE260" s="47"/>
      <c r="AF260" s="47"/>
      <c r="AG260" s="47"/>
      <c r="AH260" s="47"/>
      <c r="AI260" s="46"/>
      <c r="AJ260" s="46"/>
      <c r="AK260" s="46"/>
      <c r="AL260" s="7"/>
      <c r="AM260" s="49" t="str">
        <f aca="false">IF(OR(C260="",G260=""),"",IFERROR(DATEDIF(C260,G260,"m"),""))</f>
        <v/>
      </c>
      <c r="AN260" s="49" t="str">
        <f aca="false">IF(OR(Q260="",AM260=""),"",60+2*Q260-AM260)</f>
        <v/>
      </c>
      <c r="AO260" s="49" t="str">
        <f aca="false">IF(OR(G260="",AJ260=""),"",AJ260-G260)</f>
        <v/>
      </c>
      <c r="AP260" s="50" t="str">
        <f aca="false">IF(AND(A260="",B260=""),"",IF(J260="","Status needed",IF(OR(J260="Applied",J260="Visit booked",J260="Withdrawn"),"OK",IF(G260="","Date assessed needed",IF(C260="","Date of birth needed",IF(COUNTA(L260,M260,P260,U260,V260,X260)&lt;6,"Band missing",IF(AND(OR(J260="Decision confirmed",J260="Family told",J260="Enrolled"),AG260=""),"Recommendation needed",IF(AND(OR(J260="Family told",J260="Enrolled"),AJ260=""),"Date family told needed","OK"))))))))</f>
        <v/>
      </c>
    </row>
    <row r="261" customFormat="false" ht="15" hidden="false" customHeight="false" outlineLevel="0" collapsed="false">
      <c r="A261" s="7"/>
      <c r="B261" s="7"/>
      <c r="C261" s="46"/>
      <c r="D261" s="7"/>
      <c r="E261" s="47"/>
      <c r="F261" s="46"/>
      <c r="G261" s="46"/>
      <c r="H261" s="7"/>
      <c r="I261" s="7"/>
      <c r="J261" s="47"/>
      <c r="K261" s="47"/>
      <c r="L261" s="47"/>
      <c r="M261" s="47"/>
      <c r="N261" s="47"/>
      <c r="O261" s="10"/>
      <c r="P261" s="47"/>
      <c r="Q261" s="47"/>
      <c r="R261" s="48" t="str">
        <f aca="false">IF(Q261="","",IF(Q261=0,"below 5:00",IF(Q261&gt;=66,"16:00 or above",INT((60+2*Q261)/12)&amp;":"&amp;TEXT(MOD(60+2*Q261,12),"00"))))</f>
        <v/>
      </c>
      <c r="S261" s="47"/>
      <c r="T261" s="47"/>
      <c r="U261" s="47"/>
      <c r="V261" s="47"/>
      <c r="W261" s="47"/>
      <c r="X261" s="47"/>
      <c r="Y261" s="47"/>
      <c r="Z261" s="47"/>
      <c r="AA261" s="10"/>
      <c r="AB261" s="10"/>
      <c r="AC261" s="47"/>
      <c r="AD261" s="47"/>
      <c r="AE261" s="47"/>
      <c r="AF261" s="47"/>
      <c r="AG261" s="47"/>
      <c r="AH261" s="47"/>
      <c r="AI261" s="46"/>
      <c r="AJ261" s="46"/>
      <c r="AK261" s="46"/>
      <c r="AL261" s="7"/>
      <c r="AM261" s="49" t="str">
        <f aca="false">IF(OR(C261="",G261=""),"",IFERROR(DATEDIF(C261,G261,"m"),""))</f>
        <v/>
      </c>
      <c r="AN261" s="49" t="str">
        <f aca="false">IF(OR(Q261="",AM261=""),"",60+2*Q261-AM261)</f>
        <v/>
      </c>
      <c r="AO261" s="49" t="str">
        <f aca="false">IF(OR(G261="",AJ261=""),"",AJ261-G261)</f>
        <v/>
      </c>
      <c r="AP261" s="50" t="str">
        <f aca="false">IF(AND(A261="",B261=""),"",IF(J261="","Status needed",IF(OR(J261="Applied",J261="Visit booked",J261="Withdrawn"),"OK",IF(G261="","Date assessed needed",IF(C261="","Date of birth needed",IF(COUNTA(L261,M261,P261,U261,V261,X261)&lt;6,"Band missing",IF(AND(OR(J261="Decision confirmed",J261="Family told",J261="Enrolled"),AG261=""),"Recommendation needed",IF(AND(OR(J261="Family told",J261="Enrolled"),AJ261=""),"Date family told needed","OK"))))))))</f>
        <v/>
      </c>
    </row>
    <row r="262" customFormat="false" ht="15" hidden="false" customHeight="false" outlineLevel="0" collapsed="false">
      <c r="A262" s="7"/>
      <c r="B262" s="7"/>
      <c r="C262" s="46"/>
      <c r="D262" s="7"/>
      <c r="E262" s="47"/>
      <c r="F262" s="46"/>
      <c r="G262" s="46"/>
      <c r="H262" s="7"/>
      <c r="I262" s="7"/>
      <c r="J262" s="47"/>
      <c r="K262" s="47"/>
      <c r="L262" s="47"/>
      <c r="M262" s="47"/>
      <c r="N262" s="47"/>
      <c r="O262" s="10"/>
      <c r="P262" s="47"/>
      <c r="Q262" s="47"/>
      <c r="R262" s="48" t="str">
        <f aca="false">IF(Q262="","",IF(Q262=0,"below 5:00",IF(Q262&gt;=66,"16:00 or above",INT((60+2*Q262)/12)&amp;":"&amp;TEXT(MOD(60+2*Q262,12),"00"))))</f>
        <v/>
      </c>
      <c r="S262" s="47"/>
      <c r="T262" s="47"/>
      <c r="U262" s="47"/>
      <c r="V262" s="47"/>
      <c r="W262" s="47"/>
      <c r="X262" s="47"/>
      <c r="Y262" s="47"/>
      <c r="Z262" s="47"/>
      <c r="AA262" s="10"/>
      <c r="AB262" s="10"/>
      <c r="AC262" s="47"/>
      <c r="AD262" s="47"/>
      <c r="AE262" s="47"/>
      <c r="AF262" s="47"/>
      <c r="AG262" s="47"/>
      <c r="AH262" s="47"/>
      <c r="AI262" s="46"/>
      <c r="AJ262" s="46"/>
      <c r="AK262" s="46"/>
      <c r="AL262" s="7"/>
      <c r="AM262" s="49" t="str">
        <f aca="false">IF(OR(C262="",G262=""),"",IFERROR(DATEDIF(C262,G262,"m"),""))</f>
        <v/>
      </c>
      <c r="AN262" s="49" t="str">
        <f aca="false">IF(OR(Q262="",AM262=""),"",60+2*Q262-AM262)</f>
        <v/>
      </c>
      <c r="AO262" s="49" t="str">
        <f aca="false">IF(OR(G262="",AJ262=""),"",AJ262-G262)</f>
        <v/>
      </c>
      <c r="AP262" s="50" t="str">
        <f aca="false">IF(AND(A262="",B262=""),"",IF(J262="","Status needed",IF(OR(J262="Applied",J262="Visit booked",J262="Withdrawn"),"OK",IF(G262="","Date assessed needed",IF(C262="","Date of birth needed",IF(COUNTA(L262,M262,P262,U262,V262,X262)&lt;6,"Band missing",IF(AND(OR(J262="Decision confirmed",J262="Family told",J262="Enrolled"),AG262=""),"Recommendation needed",IF(AND(OR(J262="Family told",J262="Enrolled"),AJ262=""),"Date family told needed","OK"))))))))</f>
        <v/>
      </c>
    </row>
    <row r="263" customFormat="false" ht="15" hidden="false" customHeight="false" outlineLevel="0" collapsed="false">
      <c r="A263" s="7"/>
      <c r="B263" s="7"/>
      <c r="C263" s="46"/>
      <c r="D263" s="7"/>
      <c r="E263" s="47"/>
      <c r="F263" s="46"/>
      <c r="G263" s="46"/>
      <c r="H263" s="7"/>
      <c r="I263" s="7"/>
      <c r="J263" s="47"/>
      <c r="K263" s="47"/>
      <c r="L263" s="47"/>
      <c r="M263" s="47"/>
      <c r="N263" s="47"/>
      <c r="O263" s="10"/>
      <c r="P263" s="47"/>
      <c r="Q263" s="47"/>
      <c r="R263" s="48" t="str">
        <f aca="false">IF(Q263="","",IF(Q263=0,"below 5:00",IF(Q263&gt;=66,"16:00 or above",INT((60+2*Q263)/12)&amp;":"&amp;TEXT(MOD(60+2*Q263,12),"00"))))</f>
        <v/>
      </c>
      <c r="S263" s="47"/>
      <c r="T263" s="47"/>
      <c r="U263" s="47"/>
      <c r="V263" s="47"/>
      <c r="W263" s="47"/>
      <c r="X263" s="47"/>
      <c r="Y263" s="47"/>
      <c r="Z263" s="47"/>
      <c r="AA263" s="10"/>
      <c r="AB263" s="10"/>
      <c r="AC263" s="47"/>
      <c r="AD263" s="47"/>
      <c r="AE263" s="47"/>
      <c r="AF263" s="47"/>
      <c r="AG263" s="47"/>
      <c r="AH263" s="47"/>
      <c r="AI263" s="46"/>
      <c r="AJ263" s="46"/>
      <c r="AK263" s="46"/>
      <c r="AL263" s="7"/>
      <c r="AM263" s="49" t="str">
        <f aca="false">IF(OR(C263="",G263=""),"",IFERROR(DATEDIF(C263,G263,"m"),""))</f>
        <v/>
      </c>
      <c r="AN263" s="49" t="str">
        <f aca="false">IF(OR(Q263="",AM263=""),"",60+2*Q263-AM263)</f>
        <v/>
      </c>
      <c r="AO263" s="49" t="str">
        <f aca="false">IF(OR(G263="",AJ263=""),"",AJ263-G263)</f>
        <v/>
      </c>
      <c r="AP263" s="50" t="str">
        <f aca="false">IF(AND(A263="",B263=""),"",IF(J263="","Status needed",IF(OR(J263="Applied",J263="Visit booked",J263="Withdrawn"),"OK",IF(G263="","Date assessed needed",IF(C263="","Date of birth needed",IF(COUNTA(L263,M263,P263,U263,V263,X263)&lt;6,"Band missing",IF(AND(OR(J263="Decision confirmed",J263="Family told",J263="Enrolled"),AG263=""),"Recommendation needed",IF(AND(OR(J263="Family told",J263="Enrolled"),AJ263=""),"Date family told needed","OK"))))))))</f>
        <v/>
      </c>
    </row>
    <row r="264" customFormat="false" ht="15" hidden="false" customHeight="false" outlineLevel="0" collapsed="false">
      <c r="A264" s="7"/>
      <c r="B264" s="7"/>
      <c r="C264" s="46"/>
      <c r="D264" s="7"/>
      <c r="E264" s="47"/>
      <c r="F264" s="46"/>
      <c r="G264" s="46"/>
      <c r="H264" s="7"/>
      <c r="I264" s="7"/>
      <c r="J264" s="47"/>
      <c r="K264" s="47"/>
      <c r="L264" s="47"/>
      <c r="M264" s="47"/>
      <c r="N264" s="47"/>
      <c r="O264" s="10"/>
      <c r="P264" s="47"/>
      <c r="Q264" s="47"/>
      <c r="R264" s="48" t="str">
        <f aca="false">IF(Q264="","",IF(Q264=0,"below 5:00",IF(Q264&gt;=66,"16:00 or above",INT((60+2*Q264)/12)&amp;":"&amp;TEXT(MOD(60+2*Q264,12),"00"))))</f>
        <v/>
      </c>
      <c r="S264" s="47"/>
      <c r="T264" s="47"/>
      <c r="U264" s="47"/>
      <c r="V264" s="47"/>
      <c r="W264" s="47"/>
      <c r="X264" s="47"/>
      <c r="Y264" s="47"/>
      <c r="Z264" s="47"/>
      <c r="AA264" s="10"/>
      <c r="AB264" s="10"/>
      <c r="AC264" s="47"/>
      <c r="AD264" s="47"/>
      <c r="AE264" s="47"/>
      <c r="AF264" s="47"/>
      <c r="AG264" s="47"/>
      <c r="AH264" s="47"/>
      <c r="AI264" s="46"/>
      <c r="AJ264" s="46"/>
      <c r="AK264" s="46"/>
      <c r="AL264" s="7"/>
      <c r="AM264" s="49" t="str">
        <f aca="false">IF(OR(C264="",G264=""),"",IFERROR(DATEDIF(C264,G264,"m"),""))</f>
        <v/>
      </c>
      <c r="AN264" s="49" t="str">
        <f aca="false">IF(OR(Q264="",AM264=""),"",60+2*Q264-AM264)</f>
        <v/>
      </c>
      <c r="AO264" s="49" t="str">
        <f aca="false">IF(OR(G264="",AJ264=""),"",AJ264-G264)</f>
        <v/>
      </c>
      <c r="AP264" s="50" t="str">
        <f aca="false">IF(AND(A264="",B264=""),"",IF(J264="","Status needed",IF(OR(J264="Applied",J264="Visit booked",J264="Withdrawn"),"OK",IF(G264="","Date assessed needed",IF(C264="","Date of birth needed",IF(COUNTA(L264,M264,P264,U264,V264,X264)&lt;6,"Band missing",IF(AND(OR(J264="Decision confirmed",J264="Family told",J264="Enrolled"),AG264=""),"Recommendation needed",IF(AND(OR(J264="Family told",J264="Enrolled"),AJ264=""),"Date family told needed","OK"))))))))</f>
        <v/>
      </c>
    </row>
    <row r="265" customFormat="false" ht="15" hidden="false" customHeight="false" outlineLevel="0" collapsed="false">
      <c r="A265" s="7"/>
      <c r="B265" s="7"/>
      <c r="C265" s="46"/>
      <c r="D265" s="7"/>
      <c r="E265" s="47"/>
      <c r="F265" s="46"/>
      <c r="G265" s="46"/>
      <c r="H265" s="7"/>
      <c r="I265" s="7"/>
      <c r="J265" s="47"/>
      <c r="K265" s="47"/>
      <c r="L265" s="47"/>
      <c r="M265" s="47"/>
      <c r="N265" s="47"/>
      <c r="O265" s="10"/>
      <c r="P265" s="47"/>
      <c r="Q265" s="47"/>
      <c r="R265" s="48" t="str">
        <f aca="false">IF(Q265="","",IF(Q265=0,"below 5:00",IF(Q265&gt;=66,"16:00 or above",INT((60+2*Q265)/12)&amp;":"&amp;TEXT(MOD(60+2*Q265,12),"00"))))</f>
        <v/>
      </c>
      <c r="S265" s="47"/>
      <c r="T265" s="47"/>
      <c r="U265" s="47"/>
      <c r="V265" s="47"/>
      <c r="W265" s="47"/>
      <c r="X265" s="47"/>
      <c r="Y265" s="47"/>
      <c r="Z265" s="47"/>
      <c r="AA265" s="10"/>
      <c r="AB265" s="10"/>
      <c r="AC265" s="47"/>
      <c r="AD265" s="47"/>
      <c r="AE265" s="47"/>
      <c r="AF265" s="47"/>
      <c r="AG265" s="47"/>
      <c r="AH265" s="47"/>
      <c r="AI265" s="46"/>
      <c r="AJ265" s="46"/>
      <c r="AK265" s="46"/>
      <c r="AL265" s="7"/>
      <c r="AM265" s="49" t="str">
        <f aca="false">IF(OR(C265="",G265=""),"",IFERROR(DATEDIF(C265,G265,"m"),""))</f>
        <v/>
      </c>
      <c r="AN265" s="49" t="str">
        <f aca="false">IF(OR(Q265="",AM265=""),"",60+2*Q265-AM265)</f>
        <v/>
      </c>
      <c r="AO265" s="49" t="str">
        <f aca="false">IF(OR(G265="",AJ265=""),"",AJ265-G265)</f>
        <v/>
      </c>
      <c r="AP265" s="50" t="str">
        <f aca="false">IF(AND(A265="",B265=""),"",IF(J265="","Status needed",IF(OR(J265="Applied",J265="Visit booked",J265="Withdrawn"),"OK",IF(G265="","Date assessed needed",IF(C265="","Date of birth needed",IF(COUNTA(L265,M265,P265,U265,V265,X265)&lt;6,"Band missing",IF(AND(OR(J265="Decision confirmed",J265="Family told",J265="Enrolled"),AG265=""),"Recommendation needed",IF(AND(OR(J265="Family told",J265="Enrolled"),AJ265=""),"Date family told needed","OK"))))))))</f>
        <v/>
      </c>
    </row>
    <row r="266" customFormat="false" ht="15" hidden="false" customHeight="false" outlineLevel="0" collapsed="false">
      <c r="A266" s="7"/>
      <c r="B266" s="7"/>
      <c r="C266" s="46"/>
      <c r="D266" s="7"/>
      <c r="E266" s="47"/>
      <c r="F266" s="46"/>
      <c r="G266" s="46"/>
      <c r="H266" s="7"/>
      <c r="I266" s="7"/>
      <c r="J266" s="47"/>
      <c r="K266" s="47"/>
      <c r="L266" s="47"/>
      <c r="M266" s="47"/>
      <c r="N266" s="47"/>
      <c r="O266" s="10"/>
      <c r="P266" s="47"/>
      <c r="Q266" s="47"/>
      <c r="R266" s="48" t="str">
        <f aca="false">IF(Q266="","",IF(Q266=0,"below 5:00",IF(Q266&gt;=66,"16:00 or above",INT((60+2*Q266)/12)&amp;":"&amp;TEXT(MOD(60+2*Q266,12),"00"))))</f>
        <v/>
      </c>
      <c r="S266" s="47"/>
      <c r="T266" s="47"/>
      <c r="U266" s="47"/>
      <c r="V266" s="47"/>
      <c r="W266" s="47"/>
      <c r="X266" s="47"/>
      <c r="Y266" s="47"/>
      <c r="Z266" s="47"/>
      <c r="AA266" s="10"/>
      <c r="AB266" s="10"/>
      <c r="AC266" s="47"/>
      <c r="AD266" s="47"/>
      <c r="AE266" s="47"/>
      <c r="AF266" s="47"/>
      <c r="AG266" s="47"/>
      <c r="AH266" s="47"/>
      <c r="AI266" s="46"/>
      <c r="AJ266" s="46"/>
      <c r="AK266" s="46"/>
      <c r="AL266" s="7"/>
      <c r="AM266" s="49" t="str">
        <f aca="false">IF(OR(C266="",G266=""),"",IFERROR(DATEDIF(C266,G266,"m"),""))</f>
        <v/>
      </c>
      <c r="AN266" s="49" t="str">
        <f aca="false">IF(OR(Q266="",AM266=""),"",60+2*Q266-AM266)</f>
        <v/>
      </c>
      <c r="AO266" s="49" t="str">
        <f aca="false">IF(OR(G266="",AJ266=""),"",AJ266-G266)</f>
        <v/>
      </c>
      <c r="AP266" s="50" t="str">
        <f aca="false">IF(AND(A266="",B266=""),"",IF(J266="","Status needed",IF(OR(J266="Applied",J266="Visit booked",J266="Withdrawn"),"OK",IF(G266="","Date assessed needed",IF(C266="","Date of birth needed",IF(COUNTA(L266,M266,P266,U266,V266,X266)&lt;6,"Band missing",IF(AND(OR(J266="Decision confirmed",J266="Family told",J266="Enrolled"),AG266=""),"Recommendation needed",IF(AND(OR(J266="Family told",J266="Enrolled"),AJ266=""),"Date family told needed","OK"))))))))</f>
        <v/>
      </c>
    </row>
    <row r="267" customFormat="false" ht="15" hidden="false" customHeight="false" outlineLevel="0" collapsed="false">
      <c r="A267" s="7"/>
      <c r="B267" s="7"/>
      <c r="C267" s="46"/>
      <c r="D267" s="7"/>
      <c r="E267" s="47"/>
      <c r="F267" s="46"/>
      <c r="G267" s="46"/>
      <c r="H267" s="7"/>
      <c r="I267" s="7"/>
      <c r="J267" s="47"/>
      <c r="K267" s="47"/>
      <c r="L267" s="47"/>
      <c r="M267" s="47"/>
      <c r="N267" s="47"/>
      <c r="O267" s="10"/>
      <c r="P267" s="47"/>
      <c r="Q267" s="47"/>
      <c r="R267" s="48" t="str">
        <f aca="false">IF(Q267="","",IF(Q267=0,"below 5:00",IF(Q267&gt;=66,"16:00 or above",INT((60+2*Q267)/12)&amp;":"&amp;TEXT(MOD(60+2*Q267,12),"00"))))</f>
        <v/>
      </c>
      <c r="S267" s="47"/>
      <c r="T267" s="47"/>
      <c r="U267" s="47"/>
      <c r="V267" s="47"/>
      <c r="W267" s="47"/>
      <c r="X267" s="47"/>
      <c r="Y267" s="47"/>
      <c r="Z267" s="47"/>
      <c r="AA267" s="10"/>
      <c r="AB267" s="10"/>
      <c r="AC267" s="47"/>
      <c r="AD267" s="47"/>
      <c r="AE267" s="47"/>
      <c r="AF267" s="47"/>
      <c r="AG267" s="47"/>
      <c r="AH267" s="47"/>
      <c r="AI267" s="46"/>
      <c r="AJ267" s="46"/>
      <c r="AK267" s="46"/>
      <c r="AL267" s="7"/>
      <c r="AM267" s="49" t="str">
        <f aca="false">IF(OR(C267="",G267=""),"",IFERROR(DATEDIF(C267,G267,"m"),""))</f>
        <v/>
      </c>
      <c r="AN267" s="49" t="str">
        <f aca="false">IF(OR(Q267="",AM267=""),"",60+2*Q267-AM267)</f>
        <v/>
      </c>
      <c r="AO267" s="49" t="str">
        <f aca="false">IF(OR(G267="",AJ267=""),"",AJ267-G267)</f>
        <v/>
      </c>
      <c r="AP267" s="50" t="str">
        <f aca="false">IF(AND(A267="",B267=""),"",IF(J267="","Status needed",IF(OR(J267="Applied",J267="Visit booked",J267="Withdrawn"),"OK",IF(G267="","Date assessed needed",IF(C267="","Date of birth needed",IF(COUNTA(L267,M267,P267,U267,V267,X267)&lt;6,"Band missing",IF(AND(OR(J267="Decision confirmed",J267="Family told",J267="Enrolled"),AG267=""),"Recommendation needed",IF(AND(OR(J267="Family told",J267="Enrolled"),AJ267=""),"Date family told needed","OK"))))))))</f>
        <v/>
      </c>
    </row>
    <row r="268" customFormat="false" ht="15" hidden="false" customHeight="false" outlineLevel="0" collapsed="false">
      <c r="A268" s="7"/>
      <c r="B268" s="7"/>
      <c r="C268" s="46"/>
      <c r="D268" s="7"/>
      <c r="E268" s="47"/>
      <c r="F268" s="46"/>
      <c r="G268" s="46"/>
      <c r="H268" s="7"/>
      <c r="I268" s="7"/>
      <c r="J268" s="47"/>
      <c r="K268" s="47"/>
      <c r="L268" s="47"/>
      <c r="M268" s="47"/>
      <c r="N268" s="47"/>
      <c r="O268" s="10"/>
      <c r="P268" s="47"/>
      <c r="Q268" s="47"/>
      <c r="R268" s="48" t="str">
        <f aca="false">IF(Q268="","",IF(Q268=0,"below 5:00",IF(Q268&gt;=66,"16:00 or above",INT((60+2*Q268)/12)&amp;":"&amp;TEXT(MOD(60+2*Q268,12),"00"))))</f>
        <v/>
      </c>
      <c r="S268" s="47"/>
      <c r="T268" s="47"/>
      <c r="U268" s="47"/>
      <c r="V268" s="47"/>
      <c r="W268" s="47"/>
      <c r="X268" s="47"/>
      <c r="Y268" s="47"/>
      <c r="Z268" s="47"/>
      <c r="AA268" s="10"/>
      <c r="AB268" s="10"/>
      <c r="AC268" s="47"/>
      <c r="AD268" s="47"/>
      <c r="AE268" s="47"/>
      <c r="AF268" s="47"/>
      <c r="AG268" s="47"/>
      <c r="AH268" s="47"/>
      <c r="AI268" s="46"/>
      <c r="AJ268" s="46"/>
      <c r="AK268" s="46"/>
      <c r="AL268" s="7"/>
      <c r="AM268" s="49" t="str">
        <f aca="false">IF(OR(C268="",G268=""),"",IFERROR(DATEDIF(C268,G268,"m"),""))</f>
        <v/>
      </c>
      <c r="AN268" s="49" t="str">
        <f aca="false">IF(OR(Q268="",AM268=""),"",60+2*Q268-AM268)</f>
        <v/>
      </c>
      <c r="AO268" s="49" t="str">
        <f aca="false">IF(OR(G268="",AJ268=""),"",AJ268-G268)</f>
        <v/>
      </c>
      <c r="AP268" s="50" t="str">
        <f aca="false">IF(AND(A268="",B268=""),"",IF(J268="","Status needed",IF(OR(J268="Applied",J268="Visit booked",J268="Withdrawn"),"OK",IF(G268="","Date assessed needed",IF(C268="","Date of birth needed",IF(COUNTA(L268,M268,P268,U268,V268,X268)&lt;6,"Band missing",IF(AND(OR(J268="Decision confirmed",J268="Family told",J268="Enrolled"),AG268=""),"Recommendation needed",IF(AND(OR(J268="Family told",J268="Enrolled"),AJ268=""),"Date family told needed","OK"))))))))</f>
        <v/>
      </c>
    </row>
    <row r="269" customFormat="false" ht="15" hidden="false" customHeight="false" outlineLevel="0" collapsed="false">
      <c r="A269" s="7"/>
      <c r="B269" s="7"/>
      <c r="C269" s="46"/>
      <c r="D269" s="7"/>
      <c r="E269" s="47"/>
      <c r="F269" s="46"/>
      <c r="G269" s="46"/>
      <c r="H269" s="7"/>
      <c r="I269" s="7"/>
      <c r="J269" s="47"/>
      <c r="K269" s="47"/>
      <c r="L269" s="47"/>
      <c r="M269" s="47"/>
      <c r="N269" s="47"/>
      <c r="O269" s="10"/>
      <c r="P269" s="47"/>
      <c r="Q269" s="47"/>
      <c r="R269" s="48" t="str">
        <f aca="false">IF(Q269="","",IF(Q269=0,"below 5:00",IF(Q269&gt;=66,"16:00 or above",INT((60+2*Q269)/12)&amp;":"&amp;TEXT(MOD(60+2*Q269,12),"00"))))</f>
        <v/>
      </c>
      <c r="S269" s="47"/>
      <c r="T269" s="47"/>
      <c r="U269" s="47"/>
      <c r="V269" s="47"/>
      <c r="W269" s="47"/>
      <c r="X269" s="47"/>
      <c r="Y269" s="47"/>
      <c r="Z269" s="47"/>
      <c r="AA269" s="10"/>
      <c r="AB269" s="10"/>
      <c r="AC269" s="47"/>
      <c r="AD269" s="47"/>
      <c r="AE269" s="47"/>
      <c r="AF269" s="47"/>
      <c r="AG269" s="47"/>
      <c r="AH269" s="47"/>
      <c r="AI269" s="46"/>
      <c r="AJ269" s="46"/>
      <c r="AK269" s="46"/>
      <c r="AL269" s="7"/>
      <c r="AM269" s="49" t="str">
        <f aca="false">IF(OR(C269="",G269=""),"",IFERROR(DATEDIF(C269,G269,"m"),""))</f>
        <v/>
      </c>
      <c r="AN269" s="49" t="str">
        <f aca="false">IF(OR(Q269="",AM269=""),"",60+2*Q269-AM269)</f>
        <v/>
      </c>
      <c r="AO269" s="49" t="str">
        <f aca="false">IF(OR(G269="",AJ269=""),"",AJ269-G269)</f>
        <v/>
      </c>
      <c r="AP269" s="50" t="str">
        <f aca="false">IF(AND(A269="",B269=""),"",IF(J269="","Status needed",IF(OR(J269="Applied",J269="Visit booked",J269="Withdrawn"),"OK",IF(G269="","Date assessed needed",IF(C269="","Date of birth needed",IF(COUNTA(L269,M269,P269,U269,V269,X269)&lt;6,"Band missing",IF(AND(OR(J269="Decision confirmed",J269="Family told",J269="Enrolled"),AG269=""),"Recommendation needed",IF(AND(OR(J269="Family told",J269="Enrolled"),AJ269=""),"Date family told needed","OK"))))))))</f>
        <v/>
      </c>
    </row>
    <row r="270" customFormat="false" ht="15" hidden="false" customHeight="false" outlineLevel="0" collapsed="false">
      <c r="A270" s="7"/>
      <c r="B270" s="7"/>
      <c r="C270" s="46"/>
      <c r="D270" s="7"/>
      <c r="E270" s="47"/>
      <c r="F270" s="46"/>
      <c r="G270" s="46"/>
      <c r="H270" s="7"/>
      <c r="I270" s="7"/>
      <c r="J270" s="47"/>
      <c r="K270" s="47"/>
      <c r="L270" s="47"/>
      <c r="M270" s="47"/>
      <c r="N270" s="47"/>
      <c r="O270" s="10"/>
      <c r="P270" s="47"/>
      <c r="Q270" s="47"/>
      <c r="R270" s="48" t="str">
        <f aca="false">IF(Q270="","",IF(Q270=0,"below 5:00",IF(Q270&gt;=66,"16:00 or above",INT((60+2*Q270)/12)&amp;":"&amp;TEXT(MOD(60+2*Q270,12),"00"))))</f>
        <v/>
      </c>
      <c r="S270" s="47"/>
      <c r="T270" s="47"/>
      <c r="U270" s="47"/>
      <c r="V270" s="47"/>
      <c r="W270" s="47"/>
      <c r="X270" s="47"/>
      <c r="Y270" s="47"/>
      <c r="Z270" s="47"/>
      <c r="AA270" s="10"/>
      <c r="AB270" s="10"/>
      <c r="AC270" s="47"/>
      <c r="AD270" s="47"/>
      <c r="AE270" s="47"/>
      <c r="AF270" s="47"/>
      <c r="AG270" s="47"/>
      <c r="AH270" s="47"/>
      <c r="AI270" s="46"/>
      <c r="AJ270" s="46"/>
      <c r="AK270" s="46"/>
      <c r="AL270" s="7"/>
      <c r="AM270" s="49" t="str">
        <f aca="false">IF(OR(C270="",G270=""),"",IFERROR(DATEDIF(C270,G270,"m"),""))</f>
        <v/>
      </c>
      <c r="AN270" s="49" t="str">
        <f aca="false">IF(OR(Q270="",AM270=""),"",60+2*Q270-AM270)</f>
        <v/>
      </c>
      <c r="AO270" s="49" t="str">
        <f aca="false">IF(OR(G270="",AJ270=""),"",AJ270-G270)</f>
        <v/>
      </c>
      <c r="AP270" s="50" t="str">
        <f aca="false">IF(AND(A270="",B270=""),"",IF(J270="","Status needed",IF(OR(J270="Applied",J270="Visit booked",J270="Withdrawn"),"OK",IF(G270="","Date assessed needed",IF(C270="","Date of birth needed",IF(COUNTA(L270,M270,P270,U270,V270,X270)&lt;6,"Band missing",IF(AND(OR(J270="Decision confirmed",J270="Family told",J270="Enrolled"),AG270=""),"Recommendation needed",IF(AND(OR(J270="Family told",J270="Enrolled"),AJ270=""),"Date family told needed","OK"))))))))</f>
        <v/>
      </c>
    </row>
    <row r="271" customFormat="false" ht="15" hidden="false" customHeight="false" outlineLevel="0" collapsed="false">
      <c r="A271" s="7"/>
      <c r="B271" s="7"/>
      <c r="C271" s="46"/>
      <c r="D271" s="7"/>
      <c r="E271" s="47"/>
      <c r="F271" s="46"/>
      <c r="G271" s="46"/>
      <c r="H271" s="7"/>
      <c r="I271" s="7"/>
      <c r="J271" s="47"/>
      <c r="K271" s="47"/>
      <c r="L271" s="47"/>
      <c r="M271" s="47"/>
      <c r="N271" s="47"/>
      <c r="O271" s="10"/>
      <c r="P271" s="47"/>
      <c r="Q271" s="47"/>
      <c r="R271" s="48" t="str">
        <f aca="false">IF(Q271="","",IF(Q271=0,"below 5:00",IF(Q271&gt;=66,"16:00 or above",INT((60+2*Q271)/12)&amp;":"&amp;TEXT(MOD(60+2*Q271,12),"00"))))</f>
        <v/>
      </c>
      <c r="S271" s="47"/>
      <c r="T271" s="47"/>
      <c r="U271" s="47"/>
      <c r="V271" s="47"/>
      <c r="W271" s="47"/>
      <c r="X271" s="47"/>
      <c r="Y271" s="47"/>
      <c r="Z271" s="47"/>
      <c r="AA271" s="10"/>
      <c r="AB271" s="10"/>
      <c r="AC271" s="47"/>
      <c r="AD271" s="47"/>
      <c r="AE271" s="47"/>
      <c r="AF271" s="47"/>
      <c r="AG271" s="47"/>
      <c r="AH271" s="47"/>
      <c r="AI271" s="46"/>
      <c r="AJ271" s="46"/>
      <c r="AK271" s="46"/>
      <c r="AL271" s="7"/>
      <c r="AM271" s="49" t="str">
        <f aca="false">IF(OR(C271="",G271=""),"",IFERROR(DATEDIF(C271,G271,"m"),""))</f>
        <v/>
      </c>
      <c r="AN271" s="49" t="str">
        <f aca="false">IF(OR(Q271="",AM271=""),"",60+2*Q271-AM271)</f>
        <v/>
      </c>
      <c r="AO271" s="49" t="str">
        <f aca="false">IF(OR(G271="",AJ271=""),"",AJ271-G271)</f>
        <v/>
      </c>
      <c r="AP271" s="50" t="str">
        <f aca="false">IF(AND(A271="",B271=""),"",IF(J271="","Status needed",IF(OR(J271="Applied",J271="Visit booked",J271="Withdrawn"),"OK",IF(G271="","Date assessed needed",IF(C271="","Date of birth needed",IF(COUNTA(L271,M271,P271,U271,V271,X271)&lt;6,"Band missing",IF(AND(OR(J271="Decision confirmed",J271="Family told",J271="Enrolled"),AG271=""),"Recommendation needed",IF(AND(OR(J271="Family told",J271="Enrolled"),AJ271=""),"Date family told needed","OK"))))))))</f>
        <v/>
      </c>
    </row>
    <row r="272" customFormat="false" ht="15" hidden="false" customHeight="false" outlineLevel="0" collapsed="false">
      <c r="A272" s="7"/>
      <c r="B272" s="7"/>
      <c r="C272" s="46"/>
      <c r="D272" s="7"/>
      <c r="E272" s="47"/>
      <c r="F272" s="46"/>
      <c r="G272" s="46"/>
      <c r="H272" s="7"/>
      <c r="I272" s="7"/>
      <c r="J272" s="47"/>
      <c r="K272" s="47"/>
      <c r="L272" s="47"/>
      <c r="M272" s="47"/>
      <c r="N272" s="47"/>
      <c r="O272" s="10"/>
      <c r="P272" s="47"/>
      <c r="Q272" s="47"/>
      <c r="R272" s="48" t="str">
        <f aca="false">IF(Q272="","",IF(Q272=0,"below 5:00",IF(Q272&gt;=66,"16:00 or above",INT((60+2*Q272)/12)&amp;":"&amp;TEXT(MOD(60+2*Q272,12),"00"))))</f>
        <v/>
      </c>
      <c r="S272" s="47"/>
      <c r="T272" s="47"/>
      <c r="U272" s="47"/>
      <c r="V272" s="47"/>
      <c r="W272" s="47"/>
      <c r="X272" s="47"/>
      <c r="Y272" s="47"/>
      <c r="Z272" s="47"/>
      <c r="AA272" s="10"/>
      <c r="AB272" s="10"/>
      <c r="AC272" s="47"/>
      <c r="AD272" s="47"/>
      <c r="AE272" s="47"/>
      <c r="AF272" s="47"/>
      <c r="AG272" s="47"/>
      <c r="AH272" s="47"/>
      <c r="AI272" s="46"/>
      <c r="AJ272" s="46"/>
      <c r="AK272" s="46"/>
      <c r="AL272" s="7"/>
      <c r="AM272" s="49" t="str">
        <f aca="false">IF(OR(C272="",G272=""),"",IFERROR(DATEDIF(C272,G272,"m"),""))</f>
        <v/>
      </c>
      <c r="AN272" s="49" t="str">
        <f aca="false">IF(OR(Q272="",AM272=""),"",60+2*Q272-AM272)</f>
        <v/>
      </c>
      <c r="AO272" s="49" t="str">
        <f aca="false">IF(OR(G272="",AJ272=""),"",AJ272-G272)</f>
        <v/>
      </c>
      <c r="AP272" s="50" t="str">
        <f aca="false">IF(AND(A272="",B272=""),"",IF(J272="","Status needed",IF(OR(J272="Applied",J272="Visit booked",J272="Withdrawn"),"OK",IF(G272="","Date assessed needed",IF(C272="","Date of birth needed",IF(COUNTA(L272,M272,P272,U272,V272,X272)&lt;6,"Band missing",IF(AND(OR(J272="Decision confirmed",J272="Family told",J272="Enrolled"),AG272=""),"Recommendation needed",IF(AND(OR(J272="Family told",J272="Enrolled"),AJ272=""),"Date family told needed","OK"))))))))</f>
        <v/>
      </c>
    </row>
    <row r="273" customFormat="false" ht="15" hidden="false" customHeight="false" outlineLevel="0" collapsed="false">
      <c r="A273" s="7"/>
      <c r="B273" s="7"/>
      <c r="C273" s="46"/>
      <c r="D273" s="7"/>
      <c r="E273" s="47"/>
      <c r="F273" s="46"/>
      <c r="G273" s="46"/>
      <c r="H273" s="7"/>
      <c r="I273" s="7"/>
      <c r="J273" s="47"/>
      <c r="K273" s="47"/>
      <c r="L273" s="47"/>
      <c r="M273" s="47"/>
      <c r="N273" s="47"/>
      <c r="O273" s="10"/>
      <c r="P273" s="47"/>
      <c r="Q273" s="47"/>
      <c r="R273" s="48" t="str">
        <f aca="false">IF(Q273="","",IF(Q273=0,"below 5:00",IF(Q273&gt;=66,"16:00 or above",INT((60+2*Q273)/12)&amp;":"&amp;TEXT(MOD(60+2*Q273,12),"00"))))</f>
        <v/>
      </c>
      <c r="S273" s="47"/>
      <c r="T273" s="47"/>
      <c r="U273" s="47"/>
      <c r="V273" s="47"/>
      <c r="W273" s="47"/>
      <c r="X273" s="47"/>
      <c r="Y273" s="47"/>
      <c r="Z273" s="47"/>
      <c r="AA273" s="10"/>
      <c r="AB273" s="10"/>
      <c r="AC273" s="47"/>
      <c r="AD273" s="47"/>
      <c r="AE273" s="47"/>
      <c r="AF273" s="47"/>
      <c r="AG273" s="47"/>
      <c r="AH273" s="47"/>
      <c r="AI273" s="46"/>
      <c r="AJ273" s="46"/>
      <c r="AK273" s="46"/>
      <c r="AL273" s="7"/>
      <c r="AM273" s="49" t="str">
        <f aca="false">IF(OR(C273="",G273=""),"",IFERROR(DATEDIF(C273,G273,"m"),""))</f>
        <v/>
      </c>
      <c r="AN273" s="49" t="str">
        <f aca="false">IF(OR(Q273="",AM273=""),"",60+2*Q273-AM273)</f>
        <v/>
      </c>
      <c r="AO273" s="49" t="str">
        <f aca="false">IF(OR(G273="",AJ273=""),"",AJ273-G273)</f>
        <v/>
      </c>
      <c r="AP273" s="50" t="str">
        <f aca="false">IF(AND(A273="",B273=""),"",IF(J273="","Status needed",IF(OR(J273="Applied",J273="Visit booked",J273="Withdrawn"),"OK",IF(G273="","Date assessed needed",IF(C273="","Date of birth needed",IF(COUNTA(L273,M273,P273,U273,V273,X273)&lt;6,"Band missing",IF(AND(OR(J273="Decision confirmed",J273="Family told",J273="Enrolled"),AG273=""),"Recommendation needed",IF(AND(OR(J273="Family told",J273="Enrolled"),AJ273=""),"Date family told needed","OK"))))))))</f>
        <v/>
      </c>
    </row>
    <row r="274" customFormat="false" ht="15" hidden="false" customHeight="false" outlineLevel="0" collapsed="false">
      <c r="A274" s="7"/>
      <c r="B274" s="7"/>
      <c r="C274" s="46"/>
      <c r="D274" s="7"/>
      <c r="E274" s="47"/>
      <c r="F274" s="46"/>
      <c r="G274" s="46"/>
      <c r="H274" s="7"/>
      <c r="I274" s="7"/>
      <c r="J274" s="47"/>
      <c r="K274" s="47"/>
      <c r="L274" s="47"/>
      <c r="M274" s="47"/>
      <c r="N274" s="47"/>
      <c r="O274" s="10"/>
      <c r="P274" s="47"/>
      <c r="Q274" s="47"/>
      <c r="R274" s="48" t="str">
        <f aca="false">IF(Q274="","",IF(Q274=0,"below 5:00",IF(Q274&gt;=66,"16:00 or above",INT((60+2*Q274)/12)&amp;":"&amp;TEXT(MOD(60+2*Q274,12),"00"))))</f>
        <v/>
      </c>
      <c r="S274" s="47"/>
      <c r="T274" s="47"/>
      <c r="U274" s="47"/>
      <c r="V274" s="47"/>
      <c r="W274" s="47"/>
      <c r="X274" s="47"/>
      <c r="Y274" s="47"/>
      <c r="Z274" s="47"/>
      <c r="AA274" s="10"/>
      <c r="AB274" s="10"/>
      <c r="AC274" s="47"/>
      <c r="AD274" s="47"/>
      <c r="AE274" s="47"/>
      <c r="AF274" s="47"/>
      <c r="AG274" s="47"/>
      <c r="AH274" s="47"/>
      <c r="AI274" s="46"/>
      <c r="AJ274" s="46"/>
      <c r="AK274" s="46"/>
      <c r="AL274" s="7"/>
      <c r="AM274" s="49" t="str">
        <f aca="false">IF(OR(C274="",G274=""),"",IFERROR(DATEDIF(C274,G274,"m"),""))</f>
        <v/>
      </c>
      <c r="AN274" s="49" t="str">
        <f aca="false">IF(OR(Q274="",AM274=""),"",60+2*Q274-AM274)</f>
        <v/>
      </c>
      <c r="AO274" s="49" t="str">
        <f aca="false">IF(OR(G274="",AJ274=""),"",AJ274-G274)</f>
        <v/>
      </c>
      <c r="AP274" s="50" t="str">
        <f aca="false">IF(AND(A274="",B274=""),"",IF(J274="","Status needed",IF(OR(J274="Applied",J274="Visit booked",J274="Withdrawn"),"OK",IF(G274="","Date assessed needed",IF(C274="","Date of birth needed",IF(COUNTA(L274,M274,P274,U274,V274,X274)&lt;6,"Band missing",IF(AND(OR(J274="Decision confirmed",J274="Family told",J274="Enrolled"),AG274=""),"Recommendation needed",IF(AND(OR(J274="Family told",J274="Enrolled"),AJ274=""),"Date family told needed","OK"))))))))</f>
        <v/>
      </c>
    </row>
    <row r="275" customFormat="false" ht="15" hidden="false" customHeight="false" outlineLevel="0" collapsed="false">
      <c r="A275" s="7"/>
      <c r="B275" s="7"/>
      <c r="C275" s="46"/>
      <c r="D275" s="7"/>
      <c r="E275" s="47"/>
      <c r="F275" s="46"/>
      <c r="G275" s="46"/>
      <c r="H275" s="7"/>
      <c r="I275" s="7"/>
      <c r="J275" s="47"/>
      <c r="K275" s="47"/>
      <c r="L275" s="47"/>
      <c r="M275" s="47"/>
      <c r="N275" s="47"/>
      <c r="O275" s="10"/>
      <c r="P275" s="47"/>
      <c r="Q275" s="47"/>
      <c r="R275" s="48" t="str">
        <f aca="false">IF(Q275="","",IF(Q275=0,"below 5:00",IF(Q275&gt;=66,"16:00 or above",INT((60+2*Q275)/12)&amp;":"&amp;TEXT(MOD(60+2*Q275,12),"00"))))</f>
        <v/>
      </c>
      <c r="S275" s="47"/>
      <c r="T275" s="47"/>
      <c r="U275" s="47"/>
      <c r="V275" s="47"/>
      <c r="W275" s="47"/>
      <c r="X275" s="47"/>
      <c r="Y275" s="47"/>
      <c r="Z275" s="47"/>
      <c r="AA275" s="10"/>
      <c r="AB275" s="10"/>
      <c r="AC275" s="47"/>
      <c r="AD275" s="47"/>
      <c r="AE275" s="47"/>
      <c r="AF275" s="47"/>
      <c r="AG275" s="47"/>
      <c r="AH275" s="47"/>
      <c r="AI275" s="46"/>
      <c r="AJ275" s="46"/>
      <c r="AK275" s="46"/>
      <c r="AL275" s="7"/>
      <c r="AM275" s="49" t="str">
        <f aca="false">IF(OR(C275="",G275=""),"",IFERROR(DATEDIF(C275,G275,"m"),""))</f>
        <v/>
      </c>
      <c r="AN275" s="49" t="str">
        <f aca="false">IF(OR(Q275="",AM275=""),"",60+2*Q275-AM275)</f>
        <v/>
      </c>
      <c r="AO275" s="49" t="str">
        <f aca="false">IF(OR(G275="",AJ275=""),"",AJ275-G275)</f>
        <v/>
      </c>
      <c r="AP275" s="50" t="str">
        <f aca="false">IF(AND(A275="",B275=""),"",IF(J275="","Status needed",IF(OR(J275="Applied",J275="Visit booked",J275="Withdrawn"),"OK",IF(G275="","Date assessed needed",IF(C275="","Date of birth needed",IF(COUNTA(L275,M275,P275,U275,V275,X275)&lt;6,"Band missing",IF(AND(OR(J275="Decision confirmed",J275="Family told",J275="Enrolled"),AG275=""),"Recommendation needed",IF(AND(OR(J275="Family told",J275="Enrolled"),AJ275=""),"Date family told needed","OK"))))))))</f>
        <v/>
      </c>
    </row>
    <row r="276" customFormat="false" ht="15" hidden="false" customHeight="false" outlineLevel="0" collapsed="false">
      <c r="A276" s="7"/>
      <c r="B276" s="7"/>
      <c r="C276" s="46"/>
      <c r="D276" s="7"/>
      <c r="E276" s="47"/>
      <c r="F276" s="46"/>
      <c r="G276" s="46"/>
      <c r="H276" s="7"/>
      <c r="I276" s="7"/>
      <c r="J276" s="47"/>
      <c r="K276" s="47"/>
      <c r="L276" s="47"/>
      <c r="M276" s="47"/>
      <c r="N276" s="47"/>
      <c r="O276" s="10"/>
      <c r="P276" s="47"/>
      <c r="Q276" s="47"/>
      <c r="R276" s="48" t="str">
        <f aca="false">IF(Q276="","",IF(Q276=0,"below 5:00",IF(Q276&gt;=66,"16:00 or above",INT((60+2*Q276)/12)&amp;":"&amp;TEXT(MOD(60+2*Q276,12),"00"))))</f>
        <v/>
      </c>
      <c r="S276" s="47"/>
      <c r="T276" s="47"/>
      <c r="U276" s="47"/>
      <c r="V276" s="47"/>
      <c r="W276" s="47"/>
      <c r="X276" s="47"/>
      <c r="Y276" s="47"/>
      <c r="Z276" s="47"/>
      <c r="AA276" s="10"/>
      <c r="AB276" s="10"/>
      <c r="AC276" s="47"/>
      <c r="AD276" s="47"/>
      <c r="AE276" s="47"/>
      <c r="AF276" s="47"/>
      <c r="AG276" s="47"/>
      <c r="AH276" s="47"/>
      <c r="AI276" s="46"/>
      <c r="AJ276" s="46"/>
      <c r="AK276" s="46"/>
      <c r="AL276" s="7"/>
      <c r="AM276" s="49" t="str">
        <f aca="false">IF(OR(C276="",G276=""),"",IFERROR(DATEDIF(C276,G276,"m"),""))</f>
        <v/>
      </c>
      <c r="AN276" s="49" t="str">
        <f aca="false">IF(OR(Q276="",AM276=""),"",60+2*Q276-AM276)</f>
        <v/>
      </c>
      <c r="AO276" s="49" t="str">
        <f aca="false">IF(OR(G276="",AJ276=""),"",AJ276-G276)</f>
        <v/>
      </c>
      <c r="AP276" s="50" t="str">
        <f aca="false">IF(AND(A276="",B276=""),"",IF(J276="","Status needed",IF(OR(J276="Applied",J276="Visit booked",J276="Withdrawn"),"OK",IF(G276="","Date assessed needed",IF(C276="","Date of birth needed",IF(COUNTA(L276,M276,P276,U276,V276,X276)&lt;6,"Band missing",IF(AND(OR(J276="Decision confirmed",J276="Family told",J276="Enrolled"),AG276=""),"Recommendation needed",IF(AND(OR(J276="Family told",J276="Enrolled"),AJ276=""),"Date family told needed","OK"))))))))</f>
        <v/>
      </c>
    </row>
    <row r="277" customFormat="false" ht="15" hidden="false" customHeight="false" outlineLevel="0" collapsed="false">
      <c r="A277" s="7"/>
      <c r="B277" s="7"/>
      <c r="C277" s="46"/>
      <c r="D277" s="7"/>
      <c r="E277" s="47"/>
      <c r="F277" s="46"/>
      <c r="G277" s="46"/>
      <c r="H277" s="7"/>
      <c r="I277" s="7"/>
      <c r="J277" s="47"/>
      <c r="K277" s="47"/>
      <c r="L277" s="47"/>
      <c r="M277" s="47"/>
      <c r="N277" s="47"/>
      <c r="O277" s="10"/>
      <c r="P277" s="47"/>
      <c r="Q277" s="47"/>
      <c r="R277" s="48" t="str">
        <f aca="false">IF(Q277="","",IF(Q277=0,"below 5:00",IF(Q277&gt;=66,"16:00 or above",INT((60+2*Q277)/12)&amp;":"&amp;TEXT(MOD(60+2*Q277,12),"00"))))</f>
        <v/>
      </c>
      <c r="S277" s="47"/>
      <c r="T277" s="47"/>
      <c r="U277" s="47"/>
      <c r="V277" s="47"/>
      <c r="W277" s="47"/>
      <c r="X277" s="47"/>
      <c r="Y277" s="47"/>
      <c r="Z277" s="47"/>
      <c r="AA277" s="10"/>
      <c r="AB277" s="10"/>
      <c r="AC277" s="47"/>
      <c r="AD277" s="47"/>
      <c r="AE277" s="47"/>
      <c r="AF277" s="47"/>
      <c r="AG277" s="47"/>
      <c r="AH277" s="47"/>
      <c r="AI277" s="46"/>
      <c r="AJ277" s="46"/>
      <c r="AK277" s="46"/>
      <c r="AL277" s="7"/>
      <c r="AM277" s="49" t="str">
        <f aca="false">IF(OR(C277="",G277=""),"",IFERROR(DATEDIF(C277,G277,"m"),""))</f>
        <v/>
      </c>
      <c r="AN277" s="49" t="str">
        <f aca="false">IF(OR(Q277="",AM277=""),"",60+2*Q277-AM277)</f>
        <v/>
      </c>
      <c r="AO277" s="49" t="str">
        <f aca="false">IF(OR(G277="",AJ277=""),"",AJ277-G277)</f>
        <v/>
      </c>
      <c r="AP277" s="50" t="str">
        <f aca="false">IF(AND(A277="",B277=""),"",IF(J277="","Status needed",IF(OR(J277="Applied",J277="Visit booked",J277="Withdrawn"),"OK",IF(G277="","Date assessed needed",IF(C277="","Date of birth needed",IF(COUNTA(L277,M277,P277,U277,V277,X277)&lt;6,"Band missing",IF(AND(OR(J277="Decision confirmed",J277="Family told",J277="Enrolled"),AG277=""),"Recommendation needed",IF(AND(OR(J277="Family told",J277="Enrolled"),AJ277=""),"Date family told needed","OK"))))))))</f>
        <v/>
      </c>
    </row>
    <row r="278" customFormat="false" ht="15" hidden="false" customHeight="false" outlineLevel="0" collapsed="false">
      <c r="A278" s="7"/>
      <c r="B278" s="7"/>
      <c r="C278" s="46"/>
      <c r="D278" s="7"/>
      <c r="E278" s="47"/>
      <c r="F278" s="46"/>
      <c r="G278" s="46"/>
      <c r="H278" s="7"/>
      <c r="I278" s="7"/>
      <c r="J278" s="47"/>
      <c r="K278" s="47"/>
      <c r="L278" s="47"/>
      <c r="M278" s="47"/>
      <c r="N278" s="47"/>
      <c r="O278" s="10"/>
      <c r="P278" s="47"/>
      <c r="Q278" s="47"/>
      <c r="R278" s="48" t="str">
        <f aca="false">IF(Q278="","",IF(Q278=0,"below 5:00",IF(Q278&gt;=66,"16:00 or above",INT((60+2*Q278)/12)&amp;":"&amp;TEXT(MOD(60+2*Q278,12),"00"))))</f>
        <v/>
      </c>
      <c r="S278" s="47"/>
      <c r="T278" s="47"/>
      <c r="U278" s="47"/>
      <c r="V278" s="47"/>
      <c r="W278" s="47"/>
      <c r="X278" s="47"/>
      <c r="Y278" s="47"/>
      <c r="Z278" s="47"/>
      <c r="AA278" s="10"/>
      <c r="AB278" s="10"/>
      <c r="AC278" s="47"/>
      <c r="AD278" s="47"/>
      <c r="AE278" s="47"/>
      <c r="AF278" s="47"/>
      <c r="AG278" s="47"/>
      <c r="AH278" s="47"/>
      <c r="AI278" s="46"/>
      <c r="AJ278" s="46"/>
      <c r="AK278" s="46"/>
      <c r="AL278" s="7"/>
      <c r="AM278" s="49" t="str">
        <f aca="false">IF(OR(C278="",G278=""),"",IFERROR(DATEDIF(C278,G278,"m"),""))</f>
        <v/>
      </c>
      <c r="AN278" s="49" t="str">
        <f aca="false">IF(OR(Q278="",AM278=""),"",60+2*Q278-AM278)</f>
        <v/>
      </c>
      <c r="AO278" s="49" t="str">
        <f aca="false">IF(OR(G278="",AJ278=""),"",AJ278-G278)</f>
        <v/>
      </c>
      <c r="AP278" s="50" t="str">
        <f aca="false">IF(AND(A278="",B278=""),"",IF(J278="","Status needed",IF(OR(J278="Applied",J278="Visit booked",J278="Withdrawn"),"OK",IF(G278="","Date assessed needed",IF(C278="","Date of birth needed",IF(COUNTA(L278,M278,P278,U278,V278,X278)&lt;6,"Band missing",IF(AND(OR(J278="Decision confirmed",J278="Family told",J278="Enrolled"),AG278=""),"Recommendation needed",IF(AND(OR(J278="Family told",J278="Enrolled"),AJ278=""),"Date family told needed","OK"))))))))</f>
        <v/>
      </c>
    </row>
    <row r="279" customFormat="false" ht="15" hidden="false" customHeight="false" outlineLevel="0" collapsed="false">
      <c r="A279" s="7"/>
      <c r="B279" s="7"/>
      <c r="C279" s="46"/>
      <c r="D279" s="7"/>
      <c r="E279" s="47"/>
      <c r="F279" s="46"/>
      <c r="G279" s="46"/>
      <c r="H279" s="7"/>
      <c r="I279" s="7"/>
      <c r="J279" s="47"/>
      <c r="K279" s="47"/>
      <c r="L279" s="47"/>
      <c r="M279" s="47"/>
      <c r="N279" s="47"/>
      <c r="O279" s="10"/>
      <c r="P279" s="47"/>
      <c r="Q279" s="47"/>
      <c r="R279" s="48" t="str">
        <f aca="false">IF(Q279="","",IF(Q279=0,"below 5:00",IF(Q279&gt;=66,"16:00 or above",INT((60+2*Q279)/12)&amp;":"&amp;TEXT(MOD(60+2*Q279,12),"00"))))</f>
        <v/>
      </c>
      <c r="S279" s="47"/>
      <c r="T279" s="47"/>
      <c r="U279" s="47"/>
      <c r="V279" s="47"/>
      <c r="W279" s="47"/>
      <c r="X279" s="47"/>
      <c r="Y279" s="47"/>
      <c r="Z279" s="47"/>
      <c r="AA279" s="10"/>
      <c r="AB279" s="10"/>
      <c r="AC279" s="47"/>
      <c r="AD279" s="47"/>
      <c r="AE279" s="47"/>
      <c r="AF279" s="47"/>
      <c r="AG279" s="47"/>
      <c r="AH279" s="47"/>
      <c r="AI279" s="46"/>
      <c r="AJ279" s="46"/>
      <c r="AK279" s="46"/>
      <c r="AL279" s="7"/>
      <c r="AM279" s="49" t="str">
        <f aca="false">IF(OR(C279="",G279=""),"",IFERROR(DATEDIF(C279,G279,"m"),""))</f>
        <v/>
      </c>
      <c r="AN279" s="49" t="str">
        <f aca="false">IF(OR(Q279="",AM279=""),"",60+2*Q279-AM279)</f>
        <v/>
      </c>
      <c r="AO279" s="49" t="str">
        <f aca="false">IF(OR(G279="",AJ279=""),"",AJ279-G279)</f>
        <v/>
      </c>
      <c r="AP279" s="50" t="str">
        <f aca="false">IF(AND(A279="",B279=""),"",IF(J279="","Status needed",IF(OR(J279="Applied",J279="Visit booked",J279="Withdrawn"),"OK",IF(G279="","Date assessed needed",IF(C279="","Date of birth needed",IF(COUNTA(L279,M279,P279,U279,V279,X279)&lt;6,"Band missing",IF(AND(OR(J279="Decision confirmed",J279="Family told",J279="Enrolled"),AG279=""),"Recommendation needed",IF(AND(OR(J279="Family told",J279="Enrolled"),AJ279=""),"Date family told needed","OK"))))))))</f>
        <v/>
      </c>
    </row>
    <row r="280" customFormat="false" ht="15" hidden="false" customHeight="false" outlineLevel="0" collapsed="false">
      <c r="A280" s="7"/>
      <c r="B280" s="7"/>
      <c r="C280" s="46"/>
      <c r="D280" s="7"/>
      <c r="E280" s="47"/>
      <c r="F280" s="46"/>
      <c r="G280" s="46"/>
      <c r="H280" s="7"/>
      <c r="I280" s="7"/>
      <c r="J280" s="47"/>
      <c r="K280" s="47"/>
      <c r="L280" s="47"/>
      <c r="M280" s="47"/>
      <c r="N280" s="47"/>
      <c r="O280" s="10"/>
      <c r="P280" s="47"/>
      <c r="Q280" s="47"/>
      <c r="R280" s="48" t="str">
        <f aca="false">IF(Q280="","",IF(Q280=0,"below 5:00",IF(Q280&gt;=66,"16:00 or above",INT((60+2*Q280)/12)&amp;":"&amp;TEXT(MOD(60+2*Q280,12),"00"))))</f>
        <v/>
      </c>
      <c r="S280" s="47"/>
      <c r="T280" s="47"/>
      <c r="U280" s="47"/>
      <c r="V280" s="47"/>
      <c r="W280" s="47"/>
      <c r="X280" s="47"/>
      <c r="Y280" s="47"/>
      <c r="Z280" s="47"/>
      <c r="AA280" s="10"/>
      <c r="AB280" s="10"/>
      <c r="AC280" s="47"/>
      <c r="AD280" s="47"/>
      <c r="AE280" s="47"/>
      <c r="AF280" s="47"/>
      <c r="AG280" s="47"/>
      <c r="AH280" s="47"/>
      <c r="AI280" s="46"/>
      <c r="AJ280" s="46"/>
      <c r="AK280" s="46"/>
      <c r="AL280" s="7"/>
      <c r="AM280" s="49" t="str">
        <f aca="false">IF(OR(C280="",G280=""),"",IFERROR(DATEDIF(C280,G280,"m"),""))</f>
        <v/>
      </c>
      <c r="AN280" s="49" t="str">
        <f aca="false">IF(OR(Q280="",AM280=""),"",60+2*Q280-AM280)</f>
        <v/>
      </c>
      <c r="AO280" s="49" t="str">
        <f aca="false">IF(OR(G280="",AJ280=""),"",AJ280-G280)</f>
        <v/>
      </c>
      <c r="AP280" s="50" t="str">
        <f aca="false">IF(AND(A280="",B280=""),"",IF(J280="","Status needed",IF(OR(J280="Applied",J280="Visit booked",J280="Withdrawn"),"OK",IF(G280="","Date assessed needed",IF(C280="","Date of birth needed",IF(COUNTA(L280,M280,P280,U280,V280,X280)&lt;6,"Band missing",IF(AND(OR(J280="Decision confirmed",J280="Family told",J280="Enrolled"),AG280=""),"Recommendation needed",IF(AND(OR(J280="Family told",J280="Enrolled"),AJ280=""),"Date family told needed","OK"))))))))</f>
        <v/>
      </c>
    </row>
    <row r="281" customFormat="false" ht="15" hidden="false" customHeight="false" outlineLevel="0" collapsed="false">
      <c r="A281" s="7"/>
      <c r="B281" s="7"/>
      <c r="C281" s="46"/>
      <c r="D281" s="7"/>
      <c r="E281" s="47"/>
      <c r="F281" s="46"/>
      <c r="G281" s="46"/>
      <c r="H281" s="7"/>
      <c r="I281" s="7"/>
      <c r="J281" s="47"/>
      <c r="K281" s="47"/>
      <c r="L281" s="47"/>
      <c r="M281" s="47"/>
      <c r="N281" s="47"/>
      <c r="O281" s="10"/>
      <c r="P281" s="47"/>
      <c r="Q281" s="47"/>
      <c r="R281" s="48" t="str">
        <f aca="false">IF(Q281="","",IF(Q281=0,"below 5:00",IF(Q281&gt;=66,"16:00 or above",INT((60+2*Q281)/12)&amp;":"&amp;TEXT(MOD(60+2*Q281,12),"00"))))</f>
        <v/>
      </c>
      <c r="S281" s="47"/>
      <c r="T281" s="47"/>
      <c r="U281" s="47"/>
      <c r="V281" s="47"/>
      <c r="W281" s="47"/>
      <c r="X281" s="47"/>
      <c r="Y281" s="47"/>
      <c r="Z281" s="47"/>
      <c r="AA281" s="10"/>
      <c r="AB281" s="10"/>
      <c r="AC281" s="47"/>
      <c r="AD281" s="47"/>
      <c r="AE281" s="47"/>
      <c r="AF281" s="47"/>
      <c r="AG281" s="47"/>
      <c r="AH281" s="47"/>
      <c r="AI281" s="46"/>
      <c r="AJ281" s="46"/>
      <c r="AK281" s="46"/>
      <c r="AL281" s="7"/>
      <c r="AM281" s="49" t="str">
        <f aca="false">IF(OR(C281="",G281=""),"",IFERROR(DATEDIF(C281,G281,"m"),""))</f>
        <v/>
      </c>
      <c r="AN281" s="49" t="str">
        <f aca="false">IF(OR(Q281="",AM281=""),"",60+2*Q281-AM281)</f>
        <v/>
      </c>
      <c r="AO281" s="49" t="str">
        <f aca="false">IF(OR(G281="",AJ281=""),"",AJ281-G281)</f>
        <v/>
      </c>
      <c r="AP281" s="50" t="str">
        <f aca="false">IF(AND(A281="",B281=""),"",IF(J281="","Status needed",IF(OR(J281="Applied",J281="Visit booked",J281="Withdrawn"),"OK",IF(G281="","Date assessed needed",IF(C281="","Date of birth needed",IF(COUNTA(L281,M281,P281,U281,V281,X281)&lt;6,"Band missing",IF(AND(OR(J281="Decision confirmed",J281="Family told",J281="Enrolled"),AG281=""),"Recommendation needed",IF(AND(OR(J281="Family told",J281="Enrolled"),AJ281=""),"Date family told needed","OK"))))))))</f>
        <v/>
      </c>
    </row>
    <row r="282" customFormat="false" ht="15" hidden="false" customHeight="false" outlineLevel="0" collapsed="false">
      <c r="A282" s="7"/>
      <c r="B282" s="7"/>
      <c r="C282" s="46"/>
      <c r="D282" s="7"/>
      <c r="E282" s="47"/>
      <c r="F282" s="46"/>
      <c r="G282" s="46"/>
      <c r="H282" s="7"/>
      <c r="I282" s="7"/>
      <c r="J282" s="47"/>
      <c r="K282" s="47"/>
      <c r="L282" s="47"/>
      <c r="M282" s="47"/>
      <c r="N282" s="47"/>
      <c r="O282" s="10"/>
      <c r="P282" s="47"/>
      <c r="Q282" s="47"/>
      <c r="R282" s="48" t="str">
        <f aca="false">IF(Q282="","",IF(Q282=0,"below 5:00",IF(Q282&gt;=66,"16:00 or above",INT((60+2*Q282)/12)&amp;":"&amp;TEXT(MOD(60+2*Q282,12),"00"))))</f>
        <v/>
      </c>
      <c r="S282" s="47"/>
      <c r="T282" s="47"/>
      <c r="U282" s="47"/>
      <c r="V282" s="47"/>
      <c r="W282" s="47"/>
      <c r="X282" s="47"/>
      <c r="Y282" s="47"/>
      <c r="Z282" s="47"/>
      <c r="AA282" s="10"/>
      <c r="AB282" s="10"/>
      <c r="AC282" s="47"/>
      <c r="AD282" s="47"/>
      <c r="AE282" s="47"/>
      <c r="AF282" s="47"/>
      <c r="AG282" s="47"/>
      <c r="AH282" s="47"/>
      <c r="AI282" s="46"/>
      <c r="AJ282" s="46"/>
      <c r="AK282" s="46"/>
      <c r="AL282" s="7"/>
      <c r="AM282" s="49" t="str">
        <f aca="false">IF(OR(C282="",G282=""),"",IFERROR(DATEDIF(C282,G282,"m"),""))</f>
        <v/>
      </c>
      <c r="AN282" s="49" t="str">
        <f aca="false">IF(OR(Q282="",AM282=""),"",60+2*Q282-AM282)</f>
        <v/>
      </c>
      <c r="AO282" s="49" t="str">
        <f aca="false">IF(OR(G282="",AJ282=""),"",AJ282-G282)</f>
        <v/>
      </c>
      <c r="AP282" s="50" t="str">
        <f aca="false">IF(AND(A282="",B282=""),"",IF(J282="","Status needed",IF(OR(J282="Applied",J282="Visit booked",J282="Withdrawn"),"OK",IF(G282="","Date assessed needed",IF(C282="","Date of birth needed",IF(COUNTA(L282,M282,P282,U282,V282,X282)&lt;6,"Band missing",IF(AND(OR(J282="Decision confirmed",J282="Family told",J282="Enrolled"),AG282=""),"Recommendation needed",IF(AND(OR(J282="Family told",J282="Enrolled"),AJ282=""),"Date family told needed","OK"))))))))</f>
        <v/>
      </c>
    </row>
    <row r="283" customFormat="false" ht="15" hidden="false" customHeight="false" outlineLevel="0" collapsed="false">
      <c r="A283" s="7"/>
      <c r="B283" s="7"/>
      <c r="C283" s="46"/>
      <c r="D283" s="7"/>
      <c r="E283" s="47"/>
      <c r="F283" s="46"/>
      <c r="G283" s="46"/>
      <c r="H283" s="7"/>
      <c r="I283" s="7"/>
      <c r="J283" s="47"/>
      <c r="K283" s="47"/>
      <c r="L283" s="47"/>
      <c r="M283" s="47"/>
      <c r="N283" s="47"/>
      <c r="O283" s="10"/>
      <c r="P283" s="47"/>
      <c r="Q283" s="47"/>
      <c r="R283" s="48" t="str">
        <f aca="false">IF(Q283="","",IF(Q283=0,"below 5:00",IF(Q283&gt;=66,"16:00 or above",INT((60+2*Q283)/12)&amp;":"&amp;TEXT(MOD(60+2*Q283,12),"00"))))</f>
        <v/>
      </c>
      <c r="S283" s="47"/>
      <c r="T283" s="47"/>
      <c r="U283" s="47"/>
      <c r="V283" s="47"/>
      <c r="W283" s="47"/>
      <c r="X283" s="47"/>
      <c r="Y283" s="47"/>
      <c r="Z283" s="47"/>
      <c r="AA283" s="10"/>
      <c r="AB283" s="10"/>
      <c r="AC283" s="47"/>
      <c r="AD283" s="47"/>
      <c r="AE283" s="47"/>
      <c r="AF283" s="47"/>
      <c r="AG283" s="47"/>
      <c r="AH283" s="47"/>
      <c r="AI283" s="46"/>
      <c r="AJ283" s="46"/>
      <c r="AK283" s="46"/>
      <c r="AL283" s="7"/>
      <c r="AM283" s="49" t="str">
        <f aca="false">IF(OR(C283="",G283=""),"",IFERROR(DATEDIF(C283,G283,"m"),""))</f>
        <v/>
      </c>
      <c r="AN283" s="49" t="str">
        <f aca="false">IF(OR(Q283="",AM283=""),"",60+2*Q283-AM283)</f>
        <v/>
      </c>
      <c r="AO283" s="49" t="str">
        <f aca="false">IF(OR(G283="",AJ283=""),"",AJ283-G283)</f>
        <v/>
      </c>
      <c r="AP283" s="50" t="str">
        <f aca="false">IF(AND(A283="",B283=""),"",IF(J283="","Status needed",IF(OR(J283="Applied",J283="Visit booked",J283="Withdrawn"),"OK",IF(G283="","Date assessed needed",IF(C283="","Date of birth needed",IF(COUNTA(L283,M283,P283,U283,V283,X283)&lt;6,"Band missing",IF(AND(OR(J283="Decision confirmed",J283="Family told",J283="Enrolled"),AG283=""),"Recommendation needed",IF(AND(OR(J283="Family told",J283="Enrolled"),AJ283=""),"Date family told needed","OK"))))))))</f>
        <v/>
      </c>
    </row>
    <row r="284" customFormat="false" ht="15" hidden="false" customHeight="false" outlineLevel="0" collapsed="false">
      <c r="A284" s="7"/>
      <c r="B284" s="7"/>
      <c r="C284" s="46"/>
      <c r="D284" s="7"/>
      <c r="E284" s="47"/>
      <c r="F284" s="46"/>
      <c r="G284" s="46"/>
      <c r="H284" s="7"/>
      <c r="I284" s="7"/>
      <c r="J284" s="47"/>
      <c r="K284" s="47"/>
      <c r="L284" s="47"/>
      <c r="M284" s="47"/>
      <c r="N284" s="47"/>
      <c r="O284" s="10"/>
      <c r="P284" s="47"/>
      <c r="Q284" s="47"/>
      <c r="R284" s="48" t="str">
        <f aca="false">IF(Q284="","",IF(Q284=0,"below 5:00",IF(Q284&gt;=66,"16:00 or above",INT((60+2*Q284)/12)&amp;":"&amp;TEXT(MOD(60+2*Q284,12),"00"))))</f>
        <v/>
      </c>
      <c r="S284" s="47"/>
      <c r="T284" s="47"/>
      <c r="U284" s="47"/>
      <c r="V284" s="47"/>
      <c r="W284" s="47"/>
      <c r="X284" s="47"/>
      <c r="Y284" s="47"/>
      <c r="Z284" s="47"/>
      <c r="AA284" s="10"/>
      <c r="AB284" s="10"/>
      <c r="AC284" s="47"/>
      <c r="AD284" s="47"/>
      <c r="AE284" s="47"/>
      <c r="AF284" s="47"/>
      <c r="AG284" s="47"/>
      <c r="AH284" s="47"/>
      <c r="AI284" s="46"/>
      <c r="AJ284" s="46"/>
      <c r="AK284" s="46"/>
      <c r="AL284" s="7"/>
      <c r="AM284" s="49" t="str">
        <f aca="false">IF(OR(C284="",G284=""),"",IFERROR(DATEDIF(C284,G284,"m"),""))</f>
        <v/>
      </c>
      <c r="AN284" s="49" t="str">
        <f aca="false">IF(OR(Q284="",AM284=""),"",60+2*Q284-AM284)</f>
        <v/>
      </c>
      <c r="AO284" s="49" t="str">
        <f aca="false">IF(OR(G284="",AJ284=""),"",AJ284-G284)</f>
        <v/>
      </c>
      <c r="AP284" s="50" t="str">
        <f aca="false">IF(AND(A284="",B284=""),"",IF(J284="","Status needed",IF(OR(J284="Applied",J284="Visit booked",J284="Withdrawn"),"OK",IF(G284="","Date assessed needed",IF(C284="","Date of birth needed",IF(COUNTA(L284,M284,P284,U284,V284,X284)&lt;6,"Band missing",IF(AND(OR(J284="Decision confirmed",J284="Family told",J284="Enrolled"),AG284=""),"Recommendation needed",IF(AND(OR(J284="Family told",J284="Enrolled"),AJ284=""),"Date family told needed","OK"))))))))</f>
        <v/>
      </c>
    </row>
    <row r="285" customFormat="false" ht="15" hidden="false" customHeight="false" outlineLevel="0" collapsed="false">
      <c r="A285" s="7"/>
      <c r="B285" s="7"/>
      <c r="C285" s="46"/>
      <c r="D285" s="7"/>
      <c r="E285" s="47"/>
      <c r="F285" s="46"/>
      <c r="G285" s="46"/>
      <c r="H285" s="7"/>
      <c r="I285" s="7"/>
      <c r="J285" s="47"/>
      <c r="K285" s="47"/>
      <c r="L285" s="47"/>
      <c r="M285" s="47"/>
      <c r="N285" s="47"/>
      <c r="O285" s="10"/>
      <c r="P285" s="47"/>
      <c r="Q285" s="47"/>
      <c r="R285" s="48" t="str">
        <f aca="false">IF(Q285="","",IF(Q285=0,"below 5:00",IF(Q285&gt;=66,"16:00 or above",INT((60+2*Q285)/12)&amp;":"&amp;TEXT(MOD(60+2*Q285,12),"00"))))</f>
        <v/>
      </c>
      <c r="S285" s="47"/>
      <c r="T285" s="47"/>
      <c r="U285" s="47"/>
      <c r="V285" s="47"/>
      <c r="W285" s="47"/>
      <c r="X285" s="47"/>
      <c r="Y285" s="47"/>
      <c r="Z285" s="47"/>
      <c r="AA285" s="10"/>
      <c r="AB285" s="10"/>
      <c r="AC285" s="47"/>
      <c r="AD285" s="47"/>
      <c r="AE285" s="47"/>
      <c r="AF285" s="47"/>
      <c r="AG285" s="47"/>
      <c r="AH285" s="47"/>
      <c r="AI285" s="46"/>
      <c r="AJ285" s="46"/>
      <c r="AK285" s="46"/>
      <c r="AL285" s="7"/>
      <c r="AM285" s="49" t="str">
        <f aca="false">IF(OR(C285="",G285=""),"",IFERROR(DATEDIF(C285,G285,"m"),""))</f>
        <v/>
      </c>
      <c r="AN285" s="49" t="str">
        <f aca="false">IF(OR(Q285="",AM285=""),"",60+2*Q285-AM285)</f>
        <v/>
      </c>
      <c r="AO285" s="49" t="str">
        <f aca="false">IF(OR(G285="",AJ285=""),"",AJ285-G285)</f>
        <v/>
      </c>
      <c r="AP285" s="50" t="str">
        <f aca="false">IF(AND(A285="",B285=""),"",IF(J285="","Status needed",IF(OR(J285="Applied",J285="Visit booked",J285="Withdrawn"),"OK",IF(G285="","Date assessed needed",IF(C285="","Date of birth needed",IF(COUNTA(L285,M285,P285,U285,V285,X285)&lt;6,"Band missing",IF(AND(OR(J285="Decision confirmed",J285="Family told",J285="Enrolled"),AG285=""),"Recommendation needed",IF(AND(OR(J285="Family told",J285="Enrolled"),AJ285=""),"Date family told needed","OK"))))))))</f>
        <v/>
      </c>
    </row>
    <row r="286" customFormat="false" ht="15" hidden="false" customHeight="false" outlineLevel="0" collapsed="false">
      <c r="A286" s="7"/>
      <c r="B286" s="7"/>
      <c r="C286" s="46"/>
      <c r="D286" s="7"/>
      <c r="E286" s="47"/>
      <c r="F286" s="46"/>
      <c r="G286" s="46"/>
      <c r="H286" s="7"/>
      <c r="I286" s="7"/>
      <c r="J286" s="47"/>
      <c r="K286" s="47"/>
      <c r="L286" s="47"/>
      <c r="M286" s="47"/>
      <c r="N286" s="47"/>
      <c r="O286" s="10"/>
      <c r="P286" s="47"/>
      <c r="Q286" s="47"/>
      <c r="R286" s="48" t="str">
        <f aca="false">IF(Q286="","",IF(Q286=0,"below 5:00",IF(Q286&gt;=66,"16:00 or above",INT((60+2*Q286)/12)&amp;":"&amp;TEXT(MOD(60+2*Q286,12),"00"))))</f>
        <v/>
      </c>
      <c r="S286" s="47"/>
      <c r="T286" s="47"/>
      <c r="U286" s="47"/>
      <c r="V286" s="47"/>
      <c r="W286" s="47"/>
      <c r="X286" s="47"/>
      <c r="Y286" s="47"/>
      <c r="Z286" s="47"/>
      <c r="AA286" s="10"/>
      <c r="AB286" s="10"/>
      <c r="AC286" s="47"/>
      <c r="AD286" s="47"/>
      <c r="AE286" s="47"/>
      <c r="AF286" s="47"/>
      <c r="AG286" s="47"/>
      <c r="AH286" s="47"/>
      <c r="AI286" s="46"/>
      <c r="AJ286" s="46"/>
      <c r="AK286" s="46"/>
      <c r="AL286" s="7"/>
      <c r="AM286" s="49" t="str">
        <f aca="false">IF(OR(C286="",G286=""),"",IFERROR(DATEDIF(C286,G286,"m"),""))</f>
        <v/>
      </c>
      <c r="AN286" s="49" t="str">
        <f aca="false">IF(OR(Q286="",AM286=""),"",60+2*Q286-AM286)</f>
        <v/>
      </c>
      <c r="AO286" s="49" t="str">
        <f aca="false">IF(OR(G286="",AJ286=""),"",AJ286-G286)</f>
        <v/>
      </c>
      <c r="AP286" s="50" t="str">
        <f aca="false">IF(AND(A286="",B286=""),"",IF(J286="","Status needed",IF(OR(J286="Applied",J286="Visit booked",J286="Withdrawn"),"OK",IF(G286="","Date assessed needed",IF(C286="","Date of birth needed",IF(COUNTA(L286,M286,P286,U286,V286,X286)&lt;6,"Band missing",IF(AND(OR(J286="Decision confirmed",J286="Family told",J286="Enrolled"),AG286=""),"Recommendation needed",IF(AND(OR(J286="Family told",J286="Enrolled"),AJ286=""),"Date family told needed","OK"))))))))</f>
        <v/>
      </c>
    </row>
    <row r="287" customFormat="false" ht="15" hidden="false" customHeight="false" outlineLevel="0" collapsed="false">
      <c r="A287" s="7"/>
      <c r="B287" s="7"/>
      <c r="C287" s="46"/>
      <c r="D287" s="7"/>
      <c r="E287" s="47"/>
      <c r="F287" s="46"/>
      <c r="G287" s="46"/>
      <c r="H287" s="7"/>
      <c r="I287" s="7"/>
      <c r="J287" s="47"/>
      <c r="K287" s="47"/>
      <c r="L287" s="47"/>
      <c r="M287" s="47"/>
      <c r="N287" s="47"/>
      <c r="O287" s="10"/>
      <c r="P287" s="47"/>
      <c r="Q287" s="47"/>
      <c r="R287" s="48" t="str">
        <f aca="false">IF(Q287="","",IF(Q287=0,"below 5:00",IF(Q287&gt;=66,"16:00 or above",INT((60+2*Q287)/12)&amp;":"&amp;TEXT(MOD(60+2*Q287,12),"00"))))</f>
        <v/>
      </c>
      <c r="S287" s="47"/>
      <c r="T287" s="47"/>
      <c r="U287" s="47"/>
      <c r="V287" s="47"/>
      <c r="W287" s="47"/>
      <c r="X287" s="47"/>
      <c r="Y287" s="47"/>
      <c r="Z287" s="47"/>
      <c r="AA287" s="10"/>
      <c r="AB287" s="10"/>
      <c r="AC287" s="47"/>
      <c r="AD287" s="47"/>
      <c r="AE287" s="47"/>
      <c r="AF287" s="47"/>
      <c r="AG287" s="47"/>
      <c r="AH287" s="47"/>
      <c r="AI287" s="46"/>
      <c r="AJ287" s="46"/>
      <c r="AK287" s="46"/>
      <c r="AL287" s="7"/>
      <c r="AM287" s="49" t="str">
        <f aca="false">IF(OR(C287="",G287=""),"",IFERROR(DATEDIF(C287,G287,"m"),""))</f>
        <v/>
      </c>
      <c r="AN287" s="49" t="str">
        <f aca="false">IF(OR(Q287="",AM287=""),"",60+2*Q287-AM287)</f>
        <v/>
      </c>
      <c r="AO287" s="49" t="str">
        <f aca="false">IF(OR(G287="",AJ287=""),"",AJ287-G287)</f>
        <v/>
      </c>
      <c r="AP287" s="50" t="str">
        <f aca="false">IF(AND(A287="",B287=""),"",IF(J287="","Status needed",IF(OR(J287="Applied",J287="Visit booked",J287="Withdrawn"),"OK",IF(G287="","Date assessed needed",IF(C287="","Date of birth needed",IF(COUNTA(L287,M287,P287,U287,V287,X287)&lt;6,"Band missing",IF(AND(OR(J287="Decision confirmed",J287="Family told",J287="Enrolled"),AG287=""),"Recommendation needed",IF(AND(OR(J287="Family told",J287="Enrolled"),AJ287=""),"Date family told needed","OK"))))))))</f>
        <v/>
      </c>
    </row>
    <row r="288" customFormat="false" ht="15" hidden="false" customHeight="false" outlineLevel="0" collapsed="false">
      <c r="A288" s="7"/>
      <c r="B288" s="7"/>
      <c r="C288" s="46"/>
      <c r="D288" s="7"/>
      <c r="E288" s="47"/>
      <c r="F288" s="46"/>
      <c r="G288" s="46"/>
      <c r="H288" s="7"/>
      <c r="I288" s="7"/>
      <c r="J288" s="47"/>
      <c r="K288" s="47"/>
      <c r="L288" s="47"/>
      <c r="M288" s="47"/>
      <c r="N288" s="47"/>
      <c r="O288" s="10"/>
      <c r="P288" s="47"/>
      <c r="Q288" s="47"/>
      <c r="R288" s="48" t="str">
        <f aca="false">IF(Q288="","",IF(Q288=0,"below 5:00",IF(Q288&gt;=66,"16:00 or above",INT((60+2*Q288)/12)&amp;":"&amp;TEXT(MOD(60+2*Q288,12),"00"))))</f>
        <v/>
      </c>
      <c r="S288" s="47"/>
      <c r="T288" s="47"/>
      <c r="U288" s="47"/>
      <c r="V288" s="47"/>
      <c r="W288" s="47"/>
      <c r="X288" s="47"/>
      <c r="Y288" s="47"/>
      <c r="Z288" s="47"/>
      <c r="AA288" s="10"/>
      <c r="AB288" s="10"/>
      <c r="AC288" s="47"/>
      <c r="AD288" s="47"/>
      <c r="AE288" s="47"/>
      <c r="AF288" s="47"/>
      <c r="AG288" s="47"/>
      <c r="AH288" s="47"/>
      <c r="AI288" s="46"/>
      <c r="AJ288" s="46"/>
      <c r="AK288" s="46"/>
      <c r="AL288" s="7"/>
      <c r="AM288" s="49" t="str">
        <f aca="false">IF(OR(C288="",G288=""),"",IFERROR(DATEDIF(C288,G288,"m"),""))</f>
        <v/>
      </c>
      <c r="AN288" s="49" t="str">
        <f aca="false">IF(OR(Q288="",AM288=""),"",60+2*Q288-AM288)</f>
        <v/>
      </c>
      <c r="AO288" s="49" t="str">
        <f aca="false">IF(OR(G288="",AJ288=""),"",AJ288-G288)</f>
        <v/>
      </c>
      <c r="AP288" s="50" t="str">
        <f aca="false">IF(AND(A288="",B288=""),"",IF(J288="","Status needed",IF(OR(J288="Applied",J288="Visit booked",J288="Withdrawn"),"OK",IF(G288="","Date assessed needed",IF(C288="","Date of birth needed",IF(COUNTA(L288,M288,P288,U288,V288,X288)&lt;6,"Band missing",IF(AND(OR(J288="Decision confirmed",J288="Family told",J288="Enrolled"),AG288=""),"Recommendation needed",IF(AND(OR(J288="Family told",J288="Enrolled"),AJ288=""),"Date family told needed","OK"))))))))</f>
        <v/>
      </c>
    </row>
    <row r="289" customFormat="false" ht="15" hidden="false" customHeight="false" outlineLevel="0" collapsed="false">
      <c r="A289" s="7"/>
      <c r="B289" s="7"/>
      <c r="C289" s="46"/>
      <c r="D289" s="7"/>
      <c r="E289" s="47"/>
      <c r="F289" s="46"/>
      <c r="G289" s="46"/>
      <c r="H289" s="7"/>
      <c r="I289" s="7"/>
      <c r="J289" s="47"/>
      <c r="K289" s="47"/>
      <c r="L289" s="47"/>
      <c r="M289" s="47"/>
      <c r="N289" s="47"/>
      <c r="O289" s="10"/>
      <c r="P289" s="47"/>
      <c r="Q289" s="47"/>
      <c r="R289" s="48" t="str">
        <f aca="false">IF(Q289="","",IF(Q289=0,"below 5:00",IF(Q289&gt;=66,"16:00 or above",INT((60+2*Q289)/12)&amp;":"&amp;TEXT(MOD(60+2*Q289,12),"00"))))</f>
        <v/>
      </c>
      <c r="S289" s="47"/>
      <c r="T289" s="47"/>
      <c r="U289" s="47"/>
      <c r="V289" s="47"/>
      <c r="W289" s="47"/>
      <c r="X289" s="47"/>
      <c r="Y289" s="47"/>
      <c r="Z289" s="47"/>
      <c r="AA289" s="10"/>
      <c r="AB289" s="10"/>
      <c r="AC289" s="47"/>
      <c r="AD289" s="47"/>
      <c r="AE289" s="47"/>
      <c r="AF289" s="47"/>
      <c r="AG289" s="47"/>
      <c r="AH289" s="47"/>
      <c r="AI289" s="46"/>
      <c r="AJ289" s="46"/>
      <c r="AK289" s="46"/>
      <c r="AL289" s="7"/>
      <c r="AM289" s="49" t="str">
        <f aca="false">IF(OR(C289="",G289=""),"",IFERROR(DATEDIF(C289,G289,"m"),""))</f>
        <v/>
      </c>
      <c r="AN289" s="49" t="str">
        <f aca="false">IF(OR(Q289="",AM289=""),"",60+2*Q289-AM289)</f>
        <v/>
      </c>
      <c r="AO289" s="49" t="str">
        <f aca="false">IF(OR(G289="",AJ289=""),"",AJ289-G289)</f>
        <v/>
      </c>
      <c r="AP289" s="50" t="str">
        <f aca="false">IF(AND(A289="",B289=""),"",IF(J289="","Status needed",IF(OR(J289="Applied",J289="Visit booked",J289="Withdrawn"),"OK",IF(G289="","Date assessed needed",IF(C289="","Date of birth needed",IF(COUNTA(L289,M289,P289,U289,V289,X289)&lt;6,"Band missing",IF(AND(OR(J289="Decision confirmed",J289="Family told",J289="Enrolled"),AG289=""),"Recommendation needed",IF(AND(OR(J289="Family told",J289="Enrolled"),AJ289=""),"Date family told needed","OK"))))))))</f>
        <v/>
      </c>
    </row>
    <row r="290" customFormat="false" ht="15" hidden="false" customHeight="false" outlineLevel="0" collapsed="false">
      <c r="A290" s="7"/>
      <c r="B290" s="7"/>
      <c r="C290" s="46"/>
      <c r="D290" s="7"/>
      <c r="E290" s="47"/>
      <c r="F290" s="46"/>
      <c r="G290" s="46"/>
      <c r="H290" s="7"/>
      <c r="I290" s="7"/>
      <c r="J290" s="47"/>
      <c r="K290" s="47"/>
      <c r="L290" s="47"/>
      <c r="M290" s="47"/>
      <c r="N290" s="47"/>
      <c r="O290" s="10"/>
      <c r="P290" s="47"/>
      <c r="Q290" s="47"/>
      <c r="R290" s="48" t="str">
        <f aca="false">IF(Q290="","",IF(Q290=0,"below 5:00",IF(Q290&gt;=66,"16:00 or above",INT((60+2*Q290)/12)&amp;":"&amp;TEXT(MOD(60+2*Q290,12),"00"))))</f>
        <v/>
      </c>
      <c r="S290" s="47"/>
      <c r="T290" s="47"/>
      <c r="U290" s="47"/>
      <c r="V290" s="47"/>
      <c r="W290" s="47"/>
      <c r="X290" s="47"/>
      <c r="Y290" s="47"/>
      <c r="Z290" s="47"/>
      <c r="AA290" s="10"/>
      <c r="AB290" s="10"/>
      <c r="AC290" s="47"/>
      <c r="AD290" s="47"/>
      <c r="AE290" s="47"/>
      <c r="AF290" s="47"/>
      <c r="AG290" s="47"/>
      <c r="AH290" s="47"/>
      <c r="AI290" s="46"/>
      <c r="AJ290" s="46"/>
      <c r="AK290" s="46"/>
      <c r="AL290" s="7"/>
      <c r="AM290" s="49" t="str">
        <f aca="false">IF(OR(C290="",G290=""),"",IFERROR(DATEDIF(C290,G290,"m"),""))</f>
        <v/>
      </c>
      <c r="AN290" s="49" t="str">
        <f aca="false">IF(OR(Q290="",AM290=""),"",60+2*Q290-AM290)</f>
        <v/>
      </c>
      <c r="AO290" s="49" t="str">
        <f aca="false">IF(OR(G290="",AJ290=""),"",AJ290-G290)</f>
        <v/>
      </c>
      <c r="AP290" s="50" t="str">
        <f aca="false">IF(AND(A290="",B290=""),"",IF(J290="","Status needed",IF(OR(J290="Applied",J290="Visit booked",J290="Withdrawn"),"OK",IF(G290="","Date assessed needed",IF(C290="","Date of birth needed",IF(COUNTA(L290,M290,P290,U290,V290,X290)&lt;6,"Band missing",IF(AND(OR(J290="Decision confirmed",J290="Family told",J290="Enrolled"),AG290=""),"Recommendation needed",IF(AND(OR(J290="Family told",J290="Enrolled"),AJ290=""),"Date family told needed","OK"))))))))</f>
        <v/>
      </c>
    </row>
    <row r="291" customFormat="false" ht="15" hidden="false" customHeight="false" outlineLevel="0" collapsed="false">
      <c r="A291" s="7"/>
      <c r="B291" s="7"/>
      <c r="C291" s="46"/>
      <c r="D291" s="7"/>
      <c r="E291" s="47"/>
      <c r="F291" s="46"/>
      <c r="G291" s="46"/>
      <c r="H291" s="7"/>
      <c r="I291" s="7"/>
      <c r="J291" s="47"/>
      <c r="K291" s="47"/>
      <c r="L291" s="47"/>
      <c r="M291" s="47"/>
      <c r="N291" s="47"/>
      <c r="O291" s="10"/>
      <c r="P291" s="47"/>
      <c r="Q291" s="47"/>
      <c r="R291" s="48" t="str">
        <f aca="false">IF(Q291="","",IF(Q291=0,"below 5:00",IF(Q291&gt;=66,"16:00 or above",INT((60+2*Q291)/12)&amp;":"&amp;TEXT(MOD(60+2*Q291,12),"00"))))</f>
        <v/>
      </c>
      <c r="S291" s="47"/>
      <c r="T291" s="47"/>
      <c r="U291" s="47"/>
      <c r="V291" s="47"/>
      <c r="W291" s="47"/>
      <c r="X291" s="47"/>
      <c r="Y291" s="47"/>
      <c r="Z291" s="47"/>
      <c r="AA291" s="10"/>
      <c r="AB291" s="10"/>
      <c r="AC291" s="47"/>
      <c r="AD291" s="47"/>
      <c r="AE291" s="47"/>
      <c r="AF291" s="47"/>
      <c r="AG291" s="47"/>
      <c r="AH291" s="47"/>
      <c r="AI291" s="46"/>
      <c r="AJ291" s="46"/>
      <c r="AK291" s="46"/>
      <c r="AL291" s="7"/>
      <c r="AM291" s="49" t="str">
        <f aca="false">IF(OR(C291="",G291=""),"",IFERROR(DATEDIF(C291,G291,"m"),""))</f>
        <v/>
      </c>
      <c r="AN291" s="49" t="str">
        <f aca="false">IF(OR(Q291="",AM291=""),"",60+2*Q291-AM291)</f>
        <v/>
      </c>
      <c r="AO291" s="49" t="str">
        <f aca="false">IF(OR(G291="",AJ291=""),"",AJ291-G291)</f>
        <v/>
      </c>
      <c r="AP291" s="50" t="str">
        <f aca="false">IF(AND(A291="",B291=""),"",IF(J291="","Status needed",IF(OR(J291="Applied",J291="Visit booked",J291="Withdrawn"),"OK",IF(G291="","Date assessed needed",IF(C291="","Date of birth needed",IF(COUNTA(L291,M291,P291,U291,V291,X291)&lt;6,"Band missing",IF(AND(OR(J291="Decision confirmed",J291="Family told",J291="Enrolled"),AG291=""),"Recommendation needed",IF(AND(OR(J291="Family told",J291="Enrolled"),AJ291=""),"Date family told needed","OK"))))))))</f>
        <v/>
      </c>
    </row>
    <row r="292" customFormat="false" ht="15" hidden="false" customHeight="false" outlineLevel="0" collapsed="false">
      <c r="A292" s="7"/>
      <c r="B292" s="7"/>
      <c r="C292" s="46"/>
      <c r="D292" s="7"/>
      <c r="E292" s="47"/>
      <c r="F292" s="46"/>
      <c r="G292" s="46"/>
      <c r="H292" s="7"/>
      <c r="I292" s="7"/>
      <c r="J292" s="47"/>
      <c r="K292" s="47"/>
      <c r="L292" s="47"/>
      <c r="M292" s="47"/>
      <c r="N292" s="47"/>
      <c r="O292" s="10"/>
      <c r="P292" s="47"/>
      <c r="Q292" s="47"/>
      <c r="R292" s="48" t="str">
        <f aca="false">IF(Q292="","",IF(Q292=0,"below 5:00",IF(Q292&gt;=66,"16:00 or above",INT((60+2*Q292)/12)&amp;":"&amp;TEXT(MOD(60+2*Q292,12),"00"))))</f>
        <v/>
      </c>
      <c r="S292" s="47"/>
      <c r="T292" s="47"/>
      <c r="U292" s="47"/>
      <c r="V292" s="47"/>
      <c r="W292" s="47"/>
      <c r="X292" s="47"/>
      <c r="Y292" s="47"/>
      <c r="Z292" s="47"/>
      <c r="AA292" s="10"/>
      <c r="AB292" s="10"/>
      <c r="AC292" s="47"/>
      <c r="AD292" s="47"/>
      <c r="AE292" s="47"/>
      <c r="AF292" s="47"/>
      <c r="AG292" s="47"/>
      <c r="AH292" s="47"/>
      <c r="AI292" s="46"/>
      <c r="AJ292" s="46"/>
      <c r="AK292" s="46"/>
      <c r="AL292" s="7"/>
      <c r="AM292" s="49" t="str">
        <f aca="false">IF(OR(C292="",G292=""),"",IFERROR(DATEDIF(C292,G292,"m"),""))</f>
        <v/>
      </c>
      <c r="AN292" s="49" t="str">
        <f aca="false">IF(OR(Q292="",AM292=""),"",60+2*Q292-AM292)</f>
        <v/>
      </c>
      <c r="AO292" s="49" t="str">
        <f aca="false">IF(OR(G292="",AJ292=""),"",AJ292-G292)</f>
        <v/>
      </c>
      <c r="AP292" s="50" t="str">
        <f aca="false">IF(AND(A292="",B292=""),"",IF(J292="","Status needed",IF(OR(J292="Applied",J292="Visit booked",J292="Withdrawn"),"OK",IF(G292="","Date assessed needed",IF(C292="","Date of birth needed",IF(COUNTA(L292,M292,P292,U292,V292,X292)&lt;6,"Band missing",IF(AND(OR(J292="Decision confirmed",J292="Family told",J292="Enrolled"),AG292=""),"Recommendation needed",IF(AND(OR(J292="Family told",J292="Enrolled"),AJ292=""),"Date family told needed","OK"))))))))</f>
        <v/>
      </c>
    </row>
    <row r="293" customFormat="false" ht="15" hidden="false" customHeight="false" outlineLevel="0" collapsed="false">
      <c r="A293" s="7"/>
      <c r="B293" s="7"/>
      <c r="C293" s="46"/>
      <c r="D293" s="7"/>
      <c r="E293" s="47"/>
      <c r="F293" s="46"/>
      <c r="G293" s="46"/>
      <c r="H293" s="7"/>
      <c r="I293" s="7"/>
      <c r="J293" s="47"/>
      <c r="K293" s="47"/>
      <c r="L293" s="47"/>
      <c r="M293" s="47"/>
      <c r="N293" s="47"/>
      <c r="O293" s="10"/>
      <c r="P293" s="47"/>
      <c r="Q293" s="47"/>
      <c r="R293" s="48" t="str">
        <f aca="false">IF(Q293="","",IF(Q293=0,"below 5:00",IF(Q293&gt;=66,"16:00 or above",INT((60+2*Q293)/12)&amp;":"&amp;TEXT(MOD(60+2*Q293,12),"00"))))</f>
        <v/>
      </c>
      <c r="S293" s="47"/>
      <c r="T293" s="47"/>
      <c r="U293" s="47"/>
      <c r="V293" s="47"/>
      <c r="W293" s="47"/>
      <c r="X293" s="47"/>
      <c r="Y293" s="47"/>
      <c r="Z293" s="47"/>
      <c r="AA293" s="10"/>
      <c r="AB293" s="10"/>
      <c r="AC293" s="47"/>
      <c r="AD293" s="47"/>
      <c r="AE293" s="47"/>
      <c r="AF293" s="47"/>
      <c r="AG293" s="47"/>
      <c r="AH293" s="47"/>
      <c r="AI293" s="46"/>
      <c r="AJ293" s="46"/>
      <c r="AK293" s="46"/>
      <c r="AL293" s="7"/>
      <c r="AM293" s="49" t="str">
        <f aca="false">IF(OR(C293="",G293=""),"",IFERROR(DATEDIF(C293,G293,"m"),""))</f>
        <v/>
      </c>
      <c r="AN293" s="49" t="str">
        <f aca="false">IF(OR(Q293="",AM293=""),"",60+2*Q293-AM293)</f>
        <v/>
      </c>
      <c r="AO293" s="49" t="str">
        <f aca="false">IF(OR(G293="",AJ293=""),"",AJ293-G293)</f>
        <v/>
      </c>
      <c r="AP293" s="50" t="str">
        <f aca="false">IF(AND(A293="",B293=""),"",IF(J293="","Status needed",IF(OR(J293="Applied",J293="Visit booked",J293="Withdrawn"),"OK",IF(G293="","Date assessed needed",IF(C293="","Date of birth needed",IF(COUNTA(L293,M293,P293,U293,V293,X293)&lt;6,"Band missing",IF(AND(OR(J293="Decision confirmed",J293="Family told",J293="Enrolled"),AG293=""),"Recommendation needed",IF(AND(OR(J293="Family told",J293="Enrolled"),AJ293=""),"Date family told needed","OK"))))))))</f>
        <v/>
      </c>
    </row>
    <row r="294" customFormat="false" ht="15" hidden="false" customHeight="false" outlineLevel="0" collapsed="false">
      <c r="A294" s="7"/>
      <c r="B294" s="7"/>
      <c r="C294" s="46"/>
      <c r="D294" s="7"/>
      <c r="E294" s="47"/>
      <c r="F294" s="46"/>
      <c r="G294" s="46"/>
      <c r="H294" s="7"/>
      <c r="I294" s="7"/>
      <c r="J294" s="47"/>
      <c r="K294" s="47"/>
      <c r="L294" s="47"/>
      <c r="M294" s="47"/>
      <c r="N294" s="47"/>
      <c r="O294" s="10"/>
      <c r="P294" s="47"/>
      <c r="Q294" s="47"/>
      <c r="R294" s="48" t="str">
        <f aca="false">IF(Q294="","",IF(Q294=0,"below 5:00",IF(Q294&gt;=66,"16:00 or above",INT((60+2*Q294)/12)&amp;":"&amp;TEXT(MOD(60+2*Q294,12),"00"))))</f>
        <v/>
      </c>
      <c r="S294" s="47"/>
      <c r="T294" s="47"/>
      <c r="U294" s="47"/>
      <c r="V294" s="47"/>
      <c r="W294" s="47"/>
      <c r="X294" s="47"/>
      <c r="Y294" s="47"/>
      <c r="Z294" s="47"/>
      <c r="AA294" s="10"/>
      <c r="AB294" s="10"/>
      <c r="AC294" s="47"/>
      <c r="AD294" s="47"/>
      <c r="AE294" s="47"/>
      <c r="AF294" s="47"/>
      <c r="AG294" s="47"/>
      <c r="AH294" s="47"/>
      <c r="AI294" s="46"/>
      <c r="AJ294" s="46"/>
      <c r="AK294" s="46"/>
      <c r="AL294" s="7"/>
      <c r="AM294" s="49" t="str">
        <f aca="false">IF(OR(C294="",G294=""),"",IFERROR(DATEDIF(C294,G294,"m"),""))</f>
        <v/>
      </c>
      <c r="AN294" s="49" t="str">
        <f aca="false">IF(OR(Q294="",AM294=""),"",60+2*Q294-AM294)</f>
        <v/>
      </c>
      <c r="AO294" s="49" t="str">
        <f aca="false">IF(OR(G294="",AJ294=""),"",AJ294-G294)</f>
        <v/>
      </c>
      <c r="AP294" s="50" t="str">
        <f aca="false">IF(AND(A294="",B294=""),"",IF(J294="","Status needed",IF(OR(J294="Applied",J294="Visit booked",J294="Withdrawn"),"OK",IF(G294="","Date assessed needed",IF(C294="","Date of birth needed",IF(COUNTA(L294,M294,P294,U294,V294,X294)&lt;6,"Band missing",IF(AND(OR(J294="Decision confirmed",J294="Family told",J294="Enrolled"),AG294=""),"Recommendation needed",IF(AND(OR(J294="Family told",J294="Enrolled"),AJ294=""),"Date family told needed","OK"))))))))</f>
        <v/>
      </c>
    </row>
    <row r="295" customFormat="false" ht="15" hidden="false" customHeight="false" outlineLevel="0" collapsed="false">
      <c r="A295" s="7"/>
      <c r="B295" s="7"/>
      <c r="C295" s="46"/>
      <c r="D295" s="7"/>
      <c r="E295" s="47"/>
      <c r="F295" s="46"/>
      <c r="G295" s="46"/>
      <c r="H295" s="7"/>
      <c r="I295" s="7"/>
      <c r="J295" s="47"/>
      <c r="K295" s="47"/>
      <c r="L295" s="47"/>
      <c r="M295" s="47"/>
      <c r="N295" s="47"/>
      <c r="O295" s="10"/>
      <c r="P295" s="47"/>
      <c r="Q295" s="47"/>
      <c r="R295" s="48" t="str">
        <f aca="false">IF(Q295="","",IF(Q295=0,"below 5:00",IF(Q295&gt;=66,"16:00 or above",INT((60+2*Q295)/12)&amp;":"&amp;TEXT(MOD(60+2*Q295,12),"00"))))</f>
        <v/>
      </c>
      <c r="S295" s="47"/>
      <c r="T295" s="47"/>
      <c r="U295" s="47"/>
      <c r="V295" s="47"/>
      <c r="W295" s="47"/>
      <c r="X295" s="47"/>
      <c r="Y295" s="47"/>
      <c r="Z295" s="47"/>
      <c r="AA295" s="10"/>
      <c r="AB295" s="10"/>
      <c r="AC295" s="47"/>
      <c r="AD295" s="47"/>
      <c r="AE295" s="47"/>
      <c r="AF295" s="47"/>
      <c r="AG295" s="47"/>
      <c r="AH295" s="47"/>
      <c r="AI295" s="46"/>
      <c r="AJ295" s="46"/>
      <c r="AK295" s="46"/>
      <c r="AL295" s="7"/>
      <c r="AM295" s="49" t="str">
        <f aca="false">IF(OR(C295="",G295=""),"",IFERROR(DATEDIF(C295,G295,"m"),""))</f>
        <v/>
      </c>
      <c r="AN295" s="49" t="str">
        <f aca="false">IF(OR(Q295="",AM295=""),"",60+2*Q295-AM295)</f>
        <v/>
      </c>
      <c r="AO295" s="49" t="str">
        <f aca="false">IF(OR(G295="",AJ295=""),"",AJ295-G295)</f>
        <v/>
      </c>
      <c r="AP295" s="50" t="str">
        <f aca="false">IF(AND(A295="",B295=""),"",IF(J295="","Status needed",IF(OR(J295="Applied",J295="Visit booked",J295="Withdrawn"),"OK",IF(G295="","Date assessed needed",IF(C295="","Date of birth needed",IF(COUNTA(L295,M295,P295,U295,V295,X295)&lt;6,"Band missing",IF(AND(OR(J295="Decision confirmed",J295="Family told",J295="Enrolled"),AG295=""),"Recommendation needed",IF(AND(OR(J295="Family told",J295="Enrolled"),AJ295=""),"Date family told needed","OK"))))))))</f>
        <v/>
      </c>
    </row>
    <row r="296" customFormat="false" ht="15" hidden="false" customHeight="false" outlineLevel="0" collapsed="false">
      <c r="A296" s="7"/>
      <c r="B296" s="7"/>
      <c r="C296" s="46"/>
      <c r="D296" s="7"/>
      <c r="E296" s="47"/>
      <c r="F296" s="46"/>
      <c r="G296" s="46"/>
      <c r="H296" s="7"/>
      <c r="I296" s="7"/>
      <c r="J296" s="47"/>
      <c r="K296" s="47"/>
      <c r="L296" s="47"/>
      <c r="M296" s="47"/>
      <c r="N296" s="47"/>
      <c r="O296" s="10"/>
      <c r="P296" s="47"/>
      <c r="Q296" s="47"/>
      <c r="R296" s="48" t="str">
        <f aca="false">IF(Q296="","",IF(Q296=0,"below 5:00",IF(Q296&gt;=66,"16:00 or above",INT((60+2*Q296)/12)&amp;":"&amp;TEXT(MOD(60+2*Q296,12),"00"))))</f>
        <v/>
      </c>
      <c r="S296" s="47"/>
      <c r="T296" s="47"/>
      <c r="U296" s="47"/>
      <c r="V296" s="47"/>
      <c r="W296" s="47"/>
      <c r="X296" s="47"/>
      <c r="Y296" s="47"/>
      <c r="Z296" s="47"/>
      <c r="AA296" s="10"/>
      <c r="AB296" s="10"/>
      <c r="AC296" s="47"/>
      <c r="AD296" s="47"/>
      <c r="AE296" s="47"/>
      <c r="AF296" s="47"/>
      <c r="AG296" s="47"/>
      <c r="AH296" s="47"/>
      <c r="AI296" s="46"/>
      <c r="AJ296" s="46"/>
      <c r="AK296" s="46"/>
      <c r="AL296" s="7"/>
      <c r="AM296" s="49" t="str">
        <f aca="false">IF(OR(C296="",G296=""),"",IFERROR(DATEDIF(C296,G296,"m"),""))</f>
        <v/>
      </c>
      <c r="AN296" s="49" t="str">
        <f aca="false">IF(OR(Q296="",AM296=""),"",60+2*Q296-AM296)</f>
        <v/>
      </c>
      <c r="AO296" s="49" t="str">
        <f aca="false">IF(OR(G296="",AJ296=""),"",AJ296-G296)</f>
        <v/>
      </c>
      <c r="AP296" s="50" t="str">
        <f aca="false">IF(AND(A296="",B296=""),"",IF(J296="","Status needed",IF(OR(J296="Applied",J296="Visit booked",J296="Withdrawn"),"OK",IF(G296="","Date assessed needed",IF(C296="","Date of birth needed",IF(COUNTA(L296,M296,P296,U296,V296,X296)&lt;6,"Band missing",IF(AND(OR(J296="Decision confirmed",J296="Family told",J296="Enrolled"),AG296=""),"Recommendation needed",IF(AND(OR(J296="Family told",J296="Enrolled"),AJ296=""),"Date family told needed","OK"))))))))</f>
        <v/>
      </c>
    </row>
    <row r="297" customFormat="false" ht="15" hidden="false" customHeight="false" outlineLevel="0" collapsed="false">
      <c r="A297" s="7"/>
      <c r="B297" s="7"/>
      <c r="C297" s="46"/>
      <c r="D297" s="7"/>
      <c r="E297" s="47"/>
      <c r="F297" s="46"/>
      <c r="G297" s="46"/>
      <c r="H297" s="7"/>
      <c r="I297" s="7"/>
      <c r="J297" s="47"/>
      <c r="K297" s="47"/>
      <c r="L297" s="47"/>
      <c r="M297" s="47"/>
      <c r="N297" s="47"/>
      <c r="O297" s="10"/>
      <c r="P297" s="47"/>
      <c r="Q297" s="47"/>
      <c r="R297" s="48" t="str">
        <f aca="false">IF(Q297="","",IF(Q297=0,"below 5:00",IF(Q297&gt;=66,"16:00 or above",INT((60+2*Q297)/12)&amp;":"&amp;TEXT(MOD(60+2*Q297,12),"00"))))</f>
        <v/>
      </c>
      <c r="S297" s="47"/>
      <c r="T297" s="47"/>
      <c r="U297" s="47"/>
      <c r="V297" s="47"/>
      <c r="W297" s="47"/>
      <c r="X297" s="47"/>
      <c r="Y297" s="47"/>
      <c r="Z297" s="47"/>
      <c r="AA297" s="10"/>
      <c r="AB297" s="10"/>
      <c r="AC297" s="47"/>
      <c r="AD297" s="47"/>
      <c r="AE297" s="47"/>
      <c r="AF297" s="47"/>
      <c r="AG297" s="47"/>
      <c r="AH297" s="47"/>
      <c r="AI297" s="46"/>
      <c r="AJ297" s="46"/>
      <c r="AK297" s="46"/>
      <c r="AL297" s="7"/>
      <c r="AM297" s="49" t="str">
        <f aca="false">IF(OR(C297="",G297=""),"",IFERROR(DATEDIF(C297,G297,"m"),""))</f>
        <v/>
      </c>
      <c r="AN297" s="49" t="str">
        <f aca="false">IF(OR(Q297="",AM297=""),"",60+2*Q297-AM297)</f>
        <v/>
      </c>
      <c r="AO297" s="49" t="str">
        <f aca="false">IF(OR(G297="",AJ297=""),"",AJ297-G297)</f>
        <v/>
      </c>
      <c r="AP297" s="50" t="str">
        <f aca="false">IF(AND(A297="",B297=""),"",IF(J297="","Status needed",IF(OR(J297="Applied",J297="Visit booked",J297="Withdrawn"),"OK",IF(G297="","Date assessed needed",IF(C297="","Date of birth needed",IF(COUNTA(L297,M297,P297,U297,V297,X297)&lt;6,"Band missing",IF(AND(OR(J297="Decision confirmed",J297="Family told",J297="Enrolled"),AG297=""),"Recommendation needed",IF(AND(OR(J297="Family told",J297="Enrolled"),AJ297=""),"Date family told needed","OK"))))))))</f>
        <v/>
      </c>
    </row>
    <row r="298" customFormat="false" ht="15" hidden="false" customHeight="false" outlineLevel="0" collapsed="false">
      <c r="A298" s="7"/>
      <c r="B298" s="7"/>
      <c r="C298" s="46"/>
      <c r="D298" s="7"/>
      <c r="E298" s="47"/>
      <c r="F298" s="46"/>
      <c r="G298" s="46"/>
      <c r="H298" s="7"/>
      <c r="I298" s="7"/>
      <c r="J298" s="47"/>
      <c r="K298" s="47"/>
      <c r="L298" s="47"/>
      <c r="M298" s="47"/>
      <c r="N298" s="47"/>
      <c r="O298" s="10"/>
      <c r="P298" s="47"/>
      <c r="Q298" s="47"/>
      <c r="R298" s="48" t="str">
        <f aca="false">IF(Q298="","",IF(Q298=0,"below 5:00",IF(Q298&gt;=66,"16:00 or above",INT((60+2*Q298)/12)&amp;":"&amp;TEXT(MOD(60+2*Q298,12),"00"))))</f>
        <v/>
      </c>
      <c r="S298" s="47"/>
      <c r="T298" s="47"/>
      <c r="U298" s="47"/>
      <c r="V298" s="47"/>
      <c r="W298" s="47"/>
      <c r="X298" s="47"/>
      <c r="Y298" s="47"/>
      <c r="Z298" s="47"/>
      <c r="AA298" s="10"/>
      <c r="AB298" s="10"/>
      <c r="AC298" s="47"/>
      <c r="AD298" s="47"/>
      <c r="AE298" s="47"/>
      <c r="AF298" s="47"/>
      <c r="AG298" s="47"/>
      <c r="AH298" s="47"/>
      <c r="AI298" s="46"/>
      <c r="AJ298" s="46"/>
      <c r="AK298" s="46"/>
      <c r="AL298" s="7"/>
      <c r="AM298" s="49" t="str">
        <f aca="false">IF(OR(C298="",G298=""),"",IFERROR(DATEDIF(C298,G298,"m"),""))</f>
        <v/>
      </c>
      <c r="AN298" s="49" t="str">
        <f aca="false">IF(OR(Q298="",AM298=""),"",60+2*Q298-AM298)</f>
        <v/>
      </c>
      <c r="AO298" s="49" t="str">
        <f aca="false">IF(OR(G298="",AJ298=""),"",AJ298-G298)</f>
        <v/>
      </c>
      <c r="AP298" s="50" t="str">
        <f aca="false">IF(AND(A298="",B298=""),"",IF(J298="","Status needed",IF(OR(J298="Applied",J298="Visit booked",J298="Withdrawn"),"OK",IF(G298="","Date assessed needed",IF(C298="","Date of birth needed",IF(COUNTA(L298,M298,P298,U298,V298,X298)&lt;6,"Band missing",IF(AND(OR(J298="Decision confirmed",J298="Family told",J298="Enrolled"),AG298=""),"Recommendation needed",IF(AND(OR(J298="Family told",J298="Enrolled"),AJ298=""),"Date family told needed","OK"))))))))</f>
        <v/>
      </c>
    </row>
    <row r="299" customFormat="false" ht="15" hidden="false" customHeight="false" outlineLevel="0" collapsed="false">
      <c r="A299" s="7"/>
      <c r="B299" s="7"/>
      <c r="C299" s="46"/>
      <c r="D299" s="7"/>
      <c r="E299" s="47"/>
      <c r="F299" s="46"/>
      <c r="G299" s="46"/>
      <c r="H299" s="7"/>
      <c r="I299" s="7"/>
      <c r="J299" s="47"/>
      <c r="K299" s="47"/>
      <c r="L299" s="47"/>
      <c r="M299" s="47"/>
      <c r="N299" s="47"/>
      <c r="O299" s="10"/>
      <c r="P299" s="47"/>
      <c r="Q299" s="47"/>
      <c r="R299" s="48" t="str">
        <f aca="false">IF(Q299="","",IF(Q299=0,"below 5:00",IF(Q299&gt;=66,"16:00 or above",INT((60+2*Q299)/12)&amp;":"&amp;TEXT(MOD(60+2*Q299,12),"00"))))</f>
        <v/>
      </c>
      <c r="S299" s="47"/>
      <c r="T299" s="47"/>
      <c r="U299" s="47"/>
      <c r="V299" s="47"/>
      <c r="W299" s="47"/>
      <c r="X299" s="47"/>
      <c r="Y299" s="47"/>
      <c r="Z299" s="47"/>
      <c r="AA299" s="10"/>
      <c r="AB299" s="10"/>
      <c r="AC299" s="47"/>
      <c r="AD299" s="47"/>
      <c r="AE299" s="47"/>
      <c r="AF299" s="47"/>
      <c r="AG299" s="47"/>
      <c r="AH299" s="47"/>
      <c r="AI299" s="46"/>
      <c r="AJ299" s="46"/>
      <c r="AK299" s="46"/>
      <c r="AL299" s="7"/>
      <c r="AM299" s="49" t="str">
        <f aca="false">IF(OR(C299="",G299=""),"",IFERROR(DATEDIF(C299,G299,"m"),""))</f>
        <v/>
      </c>
      <c r="AN299" s="49" t="str">
        <f aca="false">IF(OR(Q299="",AM299=""),"",60+2*Q299-AM299)</f>
        <v/>
      </c>
      <c r="AO299" s="49" t="str">
        <f aca="false">IF(OR(G299="",AJ299=""),"",AJ299-G299)</f>
        <v/>
      </c>
      <c r="AP299" s="50" t="str">
        <f aca="false">IF(AND(A299="",B299=""),"",IF(J299="","Status needed",IF(OR(J299="Applied",J299="Visit booked",J299="Withdrawn"),"OK",IF(G299="","Date assessed needed",IF(C299="","Date of birth needed",IF(COUNTA(L299,M299,P299,U299,V299,X299)&lt;6,"Band missing",IF(AND(OR(J299="Decision confirmed",J299="Family told",J299="Enrolled"),AG299=""),"Recommendation needed",IF(AND(OR(J299="Family told",J299="Enrolled"),AJ299=""),"Date family told needed","OK"))))))))</f>
        <v/>
      </c>
    </row>
    <row r="300" customFormat="false" ht="15" hidden="false" customHeight="false" outlineLevel="0" collapsed="false">
      <c r="A300" s="7"/>
      <c r="B300" s="7"/>
      <c r="C300" s="46"/>
      <c r="D300" s="7"/>
      <c r="E300" s="47"/>
      <c r="F300" s="46"/>
      <c r="G300" s="46"/>
      <c r="H300" s="7"/>
      <c r="I300" s="7"/>
      <c r="J300" s="47"/>
      <c r="K300" s="47"/>
      <c r="L300" s="47"/>
      <c r="M300" s="47"/>
      <c r="N300" s="47"/>
      <c r="O300" s="10"/>
      <c r="P300" s="47"/>
      <c r="Q300" s="47"/>
      <c r="R300" s="48" t="str">
        <f aca="false">IF(Q300="","",IF(Q300=0,"below 5:00",IF(Q300&gt;=66,"16:00 or above",INT((60+2*Q300)/12)&amp;":"&amp;TEXT(MOD(60+2*Q300,12),"00"))))</f>
        <v/>
      </c>
      <c r="S300" s="47"/>
      <c r="T300" s="47"/>
      <c r="U300" s="47"/>
      <c r="V300" s="47"/>
      <c r="W300" s="47"/>
      <c r="X300" s="47"/>
      <c r="Y300" s="47"/>
      <c r="Z300" s="47"/>
      <c r="AA300" s="10"/>
      <c r="AB300" s="10"/>
      <c r="AC300" s="47"/>
      <c r="AD300" s="47"/>
      <c r="AE300" s="47"/>
      <c r="AF300" s="47"/>
      <c r="AG300" s="47"/>
      <c r="AH300" s="47"/>
      <c r="AI300" s="46"/>
      <c r="AJ300" s="46"/>
      <c r="AK300" s="46"/>
      <c r="AL300" s="7"/>
      <c r="AM300" s="49" t="str">
        <f aca="false">IF(OR(C300="",G300=""),"",IFERROR(DATEDIF(C300,G300,"m"),""))</f>
        <v/>
      </c>
      <c r="AN300" s="49" t="str">
        <f aca="false">IF(OR(Q300="",AM300=""),"",60+2*Q300-AM300)</f>
        <v/>
      </c>
      <c r="AO300" s="49" t="str">
        <f aca="false">IF(OR(G300="",AJ300=""),"",AJ300-G300)</f>
        <v/>
      </c>
      <c r="AP300" s="50" t="str">
        <f aca="false">IF(AND(A300="",B300=""),"",IF(J300="","Status needed",IF(OR(J300="Applied",J300="Visit booked",J300="Withdrawn"),"OK",IF(G300="","Date assessed needed",IF(C300="","Date of birth needed",IF(COUNTA(L300,M300,P300,U300,V300,X300)&lt;6,"Band missing",IF(AND(OR(J300="Decision confirmed",J300="Family told",J300="Enrolled"),AG300=""),"Recommendation needed",IF(AND(OR(J300="Family told",J300="Enrolled"),AJ300=""),"Date family told needed","OK"))))))))</f>
        <v/>
      </c>
    </row>
    <row r="301" customFormat="false" ht="15" hidden="false" customHeight="false" outlineLevel="0" collapsed="false">
      <c r="A301" s="7"/>
      <c r="B301" s="7"/>
      <c r="C301" s="46"/>
      <c r="D301" s="7"/>
      <c r="E301" s="47"/>
      <c r="F301" s="46"/>
      <c r="G301" s="46"/>
      <c r="H301" s="7"/>
      <c r="I301" s="7"/>
      <c r="J301" s="47"/>
      <c r="K301" s="47"/>
      <c r="L301" s="47"/>
      <c r="M301" s="47"/>
      <c r="N301" s="47"/>
      <c r="O301" s="10"/>
      <c r="P301" s="47"/>
      <c r="Q301" s="47"/>
      <c r="R301" s="48" t="str">
        <f aca="false">IF(Q301="","",IF(Q301=0,"below 5:00",IF(Q301&gt;=66,"16:00 or above",INT((60+2*Q301)/12)&amp;":"&amp;TEXT(MOD(60+2*Q301,12),"00"))))</f>
        <v/>
      </c>
      <c r="S301" s="47"/>
      <c r="T301" s="47"/>
      <c r="U301" s="47"/>
      <c r="V301" s="47"/>
      <c r="W301" s="47"/>
      <c r="X301" s="47"/>
      <c r="Y301" s="47"/>
      <c r="Z301" s="47"/>
      <c r="AA301" s="10"/>
      <c r="AB301" s="10"/>
      <c r="AC301" s="47"/>
      <c r="AD301" s="47"/>
      <c r="AE301" s="47"/>
      <c r="AF301" s="47"/>
      <c r="AG301" s="47"/>
      <c r="AH301" s="47"/>
      <c r="AI301" s="46"/>
      <c r="AJ301" s="46"/>
      <c r="AK301" s="46"/>
      <c r="AL301" s="7"/>
      <c r="AM301" s="49" t="str">
        <f aca="false">IF(OR(C301="",G301=""),"",IFERROR(DATEDIF(C301,G301,"m"),""))</f>
        <v/>
      </c>
      <c r="AN301" s="49" t="str">
        <f aca="false">IF(OR(Q301="",AM301=""),"",60+2*Q301-AM301)</f>
        <v/>
      </c>
      <c r="AO301" s="49" t="str">
        <f aca="false">IF(OR(G301="",AJ301=""),"",AJ301-G301)</f>
        <v/>
      </c>
      <c r="AP301" s="50" t="str">
        <f aca="false">IF(AND(A301="",B301=""),"",IF(J301="","Status needed",IF(OR(J301="Applied",J301="Visit booked",J301="Withdrawn"),"OK",IF(G301="","Date assessed needed",IF(C301="","Date of birth needed",IF(COUNTA(L301,M301,P301,U301,V301,X301)&lt;6,"Band missing",IF(AND(OR(J301="Decision confirmed",J301="Family told",J301="Enrolled"),AG301=""),"Recommendation needed",IF(AND(OR(J301="Family told",J301="Enrolled"),AJ301=""),"Date family told needed","OK"))))))))</f>
        <v/>
      </c>
    </row>
    <row r="302" customFormat="false" ht="15" hidden="false" customHeight="false" outlineLevel="0" collapsed="false">
      <c r="A302" s="7"/>
      <c r="B302" s="7"/>
      <c r="C302" s="46"/>
      <c r="D302" s="7"/>
      <c r="E302" s="47"/>
      <c r="F302" s="46"/>
      <c r="G302" s="46"/>
      <c r="H302" s="7"/>
      <c r="I302" s="7"/>
      <c r="J302" s="47"/>
      <c r="K302" s="47"/>
      <c r="L302" s="47"/>
      <c r="M302" s="47"/>
      <c r="N302" s="47"/>
      <c r="O302" s="10"/>
      <c r="P302" s="47"/>
      <c r="Q302" s="47"/>
      <c r="R302" s="48" t="str">
        <f aca="false">IF(Q302="","",IF(Q302=0,"below 5:00",IF(Q302&gt;=66,"16:00 or above",INT((60+2*Q302)/12)&amp;":"&amp;TEXT(MOD(60+2*Q302,12),"00"))))</f>
        <v/>
      </c>
      <c r="S302" s="47"/>
      <c r="T302" s="47"/>
      <c r="U302" s="47"/>
      <c r="V302" s="47"/>
      <c r="W302" s="47"/>
      <c r="X302" s="47"/>
      <c r="Y302" s="47"/>
      <c r="Z302" s="47"/>
      <c r="AA302" s="10"/>
      <c r="AB302" s="10"/>
      <c r="AC302" s="47"/>
      <c r="AD302" s="47"/>
      <c r="AE302" s="47"/>
      <c r="AF302" s="47"/>
      <c r="AG302" s="47"/>
      <c r="AH302" s="47"/>
      <c r="AI302" s="46"/>
      <c r="AJ302" s="46"/>
      <c r="AK302" s="46"/>
      <c r="AL302" s="7"/>
      <c r="AM302" s="49" t="str">
        <f aca="false">IF(OR(C302="",G302=""),"",IFERROR(DATEDIF(C302,G302,"m"),""))</f>
        <v/>
      </c>
      <c r="AN302" s="49" t="str">
        <f aca="false">IF(OR(Q302="",AM302=""),"",60+2*Q302-AM302)</f>
        <v/>
      </c>
      <c r="AO302" s="49" t="str">
        <f aca="false">IF(OR(G302="",AJ302=""),"",AJ302-G302)</f>
        <v/>
      </c>
      <c r="AP302" s="50" t="str">
        <f aca="false">IF(AND(A302="",B302=""),"",IF(J302="","Status needed",IF(OR(J302="Applied",J302="Visit booked",J302="Withdrawn"),"OK",IF(G302="","Date assessed needed",IF(C302="","Date of birth needed",IF(COUNTA(L302,M302,P302,U302,V302,X302)&lt;6,"Band missing",IF(AND(OR(J302="Decision confirmed",J302="Family told",J302="Enrolled"),AG302=""),"Recommendation needed",IF(AND(OR(J302="Family told",J302="Enrolled"),AJ302=""),"Date family told needed","OK"))))))))</f>
        <v/>
      </c>
    </row>
    <row r="303" customFormat="false" ht="15" hidden="false" customHeight="false" outlineLevel="0" collapsed="false">
      <c r="A303" s="7"/>
      <c r="B303" s="7"/>
      <c r="C303" s="46"/>
      <c r="D303" s="7"/>
      <c r="E303" s="47"/>
      <c r="F303" s="46"/>
      <c r="G303" s="46"/>
      <c r="H303" s="7"/>
      <c r="I303" s="7"/>
      <c r="J303" s="47"/>
      <c r="K303" s="47"/>
      <c r="L303" s="47"/>
      <c r="M303" s="47"/>
      <c r="N303" s="47"/>
      <c r="O303" s="10"/>
      <c r="P303" s="47"/>
      <c r="Q303" s="47"/>
      <c r="R303" s="48" t="str">
        <f aca="false">IF(Q303="","",IF(Q303=0,"below 5:00",IF(Q303&gt;=66,"16:00 or above",INT((60+2*Q303)/12)&amp;":"&amp;TEXT(MOD(60+2*Q303,12),"00"))))</f>
        <v/>
      </c>
      <c r="S303" s="47"/>
      <c r="T303" s="47"/>
      <c r="U303" s="47"/>
      <c r="V303" s="47"/>
      <c r="W303" s="47"/>
      <c r="X303" s="47"/>
      <c r="Y303" s="47"/>
      <c r="Z303" s="47"/>
      <c r="AA303" s="10"/>
      <c r="AB303" s="10"/>
      <c r="AC303" s="47"/>
      <c r="AD303" s="47"/>
      <c r="AE303" s="47"/>
      <c r="AF303" s="47"/>
      <c r="AG303" s="47"/>
      <c r="AH303" s="47"/>
      <c r="AI303" s="46"/>
      <c r="AJ303" s="46"/>
      <c r="AK303" s="46"/>
      <c r="AL303" s="7"/>
      <c r="AM303" s="49" t="str">
        <f aca="false">IF(OR(C303="",G303=""),"",IFERROR(DATEDIF(C303,G303,"m"),""))</f>
        <v/>
      </c>
      <c r="AN303" s="49" t="str">
        <f aca="false">IF(OR(Q303="",AM303=""),"",60+2*Q303-AM303)</f>
        <v/>
      </c>
      <c r="AO303" s="49" t="str">
        <f aca="false">IF(OR(G303="",AJ303=""),"",AJ303-G303)</f>
        <v/>
      </c>
      <c r="AP303" s="50" t="str">
        <f aca="false">IF(AND(A303="",B303=""),"",IF(J303="","Status needed",IF(OR(J303="Applied",J303="Visit booked",J303="Withdrawn"),"OK",IF(G303="","Date assessed needed",IF(C303="","Date of birth needed",IF(COUNTA(L303,M303,P303,U303,V303,X303)&lt;6,"Band missing",IF(AND(OR(J303="Decision confirmed",J303="Family told",J303="Enrolled"),AG303=""),"Recommendation needed",IF(AND(OR(J303="Family told",J303="Enrolled"),AJ303=""),"Date family told needed","OK"))))))))</f>
        <v/>
      </c>
    </row>
    <row r="304" customFormat="false" ht="15" hidden="false" customHeight="false" outlineLevel="0" collapsed="false">
      <c r="A304" s="7"/>
      <c r="B304" s="7"/>
      <c r="C304" s="46"/>
      <c r="D304" s="7"/>
      <c r="E304" s="47"/>
      <c r="F304" s="46"/>
      <c r="G304" s="46"/>
      <c r="H304" s="7"/>
      <c r="I304" s="7"/>
      <c r="J304" s="47"/>
      <c r="K304" s="47"/>
      <c r="L304" s="47"/>
      <c r="M304" s="47"/>
      <c r="N304" s="47"/>
      <c r="O304" s="10"/>
      <c r="P304" s="47"/>
      <c r="Q304" s="47"/>
      <c r="R304" s="48" t="str">
        <f aca="false">IF(Q304="","",IF(Q304=0,"below 5:00",IF(Q304&gt;=66,"16:00 or above",INT((60+2*Q304)/12)&amp;":"&amp;TEXT(MOD(60+2*Q304,12),"00"))))</f>
        <v/>
      </c>
      <c r="S304" s="47"/>
      <c r="T304" s="47"/>
      <c r="U304" s="47"/>
      <c r="V304" s="47"/>
      <c r="W304" s="47"/>
      <c r="X304" s="47"/>
      <c r="Y304" s="47"/>
      <c r="Z304" s="47"/>
      <c r="AA304" s="10"/>
      <c r="AB304" s="10"/>
      <c r="AC304" s="47"/>
      <c r="AD304" s="47"/>
      <c r="AE304" s="47"/>
      <c r="AF304" s="47"/>
      <c r="AG304" s="47"/>
      <c r="AH304" s="47"/>
      <c r="AI304" s="46"/>
      <c r="AJ304" s="46"/>
      <c r="AK304" s="46"/>
      <c r="AL304" s="7"/>
      <c r="AM304" s="49" t="str">
        <f aca="false">IF(OR(C304="",G304=""),"",IFERROR(DATEDIF(C304,G304,"m"),""))</f>
        <v/>
      </c>
      <c r="AN304" s="49" t="str">
        <f aca="false">IF(OR(Q304="",AM304=""),"",60+2*Q304-AM304)</f>
        <v/>
      </c>
      <c r="AO304" s="49" t="str">
        <f aca="false">IF(OR(G304="",AJ304=""),"",AJ304-G304)</f>
        <v/>
      </c>
      <c r="AP304" s="50" t="str">
        <f aca="false">IF(AND(A304="",B304=""),"",IF(J304="","Status needed",IF(OR(J304="Applied",J304="Visit booked",J304="Withdrawn"),"OK",IF(G304="","Date assessed needed",IF(C304="","Date of birth needed",IF(COUNTA(L304,M304,P304,U304,V304,X304)&lt;6,"Band missing",IF(AND(OR(J304="Decision confirmed",J304="Family told",J304="Enrolled"),AG304=""),"Recommendation needed",IF(AND(OR(J304="Family told",J304="Enrolled"),AJ304=""),"Date family told needed","OK"))))))))</f>
        <v/>
      </c>
    </row>
    <row r="305" customFormat="false" ht="15" hidden="false" customHeight="false" outlineLevel="0" collapsed="false">
      <c r="A305" s="7"/>
      <c r="B305" s="7"/>
      <c r="C305" s="46"/>
      <c r="D305" s="7"/>
      <c r="E305" s="47"/>
      <c r="F305" s="46"/>
      <c r="G305" s="46"/>
      <c r="H305" s="7"/>
      <c r="I305" s="7"/>
      <c r="J305" s="47"/>
      <c r="K305" s="47"/>
      <c r="L305" s="47"/>
      <c r="M305" s="47"/>
      <c r="N305" s="47"/>
      <c r="O305" s="10"/>
      <c r="P305" s="47"/>
      <c r="Q305" s="47"/>
      <c r="R305" s="48" t="str">
        <f aca="false">IF(Q305="","",IF(Q305=0,"below 5:00",IF(Q305&gt;=66,"16:00 or above",INT((60+2*Q305)/12)&amp;":"&amp;TEXT(MOD(60+2*Q305,12),"00"))))</f>
        <v/>
      </c>
      <c r="S305" s="47"/>
      <c r="T305" s="47"/>
      <c r="U305" s="47"/>
      <c r="V305" s="47"/>
      <c r="W305" s="47"/>
      <c r="X305" s="47"/>
      <c r="Y305" s="47"/>
      <c r="Z305" s="47"/>
      <c r="AA305" s="10"/>
      <c r="AB305" s="10"/>
      <c r="AC305" s="47"/>
      <c r="AD305" s="47"/>
      <c r="AE305" s="47"/>
      <c r="AF305" s="47"/>
      <c r="AG305" s="47"/>
      <c r="AH305" s="47"/>
      <c r="AI305" s="46"/>
      <c r="AJ305" s="46"/>
      <c r="AK305" s="46"/>
      <c r="AL305" s="7"/>
      <c r="AM305" s="49" t="str">
        <f aca="false">IF(OR(C305="",G305=""),"",IFERROR(DATEDIF(C305,G305,"m"),""))</f>
        <v/>
      </c>
      <c r="AN305" s="49" t="str">
        <f aca="false">IF(OR(Q305="",AM305=""),"",60+2*Q305-AM305)</f>
        <v/>
      </c>
      <c r="AO305" s="49" t="str">
        <f aca="false">IF(OR(G305="",AJ305=""),"",AJ305-G305)</f>
        <v/>
      </c>
      <c r="AP305" s="50" t="str">
        <f aca="false">IF(AND(A305="",B305=""),"",IF(J305="","Status needed",IF(OR(J305="Applied",J305="Visit booked",J305="Withdrawn"),"OK",IF(G305="","Date assessed needed",IF(C305="","Date of birth needed",IF(COUNTA(L305,M305,P305,U305,V305,X305)&lt;6,"Band missing",IF(AND(OR(J305="Decision confirmed",J305="Family told",J305="Enrolled"),AG305=""),"Recommendation needed",IF(AND(OR(J305="Family told",J305="Enrolled"),AJ305=""),"Date family told needed","OK"))))))))</f>
        <v/>
      </c>
    </row>
  </sheetData>
  <autoFilter ref="A5:AP305"/>
  <mergeCells count="7">
    <mergeCell ref="A4:E4"/>
    <mergeCell ref="F4:J4"/>
    <mergeCell ref="K4:V4"/>
    <mergeCell ref="W4:AB4"/>
    <mergeCell ref="AC4:AF4"/>
    <mergeCell ref="AG4:AL4"/>
    <mergeCell ref="AM4:AP4"/>
  </mergeCells>
  <conditionalFormatting sqref="L6:L305">
    <cfRule type="cellIs" priority="2" operator="equal" aboveAverage="0" equalAverage="0" bottom="0" percent="0" rank="0" text="" dxfId="13">
      <formula>"A"</formula>
    </cfRule>
    <cfRule type="cellIs" priority="3" operator="equal" aboveAverage="0" equalAverage="0" bottom="0" percent="0" rank="0" text="" dxfId="14">
      <formula>"B"</formula>
    </cfRule>
    <cfRule type="cellIs" priority="4" operator="equal" aboveAverage="0" equalAverage="0" bottom="0" percent="0" rank="0" text="" dxfId="15">
      <formula>"C"</formula>
    </cfRule>
    <cfRule type="cellIs" priority="5" operator="equal" aboveAverage="0" equalAverage="0" bottom="0" percent="0" rank="0" text="" dxfId="16">
      <formula>"D"</formula>
    </cfRule>
    <cfRule type="cellIs" priority="6" operator="equal" aboveAverage="0" equalAverage="0" bottom="0" percent="0" rank="0" text="" dxfId="17">
      <formula>"E"</formula>
    </cfRule>
  </conditionalFormatting>
  <conditionalFormatting sqref="M6:M305">
    <cfRule type="cellIs" priority="7" operator="equal" aboveAverage="0" equalAverage="0" bottom="0" percent="0" rank="0" text="" dxfId="13">
      <formula>"A"</formula>
    </cfRule>
    <cfRule type="cellIs" priority="8" operator="equal" aboveAverage="0" equalAverage="0" bottom="0" percent="0" rank="0" text="" dxfId="14">
      <formula>"B"</formula>
    </cfRule>
    <cfRule type="cellIs" priority="9" operator="equal" aboveAverage="0" equalAverage="0" bottom="0" percent="0" rank="0" text="" dxfId="15">
      <formula>"C"</formula>
    </cfRule>
    <cfRule type="cellIs" priority="10" operator="equal" aboveAverage="0" equalAverage="0" bottom="0" percent="0" rank="0" text="" dxfId="16">
      <formula>"D"</formula>
    </cfRule>
    <cfRule type="cellIs" priority="11" operator="equal" aboveAverage="0" equalAverage="0" bottom="0" percent="0" rank="0" text="" dxfId="17">
      <formula>"E"</formula>
    </cfRule>
  </conditionalFormatting>
  <conditionalFormatting sqref="P6:P305">
    <cfRule type="cellIs" priority="12" operator="equal" aboveAverage="0" equalAverage="0" bottom="0" percent="0" rank="0" text="" dxfId="13">
      <formula>"A"</formula>
    </cfRule>
    <cfRule type="cellIs" priority="13" operator="equal" aboveAverage="0" equalAverage="0" bottom="0" percent="0" rank="0" text="" dxfId="14">
      <formula>"B"</formula>
    </cfRule>
    <cfRule type="cellIs" priority="14" operator="equal" aboveAverage="0" equalAverage="0" bottom="0" percent="0" rank="0" text="" dxfId="15">
      <formula>"C"</formula>
    </cfRule>
    <cfRule type="cellIs" priority="15" operator="equal" aboveAverage="0" equalAverage="0" bottom="0" percent="0" rank="0" text="" dxfId="16">
      <formula>"D"</formula>
    </cfRule>
    <cfRule type="cellIs" priority="16" operator="equal" aboveAverage="0" equalAverage="0" bottom="0" percent="0" rank="0" text="" dxfId="17">
      <formula>"E"</formula>
    </cfRule>
  </conditionalFormatting>
  <conditionalFormatting sqref="S6:S305">
    <cfRule type="cellIs" priority="17" operator="equal" aboveAverage="0" equalAverage="0" bottom="0" percent="0" rank="0" text="" dxfId="13">
      <formula>"A"</formula>
    </cfRule>
    <cfRule type="cellIs" priority="18" operator="equal" aboveAverage="0" equalAverage="0" bottom="0" percent="0" rank="0" text="" dxfId="14">
      <formula>"B"</formula>
    </cfRule>
    <cfRule type="cellIs" priority="19" operator="equal" aboveAverage="0" equalAverage="0" bottom="0" percent="0" rank="0" text="" dxfId="15">
      <formula>"C"</formula>
    </cfRule>
    <cfRule type="cellIs" priority="20" operator="equal" aboveAverage="0" equalAverage="0" bottom="0" percent="0" rank="0" text="" dxfId="16">
      <formula>"D"</formula>
    </cfRule>
    <cfRule type="cellIs" priority="21" operator="equal" aboveAverage="0" equalAverage="0" bottom="0" percent="0" rank="0" text="" dxfId="17">
      <formula>"E"</formula>
    </cfRule>
  </conditionalFormatting>
  <conditionalFormatting sqref="U6:U305">
    <cfRule type="cellIs" priority="22" operator="equal" aboveAverage="0" equalAverage="0" bottom="0" percent="0" rank="0" text="" dxfId="13">
      <formula>"A"</formula>
    </cfRule>
    <cfRule type="cellIs" priority="23" operator="equal" aboveAverage="0" equalAverage="0" bottom="0" percent="0" rank="0" text="" dxfId="14">
      <formula>"B"</formula>
    </cfRule>
    <cfRule type="cellIs" priority="24" operator="equal" aboveAverage="0" equalAverage="0" bottom="0" percent="0" rank="0" text="" dxfId="15">
      <formula>"C"</formula>
    </cfRule>
    <cfRule type="cellIs" priority="25" operator="equal" aboveAverage="0" equalAverage="0" bottom="0" percent="0" rank="0" text="" dxfId="16">
      <formula>"D"</formula>
    </cfRule>
    <cfRule type="cellIs" priority="26" operator="equal" aboveAverage="0" equalAverage="0" bottom="0" percent="0" rank="0" text="" dxfId="17">
      <formula>"E"</formula>
    </cfRule>
  </conditionalFormatting>
  <conditionalFormatting sqref="V6:V305">
    <cfRule type="cellIs" priority="27" operator="equal" aboveAverage="0" equalAverage="0" bottom="0" percent="0" rank="0" text="" dxfId="13">
      <formula>"A"</formula>
    </cfRule>
    <cfRule type="cellIs" priority="28" operator="equal" aboveAverage="0" equalAverage="0" bottom="0" percent="0" rank="0" text="" dxfId="14">
      <formula>"B"</formula>
    </cfRule>
    <cfRule type="cellIs" priority="29" operator="equal" aboveAverage="0" equalAverage="0" bottom="0" percent="0" rank="0" text="" dxfId="15">
      <formula>"C"</formula>
    </cfRule>
    <cfRule type="cellIs" priority="30" operator="equal" aboveAverage="0" equalAverage="0" bottom="0" percent="0" rank="0" text="" dxfId="16">
      <formula>"D"</formula>
    </cfRule>
    <cfRule type="cellIs" priority="31" operator="equal" aboveAverage="0" equalAverage="0" bottom="0" percent="0" rank="0" text="" dxfId="17">
      <formula>"E"</formula>
    </cfRule>
  </conditionalFormatting>
  <conditionalFormatting sqref="X6:X305">
    <cfRule type="cellIs" priority="32" operator="equal" aboveAverage="0" equalAverage="0" bottom="0" percent="0" rank="0" text="" dxfId="13">
      <formula>1</formula>
    </cfRule>
    <cfRule type="cellIs" priority="33" operator="equal" aboveAverage="0" equalAverage="0" bottom="0" percent="0" rank="0" text="" dxfId="14">
      <formula>2</formula>
    </cfRule>
    <cfRule type="cellIs" priority="34" operator="equal" aboveAverage="0" equalAverage="0" bottom="0" percent="0" rank="0" text="" dxfId="16">
      <formula>3</formula>
    </cfRule>
    <cfRule type="cellIs" priority="35" operator="equal" aboveAverage="0" equalAverage="0" bottom="0" percent="0" rank="0" text="" dxfId="17">
      <formula>4</formula>
    </cfRule>
  </conditionalFormatting>
  <conditionalFormatting sqref="AC6:AC305">
    <cfRule type="cellIs" priority="36" operator="equal" aboveAverage="0" equalAverage="0" bottom="0" percent="0" rank="0" text="" dxfId="13">
      <formula>1</formula>
    </cfRule>
    <cfRule type="cellIs" priority="37" operator="equal" aboveAverage="0" equalAverage="0" bottom="0" percent="0" rank="0" text="" dxfId="14">
      <formula>2</formula>
    </cfRule>
  </conditionalFormatting>
  <conditionalFormatting sqref="AD6:AD305">
    <cfRule type="cellIs" priority="38" operator="equal" aboveAverage="0" equalAverage="0" bottom="0" percent="0" rank="0" text="" dxfId="14">
      <formula>"Y"</formula>
    </cfRule>
  </conditionalFormatting>
  <conditionalFormatting sqref="AE6:AE305">
    <cfRule type="cellIs" priority="39" operator="equal" aboveAverage="0" equalAverage="0" bottom="0" percent="0" rank="0" text="" dxfId="14">
      <formula>"Y"</formula>
    </cfRule>
  </conditionalFormatting>
  <conditionalFormatting sqref="AF6:AF305">
    <cfRule type="cellIs" priority="40" operator="equal" aboveAverage="0" equalAverage="0" bottom="0" percent="0" rank="0" text="" dxfId="14">
      <formula>"Y"</formula>
    </cfRule>
  </conditionalFormatting>
  <conditionalFormatting sqref="Z6:Z305">
    <cfRule type="cellIs" priority="41" operator="equal" aboveAverage="0" equalAverage="0" bottom="0" percent="0" rank="0" text="" dxfId="14">
      <formula>"Yes"</formula>
    </cfRule>
  </conditionalFormatting>
  <conditionalFormatting sqref="AN6:AN305">
    <cfRule type="cellIs" priority="42" operator="lessThanOrEqual" aboveAverage="0" equalAverage="0" bottom="0" percent="0" rank="0" text="" dxfId="14">
      <formula>-12</formula>
    </cfRule>
  </conditionalFormatting>
  <conditionalFormatting sqref="J6:J305">
    <cfRule type="cellIs" priority="43" operator="equal" aboveAverage="0" equalAverage="0" bottom="0" percent="0" rank="0" text="" dxfId="18">
      <formula>"Withdrawn"</formula>
    </cfRule>
  </conditionalFormatting>
  <conditionalFormatting sqref="AP6:AP305">
    <cfRule type="expression" priority="44" aboveAverage="0" equalAverage="0" bottom="0" percent="0" rank="0" text="" dxfId="19">
      <formula>AND(AP6&lt;&gt;"",AP6&lt;&gt;"OK")</formula>
    </cfRule>
    <cfRule type="expression" priority="45" aboveAverage="0" equalAverage="0" bottom="0" percent="0" rank="0" text="" dxfId="20">
      <formula>AP6="OK"</formula>
    </cfRule>
  </conditionalFormatting>
  <dataValidations count="23">
    <dataValidation allowBlank="true" error="Enter a date, day first, for example 14/10/2026." errorStyle="stop" errorTitle="Date" operator="between" showDropDown="false" showErrorMessage="true" showInputMessage="false" sqref="C6:C305 F6:G305 AI6:AK305" type="date">
      <formula1>36526</formula1>
      <formula2>73050</formula2>
    </dataValidation>
    <dataValidation allowBlank="true" error="Enter Y or N, or leave blank." errorStyle="stop" errorTitle="Y or N" operator="between" showDropDown="false" showErrorMessage="true" showInputMessage="false" sqref="E6:E305" type="list">
      <formula1>"Y,N"</formula1>
      <formula2>0</formula2>
    </dataValidation>
    <dataValidation allowBlank="true" error="Choose a status from the list." errorStyle="stop" errorTitle="Status" operator="between" showDropDown="false" showErrorMessage="true" showInputMessage="false" sqref="J6:J305" type="list">
      <formula1>Lists!$A$2:$A$8</formula1>
      <formula2>0</formula2>
    </dataValidation>
    <dataValidation allowBlank="true" error="Enter a whole number from 0 to the maximum shown in row 3 of this column." errorStyle="stop" errorTitle="Score" operator="between" showDropDown="false" showErrorMessage="true" showInputMessage="false" sqref="K6:K305" type="whole">
      <formula1>0</formula1>
      <formula2>$K$3</formula2>
    </dataValidation>
    <dataValidation allowBlank="true" error="Enter a band from the list: A, B, C, D or E." errorStyle="stop" errorTitle="Band" operator="between" showDropDown="false" showErrorMessage="true" showInputMessage="false" sqref="L6:L305" type="list">
      <formula1>"A,B,C,D,E"</formula1>
      <formula2>0</formula2>
    </dataValidation>
    <dataValidation allowBlank="true" error="Enter a band from the list: A, B, C, D or E." errorStyle="stop" errorTitle="Band" operator="between" showDropDown="false" showErrorMessage="true" showInputMessage="false" sqref="M6:M305" type="list">
      <formula1>"A,B,C,D,E"</formula1>
      <formula2>0</formula2>
    </dataValidation>
    <dataValidation allowBlank="true" error="Choose the book band from the list." errorStyle="stop" errorTitle="Book band" operator="between" showDropDown="false" showErrorMessage="true" showInputMessage="false" sqref="N6:N305" type="list">
      <formula1>Lists!$D$2:$D$10</formula1>
      <formula2>0</formula2>
    </dataValidation>
    <dataValidation allowBlank="true" error="Enter a band from the list: A, B, C, D or E." errorStyle="stop" errorTitle="Band" operator="between" showDropDown="false" showErrorMessage="true" showInputMessage="false" sqref="P6:P305" type="list">
      <formula1>"A,B,C,D,E"</formula1>
      <formula2>0</formula2>
    </dataValidation>
    <dataValidation allowBlank="true" error="Enter a whole number from 0 to the maximum shown in row 3 of this column." errorStyle="stop" errorTitle="Score" operator="between" showDropDown="false" showErrorMessage="true" showInputMessage="false" sqref="Q6:Q305" type="whole">
      <formula1>0</formula1>
      <formula2>$Q$3</formula2>
    </dataValidation>
    <dataValidation allowBlank="true" error="Enter a band from the list: A, B, C, D or E." errorStyle="stop" errorTitle="Band" operator="between" showDropDown="false" showErrorMessage="true" showInputMessage="false" sqref="S6:S305" type="list">
      <formula1>"A,B,C,D,E"</formula1>
      <formula2>0</formula2>
    </dataValidation>
    <dataValidation allowBlank="true" error="Enter a whole number from 0 to the maximum shown in row 3 of this column." errorStyle="stop" errorTitle="Score" operator="between" showDropDown="false" showErrorMessage="true" showInputMessage="false" sqref="T6:T305" type="whole">
      <formula1>0</formula1>
      <formula2>$T$3</formula2>
    </dataValidation>
    <dataValidation allowBlank="true" error="Enter a band from the list: A, B, C, D or E." errorStyle="stop" errorTitle="Band" operator="between" showDropDown="false" showErrorMessage="true" showInputMessage="false" sqref="U6:U305" type="list">
      <formula1>"A,B,C,D,E"</formula1>
      <formula2>0</formula2>
    </dataValidation>
    <dataValidation allowBlank="true" error="Enter a band from the list: A, B, C, D or E." errorStyle="stop" errorTitle="Band" operator="between" showDropDown="false" showErrorMessage="true" showInputMessage="false" sqref="V6:V305" type="list">
      <formula1>"A,B,C,D,E"</formula1>
      <formula2>0</formula2>
    </dataValidation>
    <dataValidation allowBlank="true" error="Enter a whole number from 0 to the maximum shown in row 3 of this column." errorStyle="stop" errorTitle="Score" operator="between" showDropDown="false" showErrorMessage="true" showInputMessage="false" sqref="W6:W305" type="whole">
      <formula1>0</formula1>
      <formula2>$W$3</formula2>
    </dataValidation>
    <dataValidation allowBlank="true" error="Enter a band from the list: 1, 2, 3 or 4." errorStyle="stop" errorTitle="Band" operator="between" showDropDown="false" showErrorMessage="true" showInputMessage="false" sqref="X6:X305" type="list">
      <formula1>"1,2,3,4"</formula1>
      <formula2>0</formula2>
    </dataValidation>
    <dataValidation allowBlank="true" error="Enter a whole number from 0 to the maximum shown in row 3 of this column." errorStyle="stop" errorTitle="Score" operator="between" showDropDown="false" showErrorMessage="true" showInputMessage="false" sqref="Y6:Y305" type="whole">
      <formula1>0</formula1>
      <formula2>$Y$3</formula2>
    </dataValidation>
    <dataValidation allowBlank="true" error="Choose Yes, No or Unsure." errorStyle="stop" errorTitle="English barrier in maths" operator="between" showDropDown="false" showErrorMessage="true" showInputMessage="false" sqref="Z6:Z305" type="list">
      <formula1>Lists!$E$2:$E$4</formula1>
      <formula2>0</formula2>
    </dataValidation>
    <dataValidation allowBlank="true" error="Enter the lowest strand rating on the Interview sheet: 1, 2, 3 or 4." errorStyle="stop" errorTitle="Rating" operator="between" showDropDown="false" showErrorMessage="true" showInputMessage="false" sqref="AC6:AC305" type="whole">
      <formula1>1</formula1>
      <formula2>4</formula2>
    </dataValidation>
    <dataValidation allowBlank="true" error="Enter Y or N, or leave blank." errorStyle="stop" errorTitle="Y or N" operator="between" showDropDown="false" showErrorMessage="true" showInputMessage="false" sqref="AD6:AD305" type="list">
      <formula1>"Y,N"</formula1>
      <formula2>0</formula2>
    </dataValidation>
    <dataValidation allowBlank="true" error="Enter Y or N, or leave blank." errorStyle="stop" errorTitle="Y or N" operator="between" showDropDown="false" showErrorMessage="true" showInputMessage="false" sqref="AE6:AE305" type="list">
      <formula1>"Y,N"</formula1>
      <formula2>0</formula2>
    </dataValidation>
    <dataValidation allowBlank="true" error="Enter Y or N, or leave blank." errorStyle="stop" errorTitle="Y or N" operator="between" showDropDown="false" showErrorMessage="true" showInputMessage="false" sqref="AF6:AF305" type="list">
      <formula1>"Y,N"</formula1>
      <formula2>0</formula2>
    </dataValidation>
    <dataValidation allowBlank="true" error="Choose a recommendation from the list." errorStyle="stop" errorTitle="Recommendation" operator="between" showDropDown="false" showErrorMessage="true" showInputMessage="false" sqref="AG6:AG305" type="list">
      <formula1>Lists!$B$2:$B$6</formula1>
      <formula2>0</formula2>
    </dataValidation>
    <dataValidation allowBlank="true" error="Choose a support level from the list." errorStyle="stop" errorTitle="English support level" operator="between" showDropDown="false" showErrorMessage="true" showInputMessage="false" sqref="AH6:AH305" type="list">
      <formula1>Lists!$C$2:$C$5</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78D6"/>
    <pageSetUpPr fitToPage="true"/>
  </sheetPr>
  <dimension ref="A1:AP3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4"/>
    <col collapsed="false" customWidth="true" hidden="false" outlineLevel="0" max="3" min="3" style="0" width="12"/>
    <col collapsed="false" customWidth="true" hidden="false" outlineLevel="0" max="4" min="4" style="0" width="24"/>
    <col collapsed="false" customWidth="true" hidden="false" outlineLevel="0" max="5" min="5" style="0" width="9"/>
    <col collapsed="false" customWidth="true" hidden="false" outlineLevel="0" max="7" min="6" style="0" width="12"/>
    <col collapsed="false" customWidth="true" hidden="false" outlineLevel="0" max="8" min="8" style="0" width="10"/>
    <col collapsed="false" customWidth="true" hidden="false" outlineLevel="0" max="9" min="9" style="0" width="9"/>
    <col collapsed="false" customWidth="true" hidden="false" outlineLevel="0" max="10" min="10" style="0" width="18"/>
    <col collapsed="false" customWidth="true" hidden="false" outlineLevel="0" max="13" min="11" style="0" width="9"/>
    <col collapsed="false" customWidth="true" hidden="false" outlineLevel="0" max="14" min="14" style="0" width="17"/>
    <col collapsed="false" customWidth="true" hidden="false" outlineLevel="0" max="15" min="15" style="0" width="10"/>
    <col collapsed="false" customWidth="true" hidden="false" outlineLevel="0" max="16" min="16" style="0" width="9"/>
    <col collapsed="false" customWidth="true" hidden="false" outlineLevel="0" max="17" min="17" style="0" width="10"/>
    <col collapsed="false" customWidth="true" hidden="false" outlineLevel="0" max="18" min="18" style="0" width="11"/>
    <col collapsed="false" customWidth="true" hidden="false" outlineLevel="0" max="19" min="19" style="0" width="10"/>
    <col collapsed="false" customWidth="true" hidden="false" outlineLevel="0" max="24" min="20" style="0" width="9"/>
    <col collapsed="false" customWidth="true" hidden="false" outlineLevel="0" max="25" min="25" style="0" width="10"/>
    <col collapsed="false" customWidth="true" hidden="false" outlineLevel="0" max="26" min="26" style="0" width="11"/>
    <col collapsed="false" customWidth="true" hidden="false" outlineLevel="0" max="28" min="27" style="0" width="9"/>
    <col collapsed="false" customWidth="true" hidden="false" outlineLevel="0" max="29" min="29" style="0" width="11"/>
    <col collapsed="false" customWidth="true" hidden="false" outlineLevel="0" max="31" min="30" style="0" width="10"/>
    <col collapsed="false" customWidth="true" hidden="false" outlineLevel="0" max="32" min="32" style="0" width="11"/>
    <col collapsed="false" customWidth="true" hidden="false" outlineLevel="0" max="33" min="33" style="0" width="32"/>
    <col collapsed="false" customWidth="true" hidden="false" outlineLevel="0" max="34" min="34" style="0" width="28"/>
    <col collapsed="false" customWidth="true" hidden="false" outlineLevel="0" max="37" min="35" style="0" width="12"/>
    <col collapsed="false" customWidth="true" hidden="false" outlineLevel="0" max="38" min="38" style="0" width="36"/>
    <col collapsed="false" customWidth="true" hidden="false" outlineLevel="0" max="39" min="39" style="0" width="11"/>
    <col collapsed="false" customWidth="true" hidden="false" outlineLevel="0" max="41" min="40" style="0" width="12"/>
    <col collapsed="false" customWidth="true" hidden="false" outlineLevel="0" max="42" min="42" style="0" width="26"/>
  </cols>
  <sheetData>
    <row r="1" customFormat="false" ht="17.35" hidden="false" customHeight="false" outlineLevel="0" collapsed="false">
      <c r="A1" s="38" t="s">
        <v>336</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row>
    <row r="2" customFormat="false" ht="15" hidden="false" customHeight="false" outlineLevel="0" collapsed="false">
      <c r="A2" s="18" t="s">
        <v>286</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row>
    <row r="3" customFormat="false" ht="15" hidden="false" customHeight="false" outlineLevel="0" collapsed="false">
      <c r="A3" s="1"/>
      <c r="B3" s="39" t="s">
        <v>337</v>
      </c>
      <c r="C3" s="1"/>
      <c r="D3" s="1"/>
      <c r="E3" s="1"/>
      <c r="F3" s="1"/>
      <c r="G3" s="1"/>
      <c r="H3" s="1"/>
      <c r="I3" s="1"/>
      <c r="J3" s="1"/>
      <c r="K3" s="40" t="n">
        <v>10</v>
      </c>
      <c r="L3" s="1"/>
      <c r="M3" s="1"/>
      <c r="N3" s="1"/>
      <c r="O3" s="41" t="s">
        <v>288</v>
      </c>
      <c r="P3" s="1"/>
      <c r="Q3" s="40" t="n">
        <v>72</v>
      </c>
      <c r="R3" s="1"/>
      <c r="S3" s="1"/>
      <c r="T3" s="40" t="n">
        <v>16</v>
      </c>
      <c r="U3" s="1"/>
      <c r="V3" s="1"/>
      <c r="W3" s="40" t="n">
        <v>24</v>
      </c>
      <c r="X3" s="1"/>
      <c r="Y3" s="40" t="n">
        <v>4</v>
      </c>
      <c r="Z3" s="1"/>
      <c r="AA3" s="41" t="s">
        <v>288</v>
      </c>
      <c r="AB3" s="41" t="s">
        <v>288</v>
      </c>
      <c r="AC3" s="1"/>
      <c r="AD3" s="1"/>
      <c r="AE3" s="1"/>
      <c r="AF3" s="1"/>
      <c r="AG3" s="1"/>
      <c r="AH3" s="1"/>
      <c r="AI3" s="1"/>
      <c r="AJ3" s="1"/>
      <c r="AK3" s="1"/>
      <c r="AL3" s="1"/>
      <c r="AM3" s="1"/>
      <c r="AN3" s="1"/>
      <c r="AO3" s="1"/>
      <c r="AP3" s="1"/>
    </row>
    <row r="4" customFormat="false" ht="19.5" hidden="false" customHeight="true" outlineLevel="0" collapsed="false">
      <c r="A4" s="42" t="s">
        <v>289</v>
      </c>
      <c r="B4" s="42"/>
      <c r="C4" s="42"/>
      <c r="D4" s="42"/>
      <c r="E4" s="42"/>
      <c r="F4" s="42" t="s">
        <v>290</v>
      </c>
      <c r="G4" s="42"/>
      <c r="H4" s="42"/>
      <c r="I4" s="42"/>
      <c r="J4" s="42"/>
      <c r="K4" s="42" t="s">
        <v>291</v>
      </c>
      <c r="L4" s="42"/>
      <c r="M4" s="42"/>
      <c r="N4" s="42"/>
      <c r="O4" s="42"/>
      <c r="P4" s="42"/>
      <c r="Q4" s="42"/>
      <c r="R4" s="42"/>
      <c r="S4" s="42"/>
      <c r="T4" s="42"/>
      <c r="U4" s="42"/>
      <c r="V4" s="42"/>
      <c r="W4" s="42" t="s">
        <v>292</v>
      </c>
      <c r="X4" s="42"/>
      <c r="Y4" s="42"/>
      <c r="Z4" s="42"/>
      <c r="AA4" s="42"/>
      <c r="AB4" s="42"/>
      <c r="AC4" s="42" t="s">
        <v>293</v>
      </c>
      <c r="AD4" s="42"/>
      <c r="AE4" s="42"/>
      <c r="AF4" s="42"/>
      <c r="AG4" s="42" t="s">
        <v>294</v>
      </c>
      <c r="AH4" s="42"/>
      <c r="AI4" s="42"/>
      <c r="AJ4" s="42"/>
      <c r="AK4" s="42"/>
      <c r="AL4" s="42"/>
      <c r="AM4" s="43" t="s">
        <v>295</v>
      </c>
      <c r="AN4" s="43"/>
      <c r="AO4" s="43"/>
      <c r="AP4" s="43"/>
    </row>
    <row r="5" customFormat="false" ht="61.5" hidden="false" customHeight="true" outlineLevel="0" collapsed="false">
      <c r="A5" s="44" t="s">
        <v>55</v>
      </c>
      <c r="B5" s="44" t="s">
        <v>59</v>
      </c>
      <c r="C5" s="44" t="s">
        <v>62</v>
      </c>
      <c r="D5" s="44" t="s">
        <v>65</v>
      </c>
      <c r="E5" s="44" t="s">
        <v>68</v>
      </c>
      <c r="F5" s="44" t="s">
        <v>72</v>
      </c>
      <c r="G5" s="44" t="s">
        <v>76</v>
      </c>
      <c r="H5" s="44" t="s">
        <v>79</v>
      </c>
      <c r="I5" s="44" t="s">
        <v>83</v>
      </c>
      <c r="J5" s="44" t="s">
        <v>86</v>
      </c>
      <c r="K5" s="44" t="s">
        <v>88</v>
      </c>
      <c r="L5" s="44" t="s">
        <v>91</v>
      </c>
      <c r="M5" s="44" t="s">
        <v>95</v>
      </c>
      <c r="N5" s="44" t="s">
        <v>98</v>
      </c>
      <c r="O5" s="45" t="s">
        <v>102</v>
      </c>
      <c r="P5" s="44" t="s">
        <v>106</v>
      </c>
      <c r="Q5" s="44" t="s">
        <v>109</v>
      </c>
      <c r="R5" s="44" t="s">
        <v>113</v>
      </c>
      <c r="S5" s="44" t="s">
        <v>117</v>
      </c>
      <c r="T5" s="44" t="s">
        <v>120</v>
      </c>
      <c r="U5" s="44" t="s">
        <v>123</v>
      </c>
      <c r="V5" s="44" t="s">
        <v>125</v>
      </c>
      <c r="W5" s="44" t="s">
        <v>127</v>
      </c>
      <c r="X5" s="44" t="s">
        <v>130</v>
      </c>
      <c r="Y5" s="44" t="s">
        <v>134</v>
      </c>
      <c r="Z5" s="44" t="s">
        <v>136</v>
      </c>
      <c r="AA5" s="45" t="s">
        <v>139</v>
      </c>
      <c r="AB5" s="45" t="s">
        <v>141</v>
      </c>
      <c r="AC5" s="44" t="s">
        <v>143</v>
      </c>
      <c r="AD5" s="44" t="s">
        <v>146</v>
      </c>
      <c r="AE5" s="44" t="s">
        <v>149</v>
      </c>
      <c r="AF5" s="44" t="s">
        <v>151</v>
      </c>
      <c r="AG5" s="44" t="s">
        <v>48</v>
      </c>
      <c r="AH5" s="44" t="s">
        <v>156</v>
      </c>
      <c r="AI5" s="44" t="s">
        <v>160</v>
      </c>
      <c r="AJ5" s="44" t="s">
        <v>164</v>
      </c>
      <c r="AK5" s="44" t="s">
        <v>167</v>
      </c>
      <c r="AL5" s="44" t="s">
        <v>170</v>
      </c>
      <c r="AM5" s="44" t="s">
        <v>173</v>
      </c>
      <c r="AN5" s="44" t="s">
        <v>176</v>
      </c>
      <c r="AO5" s="44" t="s">
        <v>179</v>
      </c>
      <c r="AP5" s="44" t="s">
        <v>181</v>
      </c>
    </row>
    <row r="6" customFormat="false" ht="15" hidden="false" customHeight="false" outlineLevel="0" collapsed="false">
      <c r="A6" s="7" t="s">
        <v>338</v>
      </c>
      <c r="B6" s="7" t="s">
        <v>339</v>
      </c>
      <c r="C6" s="46" t="n">
        <v>43391</v>
      </c>
      <c r="D6" s="7" t="s">
        <v>307</v>
      </c>
      <c r="E6" s="47" t="s">
        <v>311</v>
      </c>
      <c r="F6" s="46" t="n">
        <v>46235</v>
      </c>
      <c r="G6" s="46" t="n">
        <v>46300</v>
      </c>
      <c r="H6" s="7" t="s">
        <v>314</v>
      </c>
      <c r="I6" s="7" t="s">
        <v>84</v>
      </c>
      <c r="J6" s="47" t="s">
        <v>31</v>
      </c>
      <c r="K6" s="47" t="n">
        <v>8</v>
      </c>
      <c r="L6" s="47" t="s">
        <v>118</v>
      </c>
      <c r="M6" s="47" t="s">
        <v>118</v>
      </c>
      <c r="N6" s="47" t="s">
        <v>340</v>
      </c>
      <c r="O6" s="10"/>
      <c r="P6" s="47" t="s">
        <v>118</v>
      </c>
      <c r="Q6" s="47" t="n">
        <v>46</v>
      </c>
      <c r="R6" s="48" t="str">
        <f aca="false">IF(Q6="","",IF(Q6=0,"below 5:00",IF(Q6&gt;=66,"16:00 or above",INT((60+2*Q6)/12)&amp;":"&amp;TEXT(MOD(60+2*Q6,12),"00"))))</f>
        <v>12:08</v>
      </c>
      <c r="S6" s="47" t="s">
        <v>222</v>
      </c>
      <c r="T6" s="47" t="n">
        <v>12</v>
      </c>
      <c r="U6" s="47" t="s">
        <v>118</v>
      </c>
      <c r="V6" s="47" t="s">
        <v>118</v>
      </c>
      <c r="W6" s="47" t="n">
        <v>21</v>
      </c>
      <c r="X6" s="47" t="n">
        <v>4</v>
      </c>
      <c r="Y6" s="47" t="n">
        <v>3</v>
      </c>
      <c r="Z6" s="47"/>
      <c r="AA6" s="10"/>
      <c r="AB6" s="10"/>
      <c r="AC6" s="47" t="n">
        <v>3</v>
      </c>
      <c r="AD6" s="47"/>
      <c r="AE6" s="47"/>
      <c r="AF6" s="47"/>
      <c r="AG6" s="47"/>
      <c r="AH6" s="47"/>
      <c r="AI6" s="46"/>
      <c r="AJ6" s="46"/>
      <c r="AK6" s="46"/>
      <c r="AL6" s="7"/>
      <c r="AM6" s="49" t="n">
        <f aca="false">IF(OR(C6="",G6=""),"",IFERROR(DATEDIF(C6,G6,"m"),""))</f>
        <v>95</v>
      </c>
      <c r="AN6" s="49" t="n">
        <f aca="false">IF(OR(Q6="",AM6=""),"",60+2*Q6-AM6)</f>
        <v>57</v>
      </c>
      <c r="AO6" s="49" t="str">
        <f aca="false">IF(OR(G6="",AJ6=""),"",AJ6-G6)</f>
        <v/>
      </c>
      <c r="AP6" s="50" t="str">
        <f aca="false">IF(AND(A6="",B6=""),"",IF(J6="","Status needed",IF(OR(J6="Applied",J6="Visit booked",J6="Withdrawn"),"OK",IF(G6="","Date assessed needed",IF(C6="","Date of birth needed",IF(COUNTA(L6,M6,P6,U6,V6,X6)&lt;6,"Band missing",IF(AND(OR(J6="Decision confirmed",J6="Family told",J6="Enrolled"),AG6=""),"Recommendation needed",IF(AND(OR(J6="Family told",J6="Enrolled"),AJ6=""),"Date family told needed","OK"))))))))</f>
        <v>OK</v>
      </c>
    </row>
    <row r="7" customFormat="false" ht="15" hidden="false" customHeight="false" outlineLevel="0" collapsed="false">
      <c r="A7" s="7" t="s">
        <v>341</v>
      </c>
      <c r="B7" s="7" t="s">
        <v>342</v>
      </c>
      <c r="C7" s="46" t="n">
        <v>43401</v>
      </c>
      <c r="D7" s="7" t="s">
        <v>307</v>
      </c>
      <c r="E7" s="47" t="s">
        <v>69</v>
      </c>
      <c r="F7" s="46" t="n">
        <v>46264</v>
      </c>
      <c r="G7" s="46" t="n">
        <v>46315</v>
      </c>
      <c r="H7" s="7" t="s">
        <v>314</v>
      </c>
      <c r="I7" s="7" t="s">
        <v>84</v>
      </c>
      <c r="J7" s="47" t="s">
        <v>31</v>
      </c>
      <c r="K7" s="47" t="n">
        <v>2</v>
      </c>
      <c r="L7" s="47" t="s">
        <v>220</v>
      </c>
      <c r="M7" s="47" t="s">
        <v>221</v>
      </c>
      <c r="N7" s="47" t="s">
        <v>300</v>
      </c>
      <c r="O7" s="10"/>
      <c r="P7" s="47" t="s">
        <v>220</v>
      </c>
      <c r="Q7" s="47" t="n">
        <v>0</v>
      </c>
      <c r="R7" s="48" t="str">
        <f aca="false">IF(Q7="","",IF(Q7=0,"below 5:00",IF(Q7&gt;=66,"16:00 or above",INT((60+2*Q7)/12)&amp;":"&amp;TEXT(MOD(60+2*Q7,12),"00"))))</f>
        <v>below 5:00</v>
      </c>
      <c r="S7" s="47" t="s">
        <v>221</v>
      </c>
      <c r="T7" s="47" t="n">
        <v>6</v>
      </c>
      <c r="U7" s="47" t="s">
        <v>221</v>
      </c>
      <c r="V7" s="47" t="s">
        <v>220</v>
      </c>
      <c r="W7" s="47" t="n">
        <v>16</v>
      </c>
      <c r="X7" s="47" t="n">
        <v>3</v>
      </c>
      <c r="Y7" s="47" t="n">
        <v>2</v>
      </c>
      <c r="Z7" s="47"/>
      <c r="AA7" s="10"/>
      <c r="AB7" s="10"/>
      <c r="AC7" s="47" t="n">
        <v>3</v>
      </c>
      <c r="AD7" s="47"/>
      <c r="AE7" s="47" t="s">
        <v>311</v>
      </c>
      <c r="AF7" s="47"/>
      <c r="AG7" s="47"/>
      <c r="AH7" s="47"/>
      <c r="AI7" s="46"/>
      <c r="AJ7" s="46"/>
      <c r="AK7" s="46"/>
      <c r="AL7" s="7"/>
      <c r="AM7" s="49" t="n">
        <f aca="false">IF(OR(C7="",G7=""),"",IFERROR(DATEDIF(C7,G7,"m"),""))</f>
        <v>95</v>
      </c>
      <c r="AN7" s="49" t="n">
        <f aca="false">IF(OR(Q7="",AM7=""),"",60+2*Q7-AM7)</f>
        <v>-35</v>
      </c>
      <c r="AO7" s="49" t="str">
        <f aca="false">IF(OR(G7="",AJ7=""),"",AJ7-G7)</f>
        <v/>
      </c>
      <c r="AP7" s="50" t="str">
        <f aca="false">IF(AND(A7="",B7=""),"",IF(J7="","Status needed",IF(OR(J7="Applied",J7="Visit booked",J7="Withdrawn"),"OK",IF(G7="","Date assessed needed",IF(C7="","Date of birth needed",IF(COUNTA(L7,M7,P7,U7,V7,X7)&lt;6,"Band missing",IF(AND(OR(J7="Decision confirmed",J7="Family told",J7="Enrolled"),AG7=""),"Recommendation needed",IF(AND(OR(J7="Family told",J7="Enrolled"),AJ7=""),"Date family told needed","OK"))))))))</f>
        <v>OK</v>
      </c>
    </row>
    <row r="8" customFormat="false" ht="15" hidden="false" customHeight="false" outlineLevel="0" collapsed="false">
      <c r="A8" s="7" t="s">
        <v>343</v>
      </c>
      <c r="B8" s="7" t="s">
        <v>344</v>
      </c>
      <c r="C8" s="46" t="n">
        <v>43482</v>
      </c>
      <c r="D8" s="7" t="s">
        <v>307</v>
      </c>
      <c r="E8" s="47" t="s">
        <v>311</v>
      </c>
      <c r="F8" s="46" t="n">
        <v>46244</v>
      </c>
      <c r="G8" s="46"/>
      <c r="H8" s="7" t="s">
        <v>80</v>
      </c>
      <c r="I8" s="7" t="s">
        <v>84</v>
      </c>
      <c r="J8" s="47" t="s">
        <v>29</v>
      </c>
      <c r="K8" s="47"/>
      <c r="L8" s="47"/>
      <c r="M8" s="47"/>
      <c r="N8" s="47"/>
      <c r="O8" s="10"/>
      <c r="P8" s="47"/>
      <c r="Q8" s="47"/>
      <c r="R8" s="48" t="str">
        <f aca="false">IF(Q8="","",IF(Q8=0,"below 5:00",IF(Q8&gt;=66,"16:00 or above",INT((60+2*Q8)/12)&amp;":"&amp;TEXT(MOD(60+2*Q8,12),"00"))))</f>
        <v/>
      </c>
      <c r="S8" s="47"/>
      <c r="T8" s="47"/>
      <c r="U8" s="47"/>
      <c r="V8" s="47"/>
      <c r="W8" s="47"/>
      <c r="X8" s="47"/>
      <c r="Y8" s="47"/>
      <c r="Z8" s="47"/>
      <c r="AA8" s="10"/>
      <c r="AB8" s="10"/>
      <c r="AC8" s="47"/>
      <c r="AD8" s="47"/>
      <c r="AE8" s="47"/>
      <c r="AF8" s="47"/>
      <c r="AG8" s="47"/>
      <c r="AH8" s="47"/>
      <c r="AI8" s="46"/>
      <c r="AJ8" s="46"/>
      <c r="AK8" s="46"/>
      <c r="AL8" s="7"/>
      <c r="AM8" s="49" t="str">
        <f aca="false">IF(OR(C8="",G8=""),"",IFERROR(DATEDIF(C8,G8,"m"),""))</f>
        <v/>
      </c>
      <c r="AN8" s="49" t="str">
        <f aca="false">IF(OR(Q8="",AM8=""),"",60+2*Q8-AM8)</f>
        <v/>
      </c>
      <c r="AO8" s="49" t="str">
        <f aca="false">IF(OR(G8="",AJ8=""),"",AJ8-G8)</f>
        <v/>
      </c>
      <c r="AP8" s="50" t="str">
        <f aca="false">IF(AND(A8="",B8=""),"",IF(J8="","Status needed",IF(OR(J8="Applied",J8="Visit booked",J8="Withdrawn"),"OK",IF(G8="","Date assessed needed",IF(C8="","Date of birth needed",IF(COUNTA(L8,M8,P8,U8,V8,X8)&lt;6,"Band missing",IF(AND(OR(J8="Decision confirmed",J8="Family told",J8="Enrolled"),AG8=""),"Recommendation needed",IF(AND(OR(J8="Family told",J8="Enrolled"),AJ8=""),"Date family told needed","OK"))))))))</f>
        <v>OK</v>
      </c>
    </row>
    <row r="9" customFormat="false" ht="15" hidden="false" customHeight="false" outlineLevel="0" collapsed="false">
      <c r="A9" s="7" t="s">
        <v>345</v>
      </c>
      <c r="B9" s="7" t="s">
        <v>346</v>
      </c>
      <c r="C9" s="46" t="n">
        <v>43585</v>
      </c>
      <c r="D9" s="7" t="s">
        <v>298</v>
      </c>
      <c r="E9" s="47" t="s">
        <v>311</v>
      </c>
      <c r="F9" s="46" t="n">
        <v>46258</v>
      </c>
      <c r="G9" s="46" t="n">
        <v>46307</v>
      </c>
      <c r="H9" s="7" t="s">
        <v>299</v>
      </c>
      <c r="I9" s="7" t="s">
        <v>84</v>
      </c>
      <c r="J9" s="47" t="s">
        <v>35</v>
      </c>
      <c r="K9" s="47" t="n">
        <v>4</v>
      </c>
      <c r="L9" s="47" t="s">
        <v>221</v>
      </c>
      <c r="M9" s="47" t="s">
        <v>92</v>
      </c>
      <c r="N9" s="47" t="s">
        <v>99</v>
      </c>
      <c r="O9" s="10"/>
      <c r="P9" s="47" t="s">
        <v>92</v>
      </c>
      <c r="Q9" s="47" t="n">
        <v>2</v>
      </c>
      <c r="R9" s="48" t="str">
        <f aca="false">IF(Q9="","",IF(Q9=0,"below 5:00",IF(Q9&gt;=66,"16:00 or above",INT((60+2*Q9)/12)&amp;":"&amp;TEXT(MOD(60+2*Q9,12),"00"))))</f>
        <v>5:04</v>
      </c>
      <c r="S9" s="47" t="s">
        <v>221</v>
      </c>
      <c r="T9" s="47" t="n">
        <v>8</v>
      </c>
      <c r="U9" s="47" t="s">
        <v>92</v>
      </c>
      <c r="V9" s="47" t="s">
        <v>92</v>
      </c>
      <c r="W9" s="47" t="n">
        <v>12</v>
      </c>
      <c r="X9" s="47" t="n">
        <v>2</v>
      </c>
      <c r="Y9" s="47" t="n">
        <v>1</v>
      </c>
      <c r="Z9" s="47"/>
      <c r="AA9" s="10"/>
      <c r="AB9" s="10"/>
      <c r="AC9" s="47" t="n">
        <v>4</v>
      </c>
      <c r="AD9" s="47" t="s">
        <v>311</v>
      </c>
      <c r="AE9" s="47"/>
      <c r="AF9" s="47"/>
      <c r="AG9" s="47" t="s">
        <v>153</v>
      </c>
      <c r="AH9" s="47" t="s">
        <v>157</v>
      </c>
      <c r="AI9" s="46" t="n">
        <v>46313</v>
      </c>
      <c r="AJ9" s="46" t="n">
        <v>46317</v>
      </c>
      <c r="AK9" s="46" t="n">
        <v>46317</v>
      </c>
      <c r="AL9" s="7"/>
      <c r="AM9" s="49" t="n">
        <f aca="false">IF(OR(C9="",G9=""),"",IFERROR(DATEDIF(C9,G9,"m"),""))</f>
        <v>89</v>
      </c>
      <c r="AN9" s="49" t="n">
        <f aca="false">IF(OR(Q9="",AM9=""),"",60+2*Q9-AM9)</f>
        <v>-25</v>
      </c>
      <c r="AO9" s="49" t="n">
        <f aca="false">IF(OR(G9="",AJ9=""),"",AJ9-G9)</f>
        <v>10</v>
      </c>
      <c r="AP9" s="50" t="str">
        <f aca="false">IF(AND(A9="",B9=""),"",IF(J9="","Status needed",IF(OR(J9="Applied",J9="Visit booked",J9="Withdrawn"),"OK",IF(G9="","Date assessed needed",IF(C9="","Date of birth needed",IF(COUNTA(L9,M9,P9,U9,V9,X9)&lt;6,"Band missing",IF(AND(OR(J9="Decision confirmed",J9="Family told",J9="Enrolled"),AG9=""),"Recommendation needed",IF(AND(OR(J9="Family told",J9="Enrolled"),AJ9=""),"Date family told needed","OK"))))))))</f>
        <v>OK</v>
      </c>
    </row>
    <row r="10" customFormat="false" ht="15" hidden="false" customHeight="false" outlineLevel="0" collapsed="false">
      <c r="A10" s="7" t="s">
        <v>347</v>
      </c>
      <c r="B10" s="7" t="s">
        <v>348</v>
      </c>
      <c r="C10" s="46" t="n">
        <v>43650</v>
      </c>
      <c r="D10" s="7" t="s">
        <v>307</v>
      </c>
      <c r="E10" s="47" t="s">
        <v>311</v>
      </c>
      <c r="F10" s="46" t="n">
        <v>46245</v>
      </c>
      <c r="G10" s="46" t="n">
        <v>46293</v>
      </c>
      <c r="H10" s="7" t="s">
        <v>299</v>
      </c>
      <c r="I10" s="7" t="s">
        <v>84</v>
      </c>
      <c r="J10" s="47" t="s">
        <v>35</v>
      </c>
      <c r="K10" s="47" t="n">
        <v>2</v>
      </c>
      <c r="L10" s="47" t="s">
        <v>220</v>
      </c>
      <c r="M10" s="47" t="s">
        <v>220</v>
      </c>
      <c r="N10" s="47" t="s">
        <v>300</v>
      </c>
      <c r="O10" s="10"/>
      <c r="P10" s="47" t="s">
        <v>220</v>
      </c>
      <c r="Q10" s="47" t="n">
        <v>0</v>
      </c>
      <c r="R10" s="48" t="str">
        <f aca="false">IF(Q10="","",IF(Q10=0,"below 5:00",IF(Q10&gt;=66,"16:00 or above",INT((60+2*Q10)/12)&amp;":"&amp;TEXT(MOD(60+2*Q10,12),"00"))))</f>
        <v>below 5:00</v>
      </c>
      <c r="S10" s="47" t="s">
        <v>221</v>
      </c>
      <c r="T10" s="47" t="n">
        <v>6</v>
      </c>
      <c r="U10" s="47" t="s">
        <v>221</v>
      </c>
      <c r="V10" s="47" t="s">
        <v>220</v>
      </c>
      <c r="W10" s="47" t="n">
        <v>12</v>
      </c>
      <c r="X10" s="47" t="n">
        <v>2</v>
      </c>
      <c r="Y10" s="47" t="n">
        <v>0</v>
      </c>
      <c r="Z10" s="47"/>
      <c r="AA10" s="10"/>
      <c r="AB10" s="10"/>
      <c r="AC10" s="47" t="n">
        <v>3</v>
      </c>
      <c r="AD10" s="47"/>
      <c r="AE10" s="47"/>
      <c r="AF10" s="47"/>
      <c r="AG10" s="47" t="s">
        <v>153</v>
      </c>
      <c r="AH10" s="47" t="s">
        <v>251</v>
      </c>
      <c r="AI10" s="46" t="n">
        <v>46295</v>
      </c>
      <c r="AJ10" s="46" t="n">
        <v>46297</v>
      </c>
      <c r="AK10" s="46" t="n">
        <v>46297</v>
      </c>
      <c r="AL10" s="7"/>
      <c r="AM10" s="49" t="n">
        <f aca="false">IF(OR(C10="",G10=""),"",IFERROR(DATEDIF(C10,G10,"m"),""))</f>
        <v>86</v>
      </c>
      <c r="AN10" s="49" t="n">
        <f aca="false">IF(OR(Q10="",AM10=""),"",60+2*Q10-AM10)</f>
        <v>-26</v>
      </c>
      <c r="AO10" s="49" t="n">
        <f aca="false">IF(OR(G10="",AJ10=""),"",AJ10-G10)</f>
        <v>4</v>
      </c>
      <c r="AP10" s="50" t="str">
        <f aca="false">IF(AND(A10="",B10=""),"",IF(J10="","Status needed",IF(OR(J10="Applied",J10="Visit booked",J10="Withdrawn"),"OK",IF(G10="","Date assessed needed",IF(C10="","Date of birth needed",IF(COUNTA(L10,M10,P10,U10,V10,X10)&lt;6,"Band missing",IF(AND(OR(J10="Decision confirmed",J10="Family told",J10="Enrolled"),AG10=""),"Recommendation needed",IF(AND(OR(J10="Family told",J10="Enrolled"),AJ10=""),"Date family told needed","OK"))))))))</f>
        <v>OK</v>
      </c>
    </row>
    <row r="11" customFormat="false" ht="15" hidden="false" customHeight="false" outlineLevel="0" collapsed="false">
      <c r="A11" s="7" t="s">
        <v>349</v>
      </c>
      <c r="B11" s="7" t="s">
        <v>350</v>
      </c>
      <c r="C11" s="46" t="n">
        <v>43355</v>
      </c>
      <c r="D11" s="7" t="s">
        <v>307</v>
      </c>
      <c r="E11" s="47" t="s">
        <v>69</v>
      </c>
      <c r="F11" s="46" t="n">
        <v>46273</v>
      </c>
      <c r="G11" s="46" t="n">
        <v>46295</v>
      </c>
      <c r="H11" s="7" t="s">
        <v>299</v>
      </c>
      <c r="I11" s="7" t="s">
        <v>84</v>
      </c>
      <c r="J11" s="47" t="s">
        <v>37</v>
      </c>
      <c r="K11" s="47" t="n">
        <v>3</v>
      </c>
      <c r="L11" s="47" t="s">
        <v>221</v>
      </c>
      <c r="M11" s="47" t="s">
        <v>220</v>
      </c>
      <c r="N11" s="47" t="s">
        <v>304</v>
      </c>
      <c r="O11" s="10"/>
      <c r="P11" s="47" t="s">
        <v>221</v>
      </c>
      <c r="Q11" s="47" t="n">
        <v>0</v>
      </c>
      <c r="R11" s="48" t="str">
        <f aca="false">IF(Q11="","",IF(Q11=0,"below 5:00",IF(Q11&gt;=66,"16:00 or above",INT((60+2*Q11)/12)&amp;":"&amp;TEXT(MOD(60+2*Q11,12),"00"))))</f>
        <v>below 5:00</v>
      </c>
      <c r="S11" s="47" t="s">
        <v>221</v>
      </c>
      <c r="T11" s="47" t="n">
        <v>6</v>
      </c>
      <c r="U11" s="47" t="s">
        <v>221</v>
      </c>
      <c r="V11" s="47" t="s">
        <v>221</v>
      </c>
      <c r="W11" s="47" t="n">
        <v>2</v>
      </c>
      <c r="X11" s="47" t="n">
        <v>1</v>
      </c>
      <c r="Y11" s="47" t="n">
        <v>0</v>
      </c>
      <c r="Z11" s="47"/>
      <c r="AA11" s="10"/>
      <c r="AB11" s="10"/>
      <c r="AC11" s="47" t="n">
        <v>3</v>
      </c>
      <c r="AD11" s="47"/>
      <c r="AE11" s="47"/>
      <c r="AF11" s="47"/>
      <c r="AG11" s="47" t="s">
        <v>230</v>
      </c>
      <c r="AH11" s="47" t="s">
        <v>252</v>
      </c>
      <c r="AI11" s="46" t="n">
        <v>46297</v>
      </c>
      <c r="AJ11" s="46" t="n">
        <v>46300</v>
      </c>
      <c r="AK11" s="46" t="n">
        <v>46300</v>
      </c>
      <c r="AL11" s="7"/>
      <c r="AM11" s="49" t="n">
        <f aca="false">IF(OR(C11="",G11=""),"",IFERROR(DATEDIF(C11,G11,"m"),""))</f>
        <v>96</v>
      </c>
      <c r="AN11" s="49" t="n">
        <f aca="false">IF(OR(Q11="",AM11=""),"",60+2*Q11-AM11)</f>
        <v>-36</v>
      </c>
      <c r="AO11" s="49" t="n">
        <f aca="false">IF(OR(G11="",AJ11=""),"",AJ11-G11)</f>
        <v>5</v>
      </c>
      <c r="AP11" s="50" t="str">
        <f aca="false">IF(AND(A11="",B11=""),"",IF(J11="","Status needed",IF(OR(J11="Applied",J11="Visit booked",J11="Withdrawn"),"OK",IF(G11="","Date assessed needed",IF(C11="","Date of birth needed",IF(COUNTA(L11,M11,P11,U11,V11,X11)&lt;6,"Band missing",IF(AND(OR(J11="Decision confirmed",J11="Family told",J11="Enrolled"),AG11=""),"Recommendation needed",IF(AND(OR(J11="Family told",J11="Enrolled"),AJ11=""),"Date family told needed","OK"))))))))</f>
        <v>OK</v>
      </c>
    </row>
    <row r="12" customFormat="false" ht="15" hidden="false" customHeight="false" outlineLevel="0" collapsed="false">
      <c r="A12" s="7" t="s">
        <v>351</v>
      </c>
      <c r="B12" s="7" t="s">
        <v>352</v>
      </c>
      <c r="C12" s="46" t="n">
        <v>43447</v>
      </c>
      <c r="D12" s="7" t="s">
        <v>298</v>
      </c>
      <c r="E12" s="47" t="s">
        <v>311</v>
      </c>
      <c r="F12" s="46" t="n">
        <v>46291</v>
      </c>
      <c r="G12" s="46" t="n">
        <v>46307</v>
      </c>
      <c r="H12" s="7" t="s">
        <v>299</v>
      </c>
      <c r="I12" s="7" t="s">
        <v>84</v>
      </c>
      <c r="J12" s="47" t="s">
        <v>35</v>
      </c>
      <c r="K12" s="47" t="n">
        <v>4</v>
      </c>
      <c r="L12" s="47" t="s">
        <v>221</v>
      </c>
      <c r="M12" s="47" t="s">
        <v>92</v>
      </c>
      <c r="N12" s="47" t="s">
        <v>300</v>
      </c>
      <c r="O12" s="10"/>
      <c r="P12" s="47" t="s">
        <v>220</v>
      </c>
      <c r="Q12" s="47" t="n">
        <v>16</v>
      </c>
      <c r="R12" s="48" t="str">
        <f aca="false">IF(Q12="","",IF(Q12=0,"below 5:00",IF(Q12&gt;=66,"16:00 or above",INT((60+2*Q12)/12)&amp;":"&amp;TEXT(MOD(60+2*Q12,12),"00"))))</f>
        <v>7:08</v>
      </c>
      <c r="S12" s="47" t="s">
        <v>222</v>
      </c>
      <c r="T12" s="47" t="n">
        <v>9</v>
      </c>
      <c r="U12" s="47" t="s">
        <v>92</v>
      </c>
      <c r="V12" s="47" t="s">
        <v>221</v>
      </c>
      <c r="W12" s="47" t="n">
        <v>12</v>
      </c>
      <c r="X12" s="47" t="n">
        <v>2</v>
      </c>
      <c r="Y12" s="47" t="n">
        <v>1</v>
      </c>
      <c r="Z12" s="47"/>
      <c r="AA12" s="10"/>
      <c r="AB12" s="10"/>
      <c r="AC12" s="47" t="n">
        <v>3</v>
      </c>
      <c r="AD12" s="47"/>
      <c r="AE12" s="47"/>
      <c r="AF12" s="47"/>
      <c r="AG12" s="47" t="s">
        <v>153</v>
      </c>
      <c r="AH12" s="47" t="s">
        <v>252</v>
      </c>
      <c r="AI12" s="46" t="n">
        <v>46313</v>
      </c>
      <c r="AJ12" s="46" t="n">
        <v>46315</v>
      </c>
      <c r="AK12" s="46" t="n">
        <v>46315</v>
      </c>
      <c r="AL12" s="7"/>
      <c r="AM12" s="49" t="n">
        <f aca="false">IF(OR(C12="",G12=""),"",IFERROR(DATEDIF(C12,G12,"m"),""))</f>
        <v>93</v>
      </c>
      <c r="AN12" s="49" t="n">
        <f aca="false">IF(OR(Q12="",AM12=""),"",60+2*Q12-AM12)</f>
        <v>-1</v>
      </c>
      <c r="AO12" s="49" t="n">
        <f aca="false">IF(OR(G12="",AJ12=""),"",AJ12-G12)</f>
        <v>8</v>
      </c>
      <c r="AP12" s="50" t="str">
        <f aca="false">IF(AND(A12="",B12=""),"",IF(J12="","Status needed",IF(OR(J12="Applied",J12="Visit booked",J12="Withdrawn"),"OK",IF(G12="","Date assessed needed",IF(C12="","Date of birth needed",IF(COUNTA(L12,M12,P12,U12,V12,X12)&lt;6,"Band missing",IF(AND(OR(J12="Decision confirmed",J12="Family told",J12="Enrolled"),AG12=""),"Recommendation needed",IF(AND(OR(J12="Family told",J12="Enrolled"),AJ12=""),"Date family told needed","OK"))))))))</f>
        <v>OK</v>
      </c>
    </row>
    <row r="13" customFormat="false" ht="15" hidden="false" customHeight="false" outlineLevel="0" collapsed="false">
      <c r="A13" s="7" t="s">
        <v>353</v>
      </c>
      <c r="B13" s="7" t="s">
        <v>354</v>
      </c>
      <c r="C13" s="46" t="n">
        <v>43474</v>
      </c>
      <c r="D13" s="7" t="s">
        <v>307</v>
      </c>
      <c r="E13" s="47" t="s">
        <v>311</v>
      </c>
      <c r="F13" s="46" t="n">
        <v>46289</v>
      </c>
      <c r="G13" s="46" t="n">
        <v>46309</v>
      </c>
      <c r="H13" s="7" t="s">
        <v>80</v>
      </c>
      <c r="I13" s="7" t="s">
        <v>84</v>
      </c>
      <c r="J13" s="47" t="s">
        <v>35</v>
      </c>
      <c r="K13" s="47" t="n">
        <v>7</v>
      </c>
      <c r="L13" s="47" t="s">
        <v>118</v>
      </c>
      <c r="M13" s="47" t="s">
        <v>92</v>
      </c>
      <c r="N13" s="47" t="s">
        <v>324</v>
      </c>
      <c r="O13" s="10"/>
      <c r="P13" s="47" t="s">
        <v>118</v>
      </c>
      <c r="Q13" s="47" t="n">
        <v>20</v>
      </c>
      <c r="R13" s="48" t="str">
        <f aca="false">IF(Q13="","",IF(Q13=0,"below 5:00",IF(Q13&gt;=66,"16:00 or above",INT((60+2*Q13)/12)&amp;":"&amp;TEXT(MOD(60+2*Q13,12),"00"))))</f>
        <v>8:04</v>
      </c>
      <c r="S13" s="47" t="s">
        <v>222</v>
      </c>
      <c r="T13" s="47" t="n">
        <v>11</v>
      </c>
      <c r="U13" s="47" t="s">
        <v>118</v>
      </c>
      <c r="V13" s="47" t="s">
        <v>118</v>
      </c>
      <c r="W13" s="47" t="n">
        <v>21</v>
      </c>
      <c r="X13" s="47" t="n">
        <v>4</v>
      </c>
      <c r="Y13" s="47" t="n">
        <v>3</v>
      </c>
      <c r="Z13" s="47"/>
      <c r="AA13" s="10"/>
      <c r="AB13" s="10"/>
      <c r="AC13" s="47" t="n">
        <v>3</v>
      </c>
      <c r="AD13" s="47"/>
      <c r="AE13" s="47"/>
      <c r="AF13" s="47"/>
      <c r="AG13" s="47" t="s">
        <v>229</v>
      </c>
      <c r="AH13" s="47" t="s">
        <v>253</v>
      </c>
      <c r="AI13" s="46" t="n">
        <v>46315</v>
      </c>
      <c r="AJ13" s="46" t="n">
        <v>46317</v>
      </c>
      <c r="AK13" s="46" t="n">
        <v>46317</v>
      </c>
      <c r="AL13" s="7"/>
      <c r="AM13" s="49" t="n">
        <f aca="false">IF(OR(C13="",G13=""),"",IFERROR(DATEDIF(C13,G13,"m"),""))</f>
        <v>93</v>
      </c>
      <c r="AN13" s="49" t="n">
        <f aca="false">IF(OR(Q13="",AM13=""),"",60+2*Q13-AM13)</f>
        <v>7</v>
      </c>
      <c r="AO13" s="49" t="n">
        <f aca="false">IF(OR(G13="",AJ13=""),"",AJ13-G13)</f>
        <v>8</v>
      </c>
      <c r="AP13" s="50" t="str">
        <f aca="false">IF(AND(A13="",B13=""),"",IF(J13="","Status needed",IF(OR(J13="Applied",J13="Visit booked",J13="Withdrawn"),"OK",IF(G13="","Date assessed needed",IF(C13="","Date of birth needed",IF(COUNTA(L13,M13,P13,U13,V13,X13)&lt;6,"Band missing",IF(AND(OR(J13="Decision confirmed",J13="Family told",J13="Enrolled"),AG13=""),"Recommendation needed",IF(AND(OR(J13="Family told",J13="Enrolled"),AJ13=""),"Date family told needed","OK"))))))))</f>
        <v>OK</v>
      </c>
    </row>
    <row r="14" customFormat="false" ht="15" hidden="false" customHeight="false" outlineLevel="0" collapsed="false">
      <c r="A14" s="7"/>
      <c r="B14" s="7"/>
      <c r="C14" s="46"/>
      <c r="D14" s="7"/>
      <c r="E14" s="47"/>
      <c r="F14" s="46"/>
      <c r="G14" s="46"/>
      <c r="H14" s="7"/>
      <c r="I14" s="7"/>
      <c r="J14" s="47"/>
      <c r="K14" s="47"/>
      <c r="L14" s="47"/>
      <c r="M14" s="47"/>
      <c r="N14" s="47"/>
      <c r="O14" s="10"/>
      <c r="P14" s="47"/>
      <c r="Q14" s="47"/>
      <c r="R14" s="48" t="str">
        <f aca="false">IF(Q14="","",IF(Q14=0,"below 5:00",IF(Q14&gt;=66,"16:00 or above",INT((60+2*Q14)/12)&amp;":"&amp;TEXT(MOD(60+2*Q14,12),"00"))))</f>
        <v/>
      </c>
      <c r="S14" s="47"/>
      <c r="T14" s="47"/>
      <c r="U14" s="47"/>
      <c r="V14" s="47"/>
      <c r="W14" s="47"/>
      <c r="X14" s="47"/>
      <c r="Y14" s="47"/>
      <c r="Z14" s="47"/>
      <c r="AA14" s="10"/>
      <c r="AB14" s="10"/>
      <c r="AC14" s="47"/>
      <c r="AD14" s="47"/>
      <c r="AE14" s="47"/>
      <c r="AF14" s="47"/>
      <c r="AG14" s="47"/>
      <c r="AH14" s="47"/>
      <c r="AI14" s="46"/>
      <c r="AJ14" s="46"/>
      <c r="AK14" s="46"/>
      <c r="AL14" s="7"/>
      <c r="AM14" s="49" t="str">
        <f aca="false">IF(OR(C14="",G14=""),"",IFERROR(DATEDIF(C14,G14,"m"),""))</f>
        <v/>
      </c>
      <c r="AN14" s="49" t="str">
        <f aca="false">IF(OR(Q14="",AM14=""),"",60+2*Q14-AM14)</f>
        <v/>
      </c>
      <c r="AO14" s="49" t="str">
        <f aca="false">IF(OR(G14="",AJ14=""),"",AJ14-G14)</f>
        <v/>
      </c>
      <c r="AP14" s="50" t="str">
        <f aca="false">IF(AND(A14="",B14=""),"",IF(J14="","Status needed",IF(OR(J14="Applied",J14="Visit booked",J14="Withdrawn"),"OK",IF(G14="","Date assessed needed",IF(C14="","Date of birth needed",IF(COUNTA(L14,M14,P14,U14,V14,X14)&lt;6,"Band missing",IF(AND(OR(J14="Decision confirmed",J14="Family told",J14="Enrolled"),AG14=""),"Recommendation needed",IF(AND(OR(J14="Family told",J14="Enrolled"),AJ14=""),"Date family told needed","OK"))))))))</f>
        <v/>
      </c>
    </row>
    <row r="15" customFormat="false" ht="15" hidden="false" customHeight="false" outlineLevel="0" collapsed="false">
      <c r="A15" s="7"/>
      <c r="B15" s="7"/>
      <c r="C15" s="46"/>
      <c r="D15" s="7"/>
      <c r="E15" s="47"/>
      <c r="F15" s="46"/>
      <c r="G15" s="46"/>
      <c r="H15" s="7"/>
      <c r="I15" s="7"/>
      <c r="J15" s="47"/>
      <c r="K15" s="47"/>
      <c r="L15" s="47"/>
      <c r="M15" s="47"/>
      <c r="N15" s="47"/>
      <c r="O15" s="10"/>
      <c r="P15" s="47"/>
      <c r="Q15" s="47"/>
      <c r="R15" s="48" t="str">
        <f aca="false">IF(Q15="","",IF(Q15=0,"below 5:00",IF(Q15&gt;=66,"16:00 or above",INT((60+2*Q15)/12)&amp;":"&amp;TEXT(MOD(60+2*Q15,12),"00"))))</f>
        <v/>
      </c>
      <c r="S15" s="47"/>
      <c r="T15" s="47"/>
      <c r="U15" s="47"/>
      <c r="V15" s="47"/>
      <c r="W15" s="47"/>
      <c r="X15" s="47"/>
      <c r="Y15" s="47"/>
      <c r="Z15" s="47"/>
      <c r="AA15" s="10"/>
      <c r="AB15" s="10"/>
      <c r="AC15" s="47"/>
      <c r="AD15" s="47"/>
      <c r="AE15" s="47"/>
      <c r="AF15" s="47"/>
      <c r="AG15" s="47"/>
      <c r="AH15" s="47"/>
      <c r="AI15" s="46"/>
      <c r="AJ15" s="46"/>
      <c r="AK15" s="46"/>
      <c r="AL15" s="7"/>
      <c r="AM15" s="49" t="str">
        <f aca="false">IF(OR(C15="",G15=""),"",IFERROR(DATEDIF(C15,G15,"m"),""))</f>
        <v/>
      </c>
      <c r="AN15" s="49" t="str">
        <f aca="false">IF(OR(Q15="",AM15=""),"",60+2*Q15-AM15)</f>
        <v/>
      </c>
      <c r="AO15" s="49" t="str">
        <f aca="false">IF(OR(G15="",AJ15=""),"",AJ15-G15)</f>
        <v/>
      </c>
      <c r="AP15" s="50" t="str">
        <f aca="false">IF(AND(A15="",B15=""),"",IF(J15="","Status needed",IF(OR(J15="Applied",J15="Visit booked",J15="Withdrawn"),"OK",IF(G15="","Date assessed needed",IF(C15="","Date of birth needed",IF(COUNTA(L15,M15,P15,U15,V15,X15)&lt;6,"Band missing",IF(AND(OR(J15="Decision confirmed",J15="Family told",J15="Enrolled"),AG15=""),"Recommendation needed",IF(AND(OR(J15="Family told",J15="Enrolled"),AJ15=""),"Date family told needed","OK"))))))))</f>
        <v/>
      </c>
    </row>
    <row r="16" customFormat="false" ht="15" hidden="false" customHeight="false" outlineLevel="0" collapsed="false">
      <c r="A16" s="7"/>
      <c r="B16" s="7"/>
      <c r="C16" s="46"/>
      <c r="D16" s="7"/>
      <c r="E16" s="47"/>
      <c r="F16" s="46"/>
      <c r="G16" s="46"/>
      <c r="H16" s="7"/>
      <c r="I16" s="7"/>
      <c r="J16" s="47"/>
      <c r="K16" s="47"/>
      <c r="L16" s="47"/>
      <c r="M16" s="47"/>
      <c r="N16" s="47"/>
      <c r="O16" s="10"/>
      <c r="P16" s="47"/>
      <c r="Q16" s="47"/>
      <c r="R16" s="48" t="str">
        <f aca="false">IF(Q16="","",IF(Q16=0,"below 5:00",IF(Q16&gt;=66,"16:00 or above",INT((60+2*Q16)/12)&amp;":"&amp;TEXT(MOD(60+2*Q16,12),"00"))))</f>
        <v/>
      </c>
      <c r="S16" s="47"/>
      <c r="T16" s="47"/>
      <c r="U16" s="47"/>
      <c r="V16" s="47"/>
      <c r="W16" s="47"/>
      <c r="X16" s="47"/>
      <c r="Y16" s="47"/>
      <c r="Z16" s="47"/>
      <c r="AA16" s="10"/>
      <c r="AB16" s="10"/>
      <c r="AC16" s="47"/>
      <c r="AD16" s="47"/>
      <c r="AE16" s="47"/>
      <c r="AF16" s="47"/>
      <c r="AG16" s="47"/>
      <c r="AH16" s="47"/>
      <c r="AI16" s="46"/>
      <c r="AJ16" s="46"/>
      <c r="AK16" s="46"/>
      <c r="AL16" s="7"/>
      <c r="AM16" s="49" t="str">
        <f aca="false">IF(OR(C16="",G16=""),"",IFERROR(DATEDIF(C16,G16,"m"),""))</f>
        <v/>
      </c>
      <c r="AN16" s="49" t="str">
        <f aca="false">IF(OR(Q16="",AM16=""),"",60+2*Q16-AM16)</f>
        <v/>
      </c>
      <c r="AO16" s="49" t="str">
        <f aca="false">IF(OR(G16="",AJ16=""),"",AJ16-G16)</f>
        <v/>
      </c>
      <c r="AP16" s="50" t="str">
        <f aca="false">IF(AND(A16="",B16=""),"",IF(J16="","Status needed",IF(OR(J16="Applied",J16="Visit booked",J16="Withdrawn"),"OK",IF(G16="","Date assessed needed",IF(C16="","Date of birth needed",IF(COUNTA(L16,M16,P16,U16,V16,X16)&lt;6,"Band missing",IF(AND(OR(J16="Decision confirmed",J16="Family told",J16="Enrolled"),AG16=""),"Recommendation needed",IF(AND(OR(J16="Family told",J16="Enrolled"),AJ16=""),"Date family told needed","OK"))))))))</f>
        <v/>
      </c>
    </row>
    <row r="17" customFormat="false" ht="15" hidden="false" customHeight="false" outlineLevel="0" collapsed="false">
      <c r="A17" s="7"/>
      <c r="B17" s="7"/>
      <c r="C17" s="46"/>
      <c r="D17" s="7"/>
      <c r="E17" s="47"/>
      <c r="F17" s="46"/>
      <c r="G17" s="46"/>
      <c r="H17" s="7"/>
      <c r="I17" s="7"/>
      <c r="J17" s="47"/>
      <c r="K17" s="47"/>
      <c r="L17" s="47"/>
      <c r="M17" s="47"/>
      <c r="N17" s="47"/>
      <c r="O17" s="10"/>
      <c r="P17" s="47"/>
      <c r="Q17" s="47"/>
      <c r="R17" s="48" t="str">
        <f aca="false">IF(Q17="","",IF(Q17=0,"below 5:00",IF(Q17&gt;=66,"16:00 or above",INT((60+2*Q17)/12)&amp;":"&amp;TEXT(MOD(60+2*Q17,12),"00"))))</f>
        <v/>
      </c>
      <c r="S17" s="47"/>
      <c r="T17" s="47"/>
      <c r="U17" s="47"/>
      <c r="V17" s="47"/>
      <c r="W17" s="47"/>
      <c r="X17" s="47"/>
      <c r="Y17" s="47"/>
      <c r="Z17" s="47"/>
      <c r="AA17" s="10"/>
      <c r="AB17" s="10"/>
      <c r="AC17" s="47"/>
      <c r="AD17" s="47"/>
      <c r="AE17" s="47"/>
      <c r="AF17" s="47"/>
      <c r="AG17" s="47"/>
      <c r="AH17" s="47"/>
      <c r="AI17" s="46"/>
      <c r="AJ17" s="46"/>
      <c r="AK17" s="46"/>
      <c r="AL17" s="7"/>
      <c r="AM17" s="49" t="str">
        <f aca="false">IF(OR(C17="",G17=""),"",IFERROR(DATEDIF(C17,G17,"m"),""))</f>
        <v/>
      </c>
      <c r="AN17" s="49" t="str">
        <f aca="false">IF(OR(Q17="",AM17=""),"",60+2*Q17-AM17)</f>
        <v/>
      </c>
      <c r="AO17" s="49" t="str">
        <f aca="false">IF(OR(G17="",AJ17=""),"",AJ17-G17)</f>
        <v/>
      </c>
      <c r="AP17" s="50" t="str">
        <f aca="false">IF(AND(A17="",B17=""),"",IF(J17="","Status needed",IF(OR(J17="Applied",J17="Visit booked",J17="Withdrawn"),"OK",IF(G17="","Date assessed needed",IF(C17="","Date of birth needed",IF(COUNTA(L17,M17,P17,U17,V17,X17)&lt;6,"Band missing",IF(AND(OR(J17="Decision confirmed",J17="Family told",J17="Enrolled"),AG17=""),"Recommendation needed",IF(AND(OR(J17="Family told",J17="Enrolled"),AJ17=""),"Date family told needed","OK"))))))))</f>
        <v/>
      </c>
    </row>
    <row r="18" customFormat="false" ht="15" hidden="false" customHeight="false" outlineLevel="0" collapsed="false">
      <c r="A18" s="7"/>
      <c r="B18" s="7"/>
      <c r="C18" s="46"/>
      <c r="D18" s="7"/>
      <c r="E18" s="47"/>
      <c r="F18" s="46"/>
      <c r="G18" s="46"/>
      <c r="H18" s="7"/>
      <c r="I18" s="7"/>
      <c r="J18" s="47"/>
      <c r="K18" s="47"/>
      <c r="L18" s="47"/>
      <c r="M18" s="47"/>
      <c r="N18" s="47"/>
      <c r="O18" s="10"/>
      <c r="P18" s="47"/>
      <c r="Q18" s="47"/>
      <c r="R18" s="48" t="str">
        <f aca="false">IF(Q18="","",IF(Q18=0,"below 5:00",IF(Q18&gt;=66,"16:00 or above",INT((60+2*Q18)/12)&amp;":"&amp;TEXT(MOD(60+2*Q18,12),"00"))))</f>
        <v/>
      </c>
      <c r="S18" s="47"/>
      <c r="T18" s="47"/>
      <c r="U18" s="47"/>
      <c r="V18" s="47"/>
      <c r="W18" s="47"/>
      <c r="X18" s="47"/>
      <c r="Y18" s="47"/>
      <c r="Z18" s="47"/>
      <c r="AA18" s="10"/>
      <c r="AB18" s="10"/>
      <c r="AC18" s="47"/>
      <c r="AD18" s="47"/>
      <c r="AE18" s="47"/>
      <c r="AF18" s="47"/>
      <c r="AG18" s="47"/>
      <c r="AH18" s="47"/>
      <c r="AI18" s="46"/>
      <c r="AJ18" s="46"/>
      <c r="AK18" s="46"/>
      <c r="AL18" s="7"/>
      <c r="AM18" s="49" t="str">
        <f aca="false">IF(OR(C18="",G18=""),"",IFERROR(DATEDIF(C18,G18,"m"),""))</f>
        <v/>
      </c>
      <c r="AN18" s="49" t="str">
        <f aca="false">IF(OR(Q18="",AM18=""),"",60+2*Q18-AM18)</f>
        <v/>
      </c>
      <c r="AO18" s="49" t="str">
        <f aca="false">IF(OR(G18="",AJ18=""),"",AJ18-G18)</f>
        <v/>
      </c>
      <c r="AP18" s="50" t="str">
        <f aca="false">IF(AND(A18="",B18=""),"",IF(J18="","Status needed",IF(OR(J18="Applied",J18="Visit booked",J18="Withdrawn"),"OK",IF(G18="","Date assessed needed",IF(C18="","Date of birth needed",IF(COUNTA(L18,M18,P18,U18,V18,X18)&lt;6,"Band missing",IF(AND(OR(J18="Decision confirmed",J18="Family told",J18="Enrolled"),AG18=""),"Recommendation needed",IF(AND(OR(J18="Family told",J18="Enrolled"),AJ18=""),"Date family told needed","OK"))))))))</f>
        <v/>
      </c>
    </row>
    <row r="19" customFormat="false" ht="15" hidden="false" customHeight="false" outlineLevel="0" collapsed="false">
      <c r="A19" s="7"/>
      <c r="B19" s="7"/>
      <c r="C19" s="46"/>
      <c r="D19" s="7"/>
      <c r="E19" s="47"/>
      <c r="F19" s="46"/>
      <c r="G19" s="46"/>
      <c r="H19" s="7"/>
      <c r="I19" s="7"/>
      <c r="J19" s="47"/>
      <c r="K19" s="47"/>
      <c r="L19" s="47"/>
      <c r="M19" s="47"/>
      <c r="N19" s="47"/>
      <c r="O19" s="10"/>
      <c r="P19" s="47"/>
      <c r="Q19" s="47"/>
      <c r="R19" s="48" t="str">
        <f aca="false">IF(Q19="","",IF(Q19=0,"below 5:00",IF(Q19&gt;=66,"16:00 or above",INT((60+2*Q19)/12)&amp;":"&amp;TEXT(MOD(60+2*Q19,12),"00"))))</f>
        <v/>
      </c>
      <c r="S19" s="47"/>
      <c r="T19" s="47"/>
      <c r="U19" s="47"/>
      <c r="V19" s="47"/>
      <c r="W19" s="47"/>
      <c r="X19" s="47"/>
      <c r="Y19" s="47"/>
      <c r="Z19" s="47"/>
      <c r="AA19" s="10"/>
      <c r="AB19" s="10"/>
      <c r="AC19" s="47"/>
      <c r="AD19" s="47"/>
      <c r="AE19" s="47"/>
      <c r="AF19" s="47"/>
      <c r="AG19" s="47"/>
      <c r="AH19" s="47"/>
      <c r="AI19" s="46"/>
      <c r="AJ19" s="46"/>
      <c r="AK19" s="46"/>
      <c r="AL19" s="7"/>
      <c r="AM19" s="49" t="str">
        <f aca="false">IF(OR(C19="",G19=""),"",IFERROR(DATEDIF(C19,G19,"m"),""))</f>
        <v/>
      </c>
      <c r="AN19" s="49" t="str">
        <f aca="false">IF(OR(Q19="",AM19=""),"",60+2*Q19-AM19)</f>
        <v/>
      </c>
      <c r="AO19" s="49" t="str">
        <f aca="false">IF(OR(G19="",AJ19=""),"",AJ19-G19)</f>
        <v/>
      </c>
      <c r="AP19" s="50" t="str">
        <f aca="false">IF(AND(A19="",B19=""),"",IF(J19="","Status needed",IF(OR(J19="Applied",J19="Visit booked",J19="Withdrawn"),"OK",IF(G19="","Date assessed needed",IF(C19="","Date of birth needed",IF(COUNTA(L19,M19,P19,U19,V19,X19)&lt;6,"Band missing",IF(AND(OR(J19="Decision confirmed",J19="Family told",J19="Enrolled"),AG19=""),"Recommendation needed",IF(AND(OR(J19="Family told",J19="Enrolled"),AJ19=""),"Date family told needed","OK"))))))))</f>
        <v/>
      </c>
    </row>
    <row r="20" customFormat="false" ht="15" hidden="false" customHeight="false" outlineLevel="0" collapsed="false">
      <c r="A20" s="7"/>
      <c r="B20" s="7"/>
      <c r="C20" s="46"/>
      <c r="D20" s="7"/>
      <c r="E20" s="47"/>
      <c r="F20" s="46"/>
      <c r="G20" s="46"/>
      <c r="H20" s="7"/>
      <c r="I20" s="7"/>
      <c r="J20" s="47"/>
      <c r="K20" s="47"/>
      <c r="L20" s="47"/>
      <c r="M20" s="47"/>
      <c r="N20" s="47"/>
      <c r="O20" s="10"/>
      <c r="P20" s="47"/>
      <c r="Q20" s="47"/>
      <c r="R20" s="48" t="str">
        <f aca="false">IF(Q20="","",IF(Q20=0,"below 5:00",IF(Q20&gt;=66,"16:00 or above",INT((60+2*Q20)/12)&amp;":"&amp;TEXT(MOD(60+2*Q20,12),"00"))))</f>
        <v/>
      </c>
      <c r="S20" s="47"/>
      <c r="T20" s="47"/>
      <c r="U20" s="47"/>
      <c r="V20" s="47"/>
      <c r="W20" s="47"/>
      <c r="X20" s="47"/>
      <c r="Y20" s="47"/>
      <c r="Z20" s="47"/>
      <c r="AA20" s="10"/>
      <c r="AB20" s="10"/>
      <c r="AC20" s="47"/>
      <c r="AD20" s="47"/>
      <c r="AE20" s="47"/>
      <c r="AF20" s="47"/>
      <c r="AG20" s="47"/>
      <c r="AH20" s="47"/>
      <c r="AI20" s="46"/>
      <c r="AJ20" s="46"/>
      <c r="AK20" s="46"/>
      <c r="AL20" s="7"/>
      <c r="AM20" s="49" t="str">
        <f aca="false">IF(OR(C20="",G20=""),"",IFERROR(DATEDIF(C20,G20,"m"),""))</f>
        <v/>
      </c>
      <c r="AN20" s="49" t="str">
        <f aca="false">IF(OR(Q20="",AM20=""),"",60+2*Q20-AM20)</f>
        <v/>
      </c>
      <c r="AO20" s="49" t="str">
        <f aca="false">IF(OR(G20="",AJ20=""),"",AJ20-G20)</f>
        <v/>
      </c>
      <c r="AP20" s="50" t="str">
        <f aca="false">IF(AND(A20="",B20=""),"",IF(J20="","Status needed",IF(OR(J20="Applied",J20="Visit booked",J20="Withdrawn"),"OK",IF(G20="","Date assessed needed",IF(C20="","Date of birth needed",IF(COUNTA(L20,M20,P20,U20,V20,X20)&lt;6,"Band missing",IF(AND(OR(J20="Decision confirmed",J20="Family told",J20="Enrolled"),AG20=""),"Recommendation needed",IF(AND(OR(J20="Family told",J20="Enrolled"),AJ20=""),"Date family told needed","OK"))))))))</f>
        <v/>
      </c>
    </row>
    <row r="21" customFormat="false" ht="15" hidden="false" customHeight="false" outlineLevel="0" collapsed="false">
      <c r="A21" s="7"/>
      <c r="B21" s="7"/>
      <c r="C21" s="46"/>
      <c r="D21" s="7"/>
      <c r="E21" s="47"/>
      <c r="F21" s="46"/>
      <c r="G21" s="46"/>
      <c r="H21" s="7"/>
      <c r="I21" s="7"/>
      <c r="J21" s="47"/>
      <c r="K21" s="47"/>
      <c r="L21" s="47"/>
      <c r="M21" s="47"/>
      <c r="N21" s="47"/>
      <c r="O21" s="10"/>
      <c r="P21" s="47"/>
      <c r="Q21" s="47"/>
      <c r="R21" s="48" t="str">
        <f aca="false">IF(Q21="","",IF(Q21=0,"below 5:00",IF(Q21&gt;=66,"16:00 or above",INT((60+2*Q21)/12)&amp;":"&amp;TEXT(MOD(60+2*Q21,12),"00"))))</f>
        <v/>
      </c>
      <c r="S21" s="47"/>
      <c r="T21" s="47"/>
      <c r="U21" s="47"/>
      <c r="V21" s="47"/>
      <c r="W21" s="47"/>
      <c r="X21" s="47"/>
      <c r="Y21" s="47"/>
      <c r="Z21" s="47"/>
      <c r="AA21" s="10"/>
      <c r="AB21" s="10"/>
      <c r="AC21" s="47"/>
      <c r="AD21" s="47"/>
      <c r="AE21" s="47"/>
      <c r="AF21" s="47"/>
      <c r="AG21" s="47"/>
      <c r="AH21" s="47"/>
      <c r="AI21" s="46"/>
      <c r="AJ21" s="46"/>
      <c r="AK21" s="46"/>
      <c r="AL21" s="7"/>
      <c r="AM21" s="49" t="str">
        <f aca="false">IF(OR(C21="",G21=""),"",IFERROR(DATEDIF(C21,G21,"m"),""))</f>
        <v/>
      </c>
      <c r="AN21" s="49" t="str">
        <f aca="false">IF(OR(Q21="",AM21=""),"",60+2*Q21-AM21)</f>
        <v/>
      </c>
      <c r="AO21" s="49" t="str">
        <f aca="false">IF(OR(G21="",AJ21=""),"",AJ21-G21)</f>
        <v/>
      </c>
      <c r="AP21" s="50" t="str">
        <f aca="false">IF(AND(A21="",B21=""),"",IF(J21="","Status needed",IF(OR(J21="Applied",J21="Visit booked",J21="Withdrawn"),"OK",IF(G21="","Date assessed needed",IF(C21="","Date of birth needed",IF(COUNTA(L21,M21,P21,U21,V21,X21)&lt;6,"Band missing",IF(AND(OR(J21="Decision confirmed",J21="Family told",J21="Enrolled"),AG21=""),"Recommendation needed",IF(AND(OR(J21="Family told",J21="Enrolled"),AJ21=""),"Date family told needed","OK"))))))))</f>
        <v/>
      </c>
    </row>
    <row r="22" customFormat="false" ht="15" hidden="false" customHeight="false" outlineLevel="0" collapsed="false">
      <c r="A22" s="7"/>
      <c r="B22" s="7"/>
      <c r="C22" s="46"/>
      <c r="D22" s="7"/>
      <c r="E22" s="47"/>
      <c r="F22" s="46"/>
      <c r="G22" s="46"/>
      <c r="H22" s="7"/>
      <c r="I22" s="7"/>
      <c r="J22" s="47"/>
      <c r="K22" s="47"/>
      <c r="L22" s="47"/>
      <c r="M22" s="47"/>
      <c r="N22" s="47"/>
      <c r="O22" s="10"/>
      <c r="P22" s="47"/>
      <c r="Q22" s="47"/>
      <c r="R22" s="48" t="str">
        <f aca="false">IF(Q22="","",IF(Q22=0,"below 5:00",IF(Q22&gt;=66,"16:00 or above",INT((60+2*Q22)/12)&amp;":"&amp;TEXT(MOD(60+2*Q22,12),"00"))))</f>
        <v/>
      </c>
      <c r="S22" s="47"/>
      <c r="T22" s="47"/>
      <c r="U22" s="47"/>
      <c r="V22" s="47"/>
      <c r="W22" s="47"/>
      <c r="X22" s="47"/>
      <c r="Y22" s="47"/>
      <c r="Z22" s="47"/>
      <c r="AA22" s="10"/>
      <c r="AB22" s="10"/>
      <c r="AC22" s="47"/>
      <c r="AD22" s="47"/>
      <c r="AE22" s="47"/>
      <c r="AF22" s="47"/>
      <c r="AG22" s="47"/>
      <c r="AH22" s="47"/>
      <c r="AI22" s="46"/>
      <c r="AJ22" s="46"/>
      <c r="AK22" s="46"/>
      <c r="AL22" s="7"/>
      <c r="AM22" s="49" t="str">
        <f aca="false">IF(OR(C22="",G22=""),"",IFERROR(DATEDIF(C22,G22,"m"),""))</f>
        <v/>
      </c>
      <c r="AN22" s="49" t="str">
        <f aca="false">IF(OR(Q22="",AM22=""),"",60+2*Q22-AM22)</f>
        <v/>
      </c>
      <c r="AO22" s="49" t="str">
        <f aca="false">IF(OR(G22="",AJ22=""),"",AJ22-G22)</f>
        <v/>
      </c>
      <c r="AP22" s="50" t="str">
        <f aca="false">IF(AND(A22="",B22=""),"",IF(J22="","Status needed",IF(OR(J22="Applied",J22="Visit booked",J22="Withdrawn"),"OK",IF(G22="","Date assessed needed",IF(C22="","Date of birth needed",IF(COUNTA(L22,M22,P22,U22,V22,X22)&lt;6,"Band missing",IF(AND(OR(J22="Decision confirmed",J22="Family told",J22="Enrolled"),AG22=""),"Recommendation needed",IF(AND(OR(J22="Family told",J22="Enrolled"),AJ22=""),"Date family told needed","OK"))))))))</f>
        <v/>
      </c>
    </row>
    <row r="23" customFormat="false" ht="15" hidden="false" customHeight="false" outlineLevel="0" collapsed="false">
      <c r="A23" s="7"/>
      <c r="B23" s="7"/>
      <c r="C23" s="46"/>
      <c r="D23" s="7"/>
      <c r="E23" s="47"/>
      <c r="F23" s="46"/>
      <c r="G23" s="46"/>
      <c r="H23" s="7"/>
      <c r="I23" s="7"/>
      <c r="J23" s="47"/>
      <c r="K23" s="47"/>
      <c r="L23" s="47"/>
      <c r="M23" s="47"/>
      <c r="N23" s="47"/>
      <c r="O23" s="10"/>
      <c r="P23" s="47"/>
      <c r="Q23" s="47"/>
      <c r="R23" s="48" t="str">
        <f aca="false">IF(Q23="","",IF(Q23=0,"below 5:00",IF(Q23&gt;=66,"16:00 or above",INT((60+2*Q23)/12)&amp;":"&amp;TEXT(MOD(60+2*Q23,12),"00"))))</f>
        <v/>
      </c>
      <c r="S23" s="47"/>
      <c r="T23" s="47"/>
      <c r="U23" s="47"/>
      <c r="V23" s="47"/>
      <c r="W23" s="47"/>
      <c r="X23" s="47"/>
      <c r="Y23" s="47"/>
      <c r="Z23" s="47"/>
      <c r="AA23" s="10"/>
      <c r="AB23" s="10"/>
      <c r="AC23" s="47"/>
      <c r="AD23" s="47"/>
      <c r="AE23" s="47"/>
      <c r="AF23" s="47"/>
      <c r="AG23" s="47"/>
      <c r="AH23" s="47"/>
      <c r="AI23" s="46"/>
      <c r="AJ23" s="46"/>
      <c r="AK23" s="46"/>
      <c r="AL23" s="7"/>
      <c r="AM23" s="49" t="str">
        <f aca="false">IF(OR(C23="",G23=""),"",IFERROR(DATEDIF(C23,G23,"m"),""))</f>
        <v/>
      </c>
      <c r="AN23" s="49" t="str">
        <f aca="false">IF(OR(Q23="",AM23=""),"",60+2*Q23-AM23)</f>
        <v/>
      </c>
      <c r="AO23" s="49" t="str">
        <f aca="false">IF(OR(G23="",AJ23=""),"",AJ23-G23)</f>
        <v/>
      </c>
      <c r="AP23" s="50" t="str">
        <f aca="false">IF(AND(A23="",B23=""),"",IF(J23="","Status needed",IF(OR(J23="Applied",J23="Visit booked",J23="Withdrawn"),"OK",IF(G23="","Date assessed needed",IF(C23="","Date of birth needed",IF(COUNTA(L23,M23,P23,U23,V23,X23)&lt;6,"Band missing",IF(AND(OR(J23="Decision confirmed",J23="Family told",J23="Enrolled"),AG23=""),"Recommendation needed",IF(AND(OR(J23="Family told",J23="Enrolled"),AJ23=""),"Date family told needed","OK"))))))))</f>
        <v/>
      </c>
    </row>
    <row r="24" customFormat="false" ht="15" hidden="false" customHeight="false" outlineLevel="0" collapsed="false">
      <c r="A24" s="7"/>
      <c r="B24" s="7"/>
      <c r="C24" s="46"/>
      <c r="D24" s="7"/>
      <c r="E24" s="47"/>
      <c r="F24" s="46"/>
      <c r="G24" s="46"/>
      <c r="H24" s="7"/>
      <c r="I24" s="7"/>
      <c r="J24" s="47"/>
      <c r="K24" s="47"/>
      <c r="L24" s="47"/>
      <c r="M24" s="47"/>
      <c r="N24" s="47"/>
      <c r="O24" s="10"/>
      <c r="P24" s="47"/>
      <c r="Q24" s="47"/>
      <c r="R24" s="48" t="str">
        <f aca="false">IF(Q24="","",IF(Q24=0,"below 5:00",IF(Q24&gt;=66,"16:00 or above",INT((60+2*Q24)/12)&amp;":"&amp;TEXT(MOD(60+2*Q24,12),"00"))))</f>
        <v/>
      </c>
      <c r="S24" s="47"/>
      <c r="T24" s="47"/>
      <c r="U24" s="47"/>
      <c r="V24" s="47"/>
      <c r="W24" s="47"/>
      <c r="X24" s="47"/>
      <c r="Y24" s="47"/>
      <c r="Z24" s="47"/>
      <c r="AA24" s="10"/>
      <c r="AB24" s="10"/>
      <c r="AC24" s="47"/>
      <c r="AD24" s="47"/>
      <c r="AE24" s="47"/>
      <c r="AF24" s="47"/>
      <c r="AG24" s="47"/>
      <c r="AH24" s="47"/>
      <c r="AI24" s="46"/>
      <c r="AJ24" s="46"/>
      <c r="AK24" s="46"/>
      <c r="AL24" s="7"/>
      <c r="AM24" s="49" t="str">
        <f aca="false">IF(OR(C24="",G24=""),"",IFERROR(DATEDIF(C24,G24,"m"),""))</f>
        <v/>
      </c>
      <c r="AN24" s="49" t="str">
        <f aca="false">IF(OR(Q24="",AM24=""),"",60+2*Q24-AM24)</f>
        <v/>
      </c>
      <c r="AO24" s="49" t="str">
        <f aca="false">IF(OR(G24="",AJ24=""),"",AJ24-G24)</f>
        <v/>
      </c>
      <c r="AP24" s="50" t="str">
        <f aca="false">IF(AND(A24="",B24=""),"",IF(J24="","Status needed",IF(OR(J24="Applied",J24="Visit booked",J24="Withdrawn"),"OK",IF(G24="","Date assessed needed",IF(C24="","Date of birth needed",IF(COUNTA(L24,M24,P24,U24,V24,X24)&lt;6,"Band missing",IF(AND(OR(J24="Decision confirmed",J24="Family told",J24="Enrolled"),AG24=""),"Recommendation needed",IF(AND(OR(J24="Family told",J24="Enrolled"),AJ24=""),"Date family told needed","OK"))))))))</f>
        <v/>
      </c>
    </row>
    <row r="25" customFormat="false" ht="15" hidden="false" customHeight="false" outlineLevel="0" collapsed="false">
      <c r="A25" s="7"/>
      <c r="B25" s="7"/>
      <c r="C25" s="46"/>
      <c r="D25" s="7"/>
      <c r="E25" s="47"/>
      <c r="F25" s="46"/>
      <c r="G25" s="46"/>
      <c r="H25" s="7"/>
      <c r="I25" s="7"/>
      <c r="J25" s="47"/>
      <c r="K25" s="47"/>
      <c r="L25" s="47"/>
      <c r="M25" s="47"/>
      <c r="N25" s="47"/>
      <c r="O25" s="10"/>
      <c r="P25" s="47"/>
      <c r="Q25" s="47"/>
      <c r="R25" s="48" t="str">
        <f aca="false">IF(Q25="","",IF(Q25=0,"below 5:00",IF(Q25&gt;=66,"16:00 or above",INT((60+2*Q25)/12)&amp;":"&amp;TEXT(MOD(60+2*Q25,12),"00"))))</f>
        <v/>
      </c>
      <c r="S25" s="47"/>
      <c r="T25" s="47"/>
      <c r="U25" s="47"/>
      <c r="V25" s="47"/>
      <c r="W25" s="47"/>
      <c r="X25" s="47"/>
      <c r="Y25" s="47"/>
      <c r="Z25" s="47"/>
      <c r="AA25" s="10"/>
      <c r="AB25" s="10"/>
      <c r="AC25" s="47"/>
      <c r="AD25" s="47"/>
      <c r="AE25" s="47"/>
      <c r="AF25" s="47"/>
      <c r="AG25" s="47"/>
      <c r="AH25" s="47"/>
      <c r="AI25" s="46"/>
      <c r="AJ25" s="46"/>
      <c r="AK25" s="46"/>
      <c r="AL25" s="7"/>
      <c r="AM25" s="49" t="str">
        <f aca="false">IF(OR(C25="",G25=""),"",IFERROR(DATEDIF(C25,G25,"m"),""))</f>
        <v/>
      </c>
      <c r="AN25" s="49" t="str">
        <f aca="false">IF(OR(Q25="",AM25=""),"",60+2*Q25-AM25)</f>
        <v/>
      </c>
      <c r="AO25" s="49" t="str">
        <f aca="false">IF(OR(G25="",AJ25=""),"",AJ25-G25)</f>
        <v/>
      </c>
      <c r="AP25" s="50" t="str">
        <f aca="false">IF(AND(A25="",B25=""),"",IF(J25="","Status needed",IF(OR(J25="Applied",J25="Visit booked",J25="Withdrawn"),"OK",IF(G25="","Date assessed needed",IF(C25="","Date of birth needed",IF(COUNTA(L25,M25,P25,U25,V25,X25)&lt;6,"Band missing",IF(AND(OR(J25="Decision confirmed",J25="Family told",J25="Enrolled"),AG25=""),"Recommendation needed",IF(AND(OR(J25="Family told",J25="Enrolled"),AJ25=""),"Date family told needed","OK"))))))))</f>
        <v/>
      </c>
    </row>
    <row r="26" customFormat="false" ht="15" hidden="false" customHeight="false" outlineLevel="0" collapsed="false">
      <c r="A26" s="7"/>
      <c r="B26" s="7"/>
      <c r="C26" s="46"/>
      <c r="D26" s="7"/>
      <c r="E26" s="47"/>
      <c r="F26" s="46"/>
      <c r="G26" s="46"/>
      <c r="H26" s="7"/>
      <c r="I26" s="7"/>
      <c r="J26" s="47"/>
      <c r="K26" s="47"/>
      <c r="L26" s="47"/>
      <c r="M26" s="47"/>
      <c r="N26" s="47"/>
      <c r="O26" s="10"/>
      <c r="P26" s="47"/>
      <c r="Q26" s="47"/>
      <c r="R26" s="48" t="str">
        <f aca="false">IF(Q26="","",IF(Q26=0,"below 5:00",IF(Q26&gt;=66,"16:00 or above",INT((60+2*Q26)/12)&amp;":"&amp;TEXT(MOD(60+2*Q26,12),"00"))))</f>
        <v/>
      </c>
      <c r="S26" s="47"/>
      <c r="T26" s="47"/>
      <c r="U26" s="47"/>
      <c r="V26" s="47"/>
      <c r="W26" s="47"/>
      <c r="X26" s="47"/>
      <c r="Y26" s="47"/>
      <c r="Z26" s="47"/>
      <c r="AA26" s="10"/>
      <c r="AB26" s="10"/>
      <c r="AC26" s="47"/>
      <c r="AD26" s="47"/>
      <c r="AE26" s="47"/>
      <c r="AF26" s="47"/>
      <c r="AG26" s="47"/>
      <c r="AH26" s="47"/>
      <c r="AI26" s="46"/>
      <c r="AJ26" s="46"/>
      <c r="AK26" s="46"/>
      <c r="AL26" s="7"/>
      <c r="AM26" s="49" t="str">
        <f aca="false">IF(OR(C26="",G26=""),"",IFERROR(DATEDIF(C26,G26,"m"),""))</f>
        <v/>
      </c>
      <c r="AN26" s="49" t="str">
        <f aca="false">IF(OR(Q26="",AM26=""),"",60+2*Q26-AM26)</f>
        <v/>
      </c>
      <c r="AO26" s="49" t="str">
        <f aca="false">IF(OR(G26="",AJ26=""),"",AJ26-G26)</f>
        <v/>
      </c>
      <c r="AP26" s="50" t="str">
        <f aca="false">IF(AND(A26="",B26=""),"",IF(J26="","Status needed",IF(OR(J26="Applied",J26="Visit booked",J26="Withdrawn"),"OK",IF(G26="","Date assessed needed",IF(C26="","Date of birth needed",IF(COUNTA(L26,M26,P26,U26,V26,X26)&lt;6,"Band missing",IF(AND(OR(J26="Decision confirmed",J26="Family told",J26="Enrolled"),AG26=""),"Recommendation needed",IF(AND(OR(J26="Family told",J26="Enrolled"),AJ26=""),"Date family told needed","OK"))))))))</f>
        <v/>
      </c>
    </row>
    <row r="27" customFormat="false" ht="15" hidden="false" customHeight="false" outlineLevel="0" collapsed="false">
      <c r="A27" s="7"/>
      <c r="B27" s="7"/>
      <c r="C27" s="46"/>
      <c r="D27" s="7"/>
      <c r="E27" s="47"/>
      <c r="F27" s="46"/>
      <c r="G27" s="46"/>
      <c r="H27" s="7"/>
      <c r="I27" s="7"/>
      <c r="J27" s="47"/>
      <c r="K27" s="47"/>
      <c r="L27" s="47"/>
      <c r="M27" s="47"/>
      <c r="N27" s="47"/>
      <c r="O27" s="10"/>
      <c r="P27" s="47"/>
      <c r="Q27" s="47"/>
      <c r="R27" s="48" t="str">
        <f aca="false">IF(Q27="","",IF(Q27=0,"below 5:00",IF(Q27&gt;=66,"16:00 or above",INT((60+2*Q27)/12)&amp;":"&amp;TEXT(MOD(60+2*Q27,12),"00"))))</f>
        <v/>
      </c>
      <c r="S27" s="47"/>
      <c r="T27" s="47"/>
      <c r="U27" s="47"/>
      <c r="V27" s="47"/>
      <c r="W27" s="47"/>
      <c r="X27" s="47"/>
      <c r="Y27" s="47"/>
      <c r="Z27" s="47"/>
      <c r="AA27" s="10"/>
      <c r="AB27" s="10"/>
      <c r="AC27" s="47"/>
      <c r="AD27" s="47"/>
      <c r="AE27" s="47"/>
      <c r="AF27" s="47"/>
      <c r="AG27" s="47"/>
      <c r="AH27" s="47"/>
      <c r="AI27" s="46"/>
      <c r="AJ27" s="46"/>
      <c r="AK27" s="46"/>
      <c r="AL27" s="7"/>
      <c r="AM27" s="49" t="str">
        <f aca="false">IF(OR(C27="",G27=""),"",IFERROR(DATEDIF(C27,G27,"m"),""))</f>
        <v/>
      </c>
      <c r="AN27" s="49" t="str">
        <f aca="false">IF(OR(Q27="",AM27=""),"",60+2*Q27-AM27)</f>
        <v/>
      </c>
      <c r="AO27" s="49" t="str">
        <f aca="false">IF(OR(G27="",AJ27=""),"",AJ27-G27)</f>
        <v/>
      </c>
      <c r="AP27" s="50" t="str">
        <f aca="false">IF(AND(A27="",B27=""),"",IF(J27="","Status needed",IF(OR(J27="Applied",J27="Visit booked",J27="Withdrawn"),"OK",IF(G27="","Date assessed needed",IF(C27="","Date of birth needed",IF(COUNTA(L27,M27,P27,U27,V27,X27)&lt;6,"Band missing",IF(AND(OR(J27="Decision confirmed",J27="Family told",J27="Enrolled"),AG27=""),"Recommendation needed",IF(AND(OR(J27="Family told",J27="Enrolled"),AJ27=""),"Date family told needed","OK"))))))))</f>
        <v/>
      </c>
    </row>
    <row r="28" customFormat="false" ht="15" hidden="false" customHeight="false" outlineLevel="0" collapsed="false">
      <c r="A28" s="7"/>
      <c r="B28" s="7"/>
      <c r="C28" s="46"/>
      <c r="D28" s="7"/>
      <c r="E28" s="47"/>
      <c r="F28" s="46"/>
      <c r="G28" s="46"/>
      <c r="H28" s="7"/>
      <c r="I28" s="7"/>
      <c r="J28" s="47"/>
      <c r="K28" s="47"/>
      <c r="L28" s="47"/>
      <c r="M28" s="47"/>
      <c r="N28" s="47"/>
      <c r="O28" s="10"/>
      <c r="P28" s="47"/>
      <c r="Q28" s="47"/>
      <c r="R28" s="48" t="str">
        <f aca="false">IF(Q28="","",IF(Q28=0,"below 5:00",IF(Q28&gt;=66,"16:00 or above",INT((60+2*Q28)/12)&amp;":"&amp;TEXT(MOD(60+2*Q28,12),"00"))))</f>
        <v/>
      </c>
      <c r="S28" s="47"/>
      <c r="T28" s="47"/>
      <c r="U28" s="47"/>
      <c r="V28" s="47"/>
      <c r="W28" s="47"/>
      <c r="X28" s="47"/>
      <c r="Y28" s="47"/>
      <c r="Z28" s="47"/>
      <c r="AA28" s="10"/>
      <c r="AB28" s="10"/>
      <c r="AC28" s="47"/>
      <c r="AD28" s="47"/>
      <c r="AE28" s="47"/>
      <c r="AF28" s="47"/>
      <c r="AG28" s="47"/>
      <c r="AH28" s="47"/>
      <c r="AI28" s="46"/>
      <c r="AJ28" s="46"/>
      <c r="AK28" s="46"/>
      <c r="AL28" s="7"/>
      <c r="AM28" s="49" t="str">
        <f aca="false">IF(OR(C28="",G28=""),"",IFERROR(DATEDIF(C28,G28,"m"),""))</f>
        <v/>
      </c>
      <c r="AN28" s="49" t="str">
        <f aca="false">IF(OR(Q28="",AM28=""),"",60+2*Q28-AM28)</f>
        <v/>
      </c>
      <c r="AO28" s="49" t="str">
        <f aca="false">IF(OR(G28="",AJ28=""),"",AJ28-G28)</f>
        <v/>
      </c>
      <c r="AP28" s="50" t="str">
        <f aca="false">IF(AND(A28="",B28=""),"",IF(J28="","Status needed",IF(OR(J28="Applied",J28="Visit booked",J28="Withdrawn"),"OK",IF(G28="","Date assessed needed",IF(C28="","Date of birth needed",IF(COUNTA(L28,M28,P28,U28,V28,X28)&lt;6,"Band missing",IF(AND(OR(J28="Decision confirmed",J28="Family told",J28="Enrolled"),AG28=""),"Recommendation needed",IF(AND(OR(J28="Family told",J28="Enrolled"),AJ28=""),"Date family told needed","OK"))))))))</f>
        <v/>
      </c>
    </row>
    <row r="29" customFormat="false" ht="15" hidden="false" customHeight="false" outlineLevel="0" collapsed="false">
      <c r="A29" s="7"/>
      <c r="B29" s="7"/>
      <c r="C29" s="46"/>
      <c r="D29" s="7"/>
      <c r="E29" s="47"/>
      <c r="F29" s="46"/>
      <c r="G29" s="46"/>
      <c r="H29" s="7"/>
      <c r="I29" s="7"/>
      <c r="J29" s="47"/>
      <c r="K29" s="47"/>
      <c r="L29" s="47"/>
      <c r="M29" s="47"/>
      <c r="N29" s="47"/>
      <c r="O29" s="10"/>
      <c r="P29" s="47"/>
      <c r="Q29" s="47"/>
      <c r="R29" s="48" t="str">
        <f aca="false">IF(Q29="","",IF(Q29=0,"below 5:00",IF(Q29&gt;=66,"16:00 or above",INT((60+2*Q29)/12)&amp;":"&amp;TEXT(MOD(60+2*Q29,12),"00"))))</f>
        <v/>
      </c>
      <c r="S29" s="47"/>
      <c r="T29" s="47"/>
      <c r="U29" s="47"/>
      <c r="V29" s="47"/>
      <c r="W29" s="47"/>
      <c r="X29" s="47"/>
      <c r="Y29" s="47"/>
      <c r="Z29" s="47"/>
      <c r="AA29" s="10"/>
      <c r="AB29" s="10"/>
      <c r="AC29" s="47"/>
      <c r="AD29" s="47"/>
      <c r="AE29" s="47"/>
      <c r="AF29" s="47"/>
      <c r="AG29" s="47"/>
      <c r="AH29" s="47"/>
      <c r="AI29" s="46"/>
      <c r="AJ29" s="46"/>
      <c r="AK29" s="46"/>
      <c r="AL29" s="7"/>
      <c r="AM29" s="49" t="str">
        <f aca="false">IF(OR(C29="",G29=""),"",IFERROR(DATEDIF(C29,G29,"m"),""))</f>
        <v/>
      </c>
      <c r="AN29" s="49" t="str">
        <f aca="false">IF(OR(Q29="",AM29=""),"",60+2*Q29-AM29)</f>
        <v/>
      </c>
      <c r="AO29" s="49" t="str">
        <f aca="false">IF(OR(G29="",AJ29=""),"",AJ29-G29)</f>
        <v/>
      </c>
      <c r="AP29" s="50" t="str">
        <f aca="false">IF(AND(A29="",B29=""),"",IF(J29="","Status needed",IF(OR(J29="Applied",J29="Visit booked",J29="Withdrawn"),"OK",IF(G29="","Date assessed needed",IF(C29="","Date of birth needed",IF(COUNTA(L29,M29,P29,U29,V29,X29)&lt;6,"Band missing",IF(AND(OR(J29="Decision confirmed",J29="Family told",J29="Enrolled"),AG29=""),"Recommendation needed",IF(AND(OR(J29="Family told",J29="Enrolled"),AJ29=""),"Date family told needed","OK"))))))))</f>
        <v/>
      </c>
    </row>
    <row r="30" customFormat="false" ht="15" hidden="false" customHeight="false" outlineLevel="0" collapsed="false">
      <c r="A30" s="7"/>
      <c r="B30" s="7"/>
      <c r="C30" s="46"/>
      <c r="D30" s="7"/>
      <c r="E30" s="47"/>
      <c r="F30" s="46"/>
      <c r="G30" s="46"/>
      <c r="H30" s="7"/>
      <c r="I30" s="7"/>
      <c r="J30" s="47"/>
      <c r="K30" s="47"/>
      <c r="L30" s="47"/>
      <c r="M30" s="47"/>
      <c r="N30" s="47"/>
      <c r="O30" s="10"/>
      <c r="P30" s="47"/>
      <c r="Q30" s="47"/>
      <c r="R30" s="48" t="str">
        <f aca="false">IF(Q30="","",IF(Q30=0,"below 5:00",IF(Q30&gt;=66,"16:00 or above",INT((60+2*Q30)/12)&amp;":"&amp;TEXT(MOD(60+2*Q30,12),"00"))))</f>
        <v/>
      </c>
      <c r="S30" s="47"/>
      <c r="T30" s="47"/>
      <c r="U30" s="47"/>
      <c r="V30" s="47"/>
      <c r="W30" s="47"/>
      <c r="X30" s="47"/>
      <c r="Y30" s="47"/>
      <c r="Z30" s="47"/>
      <c r="AA30" s="10"/>
      <c r="AB30" s="10"/>
      <c r="AC30" s="47"/>
      <c r="AD30" s="47"/>
      <c r="AE30" s="47"/>
      <c r="AF30" s="47"/>
      <c r="AG30" s="47"/>
      <c r="AH30" s="47"/>
      <c r="AI30" s="46"/>
      <c r="AJ30" s="46"/>
      <c r="AK30" s="46"/>
      <c r="AL30" s="7"/>
      <c r="AM30" s="49" t="str">
        <f aca="false">IF(OR(C30="",G30=""),"",IFERROR(DATEDIF(C30,G30,"m"),""))</f>
        <v/>
      </c>
      <c r="AN30" s="49" t="str">
        <f aca="false">IF(OR(Q30="",AM30=""),"",60+2*Q30-AM30)</f>
        <v/>
      </c>
      <c r="AO30" s="49" t="str">
        <f aca="false">IF(OR(G30="",AJ30=""),"",AJ30-G30)</f>
        <v/>
      </c>
      <c r="AP30" s="50" t="str">
        <f aca="false">IF(AND(A30="",B30=""),"",IF(J30="","Status needed",IF(OR(J30="Applied",J30="Visit booked",J30="Withdrawn"),"OK",IF(G30="","Date assessed needed",IF(C30="","Date of birth needed",IF(COUNTA(L30,M30,P30,U30,V30,X30)&lt;6,"Band missing",IF(AND(OR(J30="Decision confirmed",J30="Family told",J30="Enrolled"),AG30=""),"Recommendation needed",IF(AND(OR(J30="Family told",J30="Enrolled"),AJ30=""),"Date family told needed","OK"))))))))</f>
        <v/>
      </c>
    </row>
    <row r="31" customFormat="false" ht="15" hidden="false" customHeight="false" outlineLevel="0" collapsed="false">
      <c r="A31" s="7"/>
      <c r="B31" s="7"/>
      <c r="C31" s="46"/>
      <c r="D31" s="7"/>
      <c r="E31" s="47"/>
      <c r="F31" s="46"/>
      <c r="G31" s="46"/>
      <c r="H31" s="7"/>
      <c r="I31" s="7"/>
      <c r="J31" s="47"/>
      <c r="K31" s="47"/>
      <c r="L31" s="47"/>
      <c r="M31" s="47"/>
      <c r="N31" s="47"/>
      <c r="O31" s="10"/>
      <c r="P31" s="47"/>
      <c r="Q31" s="47"/>
      <c r="R31" s="48" t="str">
        <f aca="false">IF(Q31="","",IF(Q31=0,"below 5:00",IF(Q31&gt;=66,"16:00 or above",INT((60+2*Q31)/12)&amp;":"&amp;TEXT(MOD(60+2*Q31,12),"00"))))</f>
        <v/>
      </c>
      <c r="S31" s="47"/>
      <c r="T31" s="47"/>
      <c r="U31" s="47"/>
      <c r="V31" s="47"/>
      <c r="W31" s="47"/>
      <c r="X31" s="47"/>
      <c r="Y31" s="47"/>
      <c r="Z31" s="47"/>
      <c r="AA31" s="10"/>
      <c r="AB31" s="10"/>
      <c r="AC31" s="47"/>
      <c r="AD31" s="47"/>
      <c r="AE31" s="47"/>
      <c r="AF31" s="47"/>
      <c r="AG31" s="47"/>
      <c r="AH31" s="47"/>
      <c r="AI31" s="46"/>
      <c r="AJ31" s="46"/>
      <c r="AK31" s="46"/>
      <c r="AL31" s="7"/>
      <c r="AM31" s="49" t="str">
        <f aca="false">IF(OR(C31="",G31=""),"",IFERROR(DATEDIF(C31,G31,"m"),""))</f>
        <v/>
      </c>
      <c r="AN31" s="49" t="str">
        <f aca="false">IF(OR(Q31="",AM31=""),"",60+2*Q31-AM31)</f>
        <v/>
      </c>
      <c r="AO31" s="49" t="str">
        <f aca="false">IF(OR(G31="",AJ31=""),"",AJ31-G31)</f>
        <v/>
      </c>
      <c r="AP31" s="50" t="str">
        <f aca="false">IF(AND(A31="",B31=""),"",IF(J31="","Status needed",IF(OR(J31="Applied",J31="Visit booked",J31="Withdrawn"),"OK",IF(G31="","Date assessed needed",IF(C31="","Date of birth needed",IF(COUNTA(L31,M31,P31,U31,V31,X31)&lt;6,"Band missing",IF(AND(OR(J31="Decision confirmed",J31="Family told",J31="Enrolled"),AG31=""),"Recommendation needed",IF(AND(OR(J31="Family told",J31="Enrolled"),AJ31=""),"Date family told needed","OK"))))))))</f>
        <v/>
      </c>
    </row>
    <row r="32" customFormat="false" ht="15" hidden="false" customHeight="false" outlineLevel="0" collapsed="false">
      <c r="A32" s="7"/>
      <c r="B32" s="7"/>
      <c r="C32" s="46"/>
      <c r="D32" s="7"/>
      <c r="E32" s="47"/>
      <c r="F32" s="46"/>
      <c r="G32" s="46"/>
      <c r="H32" s="7"/>
      <c r="I32" s="7"/>
      <c r="J32" s="47"/>
      <c r="K32" s="47"/>
      <c r="L32" s="47"/>
      <c r="M32" s="47"/>
      <c r="N32" s="47"/>
      <c r="O32" s="10"/>
      <c r="P32" s="47"/>
      <c r="Q32" s="47"/>
      <c r="R32" s="48" t="str">
        <f aca="false">IF(Q32="","",IF(Q32=0,"below 5:00",IF(Q32&gt;=66,"16:00 or above",INT((60+2*Q32)/12)&amp;":"&amp;TEXT(MOD(60+2*Q32,12),"00"))))</f>
        <v/>
      </c>
      <c r="S32" s="47"/>
      <c r="T32" s="47"/>
      <c r="U32" s="47"/>
      <c r="V32" s="47"/>
      <c r="W32" s="47"/>
      <c r="X32" s="47"/>
      <c r="Y32" s="47"/>
      <c r="Z32" s="47"/>
      <c r="AA32" s="10"/>
      <c r="AB32" s="10"/>
      <c r="AC32" s="47"/>
      <c r="AD32" s="47"/>
      <c r="AE32" s="47"/>
      <c r="AF32" s="47"/>
      <c r="AG32" s="47"/>
      <c r="AH32" s="47"/>
      <c r="AI32" s="46"/>
      <c r="AJ32" s="46"/>
      <c r="AK32" s="46"/>
      <c r="AL32" s="7"/>
      <c r="AM32" s="49" t="str">
        <f aca="false">IF(OR(C32="",G32=""),"",IFERROR(DATEDIF(C32,G32,"m"),""))</f>
        <v/>
      </c>
      <c r="AN32" s="49" t="str">
        <f aca="false">IF(OR(Q32="",AM32=""),"",60+2*Q32-AM32)</f>
        <v/>
      </c>
      <c r="AO32" s="49" t="str">
        <f aca="false">IF(OR(G32="",AJ32=""),"",AJ32-G32)</f>
        <v/>
      </c>
      <c r="AP32" s="50" t="str">
        <f aca="false">IF(AND(A32="",B32=""),"",IF(J32="","Status needed",IF(OR(J32="Applied",J32="Visit booked",J32="Withdrawn"),"OK",IF(G32="","Date assessed needed",IF(C32="","Date of birth needed",IF(COUNTA(L32,M32,P32,U32,V32,X32)&lt;6,"Band missing",IF(AND(OR(J32="Decision confirmed",J32="Family told",J32="Enrolled"),AG32=""),"Recommendation needed",IF(AND(OR(J32="Family told",J32="Enrolled"),AJ32=""),"Date family told needed","OK"))))))))</f>
        <v/>
      </c>
    </row>
    <row r="33" customFormat="false" ht="15" hidden="false" customHeight="false" outlineLevel="0" collapsed="false">
      <c r="A33" s="7"/>
      <c r="B33" s="7"/>
      <c r="C33" s="46"/>
      <c r="D33" s="7"/>
      <c r="E33" s="47"/>
      <c r="F33" s="46"/>
      <c r="G33" s="46"/>
      <c r="H33" s="7"/>
      <c r="I33" s="7"/>
      <c r="J33" s="47"/>
      <c r="K33" s="47"/>
      <c r="L33" s="47"/>
      <c r="M33" s="47"/>
      <c r="N33" s="47"/>
      <c r="O33" s="10"/>
      <c r="P33" s="47"/>
      <c r="Q33" s="47"/>
      <c r="R33" s="48" t="str">
        <f aca="false">IF(Q33="","",IF(Q33=0,"below 5:00",IF(Q33&gt;=66,"16:00 or above",INT((60+2*Q33)/12)&amp;":"&amp;TEXT(MOD(60+2*Q33,12),"00"))))</f>
        <v/>
      </c>
      <c r="S33" s="47"/>
      <c r="T33" s="47"/>
      <c r="U33" s="47"/>
      <c r="V33" s="47"/>
      <c r="W33" s="47"/>
      <c r="X33" s="47"/>
      <c r="Y33" s="47"/>
      <c r="Z33" s="47"/>
      <c r="AA33" s="10"/>
      <c r="AB33" s="10"/>
      <c r="AC33" s="47"/>
      <c r="AD33" s="47"/>
      <c r="AE33" s="47"/>
      <c r="AF33" s="47"/>
      <c r="AG33" s="47"/>
      <c r="AH33" s="47"/>
      <c r="AI33" s="46"/>
      <c r="AJ33" s="46"/>
      <c r="AK33" s="46"/>
      <c r="AL33" s="7"/>
      <c r="AM33" s="49" t="str">
        <f aca="false">IF(OR(C33="",G33=""),"",IFERROR(DATEDIF(C33,G33,"m"),""))</f>
        <v/>
      </c>
      <c r="AN33" s="49" t="str">
        <f aca="false">IF(OR(Q33="",AM33=""),"",60+2*Q33-AM33)</f>
        <v/>
      </c>
      <c r="AO33" s="49" t="str">
        <f aca="false">IF(OR(G33="",AJ33=""),"",AJ33-G33)</f>
        <v/>
      </c>
      <c r="AP33" s="50" t="str">
        <f aca="false">IF(AND(A33="",B33=""),"",IF(J33="","Status needed",IF(OR(J33="Applied",J33="Visit booked",J33="Withdrawn"),"OK",IF(G33="","Date assessed needed",IF(C33="","Date of birth needed",IF(COUNTA(L33,M33,P33,U33,V33,X33)&lt;6,"Band missing",IF(AND(OR(J33="Decision confirmed",J33="Family told",J33="Enrolled"),AG33=""),"Recommendation needed",IF(AND(OR(J33="Family told",J33="Enrolled"),AJ33=""),"Date family told needed","OK"))))))))</f>
        <v/>
      </c>
    </row>
    <row r="34" customFormat="false" ht="15" hidden="false" customHeight="false" outlineLevel="0" collapsed="false">
      <c r="A34" s="7"/>
      <c r="B34" s="7"/>
      <c r="C34" s="46"/>
      <c r="D34" s="7"/>
      <c r="E34" s="47"/>
      <c r="F34" s="46"/>
      <c r="G34" s="46"/>
      <c r="H34" s="7"/>
      <c r="I34" s="7"/>
      <c r="J34" s="47"/>
      <c r="K34" s="47"/>
      <c r="L34" s="47"/>
      <c r="M34" s="47"/>
      <c r="N34" s="47"/>
      <c r="O34" s="10"/>
      <c r="P34" s="47"/>
      <c r="Q34" s="47"/>
      <c r="R34" s="48" t="str">
        <f aca="false">IF(Q34="","",IF(Q34=0,"below 5:00",IF(Q34&gt;=66,"16:00 or above",INT((60+2*Q34)/12)&amp;":"&amp;TEXT(MOD(60+2*Q34,12),"00"))))</f>
        <v/>
      </c>
      <c r="S34" s="47"/>
      <c r="T34" s="47"/>
      <c r="U34" s="47"/>
      <c r="V34" s="47"/>
      <c r="W34" s="47"/>
      <c r="X34" s="47"/>
      <c r="Y34" s="47"/>
      <c r="Z34" s="47"/>
      <c r="AA34" s="10"/>
      <c r="AB34" s="10"/>
      <c r="AC34" s="47"/>
      <c r="AD34" s="47"/>
      <c r="AE34" s="47"/>
      <c r="AF34" s="47"/>
      <c r="AG34" s="47"/>
      <c r="AH34" s="47"/>
      <c r="AI34" s="46"/>
      <c r="AJ34" s="46"/>
      <c r="AK34" s="46"/>
      <c r="AL34" s="7"/>
      <c r="AM34" s="49" t="str">
        <f aca="false">IF(OR(C34="",G34=""),"",IFERROR(DATEDIF(C34,G34,"m"),""))</f>
        <v/>
      </c>
      <c r="AN34" s="49" t="str">
        <f aca="false">IF(OR(Q34="",AM34=""),"",60+2*Q34-AM34)</f>
        <v/>
      </c>
      <c r="AO34" s="49" t="str">
        <f aca="false">IF(OR(G34="",AJ34=""),"",AJ34-G34)</f>
        <v/>
      </c>
      <c r="AP34" s="50" t="str">
        <f aca="false">IF(AND(A34="",B34=""),"",IF(J34="","Status needed",IF(OR(J34="Applied",J34="Visit booked",J34="Withdrawn"),"OK",IF(G34="","Date assessed needed",IF(C34="","Date of birth needed",IF(COUNTA(L34,M34,P34,U34,V34,X34)&lt;6,"Band missing",IF(AND(OR(J34="Decision confirmed",J34="Family told",J34="Enrolled"),AG34=""),"Recommendation needed",IF(AND(OR(J34="Family told",J34="Enrolled"),AJ34=""),"Date family told needed","OK"))))))))</f>
        <v/>
      </c>
    </row>
    <row r="35" customFormat="false" ht="15" hidden="false" customHeight="false" outlineLevel="0" collapsed="false">
      <c r="A35" s="7"/>
      <c r="B35" s="7"/>
      <c r="C35" s="46"/>
      <c r="D35" s="7"/>
      <c r="E35" s="47"/>
      <c r="F35" s="46"/>
      <c r="G35" s="46"/>
      <c r="H35" s="7"/>
      <c r="I35" s="7"/>
      <c r="J35" s="47"/>
      <c r="K35" s="47"/>
      <c r="L35" s="47"/>
      <c r="M35" s="47"/>
      <c r="N35" s="47"/>
      <c r="O35" s="10"/>
      <c r="P35" s="47"/>
      <c r="Q35" s="47"/>
      <c r="R35" s="48" t="str">
        <f aca="false">IF(Q35="","",IF(Q35=0,"below 5:00",IF(Q35&gt;=66,"16:00 or above",INT((60+2*Q35)/12)&amp;":"&amp;TEXT(MOD(60+2*Q35,12),"00"))))</f>
        <v/>
      </c>
      <c r="S35" s="47"/>
      <c r="T35" s="47"/>
      <c r="U35" s="47"/>
      <c r="V35" s="47"/>
      <c r="W35" s="47"/>
      <c r="X35" s="47"/>
      <c r="Y35" s="47"/>
      <c r="Z35" s="47"/>
      <c r="AA35" s="10"/>
      <c r="AB35" s="10"/>
      <c r="AC35" s="47"/>
      <c r="AD35" s="47"/>
      <c r="AE35" s="47"/>
      <c r="AF35" s="47"/>
      <c r="AG35" s="47"/>
      <c r="AH35" s="47"/>
      <c r="AI35" s="46"/>
      <c r="AJ35" s="46"/>
      <c r="AK35" s="46"/>
      <c r="AL35" s="7"/>
      <c r="AM35" s="49" t="str">
        <f aca="false">IF(OR(C35="",G35=""),"",IFERROR(DATEDIF(C35,G35,"m"),""))</f>
        <v/>
      </c>
      <c r="AN35" s="49" t="str">
        <f aca="false">IF(OR(Q35="",AM35=""),"",60+2*Q35-AM35)</f>
        <v/>
      </c>
      <c r="AO35" s="49" t="str">
        <f aca="false">IF(OR(G35="",AJ35=""),"",AJ35-G35)</f>
        <v/>
      </c>
      <c r="AP35" s="50" t="str">
        <f aca="false">IF(AND(A35="",B35=""),"",IF(J35="","Status needed",IF(OR(J35="Applied",J35="Visit booked",J35="Withdrawn"),"OK",IF(G35="","Date assessed needed",IF(C35="","Date of birth needed",IF(COUNTA(L35,M35,P35,U35,V35,X35)&lt;6,"Band missing",IF(AND(OR(J35="Decision confirmed",J35="Family told",J35="Enrolled"),AG35=""),"Recommendation needed",IF(AND(OR(J35="Family told",J35="Enrolled"),AJ35=""),"Date family told needed","OK"))))))))</f>
        <v/>
      </c>
    </row>
    <row r="36" customFormat="false" ht="15" hidden="false" customHeight="false" outlineLevel="0" collapsed="false">
      <c r="A36" s="7"/>
      <c r="B36" s="7"/>
      <c r="C36" s="46"/>
      <c r="D36" s="7"/>
      <c r="E36" s="47"/>
      <c r="F36" s="46"/>
      <c r="G36" s="46"/>
      <c r="H36" s="7"/>
      <c r="I36" s="7"/>
      <c r="J36" s="47"/>
      <c r="K36" s="47"/>
      <c r="L36" s="47"/>
      <c r="M36" s="47"/>
      <c r="N36" s="47"/>
      <c r="O36" s="10"/>
      <c r="P36" s="47"/>
      <c r="Q36" s="47"/>
      <c r="R36" s="48" t="str">
        <f aca="false">IF(Q36="","",IF(Q36=0,"below 5:00",IF(Q36&gt;=66,"16:00 or above",INT((60+2*Q36)/12)&amp;":"&amp;TEXT(MOD(60+2*Q36,12),"00"))))</f>
        <v/>
      </c>
      <c r="S36" s="47"/>
      <c r="T36" s="47"/>
      <c r="U36" s="47"/>
      <c r="V36" s="47"/>
      <c r="W36" s="47"/>
      <c r="X36" s="47"/>
      <c r="Y36" s="47"/>
      <c r="Z36" s="47"/>
      <c r="AA36" s="10"/>
      <c r="AB36" s="10"/>
      <c r="AC36" s="47"/>
      <c r="AD36" s="47"/>
      <c r="AE36" s="47"/>
      <c r="AF36" s="47"/>
      <c r="AG36" s="47"/>
      <c r="AH36" s="47"/>
      <c r="AI36" s="46"/>
      <c r="AJ36" s="46"/>
      <c r="AK36" s="46"/>
      <c r="AL36" s="7"/>
      <c r="AM36" s="49" t="str">
        <f aca="false">IF(OR(C36="",G36=""),"",IFERROR(DATEDIF(C36,G36,"m"),""))</f>
        <v/>
      </c>
      <c r="AN36" s="49" t="str">
        <f aca="false">IF(OR(Q36="",AM36=""),"",60+2*Q36-AM36)</f>
        <v/>
      </c>
      <c r="AO36" s="49" t="str">
        <f aca="false">IF(OR(G36="",AJ36=""),"",AJ36-G36)</f>
        <v/>
      </c>
      <c r="AP36" s="50" t="str">
        <f aca="false">IF(AND(A36="",B36=""),"",IF(J36="","Status needed",IF(OR(J36="Applied",J36="Visit booked",J36="Withdrawn"),"OK",IF(G36="","Date assessed needed",IF(C36="","Date of birth needed",IF(COUNTA(L36,M36,P36,U36,V36,X36)&lt;6,"Band missing",IF(AND(OR(J36="Decision confirmed",J36="Family told",J36="Enrolled"),AG36=""),"Recommendation needed",IF(AND(OR(J36="Family told",J36="Enrolled"),AJ36=""),"Date family told needed","OK"))))))))</f>
        <v/>
      </c>
    </row>
    <row r="37" customFormat="false" ht="15" hidden="false" customHeight="false" outlineLevel="0" collapsed="false">
      <c r="A37" s="7"/>
      <c r="B37" s="7"/>
      <c r="C37" s="46"/>
      <c r="D37" s="7"/>
      <c r="E37" s="47"/>
      <c r="F37" s="46"/>
      <c r="G37" s="46"/>
      <c r="H37" s="7"/>
      <c r="I37" s="7"/>
      <c r="J37" s="47"/>
      <c r="K37" s="47"/>
      <c r="L37" s="47"/>
      <c r="M37" s="47"/>
      <c r="N37" s="47"/>
      <c r="O37" s="10"/>
      <c r="P37" s="47"/>
      <c r="Q37" s="47"/>
      <c r="R37" s="48" t="str">
        <f aca="false">IF(Q37="","",IF(Q37=0,"below 5:00",IF(Q37&gt;=66,"16:00 or above",INT((60+2*Q37)/12)&amp;":"&amp;TEXT(MOD(60+2*Q37,12),"00"))))</f>
        <v/>
      </c>
      <c r="S37" s="47"/>
      <c r="T37" s="47"/>
      <c r="U37" s="47"/>
      <c r="V37" s="47"/>
      <c r="W37" s="47"/>
      <c r="X37" s="47"/>
      <c r="Y37" s="47"/>
      <c r="Z37" s="47"/>
      <c r="AA37" s="10"/>
      <c r="AB37" s="10"/>
      <c r="AC37" s="47"/>
      <c r="AD37" s="47"/>
      <c r="AE37" s="47"/>
      <c r="AF37" s="47"/>
      <c r="AG37" s="47"/>
      <c r="AH37" s="47"/>
      <c r="AI37" s="46"/>
      <c r="AJ37" s="46"/>
      <c r="AK37" s="46"/>
      <c r="AL37" s="7"/>
      <c r="AM37" s="49" t="str">
        <f aca="false">IF(OR(C37="",G37=""),"",IFERROR(DATEDIF(C37,G37,"m"),""))</f>
        <v/>
      </c>
      <c r="AN37" s="49" t="str">
        <f aca="false">IF(OR(Q37="",AM37=""),"",60+2*Q37-AM37)</f>
        <v/>
      </c>
      <c r="AO37" s="49" t="str">
        <f aca="false">IF(OR(G37="",AJ37=""),"",AJ37-G37)</f>
        <v/>
      </c>
      <c r="AP37" s="50" t="str">
        <f aca="false">IF(AND(A37="",B37=""),"",IF(J37="","Status needed",IF(OR(J37="Applied",J37="Visit booked",J37="Withdrawn"),"OK",IF(G37="","Date assessed needed",IF(C37="","Date of birth needed",IF(COUNTA(L37,M37,P37,U37,V37,X37)&lt;6,"Band missing",IF(AND(OR(J37="Decision confirmed",J37="Family told",J37="Enrolled"),AG37=""),"Recommendation needed",IF(AND(OR(J37="Family told",J37="Enrolled"),AJ37=""),"Date family told needed","OK"))))))))</f>
        <v/>
      </c>
    </row>
    <row r="38" customFormat="false" ht="15" hidden="false" customHeight="false" outlineLevel="0" collapsed="false">
      <c r="A38" s="7"/>
      <c r="B38" s="7"/>
      <c r="C38" s="46"/>
      <c r="D38" s="7"/>
      <c r="E38" s="47"/>
      <c r="F38" s="46"/>
      <c r="G38" s="46"/>
      <c r="H38" s="7"/>
      <c r="I38" s="7"/>
      <c r="J38" s="47"/>
      <c r="K38" s="47"/>
      <c r="L38" s="47"/>
      <c r="M38" s="47"/>
      <c r="N38" s="47"/>
      <c r="O38" s="10"/>
      <c r="P38" s="47"/>
      <c r="Q38" s="47"/>
      <c r="R38" s="48" t="str">
        <f aca="false">IF(Q38="","",IF(Q38=0,"below 5:00",IF(Q38&gt;=66,"16:00 or above",INT((60+2*Q38)/12)&amp;":"&amp;TEXT(MOD(60+2*Q38,12),"00"))))</f>
        <v/>
      </c>
      <c r="S38" s="47"/>
      <c r="T38" s="47"/>
      <c r="U38" s="47"/>
      <c r="V38" s="47"/>
      <c r="W38" s="47"/>
      <c r="X38" s="47"/>
      <c r="Y38" s="47"/>
      <c r="Z38" s="47"/>
      <c r="AA38" s="10"/>
      <c r="AB38" s="10"/>
      <c r="AC38" s="47"/>
      <c r="AD38" s="47"/>
      <c r="AE38" s="47"/>
      <c r="AF38" s="47"/>
      <c r="AG38" s="47"/>
      <c r="AH38" s="47"/>
      <c r="AI38" s="46"/>
      <c r="AJ38" s="46"/>
      <c r="AK38" s="46"/>
      <c r="AL38" s="7"/>
      <c r="AM38" s="49" t="str">
        <f aca="false">IF(OR(C38="",G38=""),"",IFERROR(DATEDIF(C38,G38,"m"),""))</f>
        <v/>
      </c>
      <c r="AN38" s="49" t="str">
        <f aca="false">IF(OR(Q38="",AM38=""),"",60+2*Q38-AM38)</f>
        <v/>
      </c>
      <c r="AO38" s="49" t="str">
        <f aca="false">IF(OR(G38="",AJ38=""),"",AJ38-G38)</f>
        <v/>
      </c>
      <c r="AP38" s="50" t="str">
        <f aca="false">IF(AND(A38="",B38=""),"",IF(J38="","Status needed",IF(OR(J38="Applied",J38="Visit booked",J38="Withdrawn"),"OK",IF(G38="","Date assessed needed",IF(C38="","Date of birth needed",IF(COUNTA(L38,M38,P38,U38,V38,X38)&lt;6,"Band missing",IF(AND(OR(J38="Decision confirmed",J38="Family told",J38="Enrolled"),AG38=""),"Recommendation needed",IF(AND(OR(J38="Family told",J38="Enrolled"),AJ38=""),"Date family told needed","OK"))))))))</f>
        <v/>
      </c>
    </row>
    <row r="39" customFormat="false" ht="15" hidden="false" customHeight="false" outlineLevel="0" collapsed="false">
      <c r="A39" s="7"/>
      <c r="B39" s="7"/>
      <c r="C39" s="46"/>
      <c r="D39" s="7"/>
      <c r="E39" s="47"/>
      <c r="F39" s="46"/>
      <c r="G39" s="46"/>
      <c r="H39" s="7"/>
      <c r="I39" s="7"/>
      <c r="J39" s="47"/>
      <c r="K39" s="47"/>
      <c r="L39" s="47"/>
      <c r="M39" s="47"/>
      <c r="N39" s="47"/>
      <c r="O39" s="10"/>
      <c r="P39" s="47"/>
      <c r="Q39" s="47"/>
      <c r="R39" s="48" t="str">
        <f aca="false">IF(Q39="","",IF(Q39=0,"below 5:00",IF(Q39&gt;=66,"16:00 or above",INT((60+2*Q39)/12)&amp;":"&amp;TEXT(MOD(60+2*Q39,12),"00"))))</f>
        <v/>
      </c>
      <c r="S39" s="47"/>
      <c r="T39" s="47"/>
      <c r="U39" s="47"/>
      <c r="V39" s="47"/>
      <c r="W39" s="47"/>
      <c r="X39" s="47"/>
      <c r="Y39" s="47"/>
      <c r="Z39" s="47"/>
      <c r="AA39" s="10"/>
      <c r="AB39" s="10"/>
      <c r="AC39" s="47"/>
      <c r="AD39" s="47"/>
      <c r="AE39" s="47"/>
      <c r="AF39" s="47"/>
      <c r="AG39" s="47"/>
      <c r="AH39" s="47"/>
      <c r="AI39" s="46"/>
      <c r="AJ39" s="46"/>
      <c r="AK39" s="46"/>
      <c r="AL39" s="7"/>
      <c r="AM39" s="49" t="str">
        <f aca="false">IF(OR(C39="",G39=""),"",IFERROR(DATEDIF(C39,G39,"m"),""))</f>
        <v/>
      </c>
      <c r="AN39" s="49" t="str">
        <f aca="false">IF(OR(Q39="",AM39=""),"",60+2*Q39-AM39)</f>
        <v/>
      </c>
      <c r="AO39" s="49" t="str">
        <f aca="false">IF(OR(G39="",AJ39=""),"",AJ39-G39)</f>
        <v/>
      </c>
      <c r="AP39" s="50" t="str">
        <f aca="false">IF(AND(A39="",B39=""),"",IF(J39="","Status needed",IF(OR(J39="Applied",J39="Visit booked",J39="Withdrawn"),"OK",IF(G39="","Date assessed needed",IF(C39="","Date of birth needed",IF(COUNTA(L39,M39,P39,U39,V39,X39)&lt;6,"Band missing",IF(AND(OR(J39="Decision confirmed",J39="Family told",J39="Enrolled"),AG39=""),"Recommendation needed",IF(AND(OR(J39="Family told",J39="Enrolled"),AJ39=""),"Date family told needed","OK"))))))))</f>
        <v/>
      </c>
    </row>
    <row r="40" customFormat="false" ht="15" hidden="false" customHeight="false" outlineLevel="0" collapsed="false">
      <c r="A40" s="7"/>
      <c r="B40" s="7"/>
      <c r="C40" s="46"/>
      <c r="D40" s="7"/>
      <c r="E40" s="47"/>
      <c r="F40" s="46"/>
      <c r="G40" s="46"/>
      <c r="H40" s="7"/>
      <c r="I40" s="7"/>
      <c r="J40" s="47"/>
      <c r="K40" s="47"/>
      <c r="L40" s="47"/>
      <c r="M40" s="47"/>
      <c r="N40" s="47"/>
      <c r="O40" s="10"/>
      <c r="P40" s="47"/>
      <c r="Q40" s="47"/>
      <c r="R40" s="48" t="str">
        <f aca="false">IF(Q40="","",IF(Q40=0,"below 5:00",IF(Q40&gt;=66,"16:00 or above",INT((60+2*Q40)/12)&amp;":"&amp;TEXT(MOD(60+2*Q40,12),"00"))))</f>
        <v/>
      </c>
      <c r="S40" s="47"/>
      <c r="T40" s="47"/>
      <c r="U40" s="47"/>
      <c r="V40" s="47"/>
      <c r="W40" s="47"/>
      <c r="X40" s="47"/>
      <c r="Y40" s="47"/>
      <c r="Z40" s="47"/>
      <c r="AA40" s="10"/>
      <c r="AB40" s="10"/>
      <c r="AC40" s="47"/>
      <c r="AD40" s="47"/>
      <c r="AE40" s="47"/>
      <c r="AF40" s="47"/>
      <c r="AG40" s="47"/>
      <c r="AH40" s="47"/>
      <c r="AI40" s="46"/>
      <c r="AJ40" s="46"/>
      <c r="AK40" s="46"/>
      <c r="AL40" s="7"/>
      <c r="AM40" s="49" t="str">
        <f aca="false">IF(OR(C40="",G40=""),"",IFERROR(DATEDIF(C40,G40,"m"),""))</f>
        <v/>
      </c>
      <c r="AN40" s="49" t="str">
        <f aca="false">IF(OR(Q40="",AM40=""),"",60+2*Q40-AM40)</f>
        <v/>
      </c>
      <c r="AO40" s="49" t="str">
        <f aca="false">IF(OR(G40="",AJ40=""),"",AJ40-G40)</f>
        <v/>
      </c>
      <c r="AP40" s="50" t="str">
        <f aca="false">IF(AND(A40="",B40=""),"",IF(J40="","Status needed",IF(OR(J40="Applied",J40="Visit booked",J40="Withdrawn"),"OK",IF(G40="","Date assessed needed",IF(C40="","Date of birth needed",IF(COUNTA(L40,M40,P40,U40,V40,X40)&lt;6,"Band missing",IF(AND(OR(J40="Decision confirmed",J40="Family told",J40="Enrolled"),AG40=""),"Recommendation needed",IF(AND(OR(J40="Family told",J40="Enrolled"),AJ40=""),"Date family told needed","OK"))))))))</f>
        <v/>
      </c>
    </row>
    <row r="41" customFormat="false" ht="15" hidden="false" customHeight="false" outlineLevel="0" collapsed="false">
      <c r="A41" s="7"/>
      <c r="B41" s="7"/>
      <c r="C41" s="46"/>
      <c r="D41" s="7"/>
      <c r="E41" s="47"/>
      <c r="F41" s="46"/>
      <c r="G41" s="46"/>
      <c r="H41" s="7"/>
      <c r="I41" s="7"/>
      <c r="J41" s="47"/>
      <c r="K41" s="47"/>
      <c r="L41" s="47"/>
      <c r="M41" s="47"/>
      <c r="N41" s="47"/>
      <c r="O41" s="10"/>
      <c r="P41" s="47"/>
      <c r="Q41" s="47"/>
      <c r="R41" s="48" t="str">
        <f aca="false">IF(Q41="","",IF(Q41=0,"below 5:00",IF(Q41&gt;=66,"16:00 or above",INT((60+2*Q41)/12)&amp;":"&amp;TEXT(MOD(60+2*Q41,12),"00"))))</f>
        <v/>
      </c>
      <c r="S41" s="47"/>
      <c r="T41" s="47"/>
      <c r="U41" s="47"/>
      <c r="V41" s="47"/>
      <c r="W41" s="47"/>
      <c r="X41" s="47"/>
      <c r="Y41" s="47"/>
      <c r="Z41" s="47"/>
      <c r="AA41" s="10"/>
      <c r="AB41" s="10"/>
      <c r="AC41" s="47"/>
      <c r="AD41" s="47"/>
      <c r="AE41" s="47"/>
      <c r="AF41" s="47"/>
      <c r="AG41" s="47"/>
      <c r="AH41" s="47"/>
      <c r="AI41" s="46"/>
      <c r="AJ41" s="46"/>
      <c r="AK41" s="46"/>
      <c r="AL41" s="7"/>
      <c r="AM41" s="49" t="str">
        <f aca="false">IF(OR(C41="",G41=""),"",IFERROR(DATEDIF(C41,G41,"m"),""))</f>
        <v/>
      </c>
      <c r="AN41" s="49" t="str">
        <f aca="false">IF(OR(Q41="",AM41=""),"",60+2*Q41-AM41)</f>
        <v/>
      </c>
      <c r="AO41" s="49" t="str">
        <f aca="false">IF(OR(G41="",AJ41=""),"",AJ41-G41)</f>
        <v/>
      </c>
      <c r="AP41" s="50" t="str">
        <f aca="false">IF(AND(A41="",B41=""),"",IF(J41="","Status needed",IF(OR(J41="Applied",J41="Visit booked",J41="Withdrawn"),"OK",IF(G41="","Date assessed needed",IF(C41="","Date of birth needed",IF(COUNTA(L41,M41,P41,U41,V41,X41)&lt;6,"Band missing",IF(AND(OR(J41="Decision confirmed",J41="Family told",J41="Enrolled"),AG41=""),"Recommendation needed",IF(AND(OR(J41="Family told",J41="Enrolled"),AJ41=""),"Date family told needed","OK"))))))))</f>
        <v/>
      </c>
    </row>
    <row r="42" customFormat="false" ht="15" hidden="false" customHeight="false" outlineLevel="0" collapsed="false">
      <c r="A42" s="7"/>
      <c r="B42" s="7"/>
      <c r="C42" s="46"/>
      <c r="D42" s="7"/>
      <c r="E42" s="47"/>
      <c r="F42" s="46"/>
      <c r="G42" s="46"/>
      <c r="H42" s="7"/>
      <c r="I42" s="7"/>
      <c r="J42" s="47"/>
      <c r="K42" s="47"/>
      <c r="L42" s="47"/>
      <c r="M42" s="47"/>
      <c r="N42" s="47"/>
      <c r="O42" s="10"/>
      <c r="P42" s="47"/>
      <c r="Q42" s="47"/>
      <c r="R42" s="48" t="str">
        <f aca="false">IF(Q42="","",IF(Q42=0,"below 5:00",IF(Q42&gt;=66,"16:00 or above",INT((60+2*Q42)/12)&amp;":"&amp;TEXT(MOD(60+2*Q42,12),"00"))))</f>
        <v/>
      </c>
      <c r="S42" s="47"/>
      <c r="T42" s="47"/>
      <c r="U42" s="47"/>
      <c r="V42" s="47"/>
      <c r="W42" s="47"/>
      <c r="X42" s="47"/>
      <c r="Y42" s="47"/>
      <c r="Z42" s="47"/>
      <c r="AA42" s="10"/>
      <c r="AB42" s="10"/>
      <c r="AC42" s="47"/>
      <c r="AD42" s="47"/>
      <c r="AE42" s="47"/>
      <c r="AF42" s="47"/>
      <c r="AG42" s="47"/>
      <c r="AH42" s="47"/>
      <c r="AI42" s="46"/>
      <c r="AJ42" s="46"/>
      <c r="AK42" s="46"/>
      <c r="AL42" s="7"/>
      <c r="AM42" s="49" t="str">
        <f aca="false">IF(OR(C42="",G42=""),"",IFERROR(DATEDIF(C42,G42,"m"),""))</f>
        <v/>
      </c>
      <c r="AN42" s="49" t="str">
        <f aca="false">IF(OR(Q42="",AM42=""),"",60+2*Q42-AM42)</f>
        <v/>
      </c>
      <c r="AO42" s="49" t="str">
        <f aca="false">IF(OR(G42="",AJ42=""),"",AJ42-G42)</f>
        <v/>
      </c>
      <c r="AP42" s="50" t="str">
        <f aca="false">IF(AND(A42="",B42=""),"",IF(J42="","Status needed",IF(OR(J42="Applied",J42="Visit booked",J42="Withdrawn"),"OK",IF(G42="","Date assessed needed",IF(C42="","Date of birth needed",IF(COUNTA(L42,M42,P42,U42,V42,X42)&lt;6,"Band missing",IF(AND(OR(J42="Decision confirmed",J42="Family told",J42="Enrolled"),AG42=""),"Recommendation needed",IF(AND(OR(J42="Family told",J42="Enrolled"),AJ42=""),"Date family told needed","OK"))))))))</f>
        <v/>
      </c>
    </row>
    <row r="43" customFormat="false" ht="15" hidden="false" customHeight="false" outlineLevel="0" collapsed="false">
      <c r="A43" s="7"/>
      <c r="B43" s="7"/>
      <c r="C43" s="46"/>
      <c r="D43" s="7"/>
      <c r="E43" s="47"/>
      <c r="F43" s="46"/>
      <c r="G43" s="46"/>
      <c r="H43" s="7"/>
      <c r="I43" s="7"/>
      <c r="J43" s="47"/>
      <c r="K43" s="47"/>
      <c r="L43" s="47"/>
      <c r="M43" s="47"/>
      <c r="N43" s="47"/>
      <c r="O43" s="10"/>
      <c r="P43" s="47"/>
      <c r="Q43" s="47"/>
      <c r="R43" s="48" t="str">
        <f aca="false">IF(Q43="","",IF(Q43=0,"below 5:00",IF(Q43&gt;=66,"16:00 or above",INT((60+2*Q43)/12)&amp;":"&amp;TEXT(MOD(60+2*Q43,12),"00"))))</f>
        <v/>
      </c>
      <c r="S43" s="47"/>
      <c r="T43" s="47"/>
      <c r="U43" s="47"/>
      <c r="V43" s="47"/>
      <c r="W43" s="47"/>
      <c r="X43" s="47"/>
      <c r="Y43" s="47"/>
      <c r="Z43" s="47"/>
      <c r="AA43" s="10"/>
      <c r="AB43" s="10"/>
      <c r="AC43" s="47"/>
      <c r="AD43" s="47"/>
      <c r="AE43" s="47"/>
      <c r="AF43" s="47"/>
      <c r="AG43" s="47"/>
      <c r="AH43" s="47"/>
      <c r="AI43" s="46"/>
      <c r="AJ43" s="46"/>
      <c r="AK43" s="46"/>
      <c r="AL43" s="7"/>
      <c r="AM43" s="49" t="str">
        <f aca="false">IF(OR(C43="",G43=""),"",IFERROR(DATEDIF(C43,G43,"m"),""))</f>
        <v/>
      </c>
      <c r="AN43" s="49" t="str">
        <f aca="false">IF(OR(Q43="",AM43=""),"",60+2*Q43-AM43)</f>
        <v/>
      </c>
      <c r="AO43" s="49" t="str">
        <f aca="false">IF(OR(G43="",AJ43=""),"",AJ43-G43)</f>
        <v/>
      </c>
      <c r="AP43" s="50" t="str">
        <f aca="false">IF(AND(A43="",B43=""),"",IF(J43="","Status needed",IF(OR(J43="Applied",J43="Visit booked",J43="Withdrawn"),"OK",IF(G43="","Date assessed needed",IF(C43="","Date of birth needed",IF(COUNTA(L43,M43,P43,U43,V43,X43)&lt;6,"Band missing",IF(AND(OR(J43="Decision confirmed",J43="Family told",J43="Enrolled"),AG43=""),"Recommendation needed",IF(AND(OR(J43="Family told",J43="Enrolled"),AJ43=""),"Date family told needed","OK"))))))))</f>
        <v/>
      </c>
    </row>
    <row r="44" customFormat="false" ht="15" hidden="false" customHeight="false" outlineLevel="0" collapsed="false">
      <c r="A44" s="7"/>
      <c r="B44" s="7"/>
      <c r="C44" s="46"/>
      <c r="D44" s="7"/>
      <c r="E44" s="47"/>
      <c r="F44" s="46"/>
      <c r="G44" s="46"/>
      <c r="H44" s="7"/>
      <c r="I44" s="7"/>
      <c r="J44" s="47"/>
      <c r="K44" s="47"/>
      <c r="L44" s="47"/>
      <c r="M44" s="47"/>
      <c r="N44" s="47"/>
      <c r="O44" s="10"/>
      <c r="P44" s="47"/>
      <c r="Q44" s="47"/>
      <c r="R44" s="48" t="str">
        <f aca="false">IF(Q44="","",IF(Q44=0,"below 5:00",IF(Q44&gt;=66,"16:00 or above",INT((60+2*Q44)/12)&amp;":"&amp;TEXT(MOD(60+2*Q44,12),"00"))))</f>
        <v/>
      </c>
      <c r="S44" s="47"/>
      <c r="T44" s="47"/>
      <c r="U44" s="47"/>
      <c r="V44" s="47"/>
      <c r="W44" s="47"/>
      <c r="X44" s="47"/>
      <c r="Y44" s="47"/>
      <c r="Z44" s="47"/>
      <c r="AA44" s="10"/>
      <c r="AB44" s="10"/>
      <c r="AC44" s="47"/>
      <c r="AD44" s="47"/>
      <c r="AE44" s="47"/>
      <c r="AF44" s="47"/>
      <c r="AG44" s="47"/>
      <c r="AH44" s="47"/>
      <c r="AI44" s="46"/>
      <c r="AJ44" s="46"/>
      <c r="AK44" s="46"/>
      <c r="AL44" s="7"/>
      <c r="AM44" s="49" t="str">
        <f aca="false">IF(OR(C44="",G44=""),"",IFERROR(DATEDIF(C44,G44,"m"),""))</f>
        <v/>
      </c>
      <c r="AN44" s="49" t="str">
        <f aca="false">IF(OR(Q44="",AM44=""),"",60+2*Q44-AM44)</f>
        <v/>
      </c>
      <c r="AO44" s="49" t="str">
        <f aca="false">IF(OR(G44="",AJ44=""),"",AJ44-G44)</f>
        <v/>
      </c>
      <c r="AP44" s="50" t="str">
        <f aca="false">IF(AND(A44="",B44=""),"",IF(J44="","Status needed",IF(OR(J44="Applied",J44="Visit booked",J44="Withdrawn"),"OK",IF(G44="","Date assessed needed",IF(C44="","Date of birth needed",IF(COUNTA(L44,M44,P44,U44,V44,X44)&lt;6,"Band missing",IF(AND(OR(J44="Decision confirmed",J44="Family told",J44="Enrolled"),AG44=""),"Recommendation needed",IF(AND(OR(J44="Family told",J44="Enrolled"),AJ44=""),"Date family told needed","OK"))))))))</f>
        <v/>
      </c>
    </row>
    <row r="45" customFormat="false" ht="15" hidden="false" customHeight="false" outlineLevel="0" collapsed="false">
      <c r="A45" s="7"/>
      <c r="B45" s="7"/>
      <c r="C45" s="46"/>
      <c r="D45" s="7"/>
      <c r="E45" s="47"/>
      <c r="F45" s="46"/>
      <c r="G45" s="46"/>
      <c r="H45" s="7"/>
      <c r="I45" s="7"/>
      <c r="J45" s="47"/>
      <c r="K45" s="47"/>
      <c r="L45" s="47"/>
      <c r="M45" s="47"/>
      <c r="N45" s="47"/>
      <c r="O45" s="10"/>
      <c r="P45" s="47"/>
      <c r="Q45" s="47"/>
      <c r="R45" s="48" t="str">
        <f aca="false">IF(Q45="","",IF(Q45=0,"below 5:00",IF(Q45&gt;=66,"16:00 or above",INT((60+2*Q45)/12)&amp;":"&amp;TEXT(MOD(60+2*Q45,12),"00"))))</f>
        <v/>
      </c>
      <c r="S45" s="47"/>
      <c r="T45" s="47"/>
      <c r="U45" s="47"/>
      <c r="V45" s="47"/>
      <c r="W45" s="47"/>
      <c r="X45" s="47"/>
      <c r="Y45" s="47"/>
      <c r="Z45" s="47"/>
      <c r="AA45" s="10"/>
      <c r="AB45" s="10"/>
      <c r="AC45" s="47"/>
      <c r="AD45" s="47"/>
      <c r="AE45" s="47"/>
      <c r="AF45" s="47"/>
      <c r="AG45" s="47"/>
      <c r="AH45" s="47"/>
      <c r="AI45" s="46"/>
      <c r="AJ45" s="46"/>
      <c r="AK45" s="46"/>
      <c r="AL45" s="7"/>
      <c r="AM45" s="49" t="str">
        <f aca="false">IF(OR(C45="",G45=""),"",IFERROR(DATEDIF(C45,G45,"m"),""))</f>
        <v/>
      </c>
      <c r="AN45" s="49" t="str">
        <f aca="false">IF(OR(Q45="",AM45=""),"",60+2*Q45-AM45)</f>
        <v/>
      </c>
      <c r="AO45" s="49" t="str">
        <f aca="false">IF(OR(G45="",AJ45=""),"",AJ45-G45)</f>
        <v/>
      </c>
      <c r="AP45" s="50" t="str">
        <f aca="false">IF(AND(A45="",B45=""),"",IF(J45="","Status needed",IF(OR(J45="Applied",J45="Visit booked",J45="Withdrawn"),"OK",IF(G45="","Date assessed needed",IF(C45="","Date of birth needed",IF(COUNTA(L45,M45,P45,U45,V45,X45)&lt;6,"Band missing",IF(AND(OR(J45="Decision confirmed",J45="Family told",J45="Enrolled"),AG45=""),"Recommendation needed",IF(AND(OR(J45="Family told",J45="Enrolled"),AJ45=""),"Date family told needed","OK"))))))))</f>
        <v/>
      </c>
    </row>
    <row r="46" customFormat="false" ht="15" hidden="false" customHeight="false" outlineLevel="0" collapsed="false">
      <c r="A46" s="7"/>
      <c r="B46" s="7"/>
      <c r="C46" s="46"/>
      <c r="D46" s="7"/>
      <c r="E46" s="47"/>
      <c r="F46" s="46"/>
      <c r="G46" s="46"/>
      <c r="H46" s="7"/>
      <c r="I46" s="7"/>
      <c r="J46" s="47"/>
      <c r="K46" s="47"/>
      <c r="L46" s="47"/>
      <c r="M46" s="47"/>
      <c r="N46" s="47"/>
      <c r="O46" s="10"/>
      <c r="P46" s="47"/>
      <c r="Q46" s="47"/>
      <c r="R46" s="48" t="str">
        <f aca="false">IF(Q46="","",IF(Q46=0,"below 5:00",IF(Q46&gt;=66,"16:00 or above",INT((60+2*Q46)/12)&amp;":"&amp;TEXT(MOD(60+2*Q46,12),"00"))))</f>
        <v/>
      </c>
      <c r="S46" s="47"/>
      <c r="T46" s="47"/>
      <c r="U46" s="47"/>
      <c r="V46" s="47"/>
      <c r="W46" s="47"/>
      <c r="X46" s="47"/>
      <c r="Y46" s="47"/>
      <c r="Z46" s="47"/>
      <c r="AA46" s="10"/>
      <c r="AB46" s="10"/>
      <c r="AC46" s="47"/>
      <c r="AD46" s="47"/>
      <c r="AE46" s="47"/>
      <c r="AF46" s="47"/>
      <c r="AG46" s="47"/>
      <c r="AH46" s="47"/>
      <c r="AI46" s="46"/>
      <c r="AJ46" s="46"/>
      <c r="AK46" s="46"/>
      <c r="AL46" s="7"/>
      <c r="AM46" s="49" t="str">
        <f aca="false">IF(OR(C46="",G46=""),"",IFERROR(DATEDIF(C46,G46,"m"),""))</f>
        <v/>
      </c>
      <c r="AN46" s="49" t="str">
        <f aca="false">IF(OR(Q46="",AM46=""),"",60+2*Q46-AM46)</f>
        <v/>
      </c>
      <c r="AO46" s="49" t="str">
        <f aca="false">IF(OR(G46="",AJ46=""),"",AJ46-G46)</f>
        <v/>
      </c>
      <c r="AP46" s="50" t="str">
        <f aca="false">IF(AND(A46="",B46=""),"",IF(J46="","Status needed",IF(OR(J46="Applied",J46="Visit booked",J46="Withdrawn"),"OK",IF(G46="","Date assessed needed",IF(C46="","Date of birth needed",IF(COUNTA(L46,M46,P46,U46,V46,X46)&lt;6,"Band missing",IF(AND(OR(J46="Decision confirmed",J46="Family told",J46="Enrolled"),AG46=""),"Recommendation needed",IF(AND(OR(J46="Family told",J46="Enrolled"),AJ46=""),"Date family told needed","OK"))))))))</f>
        <v/>
      </c>
    </row>
    <row r="47" customFormat="false" ht="15" hidden="false" customHeight="false" outlineLevel="0" collapsed="false">
      <c r="A47" s="7"/>
      <c r="B47" s="7"/>
      <c r="C47" s="46"/>
      <c r="D47" s="7"/>
      <c r="E47" s="47"/>
      <c r="F47" s="46"/>
      <c r="G47" s="46"/>
      <c r="H47" s="7"/>
      <c r="I47" s="7"/>
      <c r="J47" s="47"/>
      <c r="K47" s="47"/>
      <c r="L47" s="47"/>
      <c r="M47" s="47"/>
      <c r="N47" s="47"/>
      <c r="O47" s="10"/>
      <c r="P47" s="47"/>
      <c r="Q47" s="47"/>
      <c r="R47" s="48" t="str">
        <f aca="false">IF(Q47="","",IF(Q47=0,"below 5:00",IF(Q47&gt;=66,"16:00 or above",INT((60+2*Q47)/12)&amp;":"&amp;TEXT(MOD(60+2*Q47,12),"00"))))</f>
        <v/>
      </c>
      <c r="S47" s="47"/>
      <c r="T47" s="47"/>
      <c r="U47" s="47"/>
      <c r="V47" s="47"/>
      <c r="W47" s="47"/>
      <c r="X47" s="47"/>
      <c r="Y47" s="47"/>
      <c r="Z47" s="47"/>
      <c r="AA47" s="10"/>
      <c r="AB47" s="10"/>
      <c r="AC47" s="47"/>
      <c r="AD47" s="47"/>
      <c r="AE47" s="47"/>
      <c r="AF47" s="47"/>
      <c r="AG47" s="47"/>
      <c r="AH47" s="47"/>
      <c r="AI47" s="46"/>
      <c r="AJ47" s="46"/>
      <c r="AK47" s="46"/>
      <c r="AL47" s="7"/>
      <c r="AM47" s="49" t="str">
        <f aca="false">IF(OR(C47="",G47=""),"",IFERROR(DATEDIF(C47,G47,"m"),""))</f>
        <v/>
      </c>
      <c r="AN47" s="49" t="str">
        <f aca="false">IF(OR(Q47="",AM47=""),"",60+2*Q47-AM47)</f>
        <v/>
      </c>
      <c r="AO47" s="49" t="str">
        <f aca="false">IF(OR(G47="",AJ47=""),"",AJ47-G47)</f>
        <v/>
      </c>
      <c r="AP47" s="50" t="str">
        <f aca="false">IF(AND(A47="",B47=""),"",IF(J47="","Status needed",IF(OR(J47="Applied",J47="Visit booked",J47="Withdrawn"),"OK",IF(G47="","Date assessed needed",IF(C47="","Date of birth needed",IF(COUNTA(L47,M47,P47,U47,V47,X47)&lt;6,"Band missing",IF(AND(OR(J47="Decision confirmed",J47="Family told",J47="Enrolled"),AG47=""),"Recommendation needed",IF(AND(OR(J47="Family told",J47="Enrolled"),AJ47=""),"Date family told needed","OK"))))))))</f>
        <v/>
      </c>
    </row>
    <row r="48" customFormat="false" ht="15" hidden="false" customHeight="false" outlineLevel="0" collapsed="false">
      <c r="A48" s="7"/>
      <c r="B48" s="7"/>
      <c r="C48" s="46"/>
      <c r="D48" s="7"/>
      <c r="E48" s="47"/>
      <c r="F48" s="46"/>
      <c r="G48" s="46"/>
      <c r="H48" s="7"/>
      <c r="I48" s="7"/>
      <c r="J48" s="47"/>
      <c r="K48" s="47"/>
      <c r="L48" s="47"/>
      <c r="M48" s="47"/>
      <c r="N48" s="47"/>
      <c r="O48" s="10"/>
      <c r="P48" s="47"/>
      <c r="Q48" s="47"/>
      <c r="R48" s="48" t="str">
        <f aca="false">IF(Q48="","",IF(Q48=0,"below 5:00",IF(Q48&gt;=66,"16:00 or above",INT((60+2*Q48)/12)&amp;":"&amp;TEXT(MOD(60+2*Q48,12),"00"))))</f>
        <v/>
      </c>
      <c r="S48" s="47"/>
      <c r="T48" s="47"/>
      <c r="U48" s="47"/>
      <c r="V48" s="47"/>
      <c r="W48" s="47"/>
      <c r="X48" s="47"/>
      <c r="Y48" s="47"/>
      <c r="Z48" s="47"/>
      <c r="AA48" s="10"/>
      <c r="AB48" s="10"/>
      <c r="AC48" s="47"/>
      <c r="AD48" s="47"/>
      <c r="AE48" s="47"/>
      <c r="AF48" s="47"/>
      <c r="AG48" s="47"/>
      <c r="AH48" s="47"/>
      <c r="AI48" s="46"/>
      <c r="AJ48" s="46"/>
      <c r="AK48" s="46"/>
      <c r="AL48" s="7"/>
      <c r="AM48" s="49" t="str">
        <f aca="false">IF(OR(C48="",G48=""),"",IFERROR(DATEDIF(C48,G48,"m"),""))</f>
        <v/>
      </c>
      <c r="AN48" s="49" t="str">
        <f aca="false">IF(OR(Q48="",AM48=""),"",60+2*Q48-AM48)</f>
        <v/>
      </c>
      <c r="AO48" s="49" t="str">
        <f aca="false">IF(OR(G48="",AJ48=""),"",AJ48-G48)</f>
        <v/>
      </c>
      <c r="AP48" s="50" t="str">
        <f aca="false">IF(AND(A48="",B48=""),"",IF(J48="","Status needed",IF(OR(J48="Applied",J48="Visit booked",J48="Withdrawn"),"OK",IF(G48="","Date assessed needed",IF(C48="","Date of birth needed",IF(COUNTA(L48,M48,P48,U48,V48,X48)&lt;6,"Band missing",IF(AND(OR(J48="Decision confirmed",J48="Family told",J48="Enrolled"),AG48=""),"Recommendation needed",IF(AND(OR(J48="Family told",J48="Enrolled"),AJ48=""),"Date family told needed","OK"))))))))</f>
        <v/>
      </c>
    </row>
    <row r="49" customFormat="false" ht="15" hidden="false" customHeight="false" outlineLevel="0" collapsed="false">
      <c r="A49" s="7"/>
      <c r="B49" s="7"/>
      <c r="C49" s="46"/>
      <c r="D49" s="7"/>
      <c r="E49" s="47"/>
      <c r="F49" s="46"/>
      <c r="G49" s="46"/>
      <c r="H49" s="7"/>
      <c r="I49" s="7"/>
      <c r="J49" s="47"/>
      <c r="K49" s="47"/>
      <c r="L49" s="47"/>
      <c r="M49" s="47"/>
      <c r="N49" s="47"/>
      <c r="O49" s="10"/>
      <c r="P49" s="47"/>
      <c r="Q49" s="47"/>
      <c r="R49" s="48" t="str">
        <f aca="false">IF(Q49="","",IF(Q49=0,"below 5:00",IF(Q49&gt;=66,"16:00 or above",INT((60+2*Q49)/12)&amp;":"&amp;TEXT(MOD(60+2*Q49,12),"00"))))</f>
        <v/>
      </c>
      <c r="S49" s="47"/>
      <c r="T49" s="47"/>
      <c r="U49" s="47"/>
      <c r="V49" s="47"/>
      <c r="W49" s="47"/>
      <c r="X49" s="47"/>
      <c r="Y49" s="47"/>
      <c r="Z49" s="47"/>
      <c r="AA49" s="10"/>
      <c r="AB49" s="10"/>
      <c r="AC49" s="47"/>
      <c r="AD49" s="47"/>
      <c r="AE49" s="47"/>
      <c r="AF49" s="47"/>
      <c r="AG49" s="47"/>
      <c r="AH49" s="47"/>
      <c r="AI49" s="46"/>
      <c r="AJ49" s="46"/>
      <c r="AK49" s="46"/>
      <c r="AL49" s="7"/>
      <c r="AM49" s="49" t="str">
        <f aca="false">IF(OR(C49="",G49=""),"",IFERROR(DATEDIF(C49,G49,"m"),""))</f>
        <v/>
      </c>
      <c r="AN49" s="49" t="str">
        <f aca="false">IF(OR(Q49="",AM49=""),"",60+2*Q49-AM49)</f>
        <v/>
      </c>
      <c r="AO49" s="49" t="str">
        <f aca="false">IF(OR(G49="",AJ49=""),"",AJ49-G49)</f>
        <v/>
      </c>
      <c r="AP49" s="50" t="str">
        <f aca="false">IF(AND(A49="",B49=""),"",IF(J49="","Status needed",IF(OR(J49="Applied",J49="Visit booked",J49="Withdrawn"),"OK",IF(G49="","Date assessed needed",IF(C49="","Date of birth needed",IF(COUNTA(L49,M49,P49,U49,V49,X49)&lt;6,"Band missing",IF(AND(OR(J49="Decision confirmed",J49="Family told",J49="Enrolled"),AG49=""),"Recommendation needed",IF(AND(OR(J49="Family told",J49="Enrolled"),AJ49=""),"Date family told needed","OK"))))))))</f>
        <v/>
      </c>
    </row>
    <row r="50" customFormat="false" ht="15" hidden="false" customHeight="false" outlineLevel="0" collapsed="false">
      <c r="A50" s="7"/>
      <c r="B50" s="7"/>
      <c r="C50" s="46"/>
      <c r="D50" s="7"/>
      <c r="E50" s="47"/>
      <c r="F50" s="46"/>
      <c r="G50" s="46"/>
      <c r="H50" s="7"/>
      <c r="I50" s="7"/>
      <c r="J50" s="47"/>
      <c r="K50" s="47"/>
      <c r="L50" s="47"/>
      <c r="M50" s="47"/>
      <c r="N50" s="47"/>
      <c r="O50" s="10"/>
      <c r="P50" s="47"/>
      <c r="Q50" s="47"/>
      <c r="R50" s="48" t="str">
        <f aca="false">IF(Q50="","",IF(Q50=0,"below 5:00",IF(Q50&gt;=66,"16:00 or above",INT((60+2*Q50)/12)&amp;":"&amp;TEXT(MOD(60+2*Q50,12),"00"))))</f>
        <v/>
      </c>
      <c r="S50" s="47"/>
      <c r="T50" s="47"/>
      <c r="U50" s="47"/>
      <c r="V50" s="47"/>
      <c r="W50" s="47"/>
      <c r="X50" s="47"/>
      <c r="Y50" s="47"/>
      <c r="Z50" s="47"/>
      <c r="AA50" s="10"/>
      <c r="AB50" s="10"/>
      <c r="AC50" s="47"/>
      <c r="AD50" s="47"/>
      <c r="AE50" s="47"/>
      <c r="AF50" s="47"/>
      <c r="AG50" s="47"/>
      <c r="AH50" s="47"/>
      <c r="AI50" s="46"/>
      <c r="AJ50" s="46"/>
      <c r="AK50" s="46"/>
      <c r="AL50" s="7"/>
      <c r="AM50" s="49" t="str">
        <f aca="false">IF(OR(C50="",G50=""),"",IFERROR(DATEDIF(C50,G50,"m"),""))</f>
        <v/>
      </c>
      <c r="AN50" s="49" t="str">
        <f aca="false">IF(OR(Q50="",AM50=""),"",60+2*Q50-AM50)</f>
        <v/>
      </c>
      <c r="AO50" s="49" t="str">
        <f aca="false">IF(OR(G50="",AJ50=""),"",AJ50-G50)</f>
        <v/>
      </c>
      <c r="AP50" s="50" t="str">
        <f aca="false">IF(AND(A50="",B50=""),"",IF(J50="","Status needed",IF(OR(J50="Applied",J50="Visit booked",J50="Withdrawn"),"OK",IF(G50="","Date assessed needed",IF(C50="","Date of birth needed",IF(COUNTA(L50,M50,P50,U50,V50,X50)&lt;6,"Band missing",IF(AND(OR(J50="Decision confirmed",J50="Family told",J50="Enrolled"),AG50=""),"Recommendation needed",IF(AND(OR(J50="Family told",J50="Enrolled"),AJ50=""),"Date family told needed","OK"))))))))</f>
        <v/>
      </c>
    </row>
    <row r="51" customFormat="false" ht="15" hidden="false" customHeight="false" outlineLevel="0" collapsed="false">
      <c r="A51" s="7"/>
      <c r="B51" s="7"/>
      <c r="C51" s="46"/>
      <c r="D51" s="7"/>
      <c r="E51" s="47"/>
      <c r="F51" s="46"/>
      <c r="G51" s="46"/>
      <c r="H51" s="7"/>
      <c r="I51" s="7"/>
      <c r="J51" s="47"/>
      <c r="K51" s="47"/>
      <c r="L51" s="47"/>
      <c r="M51" s="47"/>
      <c r="N51" s="47"/>
      <c r="O51" s="10"/>
      <c r="P51" s="47"/>
      <c r="Q51" s="47"/>
      <c r="R51" s="48" t="str">
        <f aca="false">IF(Q51="","",IF(Q51=0,"below 5:00",IF(Q51&gt;=66,"16:00 or above",INT((60+2*Q51)/12)&amp;":"&amp;TEXT(MOD(60+2*Q51,12),"00"))))</f>
        <v/>
      </c>
      <c r="S51" s="47"/>
      <c r="T51" s="47"/>
      <c r="U51" s="47"/>
      <c r="V51" s="47"/>
      <c r="W51" s="47"/>
      <c r="X51" s="47"/>
      <c r="Y51" s="47"/>
      <c r="Z51" s="47"/>
      <c r="AA51" s="10"/>
      <c r="AB51" s="10"/>
      <c r="AC51" s="47"/>
      <c r="AD51" s="47"/>
      <c r="AE51" s="47"/>
      <c r="AF51" s="47"/>
      <c r="AG51" s="47"/>
      <c r="AH51" s="47"/>
      <c r="AI51" s="46"/>
      <c r="AJ51" s="46"/>
      <c r="AK51" s="46"/>
      <c r="AL51" s="7"/>
      <c r="AM51" s="49" t="str">
        <f aca="false">IF(OR(C51="",G51=""),"",IFERROR(DATEDIF(C51,G51,"m"),""))</f>
        <v/>
      </c>
      <c r="AN51" s="49" t="str">
        <f aca="false">IF(OR(Q51="",AM51=""),"",60+2*Q51-AM51)</f>
        <v/>
      </c>
      <c r="AO51" s="49" t="str">
        <f aca="false">IF(OR(G51="",AJ51=""),"",AJ51-G51)</f>
        <v/>
      </c>
      <c r="AP51" s="50" t="str">
        <f aca="false">IF(AND(A51="",B51=""),"",IF(J51="","Status needed",IF(OR(J51="Applied",J51="Visit booked",J51="Withdrawn"),"OK",IF(G51="","Date assessed needed",IF(C51="","Date of birth needed",IF(COUNTA(L51,M51,P51,U51,V51,X51)&lt;6,"Band missing",IF(AND(OR(J51="Decision confirmed",J51="Family told",J51="Enrolled"),AG51=""),"Recommendation needed",IF(AND(OR(J51="Family told",J51="Enrolled"),AJ51=""),"Date family told needed","OK"))))))))</f>
        <v/>
      </c>
    </row>
    <row r="52" customFormat="false" ht="15" hidden="false" customHeight="false" outlineLevel="0" collapsed="false">
      <c r="A52" s="7"/>
      <c r="B52" s="7"/>
      <c r="C52" s="46"/>
      <c r="D52" s="7"/>
      <c r="E52" s="47"/>
      <c r="F52" s="46"/>
      <c r="G52" s="46"/>
      <c r="H52" s="7"/>
      <c r="I52" s="7"/>
      <c r="J52" s="47"/>
      <c r="K52" s="47"/>
      <c r="L52" s="47"/>
      <c r="M52" s="47"/>
      <c r="N52" s="47"/>
      <c r="O52" s="10"/>
      <c r="P52" s="47"/>
      <c r="Q52" s="47"/>
      <c r="R52" s="48" t="str">
        <f aca="false">IF(Q52="","",IF(Q52=0,"below 5:00",IF(Q52&gt;=66,"16:00 or above",INT((60+2*Q52)/12)&amp;":"&amp;TEXT(MOD(60+2*Q52,12),"00"))))</f>
        <v/>
      </c>
      <c r="S52" s="47"/>
      <c r="T52" s="47"/>
      <c r="U52" s="47"/>
      <c r="V52" s="47"/>
      <c r="W52" s="47"/>
      <c r="X52" s="47"/>
      <c r="Y52" s="47"/>
      <c r="Z52" s="47"/>
      <c r="AA52" s="10"/>
      <c r="AB52" s="10"/>
      <c r="AC52" s="47"/>
      <c r="AD52" s="47"/>
      <c r="AE52" s="47"/>
      <c r="AF52" s="47"/>
      <c r="AG52" s="47"/>
      <c r="AH52" s="47"/>
      <c r="AI52" s="46"/>
      <c r="AJ52" s="46"/>
      <c r="AK52" s="46"/>
      <c r="AL52" s="7"/>
      <c r="AM52" s="49" t="str">
        <f aca="false">IF(OR(C52="",G52=""),"",IFERROR(DATEDIF(C52,G52,"m"),""))</f>
        <v/>
      </c>
      <c r="AN52" s="49" t="str">
        <f aca="false">IF(OR(Q52="",AM52=""),"",60+2*Q52-AM52)</f>
        <v/>
      </c>
      <c r="AO52" s="49" t="str">
        <f aca="false">IF(OR(G52="",AJ52=""),"",AJ52-G52)</f>
        <v/>
      </c>
      <c r="AP52" s="50" t="str">
        <f aca="false">IF(AND(A52="",B52=""),"",IF(J52="","Status needed",IF(OR(J52="Applied",J52="Visit booked",J52="Withdrawn"),"OK",IF(G52="","Date assessed needed",IF(C52="","Date of birth needed",IF(COUNTA(L52,M52,P52,U52,V52,X52)&lt;6,"Band missing",IF(AND(OR(J52="Decision confirmed",J52="Family told",J52="Enrolled"),AG52=""),"Recommendation needed",IF(AND(OR(J52="Family told",J52="Enrolled"),AJ52=""),"Date family told needed","OK"))))))))</f>
        <v/>
      </c>
    </row>
    <row r="53" customFormat="false" ht="15" hidden="false" customHeight="false" outlineLevel="0" collapsed="false">
      <c r="A53" s="7"/>
      <c r="B53" s="7"/>
      <c r="C53" s="46"/>
      <c r="D53" s="7"/>
      <c r="E53" s="47"/>
      <c r="F53" s="46"/>
      <c r="G53" s="46"/>
      <c r="H53" s="7"/>
      <c r="I53" s="7"/>
      <c r="J53" s="47"/>
      <c r="K53" s="47"/>
      <c r="L53" s="47"/>
      <c r="M53" s="47"/>
      <c r="N53" s="47"/>
      <c r="O53" s="10"/>
      <c r="P53" s="47"/>
      <c r="Q53" s="47"/>
      <c r="R53" s="48" t="str">
        <f aca="false">IF(Q53="","",IF(Q53=0,"below 5:00",IF(Q53&gt;=66,"16:00 or above",INT((60+2*Q53)/12)&amp;":"&amp;TEXT(MOD(60+2*Q53,12),"00"))))</f>
        <v/>
      </c>
      <c r="S53" s="47"/>
      <c r="T53" s="47"/>
      <c r="U53" s="47"/>
      <c r="V53" s="47"/>
      <c r="W53" s="47"/>
      <c r="X53" s="47"/>
      <c r="Y53" s="47"/>
      <c r="Z53" s="47"/>
      <c r="AA53" s="10"/>
      <c r="AB53" s="10"/>
      <c r="AC53" s="47"/>
      <c r="AD53" s="47"/>
      <c r="AE53" s="47"/>
      <c r="AF53" s="47"/>
      <c r="AG53" s="47"/>
      <c r="AH53" s="47"/>
      <c r="AI53" s="46"/>
      <c r="AJ53" s="46"/>
      <c r="AK53" s="46"/>
      <c r="AL53" s="7"/>
      <c r="AM53" s="49" t="str">
        <f aca="false">IF(OR(C53="",G53=""),"",IFERROR(DATEDIF(C53,G53,"m"),""))</f>
        <v/>
      </c>
      <c r="AN53" s="49" t="str">
        <f aca="false">IF(OR(Q53="",AM53=""),"",60+2*Q53-AM53)</f>
        <v/>
      </c>
      <c r="AO53" s="49" t="str">
        <f aca="false">IF(OR(G53="",AJ53=""),"",AJ53-G53)</f>
        <v/>
      </c>
      <c r="AP53" s="50" t="str">
        <f aca="false">IF(AND(A53="",B53=""),"",IF(J53="","Status needed",IF(OR(J53="Applied",J53="Visit booked",J53="Withdrawn"),"OK",IF(G53="","Date assessed needed",IF(C53="","Date of birth needed",IF(COUNTA(L53,M53,P53,U53,V53,X53)&lt;6,"Band missing",IF(AND(OR(J53="Decision confirmed",J53="Family told",J53="Enrolled"),AG53=""),"Recommendation needed",IF(AND(OR(J53="Family told",J53="Enrolled"),AJ53=""),"Date family told needed","OK"))))))))</f>
        <v/>
      </c>
    </row>
    <row r="54" customFormat="false" ht="15" hidden="false" customHeight="false" outlineLevel="0" collapsed="false">
      <c r="A54" s="7"/>
      <c r="B54" s="7"/>
      <c r="C54" s="46"/>
      <c r="D54" s="7"/>
      <c r="E54" s="47"/>
      <c r="F54" s="46"/>
      <c r="G54" s="46"/>
      <c r="H54" s="7"/>
      <c r="I54" s="7"/>
      <c r="J54" s="47"/>
      <c r="K54" s="47"/>
      <c r="L54" s="47"/>
      <c r="M54" s="47"/>
      <c r="N54" s="47"/>
      <c r="O54" s="10"/>
      <c r="P54" s="47"/>
      <c r="Q54" s="47"/>
      <c r="R54" s="48" t="str">
        <f aca="false">IF(Q54="","",IF(Q54=0,"below 5:00",IF(Q54&gt;=66,"16:00 or above",INT((60+2*Q54)/12)&amp;":"&amp;TEXT(MOD(60+2*Q54,12),"00"))))</f>
        <v/>
      </c>
      <c r="S54" s="47"/>
      <c r="T54" s="47"/>
      <c r="U54" s="47"/>
      <c r="V54" s="47"/>
      <c r="W54" s="47"/>
      <c r="X54" s="47"/>
      <c r="Y54" s="47"/>
      <c r="Z54" s="47"/>
      <c r="AA54" s="10"/>
      <c r="AB54" s="10"/>
      <c r="AC54" s="47"/>
      <c r="AD54" s="47"/>
      <c r="AE54" s="47"/>
      <c r="AF54" s="47"/>
      <c r="AG54" s="47"/>
      <c r="AH54" s="47"/>
      <c r="AI54" s="46"/>
      <c r="AJ54" s="46"/>
      <c r="AK54" s="46"/>
      <c r="AL54" s="7"/>
      <c r="AM54" s="49" t="str">
        <f aca="false">IF(OR(C54="",G54=""),"",IFERROR(DATEDIF(C54,G54,"m"),""))</f>
        <v/>
      </c>
      <c r="AN54" s="49" t="str">
        <f aca="false">IF(OR(Q54="",AM54=""),"",60+2*Q54-AM54)</f>
        <v/>
      </c>
      <c r="AO54" s="49" t="str">
        <f aca="false">IF(OR(G54="",AJ54=""),"",AJ54-G54)</f>
        <v/>
      </c>
      <c r="AP54" s="50" t="str">
        <f aca="false">IF(AND(A54="",B54=""),"",IF(J54="","Status needed",IF(OR(J54="Applied",J54="Visit booked",J54="Withdrawn"),"OK",IF(G54="","Date assessed needed",IF(C54="","Date of birth needed",IF(COUNTA(L54,M54,P54,U54,V54,X54)&lt;6,"Band missing",IF(AND(OR(J54="Decision confirmed",J54="Family told",J54="Enrolled"),AG54=""),"Recommendation needed",IF(AND(OR(J54="Family told",J54="Enrolled"),AJ54=""),"Date family told needed","OK"))))))))</f>
        <v/>
      </c>
    </row>
    <row r="55" customFormat="false" ht="15" hidden="false" customHeight="false" outlineLevel="0" collapsed="false">
      <c r="A55" s="7"/>
      <c r="B55" s="7"/>
      <c r="C55" s="46"/>
      <c r="D55" s="7"/>
      <c r="E55" s="47"/>
      <c r="F55" s="46"/>
      <c r="G55" s="46"/>
      <c r="H55" s="7"/>
      <c r="I55" s="7"/>
      <c r="J55" s="47"/>
      <c r="K55" s="47"/>
      <c r="L55" s="47"/>
      <c r="M55" s="47"/>
      <c r="N55" s="47"/>
      <c r="O55" s="10"/>
      <c r="P55" s="47"/>
      <c r="Q55" s="47"/>
      <c r="R55" s="48" t="str">
        <f aca="false">IF(Q55="","",IF(Q55=0,"below 5:00",IF(Q55&gt;=66,"16:00 or above",INT((60+2*Q55)/12)&amp;":"&amp;TEXT(MOD(60+2*Q55,12),"00"))))</f>
        <v/>
      </c>
      <c r="S55" s="47"/>
      <c r="T55" s="47"/>
      <c r="U55" s="47"/>
      <c r="V55" s="47"/>
      <c r="W55" s="47"/>
      <c r="X55" s="47"/>
      <c r="Y55" s="47"/>
      <c r="Z55" s="47"/>
      <c r="AA55" s="10"/>
      <c r="AB55" s="10"/>
      <c r="AC55" s="47"/>
      <c r="AD55" s="47"/>
      <c r="AE55" s="47"/>
      <c r="AF55" s="47"/>
      <c r="AG55" s="47"/>
      <c r="AH55" s="47"/>
      <c r="AI55" s="46"/>
      <c r="AJ55" s="46"/>
      <c r="AK55" s="46"/>
      <c r="AL55" s="7"/>
      <c r="AM55" s="49" t="str">
        <f aca="false">IF(OR(C55="",G55=""),"",IFERROR(DATEDIF(C55,G55,"m"),""))</f>
        <v/>
      </c>
      <c r="AN55" s="49" t="str">
        <f aca="false">IF(OR(Q55="",AM55=""),"",60+2*Q55-AM55)</f>
        <v/>
      </c>
      <c r="AO55" s="49" t="str">
        <f aca="false">IF(OR(G55="",AJ55=""),"",AJ55-G55)</f>
        <v/>
      </c>
      <c r="AP55" s="50" t="str">
        <f aca="false">IF(AND(A55="",B55=""),"",IF(J55="","Status needed",IF(OR(J55="Applied",J55="Visit booked",J55="Withdrawn"),"OK",IF(G55="","Date assessed needed",IF(C55="","Date of birth needed",IF(COUNTA(L55,M55,P55,U55,V55,X55)&lt;6,"Band missing",IF(AND(OR(J55="Decision confirmed",J55="Family told",J55="Enrolled"),AG55=""),"Recommendation needed",IF(AND(OR(J55="Family told",J55="Enrolled"),AJ55=""),"Date family told needed","OK"))))))))</f>
        <v/>
      </c>
    </row>
    <row r="56" customFormat="false" ht="15" hidden="false" customHeight="false" outlineLevel="0" collapsed="false">
      <c r="A56" s="7"/>
      <c r="B56" s="7"/>
      <c r="C56" s="46"/>
      <c r="D56" s="7"/>
      <c r="E56" s="47"/>
      <c r="F56" s="46"/>
      <c r="G56" s="46"/>
      <c r="H56" s="7"/>
      <c r="I56" s="7"/>
      <c r="J56" s="47"/>
      <c r="K56" s="47"/>
      <c r="L56" s="47"/>
      <c r="M56" s="47"/>
      <c r="N56" s="47"/>
      <c r="O56" s="10"/>
      <c r="P56" s="47"/>
      <c r="Q56" s="47"/>
      <c r="R56" s="48" t="str">
        <f aca="false">IF(Q56="","",IF(Q56=0,"below 5:00",IF(Q56&gt;=66,"16:00 or above",INT((60+2*Q56)/12)&amp;":"&amp;TEXT(MOD(60+2*Q56,12),"00"))))</f>
        <v/>
      </c>
      <c r="S56" s="47"/>
      <c r="T56" s="47"/>
      <c r="U56" s="47"/>
      <c r="V56" s="47"/>
      <c r="W56" s="47"/>
      <c r="X56" s="47"/>
      <c r="Y56" s="47"/>
      <c r="Z56" s="47"/>
      <c r="AA56" s="10"/>
      <c r="AB56" s="10"/>
      <c r="AC56" s="47"/>
      <c r="AD56" s="47"/>
      <c r="AE56" s="47"/>
      <c r="AF56" s="47"/>
      <c r="AG56" s="47"/>
      <c r="AH56" s="47"/>
      <c r="AI56" s="46"/>
      <c r="AJ56" s="46"/>
      <c r="AK56" s="46"/>
      <c r="AL56" s="7"/>
      <c r="AM56" s="49" t="str">
        <f aca="false">IF(OR(C56="",G56=""),"",IFERROR(DATEDIF(C56,G56,"m"),""))</f>
        <v/>
      </c>
      <c r="AN56" s="49" t="str">
        <f aca="false">IF(OR(Q56="",AM56=""),"",60+2*Q56-AM56)</f>
        <v/>
      </c>
      <c r="AO56" s="49" t="str">
        <f aca="false">IF(OR(G56="",AJ56=""),"",AJ56-G56)</f>
        <v/>
      </c>
      <c r="AP56" s="50" t="str">
        <f aca="false">IF(AND(A56="",B56=""),"",IF(J56="","Status needed",IF(OR(J56="Applied",J56="Visit booked",J56="Withdrawn"),"OK",IF(G56="","Date assessed needed",IF(C56="","Date of birth needed",IF(COUNTA(L56,M56,P56,U56,V56,X56)&lt;6,"Band missing",IF(AND(OR(J56="Decision confirmed",J56="Family told",J56="Enrolled"),AG56=""),"Recommendation needed",IF(AND(OR(J56="Family told",J56="Enrolled"),AJ56=""),"Date family told needed","OK"))))))))</f>
        <v/>
      </c>
    </row>
    <row r="57" customFormat="false" ht="15" hidden="false" customHeight="false" outlineLevel="0" collapsed="false">
      <c r="A57" s="7"/>
      <c r="B57" s="7"/>
      <c r="C57" s="46"/>
      <c r="D57" s="7"/>
      <c r="E57" s="47"/>
      <c r="F57" s="46"/>
      <c r="G57" s="46"/>
      <c r="H57" s="7"/>
      <c r="I57" s="7"/>
      <c r="J57" s="47"/>
      <c r="K57" s="47"/>
      <c r="L57" s="47"/>
      <c r="M57" s="47"/>
      <c r="N57" s="47"/>
      <c r="O57" s="10"/>
      <c r="P57" s="47"/>
      <c r="Q57" s="47"/>
      <c r="R57" s="48" t="str">
        <f aca="false">IF(Q57="","",IF(Q57=0,"below 5:00",IF(Q57&gt;=66,"16:00 or above",INT((60+2*Q57)/12)&amp;":"&amp;TEXT(MOD(60+2*Q57,12),"00"))))</f>
        <v/>
      </c>
      <c r="S57" s="47"/>
      <c r="T57" s="47"/>
      <c r="U57" s="47"/>
      <c r="V57" s="47"/>
      <c r="W57" s="47"/>
      <c r="X57" s="47"/>
      <c r="Y57" s="47"/>
      <c r="Z57" s="47"/>
      <c r="AA57" s="10"/>
      <c r="AB57" s="10"/>
      <c r="AC57" s="47"/>
      <c r="AD57" s="47"/>
      <c r="AE57" s="47"/>
      <c r="AF57" s="47"/>
      <c r="AG57" s="47"/>
      <c r="AH57" s="47"/>
      <c r="AI57" s="46"/>
      <c r="AJ57" s="46"/>
      <c r="AK57" s="46"/>
      <c r="AL57" s="7"/>
      <c r="AM57" s="49" t="str">
        <f aca="false">IF(OR(C57="",G57=""),"",IFERROR(DATEDIF(C57,G57,"m"),""))</f>
        <v/>
      </c>
      <c r="AN57" s="49" t="str">
        <f aca="false">IF(OR(Q57="",AM57=""),"",60+2*Q57-AM57)</f>
        <v/>
      </c>
      <c r="AO57" s="49" t="str">
        <f aca="false">IF(OR(G57="",AJ57=""),"",AJ57-G57)</f>
        <v/>
      </c>
      <c r="AP57" s="50" t="str">
        <f aca="false">IF(AND(A57="",B57=""),"",IF(J57="","Status needed",IF(OR(J57="Applied",J57="Visit booked",J57="Withdrawn"),"OK",IF(G57="","Date assessed needed",IF(C57="","Date of birth needed",IF(COUNTA(L57,M57,P57,U57,V57,X57)&lt;6,"Band missing",IF(AND(OR(J57="Decision confirmed",J57="Family told",J57="Enrolled"),AG57=""),"Recommendation needed",IF(AND(OR(J57="Family told",J57="Enrolled"),AJ57=""),"Date family told needed","OK"))))))))</f>
        <v/>
      </c>
    </row>
    <row r="58" customFormat="false" ht="15" hidden="false" customHeight="false" outlineLevel="0" collapsed="false">
      <c r="A58" s="7"/>
      <c r="B58" s="7"/>
      <c r="C58" s="46"/>
      <c r="D58" s="7"/>
      <c r="E58" s="47"/>
      <c r="F58" s="46"/>
      <c r="G58" s="46"/>
      <c r="H58" s="7"/>
      <c r="I58" s="7"/>
      <c r="J58" s="47"/>
      <c r="K58" s="47"/>
      <c r="L58" s="47"/>
      <c r="M58" s="47"/>
      <c r="N58" s="47"/>
      <c r="O58" s="10"/>
      <c r="P58" s="47"/>
      <c r="Q58" s="47"/>
      <c r="R58" s="48" t="str">
        <f aca="false">IF(Q58="","",IF(Q58=0,"below 5:00",IF(Q58&gt;=66,"16:00 or above",INT((60+2*Q58)/12)&amp;":"&amp;TEXT(MOD(60+2*Q58,12),"00"))))</f>
        <v/>
      </c>
      <c r="S58" s="47"/>
      <c r="T58" s="47"/>
      <c r="U58" s="47"/>
      <c r="V58" s="47"/>
      <c r="W58" s="47"/>
      <c r="X58" s="47"/>
      <c r="Y58" s="47"/>
      <c r="Z58" s="47"/>
      <c r="AA58" s="10"/>
      <c r="AB58" s="10"/>
      <c r="AC58" s="47"/>
      <c r="AD58" s="47"/>
      <c r="AE58" s="47"/>
      <c r="AF58" s="47"/>
      <c r="AG58" s="47"/>
      <c r="AH58" s="47"/>
      <c r="AI58" s="46"/>
      <c r="AJ58" s="46"/>
      <c r="AK58" s="46"/>
      <c r="AL58" s="7"/>
      <c r="AM58" s="49" t="str">
        <f aca="false">IF(OR(C58="",G58=""),"",IFERROR(DATEDIF(C58,G58,"m"),""))</f>
        <v/>
      </c>
      <c r="AN58" s="49" t="str">
        <f aca="false">IF(OR(Q58="",AM58=""),"",60+2*Q58-AM58)</f>
        <v/>
      </c>
      <c r="AO58" s="49" t="str">
        <f aca="false">IF(OR(G58="",AJ58=""),"",AJ58-G58)</f>
        <v/>
      </c>
      <c r="AP58" s="50" t="str">
        <f aca="false">IF(AND(A58="",B58=""),"",IF(J58="","Status needed",IF(OR(J58="Applied",J58="Visit booked",J58="Withdrawn"),"OK",IF(G58="","Date assessed needed",IF(C58="","Date of birth needed",IF(COUNTA(L58,M58,P58,U58,V58,X58)&lt;6,"Band missing",IF(AND(OR(J58="Decision confirmed",J58="Family told",J58="Enrolled"),AG58=""),"Recommendation needed",IF(AND(OR(J58="Family told",J58="Enrolled"),AJ58=""),"Date family told needed","OK"))))))))</f>
        <v/>
      </c>
    </row>
    <row r="59" customFormat="false" ht="15" hidden="false" customHeight="false" outlineLevel="0" collapsed="false">
      <c r="A59" s="7"/>
      <c r="B59" s="7"/>
      <c r="C59" s="46"/>
      <c r="D59" s="7"/>
      <c r="E59" s="47"/>
      <c r="F59" s="46"/>
      <c r="G59" s="46"/>
      <c r="H59" s="7"/>
      <c r="I59" s="7"/>
      <c r="J59" s="47"/>
      <c r="K59" s="47"/>
      <c r="L59" s="47"/>
      <c r="M59" s="47"/>
      <c r="N59" s="47"/>
      <c r="O59" s="10"/>
      <c r="P59" s="47"/>
      <c r="Q59" s="47"/>
      <c r="R59" s="48" t="str">
        <f aca="false">IF(Q59="","",IF(Q59=0,"below 5:00",IF(Q59&gt;=66,"16:00 or above",INT((60+2*Q59)/12)&amp;":"&amp;TEXT(MOD(60+2*Q59,12),"00"))))</f>
        <v/>
      </c>
      <c r="S59" s="47"/>
      <c r="T59" s="47"/>
      <c r="U59" s="47"/>
      <c r="V59" s="47"/>
      <c r="W59" s="47"/>
      <c r="X59" s="47"/>
      <c r="Y59" s="47"/>
      <c r="Z59" s="47"/>
      <c r="AA59" s="10"/>
      <c r="AB59" s="10"/>
      <c r="AC59" s="47"/>
      <c r="AD59" s="47"/>
      <c r="AE59" s="47"/>
      <c r="AF59" s="47"/>
      <c r="AG59" s="47"/>
      <c r="AH59" s="47"/>
      <c r="AI59" s="46"/>
      <c r="AJ59" s="46"/>
      <c r="AK59" s="46"/>
      <c r="AL59" s="7"/>
      <c r="AM59" s="49" t="str">
        <f aca="false">IF(OR(C59="",G59=""),"",IFERROR(DATEDIF(C59,G59,"m"),""))</f>
        <v/>
      </c>
      <c r="AN59" s="49" t="str">
        <f aca="false">IF(OR(Q59="",AM59=""),"",60+2*Q59-AM59)</f>
        <v/>
      </c>
      <c r="AO59" s="49" t="str">
        <f aca="false">IF(OR(G59="",AJ59=""),"",AJ59-G59)</f>
        <v/>
      </c>
      <c r="AP59" s="50" t="str">
        <f aca="false">IF(AND(A59="",B59=""),"",IF(J59="","Status needed",IF(OR(J59="Applied",J59="Visit booked",J59="Withdrawn"),"OK",IF(G59="","Date assessed needed",IF(C59="","Date of birth needed",IF(COUNTA(L59,M59,P59,U59,V59,X59)&lt;6,"Band missing",IF(AND(OR(J59="Decision confirmed",J59="Family told",J59="Enrolled"),AG59=""),"Recommendation needed",IF(AND(OR(J59="Family told",J59="Enrolled"),AJ59=""),"Date family told needed","OK"))))))))</f>
        <v/>
      </c>
    </row>
    <row r="60" customFormat="false" ht="15" hidden="false" customHeight="false" outlineLevel="0" collapsed="false">
      <c r="A60" s="7"/>
      <c r="B60" s="7"/>
      <c r="C60" s="46"/>
      <c r="D60" s="7"/>
      <c r="E60" s="47"/>
      <c r="F60" s="46"/>
      <c r="G60" s="46"/>
      <c r="H60" s="7"/>
      <c r="I60" s="7"/>
      <c r="J60" s="47"/>
      <c r="K60" s="47"/>
      <c r="L60" s="47"/>
      <c r="M60" s="47"/>
      <c r="N60" s="47"/>
      <c r="O60" s="10"/>
      <c r="P60" s="47"/>
      <c r="Q60" s="47"/>
      <c r="R60" s="48" t="str">
        <f aca="false">IF(Q60="","",IF(Q60=0,"below 5:00",IF(Q60&gt;=66,"16:00 or above",INT((60+2*Q60)/12)&amp;":"&amp;TEXT(MOD(60+2*Q60,12),"00"))))</f>
        <v/>
      </c>
      <c r="S60" s="47"/>
      <c r="T60" s="47"/>
      <c r="U60" s="47"/>
      <c r="V60" s="47"/>
      <c r="W60" s="47"/>
      <c r="X60" s="47"/>
      <c r="Y60" s="47"/>
      <c r="Z60" s="47"/>
      <c r="AA60" s="10"/>
      <c r="AB60" s="10"/>
      <c r="AC60" s="47"/>
      <c r="AD60" s="47"/>
      <c r="AE60" s="47"/>
      <c r="AF60" s="47"/>
      <c r="AG60" s="47"/>
      <c r="AH60" s="47"/>
      <c r="AI60" s="46"/>
      <c r="AJ60" s="46"/>
      <c r="AK60" s="46"/>
      <c r="AL60" s="7"/>
      <c r="AM60" s="49" t="str">
        <f aca="false">IF(OR(C60="",G60=""),"",IFERROR(DATEDIF(C60,G60,"m"),""))</f>
        <v/>
      </c>
      <c r="AN60" s="49" t="str">
        <f aca="false">IF(OR(Q60="",AM60=""),"",60+2*Q60-AM60)</f>
        <v/>
      </c>
      <c r="AO60" s="49" t="str">
        <f aca="false">IF(OR(G60="",AJ60=""),"",AJ60-G60)</f>
        <v/>
      </c>
      <c r="AP60" s="50" t="str">
        <f aca="false">IF(AND(A60="",B60=""),"",IF(J60="","Status needed",IF(OR(J60="Applied",J60="Visit booked",J60="Withdrawn"),"OK",IF(G60="","Date assessed needed",IF(C60="","Date of birth needed",IF(COUNTA(L60,M60,P60,U60,V60,X60)&lt;6,"Band missing",IF(AND(OR(J60="Decision confirmed",J60="Family told",J60="Enrolled"),AG60=""),"Recommendation needed",IF(AND(OR(J60="Family told",J60="Enrolled"),AJ60=""),"Date family told needed","OK"))))))))</f>
        <v/>
      </c>
    </row>
    <row r="61" customFormat="false" ht="15" hidden="false" customHeight="false" outlineLevel="0" collapsed="false">
      <c r="A61" s="7"/>
      <c r="B61" s="7"/>
      <c r="C61" s="46"/>
      <c r="D61" s="7"/>
      <c r="E61" s="47"/>
      <c r="F61" s="46"/>
      <c r="G61" s="46"/>
      <c r="H61" s="7"/>
      <c r="I61" s="7"/>
      <c r="J61" s="47"/>
      <c r="K61" s="47"/>
      <c r="L61" s="47"/>
      <c r="M61" s="47"/>
      <c r="N61" s="47"/>
      <c r="O61" s="10"/>
      <c r="P61" s="47"/>
      <c r="Q61" s="47"/>
      <c r="R61" s="48" t="str">
        <f aca="false">IF(Q61="","",IF(Q61=0,"below 5:00",IF(Q61&gt;=66,"16:00 or above",INT((60+2*Q61)/12)&amp;":"&amp;TEXT(MOD(60+2*Q61,12),"00"))))</f>
        <v/>
      </c>
      <c r="S61" s="47"/>
      <c r="T61" s="47"/>
      <c r="U61" s="47"/>
      <c r="V61" s="47"/>
      <c r="W61" s="47"/>
      <c r="X61" s="47"/>
      <c r="Y61" s="47"/>
      <c r="Z61" s="47"/>
      <c r="AA61" s="10"/>
      <c r="AB61" s="10"/>
      <c r="AC61" s="47"/>
      <c r="AD61" s="47"/>
      <c r="AE61" s="47"/>
      <c r="AF61" s="47"/>
      <c r="AG61" s="47"/>
      <c r="AH61" s="47"/>
      <c r="AI61" s="46"/>
      <c r="AJ61" s="46"/>
      <c r="AK61" s="46"/>
      <c r="AL61" s="7"/>
      <c r="AM61" s="49" t="str">
        <f aca="false">IF(OR(C61="",G61=""),"",IFERROR(DATEDIF(C61,G61,"m"),""))</f>
        <v/>
      </c>
      <c r="AN61" s="49" t="str">
        <f aca="false">IF(OR(Q61="",AM61=""),"",60+2*Q61-AM61)</f>
        <v/>
      </c>
      <c r="AO61" s="49" t="str">
        <f aca="false">IF(OR(G61="",AJ61=""),"",AJ61-G61)</f>
        <v/>
      </c>
      <c r="AP61" s="50" t="str">
        <f aca="false">IF(AND(A61="",B61=""),"",IF(J61="","Status needed",IF(OR(J61="Applied",J61="Visit booked",J61="Withdrawn"),"OK",IF(G61="","Date assessed needed",IF(C61="","Date of birth needed",IF(COUNTA(L61,M61,P61,U61,V61,X61)&lt;6,"Band missing",IF(AND(OR(J61="Decision confirmed",J61="Family told",J61="Enrolled"),AG61=""),"Recommendation needed",IF(AND(OR(J61="Family told",J61="Enrolled"),AJ61=""),"Date family told needed","OK"))))))))</f>
        <v/>
      </c>
    </row>
    <row r="62" customFormat="false" ht="15" hidden="false" customHeight="false" outlineLevel="0" collapsed="false">
      <c r="A62" s="7"/>
      <c r="B62" s="7"/>
      <c r="C62" s="46"/>
      <c r="D62" s="7"/>
      <c r="E62" s="47"/>
      <c r="F62" s="46"/>
      <c r="G62" s="46"/>
      <c r="H62" s="7"/>
      <c r="I62" s="7"/>
      <c r="J62" s="47"/>
      <c r="K62" s="47"/>
      <c r="L62" s="47"/>
      <c r="M62" s="47"/>
      <c r="N62" s="47"/>
      <c r="O62" s="10"/>
      <c r="P62" s="47"/>
      <c r="Q62" s="47"/>
      <c r="R62" s="48" t="str">
        <f aca="false">IF(Q62="","",IF(Q62=0,"below 5:00",IF(Q62&gt;=66,"16:00 or above",INT((60+2*Q62)/12)&amp;":"&amp;TEXT(MOD(60+2*Q62,12),"00"))))</f>
        <v/>
      </c>
      <c r="S62" s="47"/>
      <c r="T62" s="47"/>
      <c r="U62" s="47"/>
      <c r="V62" s="47"/>
      <c r="W62" s="47"/>
      <c r="X62" s="47"/>
      <c r="Y62" s="47"/>
      <c r="Z62" s="47"/>
      <c r="AA62" s="10"/>
      <c r="AB62" s="10"/>
      <c r="AC62" s="47"/>
      <c r="AD62" s="47"/>
      <c r="AE62" s="47"/>
      <c r="AF62" s="47"/>
      <c r="AG62" s="47"/>
      <c r="AH62" s="47"/>
      <c r="AI62" s="46"/>
      <c r="AJ62" s="46"/>
      <c r="AK62" s="46"/>
      <c r="AL62" s="7"/>
      <c r="AM62" s="49" t="str">
        <f aca="false">IF(OR(C62="",G62=""),"",IFERROR(DATEDIF(C62,G62,"m"),""))</f>
        <v/>
      </c>
      <c r="AN62" s="49" t="str">
        <f aca="false">IF(OR(Q62="",AM62=""),"",60+2*Q62-AM62)</f>
        <v/>
      </c>
      <c r="AO62" s="49" t="str">
        <f aca="false">IF(OR(G62="",AJ62=""),"",AJ62-G62)</f>
        <v/>
      </c>
      <c r="AP62" s="50" t="str">
        <f aca="false">IF(AND(A62="",B62=""),"",IF(J62="","Status needed",IF(OR(J62="Applied",J62="Visit booked",J62="Withdrawn"),"OK",IF(G62="","Date assessed needed",IF(C62="","Date of birth needed",IF(COUNTA(L62,M62,P62,U62,V62,X62)&lt;6,"Band missing",IF(AND(OR(J62="Decision confirmed",J62="Family told",J62="Enrolled"),AG62=""),"Recommendation needed",IF(AND(OR(J62="Family told",J62="Enrolled"),AJ62=""),"Date family told needed","OK"))))))))</f>
        <v/>
      </c>
    </row>
    <row r="63" customFormat="false" ht="15" hidden="false" customHeight="false" outlineLevel="0" collapsed="false">
      <c r="A63" s="7"/>
      <c r="B63" s="7"/>
      <c r="C63" s="46"/>
      <c r="D63" s="7"/>
      <c r="E63" s="47"/>
      <c r="F63" s="46"/>
      <c r="G63" s="46"/>
      <c r="H63" s="7"/>
      <c r="I63" s="7"/>
      <c r="J63" s="47"/>
      <c r="K63" s="47"/>
      <c r="L63" s="47"/>
      <c r="M63" s="47"/>
      <c r="N63" s="47"/>
      <c r="O63" s="10"/>
      <c r="P63" s="47"/>
      <c r="Q63" s="47"/>
      <c r="R63" s="48" t="str">
        <f aca="false">IF(Q63="","",IF(Q63=0,"below 5:00",IF(Q63&gt;=66,"16:00 or above",INT((60+2*Q63)/12)&amp;":"&amp;TEXT(MOD(60+2*Q63,12),"00"))))</f>
        <v/>
      </c>
      <c r="S63" s="47"/>
      <c r="T63" s="47"/>
      <c r="U63" s="47"/>
      <c r="V63" s="47"/>
      <c r="W63" s="47"/>
      <c r="X63" s="47"/>
      <c r="Y63" s="47"/>
      <c r="Z63" s="47"/>
      <c r="AA63" s="10"/>
      <c r="AB63" s="10"/>
      <c r="AC63" s="47"/>
      <c r="AD63" s="47"/>
      <c r="AE63" s="47"/>
      <c r="AF63" s="47"/>
      <c r="AG63" s="47"/>
      <c r="AH63" s="47"/>
      <c r="AI63" s="46"/>
      <c r="AJ63" s="46"/>
      <c r="AK63" s="46"/>
      <c r="AL63" s="7"/>
      <c r="AM63" s="49" t="str">
        <f aca="false">IF(OR(C63="",G63=""),"",IFERROR(DATEDIF(C63,G63,"m"),""))</f>
        <v/>
      </c>
      <c r="AN63" s="49" t="str">
        <f aca="false">IF(OR(Q63="",AM63=""),"",60+2*Q63-AM63)</f>
        <v/>
      </c>
      <c r="AO63" s="49" t="str">
        <f aca="false">IF(OR(G63="",AJ63=""),"",AJ63-G63)</f>
        <v/>
      </c>
      <c r="AP63" s="50" t="str">
        <f aca="false">IF(AND(A63="",B63=""),"",IF(J63="","Status needed",IF(OR(J63="Applied",J63="Visit booked",J63="Withdrawn"),"OK",IF(G63="","Date assessed needed",IF(C63="","Date of birth needed",IF(COUNTA(L63,M63,P63,U63,V63,X63)&lt;6,"Band missing",IF(AND(OR(J63="Decision confirmed",J63="Family told",J63="Enrolled"),AG63=""),"Recommendation needed",IF(AND(OR(J63="Family told",J63="Enrolled"),AJ63=""),"Date family told needed","OK"))))))))</f>
        <v/>
      </c>
    </row>
    <row r="64" customFormat="false" ht="15" hidden="false" customHeight="false" outlineLevel="0" collapsed="false">
      <c r="A64" s="7"/>
      <c r="B64" s="7"/>
      <c r="C64" s="46"/>
      <c r="D64" s="7"/>
      <c r="E64" s="47"/>
      <c r="F64" s="46"/>
      <c r="G64" s="46"/>
      <c r="H64" s="7"/>
      <c r="I64" s="7"/>
      <c r="J64" s="47"/>
      <c r="K64" s="47"/>
      <c r="L64" s="47"/>
      <c r="M64" s="47"/>
      <c r="N64" s="47"/>
      <c r="O64" s="10"/>
      <c r="P64" s="47"/>
      <c r="Q64" s="47"/>
      <c r="R64" s="48" t="str">
        <f aca="false">IF(Q64="","",IF(Q64=0,"below 5:00",IF(Q64&gt;=66,"16:00 or above",INT((60+2*Q64)/12)&amp;":"&amp;TEXT(MOD(60+2*Q64,12),"00"))))</f>
        <v/>
      </c>
      <c r="S64" s="47"/>
      <c r="T64" s="47"/>
      <c r="U64" s="47"/>
      <c r="V64" s="47"/>
      <c r="W64" s="47"/>
      <c r="X64" s="47"/>
      <c r="Y64" s="47"/>
      <c r="Z64" s="47"/>
      <c r="AA64" s="10"/>
      <c r="AB64" s="10"/>
      <c r="AC64" s="47"/>
      <c r="AD64" s="47"/>
      <c r="AE64" s="47"/>
      <c r="AF64" s="47"/>
      <c r="AG64" s="47"/>
      <c r="AH64" s="47"/>
      <c r="AI64" s="46"/>
      <c r="AJ64" s="46"/>
      <c r="AK64" s="46"/>
      <c r="AL64" s="7"/>
      <c r="AM64" s="49" t="str">
        <f aca="false">IF(OR(C64="",G64=""),"",IFERROR(DATEDIF(C64,G64,"m"),""))</f>
        <v/>
      </c>
      <c r="AN64" s="49" t="str">
        <f aca="false">IF(OR(Q64="",AM64=""),"",60+2*Q64-AM64)</f>
        <v/>
      </c>
      <c r="AO64" s="49" t="str">
        <f aca="false">IF(OR(G64="",AJ64=""),"",AJ64-G64)</f>
        <v/>
      </c>
      <c r="AP64" s="50" t="str">
        <f aca="false">IF(AND(A64="",B64=""),"",IF(J64="","Status needed",IF(OR(J64="Applied",J64="Visit booked",J64="Withdrawn"),"OK",IF(G64="","Date assessed needed",IF(C64="","Date of birth needed",IF(COUNTA(L64,M64,P64,U64,V64,X64)&lt;6,"Band missing",IF(AND(OR(J64="Decision confirmed",J64="Family told",J64="Enrolled"),AG64=""),"Recommendation needed",IF(AND(OR(J64="Family told",J64="Enrolled"),AJ64=""),"Date family told needed","OK"))))))))</f>
        <v/>
      </c>
    </row>
    <row r="65" customFormat="false" ht="15" hidden="false" customHeight="false" outlineLevel="0" collapsed="false">
      <c r="A65" s="7"/>
      <c r="B65" s="7"/>
      <c r="C65" s="46"/>
      <c r="D65" s="7"/>
      <c r="E65" s="47"/>
      <c r="F65" s="46"/>
      <c r="G65" s="46"/>
      <c r="H65" s="7"/>
      <c r="I65" s="7"/>
      <c r="J65" s="47"/>
      <c r="K65" s="47"/>
      <c r="L65" s="47"/>
      <c r="M65" s="47"/>
      <c r="N65" s="47"/>
      <c r="O65" s="10"/>
      <c r="P65" s="47"/>
      <c r="Q65" s="47"/>
      <c r="R65" s="48" t="str">
        <f aca="false">IF(Q65="","",IF(Q65=0,"below 5:00",IF(Q65&gt;=66,"16:00 or above",INT((60+2*Q65)/12)&amp;":"&amp;TEXT(MOD(60+2*Q65,12),"00"))))</f>
        <v/>
      </c>
      <c r="S65" s="47"/>
      <c r="T65" s="47"/>
      <c r="U65" s="47"/>
      <c r="V65" s="47"/>
      <c r="W65" s="47"/>
      <c r="X65" s="47"/>
      <c r="Y65" s="47"/>
      <c r="Z65" s="47"/>
      <c r="AA65" s="10"/>
      <c r="AB65" s="10"/>
      <c r="AC65" s="47"/>
      <c r="AD65" s="47"/>
      <c r="AE65" s="47"/>
      <c r="AF65" s="47"/>
      <c r="AG65" s="47"/>
      <c r="AH65" s="47"/>
      <c r="AI65" s="46"/>
      <c r="AJ65" s="46"/>
      <c r="AK65" s="46"/>
      <c r="AL65" s="7"/>
      <c r="AM65" s="49" t="str">
        <f aca="false">IF(OR(C65="",G65=""),"",IFERROR(DATEDIF(C65,G65,"m"),""))</f>
        <v/>
      </c>
      <c r="AN65" s="49" t="str">
        <f aca="false">IF(OR(Q65="",AM65=""),"",60+2*Q65-AM65)</f>
        <v/>
      </c>
      <c r="AO65" s="49" t="str">
        <f aca="false">IF(OR(G65="",AJ65=""),"",AJ65-G65)</f>
        <v/>
      </c>
      <c r="AP65" s="50" t="str">
        <f aca="false">IF(AND(A65="",B65=""),"",IF(J65="","Status needed",IF(OR(J65="Applied",J65="Visit booked",J65="Withdrawn"),"OK",IF(G65="","Date assessed needed",IF(C65="","Date of birth needed",IF(COUNTA(L65,M65,P65,U65,V65,X65)&lt;6,"Band missing",IF(AND(OR(J65="Decision confirmed",J65="Family told",J65="Enrolled"),AG65=""),"Recommendation needed",IF(AND(OR(J65="Family told",J65="Enrolled"),AJ65=""),"Date family told needed","OK"))))))))</f>
        <v/>
      </c>
    </row>
    <row r="66" customFormat="false" ht="15" hidden="false" customHeight="false" outlineLevel="0" collapsed="false">
      <c r="A66" s="7"/>
      <c r="B66" s="7"/>
      <c r="C66" s="46"/>
      <c r="D66" s="7"/>
      <c r="E66" s="47"/>
      <c r="F66" s="46"/>
      <c r="G66" s="46"/>
      <c r="H66" s="7"/>
      <c r="I66" s="7"/>
      <c r="J66" s="47"/>
      <c r="K66" s="47"/>
      <c r="L66" s="47"/>
      <c r="M66" s="47"/>
      <c r="N66" s="47"/>
      <c r="O66" s="10"/>
      <c r="P66" s="47"/>
      <c r="Q66" s="47"/>
      <c r="R66" s="48" t="str">
        <f aca="false">IF(Q66="","",IF(Q66=0,"below 5:00",IF(Q66&gt;=66,"16:00 or above",INT((60+2*Q66)/12)&amp;":"&amp;TEXT(MOD(60+2*Q66,12),"00"))))</f>
        <v/>
      </c>
      <c r="S66" s="47"/>
      <c r="T66" s="47"/>
      <c r="U66" s="47"/>
      <c r="V66" s="47"/>
      <c r="W66" s="47"/>
      <c r="X66" s="47"/>
      <c r="Y66" s="47"/>
      <c r="Z66" s="47"/>
      <c r="AA66" s="10"/>
      <c r="AB66" s="10"/>
      <c r="AC66" s="47"/>
      <c r="AD66" s="47"/>
      <c r="AE66" s="47"/>
      <c r="AF66" s="47"/>
      <c r="AG66" s="47"/>
      <c r="AH66" s="47"/>
      <c r="AI66" s="46"/>
      <c r="AJ66" s="46"/>
      <c r="AK66" s="46"/>
      <c r="AL66" s="7"/>
      <c r="AM66" s="49" t="str">
        <f aca="false">IF(OR(C66="",G66=""),"",IFERROR(DATEDIF(C66,G66,"m"),""))</f>
        <v/>
      </c>
      <c r="AN66" s="49" t="str">
        <f aca="false">IF(OR(Q66="",AM66=""),"",60+2*Q66-AM66)</f>
        <v/>
      </c>
      <c r="AO66" s="49" t="str">
        <f aca="false">IF(OR(G66="",AJ66=""),"",AJ66-G66)</f>
        <v/>
      </c>
      <c r="AP66" s="50" t="str">
        <f aca="false">IF(AND(A66="",B66=""),"",IF(J66="","Status needed",IF(OR(J66="Applied",J66="Visit booked",J66="Withdrawn"),"OK",IF(G66="","Date assessed needed",IF(C66="","Date of birth needed",IF(COUNTA(L66,M66,P66,U66,V66,X66)&lt;6,"Band missing",IF(AND(OR(J66="Decision confirmed",J66="Family told",J66="Enrolled"),AG66=""),"Recommendation needed",IF(AND(OR(J66="Family told",J66="Enrolled"),AJ66=""),"Date family told needed","OK"))))))))</f>
        <v/>
      </c>
    </row>
    <row r="67" customFormat="false" ht="15" hidden="false" customHeight="false" outlineLevel="0" collapsed="false">
      <c r="A67" s="7"/>
      <c r="B67" s="7"/>
      <c r="C67" s="46"/>
      <c r="D67" s="7"/>
      <c r="E67" s="47"/>
      <c r="F67" s="46"/>
      <c r="G67" s="46"/>
      <c r="H67" s="7"/>
      <c r="I67" s="7"/>
      <c r="J67" s="47"/>
      <c r="K67" s="47"/>
      <c r="L67" s="47"/>
      <c r="M67" s="47"/>
      <c r="N67" s="47"/>
      <c r="O67" s="10"/>
      <c r="P67" s="47"/>
      <c r="Q67" s="47"/>
      <c r="R67" s="48" t="str">
        <f aca="false">IF(Q67="","",IF(Q67=0,"below 5:00",IF(Q67&gt;=66,"16:00 or above",INT((60+2*Q67)/12)&amp;":"&amp;TEXT(MOD(60+2*Q67,12),"00"))))</f>
        <v/>
      </c>
      <c r="S67" s="47"/>
      <c r="T67" s="47"/>
      <c r="U67" s="47"/>
      <c r="V67" s="47"/>
      <c r="W67" s="47"/>
      <c r="X67" s="47"/>
      <c r="Y67" s="47"/>
      <c r="Z67" s="47"/>
      <c r="AA67" s="10"/>
      <c r="AB67" s="10"/>
      <c r="AC67" s="47"/>
      <c r="AD67" s="47"/>
      <c r="AE67" s="47"/>
      <c r="AF67" s="47"/>
      <c r="AG67" s="47"/>
      <c r="AH67" s="47"/>
      <c r="AI67" s="46"/>
      <c r="AJ67" s="46"/>
      <c r="AK67" s="46"/>
      <c r="AL67" s="7"/>
      <c r="AM67" s="49" t="str">
        <f aca="false">IF(OR(C67="",G67=""),"",IFERROR(DATEDIF(C67,G67,"m"),""))</f>
        <v/>
      </c>
      <c r="AN67" s="49" t="str">
        <f aca="false">IF(OR(Q67="",AM67=""),"",60+2*Q67-AM67)</f>
        <v/>
      </c>
      <c r="AO67" s="49" t="str">
        <f aca="false">IF(OR(G67="",AJ67=""),"",AJ67-G67)</f>
        <v/>
      </c>
      <c r="AP67" s="50" t="str">
        <f aca="false">IF(AND(A67="",B67=""),"",IF(J67="","Status needed",IF(OR(J67="Applied",J67="Visit booked",J67="Withdrawn"),"OK",IF(G67="","Date assessed needed",IF(C67="","Date of birth needed",IF(COUNTA(L67,M67,P67,U67,V67,X67)&lt;6,"Band missing",IF(AND(OR(J67="Decision confirmed",J67="Family told",J67="Enrolled"),AG67=""),"Recommendation needed",IF(AND(OR(J67="Family told",J67="Enrolled"),AJ67=""),"Date family told needed","OK"))))))))</f>
        <v/>
      </c>
    </row>
    <row r="68" customFormat="false" ht="15" hidden="false" customHeight="false" outlineLevel="0" collapsed="false">
      <c r="A68" s="7"/>
      <c r="B68" s="7"/>
      <c r="C68" s="46"/>
      <c r="D68" s="7"/>
      <c r="E68" s="47"/>
      <c r="F68" s="46"/>
      <c r="G68" s="46"/>
      <c r="H68" s="7"/>
      <c r="I68" s="7"/>
      <c r="J68" s="47"/>
      <c r="K68" s="47"/>
      <c r="L68" s="47"/>
      <c r="M68" s="47"/>
      <c r="N68" s="47"/>
      <c r="O68" s="10"/>
      <c r="P68" s="47"/>
      <c r="Q68" s="47"/>
      <c r="R68" s="48" t="str">
        <f aca="false">IF(Q68="","",IF(Q68=0,"below 5:00",IF(Q68&gt;=66,"16:00 or above",INT((60+2*Q68)/12)&amp;":"&amp;TEXT(MOD(60+2*Q68,12),"00"))))</f>
        <v/>
      </c>
      <c r="S68" s="47"/>
      <c r="T68" s="47"/>
      <c r="U68" s="47"/>
      <c r="V68" s="47"/>
      <c r="W68" s="47"/>
      <c r="X68" s="47"/>
      <c r="Y68" s="47"/>
      <c r="Z68" s="47"/>
      <c r="AA68" s="10"/>
      <c r="AB68" s="10"/>
      <c r="AC68" s="47"/>
      <c r="AD68" s="47"/>
      <c r="AE68" s="47"/>
      <c r="AF68" s="47"/>
      <c r="AG68" s="47"/>
      <c r="AH68" s="47"/>
      <c r="AI68" s="46"/>
      <c r="AJ68" s="46"/>
      <c r="AK68" s="46"/>
      <c r="AL68" s="7"/>
      <c r="AM68" s="49" t="str">
        <f aca="false">IF(OR(C68="",G68=""),"",IFERROR(DATEDIF(C68,G68,"m"),""))</f>
        <v/>
      </c>
      <c r="AN68" s="49" t="str">
        <f aca="false">IF(OR(Q68="",AM68=""),"",60+2*Q68-AM68)</f>
        <v/>
      </c>
      <c r="AO68" s="49" t="str">
        <f aca="false">IF(OR(G68="",AJ68=""),"",AJ68-G68)</f>
        <v/>
      </c>
      <c r="AP68" s="50" t="str">
        <f aca="false">IF(AND(A68="",B68=""),"",IF(J68="","Status needed",IF(OR(J68="Applied",J68="Visit booked",J68="Withdrawn"),"OK",IF(G68="","Date assessed needed",IF(C68="","Date of birth needed",IF(COUNTA(L68,M68,P68,U68,V68,X68)&lt;6,"Band missing",IF(AND(OR(J68="Decision confirmed",J68="Family told",J68="Enrolled"),AG68=""),"Recommendation needed",IF(AND(OR(J68="Family told",J68="Enrolled"),AJ68=""),"Date family told needed","OK"))))))))</f>
        <v/>
      </c>
    </row>
    <row r="69" customFormat="false" ht="15" hidden="false" customHeight="false" outlineLevel="0" collapsed="false">
      <c r="A69" s="7"/>
      <c r="B69" s="7"/>
      <c r="C69" s="46"/>
      <c r="D69" s="7"/>
      <c r="E69" s="47"/>
      <c r="F69" s="46"/>
      <c r="G69" s="46"/>
      <c r="H69" s="7"/>
      <c r="I69" s="7"/>
      <c r="J69" s="47"/>
      <c r="K69" s="47"/>
      <c r="L69" s="47"/>
      <c r="M69" s="47"/>
      <c r="N69" s="47"/>
      <c r="O69" s="10"/>
      <c r="P69" s="47"/>
      <c r="Q69" s="47"/>
      <c r="R69" s="48" t="str">
        <f aca="false">IF(Q69="","",IF(Q69=0,"below 5:00",IF(Q69&gt;=66,"16:00 or above",INT((60+2*Q69)/12)&amp;":"&amp;TEXT(MOD(60+2*Q69,12),"00"))))</f>
        <v/>
      </c>
      <c r="S69" s="47"/>
      <c r="T69" s="47"/>
      <c r="U69" s="47"/>
      <c r="V69" s="47"/>
      <c r="W69" s="47"/>
      <c r="X69" s="47"/>
      <c r="Y69" s="47"/>
      <c r="Z69" s="47"/>
      <c r="AA69" s="10"/>
      <c r="AB69" s="10"/>
      <c r="AC69" s="47"/>
      <c r="AD69" s="47"/>
      <c r="AE69" s="47"/>
      <c r="AF69" s="47"/>
      <c r="AG69" s="47"/>
      <c r="AH69" s="47"/>
      <c r="AI69" s="46"/>
      <c r="AJ69" s="46"/>
      <c r="AK69" s="46"/>
      <c r="AL69" s="7"/>
      <c r="AM69" s="49" t="str">
        <f aca="false">IF(OR(C69="",G69=""),"",IFERROR(DATEDIF(C69,G69,"m"),""))</f>
        <v/>
      </c>
      <c r="AN69" s="49" t="str">
        <f aca="false">IF(OR(Q69="",AM69=""),"",60+2*Q69-AM69)</f>
        <v/>
      </c>
      <c r="AO69" s="49" t="str">
        <f aca="false">IF(OR(G69="",AJ69=""),"",AJ69-G69)</f>
        <v/>
      </c>
      <c r="AP69" s="50" t="str">
        <f aca="false">IF(AND(A69="",B69=""),"",IF(J69="","Status needed",IF(OR(J69="Applied",J69="Visit booked",J69="Withdrawn"),"OK",IF(G69="","Date assessed needed",IF(C69="","Date of birth needed",IF(COUNTA(L69,M69,P69,U69,V69,X69)&lt;6,"Band missing",IF(AND(OR(J69="Decision confirmed",J69="Family told",J69="Enrolled"),AG69=""),"Recommendation needed",IF(AND(OR(J69="Family told",J69="Enrolled"),AJ69=""),"Date family told needed","OK"))))))))</f>
        <v/>
      </c>
    </row>
    <row r="70" customFormat="false" ht="15" hidden="false" customHeight="false" outlineLevel="0" collapsed="false">
      <c r="A70" s="7"/>
      <c r="B70" s="7"/>
      <c r="C70" s="46"/>
      <c r="D70" s="7"/>
      <c r="E70" s="47"/>
      <c r="F70" s="46"/>
      <c r="G70" s="46"/>
      <c r="H70" s="7"/>
      <c r="I70" s="7"/>
      <c r="J70" s="47"/>
      <c r="K70" s="47"/>
      <c r="L70" s="47"/>
      <c r="M70" s="47"/>
      <c r="N70" s="47"/>
      <c r="O70" s="10"/>
      <c r="P70" s="47"/>
      <c r="Q70" s="47"/>
      <c r="R70" s="48" t="str">
        <f aca="false">IF(Q70="","",IF(Q70=0,"below 5:00",IF(Q70&gt;=66,"16:00 or above",INT((60+2*Q70)/12)&amp;":"&amp;TEXT(MOD(60+2*Q70,12),"00"))))</f>
        <v/>
      </c>
      <c r="S70" s="47"/>
      <c r="T70" s="47"/>
      <c r="U70" s="47"/>
      <c r="V70" s="47"/>
      <c r="W70" s="47"/>
      <c r="X70" s="47"/>
      <c r="Y70" s="47"/>
      <c r="Z70" s="47"/>
      <c r="AA70" s="10"/>
      <c r="AB70" s="10"/>
      <c r="AC70" s="47"/>
      <c r="AD70" s="47"/>
      <c r="AE70" s="47"/>
      <c r="AF70" s="47"/>
      <c r="AG70" s="47"/>
      <c r="AH70" s="47"/>
      <c r="AI70" s="46"/>
      <c r="AJ70" s="46"/>
      <c r="AK70" s="46"/>
      <c r="AL70" s="7"/>
      <c r="AM70" s="49" t="str">
        <f aca="false">IF(OR(C70="",G70=""),"",IFERROR(DATEDIF(C70,G70,"m"),""))</f>
        <v/>
      </c>
      <c r="AN70" s="49" t="str">
        <f aca="false">IF(OR(Q70="",AM70=""),"",60+2*Q70-AM70)</f>
        <v/>
      </c>
      <c r="AO70" s="49" t="str">
        <f aca="false">IF(OR(G70="",AJ70=""),"",AJ70-G70)</f>
        <v/>
      </c>
      <c r="AP70" s="50" t="str">
        <f aca="false">IF(AND(A70="",B70=""),"",IF(J70="","Status needed",IF(OR(J70="Applied",J70="Visit booked",J70="Withdrawn"),"OK",IF(G70="","Date assessed needed",IF(C70="","Date of birth needed",IF(COUNTA(L70,M70,P70,U70,V70,X70)&lt;6,"Band missing",IF(AND(OR(J70="Decision confirmed",J70="Family told",J70="Enrolled"),AG70=""),"Recommendation needed",IF(AND(OR(J70="Family told",J70="Enrolled"),AJ70=""),"Date family told needed","OK"))))))))</f>
        <v/>
      </c>
    </row>
    <row r="71" customFormat="false" ht="15" hidden="false" customHeight="false" outlineLevel="0" collapsed="false">
      <c r="A71" s="7"/>
      <c r="B71" s="7"/>
      <c r="C71" s="46"/>
      <c r="D71" s="7"/>
      <c r="E71" s="47"/>
      <c r="F71" s="46"/>
      <c r="G71" s="46"/>
      <c r="H71" s="7"/>
      <c r="I71" s="7"/>
      <c r="J71" s="47"/>
      <c r="K71" s="47"/>
      <c r="L71" s="47"/>
      <c r="M71" s="47"/>
      <c r="N71" s="47"/>
      <c r="O71" s="10"/>
      <c r="P71" s="47"/>
      <c r="Q71" s="47"/>
      <c r="R71" s="48" t="str">
        <f aca="false">IF(Q71="","",IF(Q71=0,"below 5:00",IF(Q71&gt;=66,"16:00 or above",INT((60+2*Q71)/12)&amp;":"&amp;TEXT(MOD(60+2*Q71,12),"00"))))</f>
        <v/>
      </c>
      <c r="S71" s="47"/>
      <c r="T71" s="47"/>
      <c r="U71" s="47"/>
      <c r="V71" s="47"/>
      <c r="W71" s="47"/>
      <c r="X71" s="47"/>
      <c r="Y71" s="47"/>
      <c r="Z71" s="47"/>
      <c r="AA71" s="10"/>
      <c r="AB71" s="10"/>
      <c r="AC71" s="47"/>
      <c r="AD71" s="47"/>
      <c r="AE71" s="47"/>
      <c r="AF71" s="47"/>
      <c r="AG71" s="47"/>
      <c r="AH71" s="47"/>
      <c r="AI71" s="46"/>
      <c r="AJ71" s="46"/>
      <c r="AK71" s="46"/>
      <c r="AL71" s="7"/>
      <c r="AM71" s="49" t="str">
        <f aca="false">IF(OR(C71="",G71=""),"",IFERROR(DATEDIF(C71,G71,"m"),""))</f>
        <v/>
      </c>
      <c r="AN71" s="49" t="str">
        <f aca="false">IF(OR(Q71="",AM71=""),"",60+2*Q71-AM71)</f>
        <v/>
      </c>
      <c r="AO71" s="49" t="str">
        <f aca="false">IF(OR(G71="",AJ71=""),"",AJ71-G71)</f>
        <v/>
      </c>
      <c r="AP71" s="50" t="str">
        <f aca="false">IF(AND(A71="",B71=""),"",IF(J71="","Status needed",IF(OR(J71="Applied",J71="Visit booked",J71="Withdrawn"),"OK",IF(G71="","Date assessed needed",IF(C71="","Date of birth needed",IF(COUNTA(L71,M71,P71,U71,V71,X71)&lt;6,"Band missing",IF(AND(OR(J71="Decision confirmed",J71="Family told",J71="Enrolled"),AG71=""),"Recommendation needed",IF(AND(OR(J71="Family told",J71="Enrolled"),AJ71=""),"Date family told needed","OK"))))))))</f>
        <v/>
      </c>
    </row>
    <row r="72" customFormat="false" ht="15" hidden="false" customHeight="false" outlineLevel="0" collapsed="false">
      <c r="A72" s="7"/>
      <c r="B72" s="7"/>
      <c r="C72" s="46"/>
      <c r="D72" s="7"/>
      <c r="E72" s="47"/>
      <c r="F72" s="46"/>
      <c r="G72" s="46"/>
      <c r="H72" s="7"/>
      <c r="I72" s="7"/>
      <c r="J72" s="47"/>
      <c r="K72" s="47"/>
      <c r="L72" s="47"/>
      <c r="M72" s="47"/>
      <c r="N72" s="47"/>
      <c r="O72" s="10"/>
      <c r="P72" s="47"/>
      <c r="Q72" s="47"/>
      <c r="R72" s="48" t="str">
        <f aca="false">IF(Q72="","",IF(Q72=0,"below 5:00",IF(Q72&gt;=66,"16:00 or above",INT((60+2*Q72)/12)&amp;":"&amp;TEXT(MOD(60+2*Q72,12),"00"))))</f>
        <v/>
      </c>
      <c r="S72" s="47"/>
      <c r="T72" s="47"/>
      <c r="U72" s="47"/>
      <c r="V72" s="47"/>
      <c r="W72" s="47"/>
      <c r="X72" s="47"/>
      <c r="Y72" s="47"/>
      <c r="Z72" s="47"/>
      <c r="AA72" s="10"/>
      <c r="AB72" s="10"/>
      <c r="AC72" s="47"/>
      <c r="AD72" s="47"/>
      <c r="AE72" s="47"/>
      <c r="AF72" s="47"/>
      <c r="AG72" s="47"/>
      <c r="AH72" s="47"/>
      <c r="AI72" s="46"/>
      <c r="AJ72" s="46"/>
      <c r="AK72" s="46"/>
      <c r="AL72" s="7"/>
      <c r="AM72" s="49" t="str">
        <f aca="false">IF(OR(C72="",G72=""),"",IFERROR(DATEDIF(C72,G72,"m"),""))</f>
        <v/>
      </c>
      <c r="AN72" s="49" t="str">
        <f aca="false">IF(OR(Q72="",AM72=""),"",60+2*Q72-AM72)</f>
        <v/>
      </c>
      <c r="AO72" s="49" t="str">
        <f aca="false">IF(OR(G72="",AJ72=""),"",AJ72-G72)</f>
        <v/>
      </c>
      <c r="AP72" s="50" t="str">
        <f aca="false">IF(AND(A72="",B72=""),"",IF(J72="","Status needed",IF(OR(J72="Applied",J72="Visit booked",J72="Withdrawn"),"OK",IF(G72="","Date assessed needed",IF(C72="","Date of birth needed",IF(COUNTA(L72,M72,P72,U72,V72,X72)&lt;6,"Band missing",IF(AND(OR(J72="Decision confirmed",J72="Family told",J72="Enrolled"),AG72=""),"Recommendation needed",IF(AND(OR(J72="Family told",J72="Enrolled"),AJ72=""),"Date family told needed","OK"))))))))</f>
        <v/>
      </c>
    </row>
    <row r="73" customFormat="false" ht="15" hidden="false" customHeight="false" outlineLevel="0" collapsed="false">
      <c r="A73" s="7"/>
      <c r="B73" s="7"/>
      <c r="C73" s="46"/>
      <c r="D73" s="7"/>
      <c r="E73" s="47"/>
      <c r="F73" s="46"/>
      <c r="G73" s="46"/>
      <c r="H73" s="7"/>
      <c r="I73" s="7"/>
      <c r="J73" s="47"/>
      <c r="K73" s="47"/>
      <c r="L73" s="47"/>
      <c r="M73" s="47"/>
      <c r="N73" s="47"/>
      <c r="O73" s="10"/>
      <c r="P73" s="47"/>
      <c r="Q73" s="47"/>
      <c r="R73" s="48" t="str">
        <f aca="false">IF(Q73="","",IF(Q73=0,"below 5:00",IF(Q73&gt;=66,"16:00 or above",INT((60+2*Q73)/12)&amp;":"&amp;TEXT(MOD(60+2*Q73,12),"00"))))</f>
        <v/>
      </c>
      <c r="S73" s="47"/>
      <c r="T73" s="47"/>
      <c r="U73" s="47"/>
      <c r="V73" s="47"/>
      <c r="W73" s="47"/>
      <c r="X73" s="47"/>
      <c r="Y73" s="47"/>
      <c r="Z73" s="47"/>
      <c r="AA73" s="10"/>
      <c r="AB73" s="10"/>
      <c r="AC73" s="47"/>
      <c r="AD73" s="47"/>
      <c r="AE73" s="47"/>
      <c r="AF73" s="47"/>
      <c r="AG73" s="47"/>
      <c r="AH73" s="47"/>
      <c r="AI73" s="46"/>
      <c r="AJ73" s="46"/>
      <c r="AK73" s="46"/>
      <c r="AL73" s="7"/>
      <c r="AM73" s="49" t="str">
        <f aca="false">IF(OR(C73="",G73=""),"",IFERROR(DATEDIF(C73,G73,"m"),""))</f>
        <v/>
      </c>
      <c r="AN73" s="49" t="str">
        <f aca="false">IF(OR(Q73="",AM73=""),"",60+2*Q73-AM73)</f>
        <v/>
      </c>
      <c r="AO73" s="49" t="str">
        <f aca="false">IF(OR(G73="",AJ73=""),"",AJ73-G73)</f>
        <v/>
      </c>
      <c r="AP73" s="50" t="str">
        <f aca="false">IF(AND(A73="",B73=""),"",IF(J73="","Status needed",IF(OR(J73="Applied",J73="Visit booked",J73="Withdrawn"),"OK",IF(G73="","Date assessed needed",IF(C73="","Date of birth needed",IF(COUNTA(L73,M73,P73,U73,V73,X73)&lt;6,"Band missing",IF(AND(OR(J73="Decision confirmed",J73="Family told",J73="Enrolled"),AG73=""),"Recommendation needed",IF(AND(OR(J73="Family told",J73="Enrolled"),AJ73=""),"Date family told needed","OK"))))))))</f>
        <v/>
      </c>
    </row>
    <row r="74" customFormat="false" ht="15" hidden="false" customHeight="false" outlineLevel="0" collapsed="false">
      <c r="A74" s="7"/>
      <c r="B74" s="7"/>
      <c r="C74" s="46"/>
      <c r="D74" s="7"/>
      <c r="E74" s="47"/>
      <c r="F74" s="46"/>
      <c r="G74" s="46"/>
      <c r="H74" s="7"/>
      <c r="I74" s="7"/>
      <c r="J74" s="47"/>
      <c r="K74" s="47"/>
      <c r="L74" s="47"/>
      <c r="M74" s="47"/>
      <c r="N74" s="47"/>
      <c r="O74" s="10"/>
      <c r="P74" s="47"/>
      <c r="Q74" s="47"/>
      <c r="R74" s="48" t="str">
        <f aca="false">IF(Q74="","",IF(Q74=0,"below 5:00",IF(Q74&gt;=66,"16:00 or above",INT((60+2*Q74)/12)&amp;":"&amp;TEXT(MOD(60+2*Q74,12),"00"))))</f>
        <v/>
      </c>
      <c r="S74" s="47"/>
      <c r="T74" s="47"/>
      <c r="U74" s="47"/>
      <c r="V74" s="47"/>
      <c r="W74" s="47"/>
      <c r="X74" s="47"/>
      <c r="Y74" s="47"/>
      <c r="Z74" s="47"/>
      <c r="AA74" s="10"/>
      <c r="AB74" s="10"/>
      <c r="AC74" s="47"/>
      <c r="AD74" s="47"/>
      <c r="AE74" s="47"/>
      <c r="AF74" s="47"/>
      <c r="AG74" s="47"/>
      <c r="AH74" s="47"/>
      <c r="AI74" s="46"/>
      <c r="AJ74" s="46"/>
      <c r="AK74" s="46"/>
      <c r="AL74" s="7"/>
      <c r="AM74" s="49" t="str">
        <f aca="false">IF(OR(C74="",G74=""),"",IFERROR(DATEDIF(C74,G74,"m"),""))</f>
        <v/>
      </c>
      <c r="AN74" s="49" t="str">
        <f aca="false">IF(OR(Q74="",AM74=""),"",60+2*Q74-AM74)</f>
        <v/>
      </c>
      <c r="AO74" s="49" t="str">
        <f aca="false">IF(OR(G74="",AJ74=""),"",AJ74-G74)</f>
        <v/>
      </c>
      <c r="AP74" s="50" t="str">
        <f aca="false">IF(AND(A74="",B74=""),"",IF(J74="","Status needed",IF(OR(J74="Applied",J74="Visit booked",J74="Withdrawn"),"OK",IF(G74="","Date assessed needed",IF(C74="","Date of birth needed",IF(COUNTA(L74,M74,P74,U74,V74,X74)&lt;6,"Band missing",IF(AND(OR(J74="Decision confirmed",J74="Family told",J74="Enrolled"),AG74=""),"Recommendation needed",IF(AND(OR(J74="Family told",J74="Enrolled"),AJ74=""),"Date family told needed","OK"))))))))</f>
        <v/>
      </c>
    </row>
    <row r="75" customFormat="false" ht="15" hidden="false" customHeight="false" outlineLevel="0" collapsed="false">
      <c r="A75" s="7"/>
      <c r="B75" s="7"/>
      <c r="C75" s="46"/>
      <c r="D75" s="7"/>
      <c r="E75" s="47"/>
      <c r="F75" s="46"/>
      <c r="G75" s="46"/>
      <c r="H75" s="7"/>
      <c r="I75" s="7"/>
      <c r="J75" s="47"/>
      <c r="K75" s="47"/>
      <c r="L75" s="47"/>
      <c r="M75" s="47"/>
      <c r="N75" s="47"/>
      <c r="O75" s="10"/>
      <c r="P75" s="47"/>
      <c r="Q75" s="47"/>
      <c r="R75" s="48" t="str">
        <f aca="false">IF(Q75="","",IF(Q75=0,"below 5:00",IF(Q75&gt;=66,"16:00 or above",INT((60+2*Q75)/12)&amp;":"&amp;TEXT(MOD(60+2*Q75,12),"00"))))</f>
        <v/>
      </c>
      <c r="S75" s="47"/>
      <c r="T75" s="47"/>
      <c r="U75" s="47"/>
      <c r="V75" s="47"/>
      <c r="W75" s="47"/>
      <c r="X75" s="47"/>
      <c r="Y75" s="47"/>
      <c r="Z75" s="47"/>
      <c r="AA75" s="10"/>
      <c r="AB75" s="10"/>
      <c r="AC75" s="47"/>
      <c r="AD75" s="47"/>
      <c r="AE75" s="47"/>
      <c r="AF75" s="47"/>
      <c r="AG75" s="47"/>
      <c r="AH75" s="47"/>
      <c r="AI75" s="46"/>
      <c r="AJ75" s="46"/>
      <c r="AK75" s="46"/>
      <c r="AL75" s="7"/>
      <c r="AM75" s="49" t="str">
        <f aca="false">IF(OR(C75="",G75=""),"",IFERROR(DATEDIF(C75,G75,"m"),""))</f>
        <v/>
      </c>
      <c r="AN75" s="49" t="str">
        <f aca="false">IF(OR(Q75="",AM75=""),"",60+2*Q75-AM75)</f>
        <v/>
      </c>
      <c r="AO75" s="49" t="str">
        <f aca="false">IF(OR(G75="",AJ75=""),"",AJ75-G75)</f>
        <v/>
      </c>
      <c r="AP75" s="50" t="str">
        <f aca="false">IF(AND(A75="",B75=""),"",IF(J75="","Status needed",IF(OR(J75="Applied",J75="Visit booked",J75="Withdrawn"),"OK",IF(G75="","Date assessed needed",IF(C75="","Date of birth needed",IF(COUNTA(L75,M75,P75,U75,V75,X75)&lt;6,"Band missing",IF(AND(OR(J75="Decision confirmed",J75="Family told",J75="Enrolled"),AG75=""),"Recommendation needed",IF(AND(OR(J75="Family told",J75="Enrolled"),AJ75=""),"Date family told needed","OK"))))))))</f>
        <v/>
      </c>
    </row>
    <row r="76" customFormat="false" ht="15" hidden="false" customHeight="false" outlineLevel="0" collapsed="false">
      <c r="A76" s="7"/>
      <c r="B76" s="7"/>
      <c r="C76" s="46"/>
      <c r="D76" s="7"/>
      <c r="E76" s="47"/>
      <c r="F76" s="46"/>
      <c r="G76" s="46"/>
      <c r="H76" s="7"/>
      <c r="I76" s="7"/>
      <c r="J76" s="47"/>
      <c r="K76" s="47"/>
      <c r="L76" s="47"/>
      <c r="M76" s="47"/>
      <c r="N76" s="47"/>
      <c r="O76" s="10"/>
      <c r="P76" s="47"/>
      <c r="Q76" s="47"/>
      <c r="R76" s="48" t="str">
        <f aca="false">IF(Q76="","",IF(Q76=0,"below 5:00",IF(Q76&gt;=66,"16:00 or above",INT((60+2*Q76)/12)&amp;":"&amp;TEXT(MOD(60+2*Q76,12),"00"))))</f>
        <v/>
      </c>
      <c r="S76" s="47"/>
      <c r="T76" s="47"/>
      <c r="U76" s="47"/>
      <c r="V76" s="47"/>
      <c r="W76" s="47"/>
      <c r="X76" s="47"/>
      <c r="Y76" s="47"/>
      <c r="Z76" s="47"/>
      <c r="AA76" s="10"/>
      <c r="AB76" s="10"/>
      <c r="AC76" s="47"/>
      <c r="AD76" s="47"/>
      <c r="AE76" s="47"/>
      <c r="AF76" s="47"/>
      <c r="AG76" s="47"/>
      <c r="AH76" s="47"/>
      <c r="AI76" s="46"/>
      <c r="AJ76" s="46"/>
      <c r="AK76" s="46"/>
      <c r="AL76" s="7"/>
      <c r="AM76" s="49" t="str">
        <f aca="false">IF(OR(C76="",G76=""),"",IFERROR(DATEDIF(C76,G76,"m"),""))</f>
        <v/>
      </c>
      <c r="AN76" s="49" t="str">
        <f aca="false">IF(OR(Q76="",AM76=""),"",60+2*Q76-AM76)</f>
        <v/>
      </c>
      <c r="AO76" s="49" t="str">
        <f aca="false">IF(OR(G76="",AJ76=""),"",AJ76-G76)</f>
        <v/>
      </c>
      <c r="AP76" s="50" t="str">
        <f aca="false">IF(AND(A76="",B76=""),"",IF(J76="","Status needed",IF(OR(J76="Applied",J76="Visit booked",J76="Withdrawn"),"OK",IF(G76="","Date assessed needed",IF(C76="","Date of birth needed",IF(COUNTA(L76,M76,P76,U76,V76,X76)&lt;6,"Band missing",IF(AND(OR(J76="Decision confirmed",J76="Family told",J76="Enrolled"),AG76=""),"Recommendation needed",IF(AND(OR(J76="Family told",J76="Enrolled"),AJ76=""),"Date family told needed","OK"))))))))</f>
        <v/>
      </c>
    </row>
    <row r="77" customFormat="false" ht="15" hidden="false" customHeight="false" outlineLevel="0" collapsed="false">
      <c r="A77" s="7"/>
      <c r="B77" s="7"/>
      <c r="C77" s="46"/>
      <c r="D77" s="7"/>
      <c r="E77" s="47"/>
      <c r="F77" s="46"/>
      <c r="G77" s="46"/>
      <c r="H77" s="7"/>
      <c r="I77" s="7"/>
      <c r="J77" s="47"/>
      <c r="K77" s="47"/>
      <c r="L77" s="47"/>
      <c r="M77" s="47"/>
      <c r="N77" s="47"/>
      <c r="O77" s="10"/>
      <c r="P77" s="47"/>
      <c r="Q77" s="47"/>
      <c r="R77" s="48" t="str">
        <f aca="false">IF(Q77="","",IF(Q77=0,"below 5:00",IF(Q77&gt;=66,"16:00 or above",INT((60+2*Q77)/12)&amp;":"&amp;TEXT(MOD(60+2*Q77,12),"00"))))</f>
        <v/>
      </c>
      <c r="S77" s="47"/>
      <c r="T77" s="47"/>
      <c r="U77" s="47"/>
      <c r="V77" s="47"/>
      <c r="W77" s="47"/>
      <c r="X77" s="47"/>
      <c r="Y77" s="47"/>
      <c r="Z77" s="47"/>
      <c r="AA77" s="10"/>
      <c r="AB77" s="10"/>
      <c r="AC77" s="47"/>
      <c r="AD77" s="47"/>
      <c r="AE77" s="47"/>
      <c r="AF77" s="47"/>
      <c r="AG77" s="47"/>
      <c r="AH77" s="47"/>
      <c r="AI77" s="46"/>
      <c r="AJ77" s="46"/>
      <c r="AK77" s="46"/>
      <c r="AL77" s="7"/>
      <c r="AM77" s="49" t="str">
        <f aca="false">IF(OR(C77="",G77=""),"",IFERROR(DATEDIF(C77,G77,"m"),""))</f>
        <v/>
      </c>
      <c r="AN77" s="49" t="str">
        <f aca="false">IF(OR(Q77="",AM77=""),"",60+2*Q77-AM77)</f>
        <v/>
      </c>
      <c r="AO77" s="49" t="str">
        <f aca="false">IF(OR(G77="",AJ77=""),"",AJ77-G77)</f>
        <v/>
      </c>
      <c r="AP77" s="50" t="str">
        <f aca="false">IF(AND(A77="",B77=""),"",IF(J77="","Status needed",IF(OR(J77="Applied",J77="Visit booked",J77="Withdrawn"),"OK",IF(G77="","Date assessed needed",IF(C77="","Date of birth needed",IF(COUNTA(L77,M77,P77,U77,V77,X77)&lt;6,"Band missing",IF(AND(OR(J77="Decision confirmed",J77="Family told",J77="Enrolled"),AG77=""),"Recommendation needed",IF(AND(OR(J77="Family told",J77="Enrolled"),AJ77=""),"Date family told needed","OK"))))))))</f>
        <v/>
      </c>
    </row>
    <row r="78" customFormat="false" ht="15" hidden="false" customHeight="false" outlineLevel="0" collapsed="false">
      <c r="A78" s="7"/>
      <c r="B78" s="7"/>
      <c r="C78" s="46"/>
      <c r="D78" s="7"/>
      <c r="E78" s="47"/>
      <c r="F78" s="46"/>
      <c r="G78" s="46"/>
      <c r="H78" s="7"/>
      <c r="I78" s="7"/>
      <c r="J78" s="47"/>
      <c r="K78" s="47"/>
      <c r="L78" s="47"/>
      <c r="M78" s="47"/>
      <c r="N78" s="47"/>
      <c r="O78" s="10"/>
      <c r="P78" s="47"/>
      <c r="Q78" s="47"/>
      <c r="R78" s="48" t="str">
        <f aca="false">IF(Q78="","",IF(Q78=0,"below 5:00",IF(Q78&gt;=66,"16:00 or above",INT((60+2*Q78)/12)&amp;":"&amp;TEXT(MOD(60+2*Q78,12),"00"))))</f>
        <v/>
      </c>
      <c r="S78" s="47"/>
      <c r="T78" s="47"/>
      <c r="U78" s="47"/>
      <c r="V78" s="47"/>
      <c r="W78" s="47"/>
      <c r="X78" s="47"/>
      <c r="Y78" s="47"/>
      <c r="Z78" s="47"/>
      <c r="AA78" s="10"/>
      <c r="AB78" s="10"/>
      <c r="AC78" s="47"/>
      <c r="AD78" s="47"/>
      <c r="AE78" s="47"/>
      <c r="AF78" s="47"/>
      <c r="AG78" s="47"/>
      <c r="AH78" s="47"/>
      <c r="AI78" s="46"/>
      <c r="AJ78" s="46"/>
      <c r="AK78" s="46"/>
      <c r="AL78" s="7"/>
      <c r="AM78" s="49" t="str">
        <f aca="false">IF(OR(C78="",G78=""),"",IFERROR(DATEDIF(C78,G78,"m"),""))</f>
        <v/>
      </c>
      <c r="AN78" s="49" t="str">
        <f aca="false">IF(OR(Q78="",AM78=""),"",60+2*Q78-AM78)</f>
        <v/>
      </c>
      <c r="AO78" s="49" t="str">
        <f aca="false">IF(OR(G78="",AJ78=""),"",AJ78-G78)</f>
        <v/>
      </c>
      <c r="AP78" s="50" t="str">
        <f aca="false">IF(AND(A78="",B78=""),"",IF(J78="","Status needed",IF(OR(J78="Applied",J78="Visit booked",J78="Withdrawn"),"OK",IF(G78="","Date assessed needed",IF(C78="","Date of birth needed",IF(COUNTA(L78,M78,P78,U78,V78,X78)&lt;6,"Band missing",IF(AND(OR(J78="Decision confirmed",J78="Family told",J78="Enrolled"),AG78=""),"Recommendation needed",IF(AND(OR(J78="Family told",J78="Enrolled"),AJ78=""),"Date family told needed","OK"))))))))</f>
        <v/>
      </c>
    </row>
    <row r="79" customFormat="false" ht="15" hidden="false" customHeight="false" outlineLevel="0" collapsed="false">
      <c r="A79" s="7"/>
      <c r="B79" s="7"/>
      <c r="C79" s="46"/>
      <c r="D79" s="7"/>
      <c r="E79" s="47"/>
      <c r="F79" s="46"/>
      <c r="G79" s="46"/>
      <c r="H79" s="7"/>
      <c r="I79" s="7"/>
      <c r="J79" s="47"/>
      <c r="K79" s="47"/>
      <c r="L79" s="47"/>
      <c r="M79" s="47"/>
      <c r="N79" s="47"/>
      <c r="O79" s="10"/>
      <c r="P79" s="47"/>
      <c r="Q79" s="47"/>
      <c r="R79" s="48" t="str">
        <f aca="false">IF(Q79="","",IF(Q79=0,"below 5:00",IF(Q79&gt;=66,"16:00 or above",INT((60+2*Q79)/12)&amp;":"&amp;TEXT(MOD(60+2*Q79,12),"00"))))</f>
        <v/>
      </c>
      <c r="S79" s="47"/>
      <c r="T79" s="47"/>
      <c r="U79" s="47"/>
      <c r="V79" s="47"/>
      <c r="W79" s="47"/>
      <c r="X79" s="47"/>
      <c r="Y79" s="47"/>
      <c r="Z79" s="47"/>
      <c r="AA79" s="10"/>
      <c r="AB79" s="10"/>
      <c r="AC79" s="47"/>
      <c r="AD79" s="47"/>
      <c r="AE79" s="47"/>
      <c r="AF79" s="47"/>
      <c r="AG79" s="47"/>
      <c r="AH79" s="47"/>
      <c r="AI79" s="46"/>
      <c r="AJ79" s="46"/>
      <c r="AK79" s="46"/>
      <c r="AL79" s="7"/>
      <c r="AM79" s="49" t="str">
        <f aca="false">IF(OR(C79="",G79=""),"",IFERROR(DATEDIF(C79,G79,"m"),""))</f>
        <v/>
      </c>
      <c r="AN79" s="49" t="str">
        <f aca="false">IF(OR(Q79="",AM79=""),"",60+2*Q79-AM79)</f>
        <v/>
      </c>
      <c r="AO79" s="49" t="str">
        <f aca="false">IF(OR(G79="",AJ79=""),"",AJ79-G79)</f>
        <v/>
      </c>
      <c r="AP79" s="50" t="str">
        <f aca="false">IF(AND(A79="",B79=""),"",IF(J79="","Status needed",IF(OR(J79="Applied",J79="Visit booked",J79="Withdrawn"),"OK",IF(G79="","Date assessed needed",IF(C79="","Date of birth needed",IF(COUNTA(L79,M79,P79,U79,V79,X79)&lt;6,"Band missing",IF(AND(OR(J79="Decision confirmed",J79="Family told",J79="Enrolled"),AG79=""),"Recommendation needed",IF(AND(OR(J79="Family told",J79="Enrolled"),AJ79=""),"Date family told needed","OK"))))))))</f>
        <v/>
      </c>
    </row>
    <row r="80" customFormat="false" ht="15" hidden="false" customHeight="false" outlineLevel="0" collapsed="false">
      <c r="A80" s="7"/>
      <c r="B80" s="7"/>
      <c r="C80" s="46"/>
      <c r="D80" s="7"/>
      <c r="E80" s="47"/>
      <c r="F80" s="46"/>
      <c r="G80" s="46"/>
      <c r="H80" s="7"/>
      <c r="I80" s="7"/>
      <c r="J80" s="47"/>
      <c r="K80" s="47"/>
      <c r="L80" s="47"/>
      <c r="M80" s="47"/>
      <c r="N80" s="47"/>
      <c r="O80" s="10"/>
      <c r="P80" s="47"/>
      <c r="Q80" s="47"/>
      <c r="R80" s="48" t="str">
        <f aca="false">IF(Q80="","",IF(Q80=0,"below 5:00",IF(Q80&gt;=66,"16:00 or above",INT((60+2*Q80)/12)&amp;":"&amp;TEXT(MOD(60+2*Q80,12),"00"))))</f>
        <v/>
      </c>
      <c r="S80" s="47"/>
      <c r="T80" s="47"/>
      <c r="U80" s="47"/>
      <c r="V80" s="47"/>
      <c r="W80" s="47"/>
      <c r="X80" s="47"/>
      <c r="Y80" s="47"/>
      <c r="Z80" s="47"/>
      <c r="AA80" s="10"/>
      <c r="AB80" s="10"/>
      <c r="AC80" s="47"/>
      <c r="AD80" s="47"/>
      <c r="AE80" s="47"/>
      <c r="AF80" s="47"/>
      <c r="AG80" s="47"/>
      <c r="AH80" s="47"/>
      <c r="AI80" s="46"/>
      <c r="AJ80" s="46"/>
      <c r="AK80" s="46"/>
      <c r="AL80" s="7"/>
      <c r="AM80" s="49" t="str">
        <f aca="false">IF(OR(C80="",G80=""),"",IFERROR(DATEDIF(C80,G80,"m"),""))</f>
        <v/>
      </c>
      <c r="AN80" s="49" t="str">
        <f aca="false">IF(OR(Q80="",AM80=""),"",60+2*Q80-AM80)</f>
        <v/>
      </c>
      <c r="AO80" s="49" t="str">
        <f aca="false">IF(OR(G80="",AJ80=""),"",AJ80-G80)</f>
        <v/>
      </c>
      <c r="AP80" s="50" t="str">
        <f aca="false">IF(AND(A80="",B80=""),"",IF(J80="","Status needed",IF(OR(J80="Applied",J80="Visit booked",J80="Withdrawn"),"OK",IF(G80="","Date assessed needed",IF(C80="","Date of birth needed",IF(COUNTA(L80,M80,P80,U80,V80,X80)&lt;6,"Band missing",IF(AND(OR(J80="Decision confirmed",J80="Family told",J80="Enrolled"),AG80=""),"Recommendation needed",IF(AND(OR(J80="Family told",J80="Enrolled"),AJ80=""),"Date family told needed","OK"))))))))</f>
        <v/>
      </c>
    </row>
    <row r="81" customFormat="false" ht="15" hidden="false" customHeight="false" outlineLevel="0" collapsed="false">
      <c r="A81" s="7"/>
      <c r="B81" s="7"/>
      <c r="C81" s="46"/>
      <c r="D81" s="7"/>
      <c r="E81" s="47"/>
      <c r="F81" s="46"/>
      <c r="G81" s="46"/>
      <c r="H81" s="7"/>
      <c r="I81" s="7"/>
      <c r="J81" s="47"/>
      <c r="K81" s="47"/>
      <c r="L81" s="47"/>
      <c r="M81" s="47"/>
      <c r="N81" s="47"/>
      <c r="O81" s="10"/>
      <c r="P81" s="47"/>
      <c r="Q81" s="47"/>
      <c r="R81" s="48" t="str">
        <f aca="false">IF(Q81="","",IF(Q81=0,"below 5:00",IF(Q81&gt;=66,"16:00 or above",INT((60+2*Q81)/12)&amp;":"&amp;TEXT(MOD(60+2*Q81,12),"00"))))</f>
        <v/>
      </c>
      <c r="S81" s="47"/>
      <c r="T81" s="47"/>
      <c r="U81" s="47"/>
      <c r="V81" s="47"/>
      <c r="W81" s="47"/>
      <c r="X81" s="47"/>
      <c r="Y81" s="47"/>
      <c r="Z81" s="47"/>
      <c r="AA81" s="10"/>
      <c r="AB81" s="10"/>
      <c r="AC81" s="47"/>
      <c r="AD81" s="47"/>
      <c r="AE81" s="47"/>
      <c r="AF81" s="47"/>
      <c r="AG81" s="47"/>
      <c r="AH81" s="47"/>
      <c r="AI81" s="46"/>
      <c r="AJ81" s="46"/>
      <c r="AK81" s="46"/>
      <c r="AL81" s="7"/>
      <c r="AM81" s="49" t="str">
        <f aca="false">IF(OR(C81="",G81=""),"",IFERROR(DATEDIF(C81,G81,"m"),""))</f>
        <v/>
      </c>
      <c r="AN81" s="49" t="str">
        <f aca="false">IF(OR(Q81="",AM81=""),"",60+2*Q81-AM81)</f>
        <v/>
      </c>
      <c r="AO81" s="49" t="str">
        <f aca="false">IF(OR(G81="",AJ81=""),"",AJ81-G81)</f>
        <v/>
      </c>
      <c r="AP81" s="50" t="str">
        <f aca="false">IF(AND(A81="",B81=""),"",IF(J81="","Status needed",IF(OR(J81="Applied",J81="Visit booked",J81="Withdrawn"),"OK",IF(G81="","Date assessed needed",IF(C81="","Date of birth needed",IF(COUNTA(L81,M81,P81,U81,V81,X81)&lt;6,"Band missing",IF(AND(OR(J81="Decision confirmed",J81="Family told",J81="Enrolled"),AG81=""),"Recommendation needed",IF(AND(OR(J81="Family told",J81="Enrolled"),AJ81=""),"Date family told needed","OK"))))))))</f>
        <v/>
      </c>
    </row>
    <row r="82" customFormat="false" ht="15" hidden="false" customHeight="false" outlineLevel="0" collapsed="false">
      <c r="A82" s="7"/>
      <c r="B82" s="7"/>
      <c r="C82" s="46"/>
      <c r="D82" s="7"/>
      <c r="E82" s="47"/>
      <c r="F82" s="46"/>
      <c r="G82" s="46"/>
      <c r="H82" s="7"/>
      <c r="I82" s="7"/>
      <c r="J82" s="47"/>
      <c r="K82" s="47"/>
      <c r="L82" s="47"/>
      <c r="M82" s="47"/>
      <c r="N82" s="47"/>
      <c r="O82" s="10"/>
      <c r="P82" s="47"/>
      <c r="Q82" s="47"/>
      <c r="R82" s="48" t="str">
        <f aca="false">IF(Q82="","",IF(Q82=0,"below 5:00",IF(Q82&gt;=66,"16:00 or above",INT((60+2*Q82)/12)&amp;":"&amp;TEXT(MOD(60+2*Q82,12),"00"))))</f>
        <v/>
      </c>
      <c r="S82" s="47"/>
      <c r="T82" s="47"/>
      <c r="U82" s="47"/>
      <c r="V82" s="47"/>
      <c r="W82" s="47"/>
      <c r="X82" s="47"/>
      <c r="Y82" s="47"/>
      <c r="Z82" s="47"/>
      <c r="AA82" s="10"/>
      <c r="AB82" s="10"/>
      <c r="AC82" s="47"/>
      <c r="AD82" s="47"/>
      <c r="AE82" s="47"/>
      <c r="AF82" s="47"/>
      <c r="AG82" s="47"/>
      <c r="AH82" s="47"/>
      <c r="AI82" s="46"/>
      <c r="AJ82" s="46"/>
      <c r="AK82" s="46"/>
      <c r="AL82" s="7"/>
      <c r="AM82" s="49" t="str">
        <f aca="false">IF(OR(C82="",G82=""),"",IFERROR(DATEDIF(C82,G82,"m"),""))</f>
        <v/>
      </c>
      <c r="AN82" s="49" t="str">
        <f aca="false">IF(OR(Q82="",AM82=""),"",60+2*Q82-AM82)</f>
        <v/>
      </c>
      <c r="AO82" s="49" t="str">
        <f aca="false">IF(OR(G82="",AJ82=""),"",AJ82-G82)</f>
        <v/>
      </c>
      <c r="AP82" s="50" t="str">
        <f aca="false">IF(AND(A82="",B82=""),"",IF(J82="","Status needed",IF(OR(J82="Applied",J82="Visit booked",J82="Withdrawn"),"OK",IF(G82="","Date assessed needed",IF(C82="","Date of birth needed",IF(COUNTA(L82,M82,P82,U82,V82,X82)&lt;6,"Band missing",IF(AND(OR(J82="Decision confirmed",J82="Family told",J82="Enrolled"),AG82=""),"Recommendation needed",IF(AND(OR(J82="Family told",J82="Enrolled"),AJ82=""),"Date family told needed","OK"))))))))</f>
        <v/>
      </c>
    </row>
    <row r="83" customFormat="false" ht="15" hidden="false" customHeight="false" outlineLevel="0" collapsed="false">
      <c r="A83" s="7"/>
      <c r="B83" s="7"/>
      <c r="C83" s="46"/>
      <c r="D83" s="7"/>
      <c r="E83" s="47"/>
      <c r="F83" s="46"/>
      <c r="G83" s="46"/>
      <c r="H83" s="7"/>
      <c r="I83" s="7"/>
      <c r="J83" s="47"/>
      <c r="K83" s="47"/>
      <c r="L83" s="47"/>
      <c r="M83" s="47"/>
      <c r="N83" s="47"/>
      <c r="O83" s="10"/>
      <c r="P83" s="47"/>
      <c r="Q83" s="47"/>
      <c r="R83" s="48" t="str">
        <f aca="false">IF(Q83="","",IF(Q83=0,"below 5:00",IF(Q83&gt;=66,"16:00 or above",INT((60+2*Q83)/12)&amp;":"&amp;TEXT(MOD(60+2*Q83,12),"00"))))</f>
        <v/>
      </c>
      <c r="S83" s="47"/>
      <c r="T83" s="47"/>
      <c r="U83" s="47"/>
      <c r="V83" s="47"/>
      <c r="W83" s="47"/>
      <c r="X83" s="47"/>
      <c r="Y83" s="47"/>
      <c r="Z83" s="47"/>
      <c r="AA83" s="10"/>
      <c r="AB83" s="10"/>
      <c r="AC83" s="47"/>
      <c r="AD83" s="47"/>
      <c r="AE83" s="47"/>
      <c r="AF83" s="47"/>
      <c r="AG83" s="47"/>
      <c r="AH83" s="47"/>
      <c r="AI83" s="46"/>
      <c r="AJ83" s="46"/>
      <c r="AK83" s="46"/>
      <c r="AL83" s="7"/>
      <c r="AM83" s="49" t="str">
        <f aca="false">IF(OR(C83="",G83=""),"",IFERROR(DATEDIF(C83,G83,"m"),""))</f>
        <v/>
      </c>
      <c r="AN83" s="49" t="str">
        <f aca="false">IF(OR(Q83="",AM83=""),"",60+2*Q83-AM83)</f>
        <v/>
      </c>
      <c r="AO83" s="49" t="str">
        <f aca="false">IF(OR(G83="",AJ83=""),"",AJ83-G83)</f>
        <v/>
      </c>
      <c r="AP83" s="50" t="str">
        <f aca="false">IF(AND(A83="",B83=""),"",IF(J83="","Status needed",IF(OR(J83="Applied",J83="Visit booked",J83="Withdrawn"),"OK",IF(G83="","Date assessed needed",IF(C83="","Date of birth needed",IF(COUNTA(L83,M83,P83,U83,V83,X83)&lt;6,"Band missing",IF(AND(OR(J83="Decision confirmed",J83="Family told",J83="Enrolled"),AG83=""),"Recommendation needed",IF(AND(OR(J83="Family told",J83="Enrolled"),AJ83=""),"Date family told needed","OK"))))))))</f>
        <v/>
      </c>
    </row>
    <row r="84" customFormat="false" ht="15" hidden="false" customHeight="false" outlineLevel="0" collapsed="false">
      <c r="A84" s="7"/>
      <c r="B84" s="7"/>
      <c r="C84" s="46"/>
      <c r="D84" s="7"/>
      <c r="E84" s="47"/>
      <c r="F84" s="46"/>
      <c r="G84" s="46"/>
      <c r="H84" s="7"/>
      <c r="I84" s="7"/>
      <c r="J84" s="47"/>
      <c r="K84" s="47"/>
      <c r="L84" s="47"/>
      <c r="M84" s="47"/>
      <c r="N84" s="47"/>
      <c r="O84" s="10"/>
      <c r="P84" s="47"/>
      <c r="Q84" s="47"/>
      <c r="R84" s="48" t="str">
        <f aca="false">IF(Q84="","",IF(Q84=0,"below 5:00",IF(Q84&gt;=66,"16:00 or above",INT((60+2*Q84)/12)&amp;":"&amp;TEXT(MOD(60+2*Q84,12),"00"))))</f>
        <v/>
      </c>
      <c r="S84" s="47"/>
      <c r="T84" s="47"/>
      <c r="U84" s="47"/>
      <c r="V84" s="47"/>
      <c r="W84" s="47"/>
      <c r="X84" s="47"/>
      <c r="Y84" s="47"/>
      <c r="Z84" s="47"/>
      <c r="AA84" s="10"/>
      <c r="AB84" s="10"/>
      <c r="AC84" s="47"/>
      <c r="AD84" s="47"/>
      <c r="AE84" s="47"/>
      <c r="AF84" s="47"/>
      <c r="AG84" s="47"/>
      <c r="AH84" s="47"/>
      <c r="AI84" s="46"/>
      <c r="AJ84" s="46"/>
      <c r="AK84" s="46"/>
      <c r="AL84" s="7"/>
      <c r="AM84" s="49" t="str">
        <f aca="false">IF(OR(C84="",G84=""),"",IFERROR(DATEDIF(C84,G84,"m"),""))</f>
        <v/>
      </c>
      <c r="AN84" s="49" t="str">
        <f aca="false">IF(OR(Q84="",AM84=""),"",60+2*Q84-AM84)</f>
        <v/>
      </c>
      <c r="AO84" s="49" t="str">
        <f aca="false">IF(OR(G84="",AJ84=""),"",AJ84-G84)</f>
        <v/>
      </c>
      <c r="AP84" s="50" t="str">
        <f aca="false">IF(AND(A84="",B84=""),"",IF(J84="","Status needed",IF(OR(J84="Applied",J84="Visit booked",J84="Withdrawn"),"OK",IF(G84="","Date assessed needed",IF(C84="","Date of birth needed",IF(COUNTA(L84,M84,P84,U84,V84,X84)&lt;6,"Band missing",IF(AND(OR(J84="Decision confirmed",J84="Family told",J84="Enrolled"),AG84=""),"Recommendation needed",IF(AND(OR(J84="Family told",J84="Enrolled"),AJ84=""),"Date family told needed","OK"))))))))</f>
        <v/>
      </c>
    </row>
    <row r="85" customFormat="false" ht="15" hidden="false" customHeight="false" outlineLevel="0" collapsed="false">
      <c r="A85" s="7"/>
      <c r="B85" s="7"/>
      <c r="C85" s="46"/>
      <c r="D85" s="7"/>
      <c r="E85" s="47"/>
      <c r="F85" s="46"/>
      <c r="G85" s="46"/>
      <c r="H85" s="7"/>
      <c r="I85" s="7"/>
      <c r="J85" s="47"/>
      <c r="K85" s="47"/>
      <c r="L85" s="47"/>
      <c r="M85" s="47"/>
      <c r="N85" s="47"/>
      <c r="O85" s="10"/>
      <c r="P85" s="47"/>
      <c r="Q85" s="47"/>
      <c r="R85" s="48" t="str">
        <f aca="false">IF(Q85="","",IF(Q85=0,"below 5:00",IF(Q85&gt;=66,"16:00 or above",INT((60+2*Q85)/12)&amp;":"&amp;TEXT(MOD(60+2*Q85,12),"00"))))</f>
        <v/>
      </c>
      <c r="S85" s="47"/>
      <c r="T85" s="47"/>
      <c r="U85" s="47"/>
      <c r="V85" s="47"/>
      <c r="W85" s="47"/>
      <c r="X85" s="47"/>
      <c r="Y85" s="47"/>
      <c r="Z85" s="47"/>
      <c r="AA85" s="10"/>
      <c r="AB85" s="10"/>
      <c r="AC85" s="47"/>
      <c r="AD85" s="47"/>
      <c r="AE85" s="47"/>
      <c r="AF85" s="47"/>
      <c r="AG85" s="47"/>
      <c r="AH85" s="47"/>
      <c r="AI85" s="46"/>
      <c r="AJ85" s="46"/>
      <c r="AK85" s="46"/>
      <c r="AL85" s="7"/>
      <c r="AM85" s="49" t="str">
        <f aca="false">IF(OR(C85="",G85=""),"",IFERROR(DATEDIF(C85,G85,"m"),""))</f>
        <v/>
      </c>
      <c r="AN85" s="49" t="str">
        <f aca="false">IF(OR(Q85="",AM85=""),"",60+2*Q85-AM85)</f>
        <v/>
      </c>
      <c r="AO85" s="49" t="str">
        <f aca="false">IF(OR(G85="",AJ85=""),"",AJ85-G85)</f>
        <v/>
      </c>
      <c r="AP85" s="50" t="str">
        <f aca="false">IF(AND(A85="",B85=""),"",IF(J85="","Status needed",IF(OR(J85="Applied",J85="Visit booked",J85="Withdrawn"),"OK",IF(G85="","Date assessed needed",IF(C85="","Date of birth needed",IF(COUNTA(L85,M85,P85,U85,V85,X85)&lt;6,"Band missing",IF(AND(OR(J85="Decision confirmed",J85="Family told",J85="Enrolled"),AG85=""),"Recommendation needed",IF(AND(OR(J85="Family told",J85="Enrolled"),AJ85=""),"Date family told needed","OK"))))))))</f>
        <v/>
      </c>
    </row>
    <row r="86" customFormat="false" ht="15" hidden="false" customHeight="false" outlineLevel="0" collapsed="false">
      <c r="A86" s="7"/>
      <c r="B86" s="7"/>
      <c r="C86" s="46"/>
      <c r="D86" s="7"/>
      <c r="E86" s="47"/>
      <c r="F86" s="46"/>
      <c r="G86" s="46"/>
      <c r="H86" s="7"/>
      <c r="I86" s="7"/>
      <c r="J86" s="47"/>
      <c r="K86" s="47"/>
      <c r="L86" s="47"/>
      <c r="M86" s="47"/>
      <c r="N86" s="47"/>
      <c r="O86" s="10"/>
      <c r="P86" s="47"/>
      <c r="Q86" s="47"/>
      <c r="R86" s="48" t="str">
        <f aca="false">IF(Q86="","",IF(Q86=0,"below 5:00",IF(Q86&gt;=66,"16:00 or above",INT((60+2*Q86)/12)&amp;":"&amp;TEXT(MOD(60+2*Q86,12),"00"))))</f>
        <v/>
      </c>
      <c r="S86" s="47"/>
      <c r="T86" s="47"/>
      <c r="U86" s="47"/>
      <c r="V86" s="47"/>
      <c r="W86" s="47"/>
      <c r="X86" s="47"/>
      <c r="Y86" s="47"/>
      <c r="Z86" s="47"/>
      <c r="AA86" s="10"/>
      <c r="AB86" s="10"/>
      <c r="AC86" s="47"/>
      <c r="AD86" s="47"/>
      <c r="AE86" s="47"/>
      <c r="AF86" s="47"/>
      <c r="AG86" s="47"/>
      <c r="AH86" s="47"/>
      <c r="AI86" s="46"/>
      <c r="AJ86" s="46"/>
      <c r="AK86" s="46"/>
      <c r="AL86" s="7"/>
      <c r="AM86" s="49" t="str">
        <f aca="false">IF(OR(C86="",G86=""),"",IFERROR(DATEDIF(C86,G86,"m"),""))</f>
        <v/>
      </c>
      <c r="AN86" s="49" t="str">
        <f aca="false">IF(OR(Q86="",AM86=""),"",60+2*Q86-AM86)</f>
        <v/>
      </c>
      <c r="AO86" s="49" t="str">
        <f aca="false">IF(OR(G86="",AJ86=""),"",AJ86-G86)</f>
        <v/>
      </c>
      <c r="AP86" s="50" t="str">
        <f aca="false">IF(AND(A86="",B86=""),"",IF(J86="","Status needed",IF(OR(J86="Applied",J86="Visit booked",J86="Withdrawn"),"OK",IF(G86="","Date assessed needed",IF(C86="","Date of birth needed",IF(COUNTA(L86,M86,P86,U86,V86,X86)&lt;6,"Band missing",IF(AND(OR(J86="Decision confirmed",J86="Family told",J86="Enrolled"),AG86=""),"Recommendation needed",IF(AND(OR(J86="Family told",J86="Enrolled"),AJ86=""),"Date family told needed","OK"))))))))</f>
        <v/>
      </c>
    </row>
    <row r="87" customFormat="false" ht="15" hidden="false" customHeight="false" outlineLevel="0" collapsed="false">
      <c r="A87" s="7"/>
      <c r="B87" s="7"/>
      <c r="C87" s="46"/>
      <c r="D87" s="7"/>
      <c r="E87" s="47"/>
      <c r="F87" s="46"/>
      <c r="G87" s="46"/>
      <c r="H87" s="7"/>
      <c r="I87" s="7"/>
      <c r="J87" s="47"/>
      <c r="K87" s="47"/>
      <c r="L87" s="47"/>
      <c r="M87" s="47"/>
      <c r="N87" s="47"/>
      <c r="O87" s="10"/>
      <c r="P87" s="47"/>
      <c r="Q87" s="47"/>
      <c r="R87" s="48" t="str">
        <f aca="false">IF(Q87="","",IF(Q87=0,"below 5:00",IF(Q87&gt;=66,"16:00 or above",INT((60+2*Q87)/12)&amp;":"&amp;TEXT(MOD(60+2*Q87,12),"00"))))</f>
        <v/>
      </c>
      <c r="S87" s="47"/>
      <c r="T87" s="47"/>
      <c r="U87" s="47"/>
      <c r="V87" s="47"/>
      <c r="W87" s="47"/>
      <c r="X87" s="47"/>
      <c r="Y87" s="47"/>
      <c r="Z87" s="47"/>
      <c r="AA87" s="10"/>
      <c r="AB87" s="10"/>
      <c r="AC87" s="47"/>
      <c r="AD87" s="47"/>
      <c r="AE87" s="47"/>
      <c r="AF87" s="47"/>
      <c r="AG87" s="47"/>
      <c r="AH87" s="47"/>
      <c r="AI87" s="46"/>
      <c r="AJ87" s="46"/>
      <c r="AK87" s="46"/>
      <c r="AL87" s="7"/>
      <c r="AM87" s="49" t="str">
        <f aca="false">IF(OR(C87="",G87=""),"",IFERROR(DATEDIF(C87,G87,"m"),""))</f>
        <v/>
      </c>
      <c r="AN87" s="49" t="str">
        <f aca="false">IF(OR(Q87="",AM87=""),"",60+2*Q87-AM87)</f>
        <v/>
      </c>
      <c r="AO87" s="49" t="str">
        <f aca="false">IF(OR(G87="",AJ87=""),"",AJ87-G87)</f>
        <v/>
      </c>
      <c r="AP87" s="50" t="str">
        <f aca="false">IF(AND(A87="",B87=""),"",IF(J87="","Status needed",IF(OR(J87="Applied",J87="Visit booked",J87="Withdrawn"),"OK",IF(G87="","Date assessed needed",IF(C87="","Date of birth needed",IF(COUNTA(L87,M87,P87,U87,V87,X87)&lt;6,"Band missing",IF(AND(OR(J87="Decision confirmed",J87="Family told",J87="Enrolled"),AG87=""),"Recommendation needed",IF(AND(OR(J87="Family told",J87="Enrolled"),AJ87=""),"Date family told needed","OK"))))))))</f>
        <v/>
      </c>
    </row>
    <row r="88" customFormat="false" ht="15" hidden="false" customHeight="false" outlineLevel="0" collapsed="false">
      <c r="A88" s="7"/>
      <c r="B88" s="7"/>
      <c r="C88" s="46"/>
      <c r="D88" s="7"/>
      <c r="E88" s="47"/>
      <c r="F88" s="46"/>
      <c r="G88" s="46"/>
      <c r="H88" s="7"/>
      <c r="I88" s="7"/>
      <c r="J88" s="47"/>
      <c r="K88" s="47"/>
      <c r="L88" s="47"/>
      <c r="M88" s="47"/>
      <c r="N88" s="47"/>
      <c r="O88" s="10"/>
      <c r="P88" s="47"/>
      <c r="Q88" s="47"/>
      <c r="R88" s="48" t="str">
        <f aca="false">IF(Q88="","",IF(Q88=0,"below 5:00",IF(Q88&gt;=66,"16:00 or above",INT((60+2*Q88)/12)&amp;":"&amp;TEXT(MOD(60+2*Q88,12),"00"))))</f>
        <v/>
      </c>
      <c r="S88" s="47"/>
      <c r="T88" s="47"/>
      <c r="U88" s="47"/>
      <c r="V88" s="47"/>
      <c r="W88" s="47"/>
      <c r="X88" s="47"/>
      <c r="Y88" s="47"/>
      <c r="Z88" s="47"/>
      <c r="AA88" s="10"/>
      <c r="AB88" s="10"/>
      <c r="AC88" s="47"/>
      <c r="AD88" s="47"/>
      <c r="AE88" s="47"/>
      <c r="AF88" s="47"/>
      <c r="AG88" s="47"/>
      <c r="AH88" s="47"/>
      <c r="AI88" s="46"/>
      <c r="AJ88" s="46"/>
      <c r="AK88" s="46"/>
      <c r="AL88" s="7"/>
      <c r="AM88" s="49" t="str">
        <f aca="false">IF(OR(C88="",G88=""),"",IFERROR(DATEDIF(C88,G88,"m"),""))</f>
        <v/>
      </c>
      <c r="AN88" s="49" t="str">
        <f aca="false">IF(OR(Q88="",AM88=""),"",60+2*Q88-AM88)</f>
        <v/>
      </c>
      <c r="AO88" s="49" t="str">
        <f aca="false">IF(OR(G88="",AJ88=""),"",AJ88-G88)</f>
        <v/>
      </c>
      <c r="AP88" s="50" t="str">
        <f aca="false">IF(AND(A88="",B88=""),"",IF(J88="","Status needed",IF(OR(J88="Applied",J88="Visit booked",J88="Withdrawn"),"OK",IF(G88="","Date assessed needed",IF(C88="","Date of birth needed",IF(COUNTA(L88,M88,P88,U88,V88,X88)&lt;6,"Band missing",IF(AND(OR(J88="Decision confirmed",J88="Family told",J88="Enrolled"),AG88=""),"Recommendation needed",IF(AND(OR(J88="Family told",J88="Enrolled"),AJ88=""),"Date family told needed","OK"))))))))</f>
        <v/>
      </c>
    </row>
    <row r="89" customFormat="false" ht="15" hidden="false" customHeight="false" outlineLevel="0" collapsed="false">
      <c r="A89" s="7"/>
      <c r="B89" s="7"/>
      <c r="C89" s="46"/>
      <c r="D89" s="7"/>
      <c r="E89" s="47"/>
      <c r="F89" s="46"/>
      <c r="G89" s="46"/>
      <c r="H89" s="7"/>
      <c r="I89" s="7"/>
      <c r="J89" s="47"/>
      <c r="K89" s="47"/>
      <c r="L89" s="47"/>
      <c r="M89" s="47"/>
      <c r="N89" s="47"/>
      <c r="O89" s="10"/>
      <c r="P89" s="47"/>
      <c r="Q89" s="47"/>
      <c r="R89" s="48" t="str">
        <f aca="false">IF(Q89="","",IF(Q89=0,"below 5:00",IF(Q89&gt;=66,"16:00 or above",INT((60+2*Q89)/12)&amp;":"&amp;TEXT(MOD(60+2*Q89,12),"00"))))</f>
        <v/>
      </c>
      <c r="S89" s="47"/>
      <c r="T89" s="47"/>
      <c r="U89" s="47"/>
      <c r="V89" s="47"/>
      <c r="W89" s="47"/>
      <c r="X89" s="47"/>
      <c r="Y89" s="47"/>
      <c r="Z89" s="47"/>
      <c r="AA89" s="10"/>
      <c r="AB89" s="10"/>
      <c r="AC89" s="47"/>
      <c r="AD89" s="47"/>
      <c r="AE89" s="47"/>
      <c r="AF89" s="47"/>
      <c r="AG89" s="47"/>
      <c r="AH89" s="47"/>
      <c r="AI89" s="46"/>
      <c r="AJ89" s="46"/>
      <c r="AK89" s="46"/>
      <c r="AL89" s="7"/>
      <c r="AM89" s="49" t="str">
        <f aca="false">IF(OR(C89="",G89=""),"",IFERROR(DATEDIF(C89,G89,"m"),""))</f>
        <v/>
      </c>
      <c r="AN89" s="49" t="str">
        <f aca="false">IF(OR(Q89="",AM89=""),"",60+2*Q89-AM89)</f>
        <v/>
      </c>
      <c r="AO89" s="49" t="str">
        <f aca="false">IF(OR(G89="",AJ89=""),"",AJ89-G89)</f>
        <v/>
      </c>
      <c r="AP89" s="50" t="str">
        <f aca="false">IF(AND(A89="",B89=""),"",IF(J89="","Status needed",IF(OR(J89="Applied",J89="Visit booked",J89="Withdrawn"),"OK",IF(G89="","Date assessed needed",IF(C89="","Date of birth needed",IF(COUNTA(L89,M89,P89,U89,V89,X89)&lt;6,"Band missing",IF(AND(OR(J89="Decision confirmed",J89="Family told",J89="Enrolled"),AG89=""),"Recommendation needed",IF(AND(OR(J89="Family told",J89="Enrolled"),AJ89=""),"Date family told needed","OK"))))))))</f>
        <v/>
      </c>
    </row>
    <row r="90" customFormat="false" ht="15" hidden="false" customHeight="false" outlineLevel="0" collapsed="false">
      <c r="A90" s="7"/>
      <c r="B90" s="7"/>
      <c r="C90" s="46"/>
      <c r="D90" s="7"/>
      <c r="E90" s="47"/>
      <c r="F90" s="46"/>
      <c r="G90" s="46"/>
      <c r="H90" s="7"/>
      <c r="I90" s="7"/>
      <c r="J90" s="47"/>
      <c r="K90" s="47"/>
      <c r="L90" s="47"/>
      <c r="M90" s="47"/>
      <c r="N90" s="47"/>
      <c r="O90" s="10"/>
      <c r="P90" s="47"/>
      <c r="Q90" s="47"/>
      <c r="R90" s="48" t="str">
        <f aca="false">IF(Q90="","",IF(Q90=0,"below 5:00",IF(Q90&gt;=66,"16:00 or above",INT((60+2*Q90)/12)&amp;":"&amp;TEXT(MOD(60+2*Q90,12),"00"))))</f>
        <v/>
      </c>
      <c r="S90" s="47"/>
      <c r="T90" s="47"/>
      <c r="U90" s="47"/>
      <c r="V90" s="47"/>
      <c r="W90" s="47"/>
      <c r="X90" s="47"/>
      <c r="Y90" s="47"/>
      <c r="Z90" s="47"/>
      <c r="AA90" s="10"/>
      <c r="AB90" s="10"/>
      <c r="AC90" s="47"/>
      <c r="AD90" s="47"/>
      <c r="AE90" s="47"/>
      <c r="AF90" s="47"/>
      <c r="AG90" s="47"/>
      <c r="AH90" s="47"/>
      <c r="AI90" s="46"/>
      <c r="AJ90" s="46"/>
      <c r="AK90" s="46"/>
      <c r="AL90" s="7"/>
      <c r="AM90" s="49" t="str">
        <f aca="false">IF(OR(C90="",G90=""),"",IFERROR(DATEDIF(C90,G90,"m"),""))</f>
        <v/>
      </c>
      <c r="AN90" s="49" t="str">
        <f aca="false">IF(OR(Q90="",AM90=""),"",60+2*Q90-AM90)</f>
        <v/>
      </c>
      <c r="AO90" s="49" t="str">
        <f aca="false">IF(OR(G90="",AJ90=""),"",AJ90-G90)</f>
        <v/>
      </c>
      <c r="AP90" s="50" t="str">
        <f aca="false">IF(AND(A90="",B90=""),"",IF(J90="","Status needed",IF(OR(J90="Applied",J90="Visit booked",J90="Withdrawn"),"OK",IF(G90="","Date assessed needed",IF(C90="","Date of birth needed",IF(COUNTA(L90,M90,P90,U90,V90,X90)&lt;6,"Band missing",IF(AND(OR(J90="Decision confirmed",J90="Family told",J90="Enrolled"),AG90=""),"Recommendation needed",IF(AND(OR(J90="Family told",J90="Enrolled"),AJ90=""),"Date family told needed","OK"))))))))</f>
        <v/>
      </c>
    </row>
    <row r="91" customFormat="false" ht="15" hidden="false" customHeight="false" outlineLevel="0" collapsed="false">
      <c r="A91" s="7"/>
      <c r="B91" s="7"/>
      <c r="C91" s="46"/>
      <c r="D91" s="7"/>
      <c r="E91" s="47"/>
      <c r="F91" s="46"/>
      <c r="G91" s="46"/>
      <c r="H91" s="7"/>
      <c r="I91" s="7"/>
      <c r="J91" s="47"/>
      <c r="K91" s="47"/>
      <c r="L91" s="47"/>
      <c r="M91" s="47"/>
      <c r="N91" s="47"/>
      <c r="O91" s="10"/>
      <c r="P91" s="47"/>
      <c r="Q91" s="47"/>
      <c r="R91" s="48" t="str">
        <f aca="false">IF(Q91="","",IF(Q91=0,"below 5:00",IF(Q91&gt;=66,"16:00 or above",INT((60+2*Q91)/12)&amp;":"&amp;TEXT(MOD(60+2*Q91,12),"00"))))</f>
        <v/>
      </c>
      <c r="S91" s="47"/>
      <c r="T91" s="47"/>
      <c r="U91" s="47"/>
      <c r="V91" s="47"/>
      <c r="W91" s="47"/>
      <c r="X91" s="47"/>
      <c r="Y91" s="47"/>
      <c r="Z91" s="47"/>
      <c r="AA91" s="10"/>
      <c r="AB91" s="10"/>
      <c r="AC91" s="47"/>
      <c r="AD91" s="47"/>
      <c r="AE91" s="47"/>
      <c r="AF91" s="47"/>
      <c r="AG91" s="47"/>
      <c r="AH91" s="47"/>
      <c r="AI91" s="46"/>
      <c r="AJ91" s="46"/>
      <c r="AK91" s="46"/>
      <c r="AL91" s="7"/>
      <c r="AM91" s="49" t="str">
        <f aca="false">IF(OR(C91="",G91=""),"",IFERROR(DATEDIF(C91,G91,"m"),""))</f>
        <v/>
      </c>
      <c r="AN91" s="49" t="str">
        <f aca="false">IF(OR(Q91="",AM91=""),"",60+2*Q91-AM91)</f>
        <v/>
      </c>
      <c r="AO91" s="49" t="str">
        <f aca="false">IF(OR(G91="",AJ91=""),"",AJ91-G91)</f>
        <v/>
      </c>
      <c r="AP91" s="50" t="str">
        <f aca="false">IF(AND(A91="",B91=""),"",IF(J91="","Status needed",IF(OR(J91="Applied",J91="Visit booked",J91="Withdrawn"),"OK",IF(G91="","Date assessed needed",IF(C91="","Date of birth needed",IF(COUNTA(L91,M91,P91,U91,V91,X91)&lt;6,"Band missing",IF(AND(OR(J91="Decision confirmed",J91="Family told",J91="Enrolled"),AG91=""),"Recommendation needed",IF(AND(OR(J91="Family told",J91="Enrolled"),AJ91=""),"Date family told needed","OK"))))))))</f>
        <v/>
      </c>
    </row>
    <row r="92" customFormat="false" ht="15" hidden="false" customHeight="false" outlineLevel="0" collapsed="false">
      <c r="A92" s="7"/>
      <c r="B92" s="7"/>
      <c r="C92" s="46"/>
      <c r="D92" s="7"/>
      <c r="E92" s="47"/>
      <c r="F92" s="46"/>
      <c r="G92" s="46"/>
      <c r="H92" s="7"/>
      <c r="I92" s="7"/>
      <c r="J92" s="47"/>
      <c r="K92" s="47"/>
      <c r="L92" s="47"/>
      <c r="M92" s="47"/>
      <c r="N92" s="47"/>
      <c r="O92" s="10"/>
      <c r="P92" s="47"/>
      <c r="Q92" s="47"/>
      <c r="R92" s="48" t="str">
        <f aca="false">IF(Q92="","",IF(Q92=0,"below 5:00",IF(Q92&gt;=66,"16:00 or above",INT((60+2*Q92)/12)&amp;":"&amp;TEXT(MOD(60+2*Q92,12),"00"))))</f>
        <v/>
      </c>
      <c r="S92" s="47"/>
      <c r="T92" s="47"/>
      <c r="U92" s="47"/>
      <c r="V92" s="47"/>
      <c r="W92" s="47"/>
      <c r="X92" s="47"/>
      <c r="Y92" s="47"/>
      <c r="Z92" s="47"/>
      <c r="AA92" s="10"/>
      <c r="AB92" s="10"/>
      <c r="AC92" s="47"/>
      <c r="AD92" s="47"/>
      <c r="AE92" s="47"/>
      <c r="AF92" s="47"/>
      <c r="AG92" s="47"/>
      <c r="AH92" s="47"/>
      <c r="AI92" s="46"/>
      <c r="AJ92" s="46"/>
      <c r="AK92" s="46"/>
      <c r="AL92" s="7"/>
      <c r="AM92" s="49" t="str">
        <f aca="false">IF(OR(C92="",G92=""),"",IFERROR(DATEDIF(C92,G92,"m"),""))</f>
        <v/>
      </c>
      <c r="AN92" s="49" t="str">
        <f aca="false">IF(OR(Q92="",AM92=""),"",60+2*Q92-AM92)</f>
        <v/>
      </c>
      <c r="AO92" s="49" t="str">
        <f aca="false">IF(OR(G92="",AJ92=""),"",AJ92-G92)</f>
        <v/>
      </c>
      <c r="AP92" s="50" t="str">
        <f aca="false">IF(AND(A92="",B92=""),"",IF(J92="","Status needed",IF(OR(J92="Applied",J92="Visit booked",J92="Withdrawn"),"OK",IF(G92="","Date assessed needed",IF(C92="","Date of birth needed",IF(COUNTA(L92,M92,P92,U92,V92,X92)&lt;6,"Band missing",IF(AND(OR(J92="Decision confirmed",J92="Family told",J92="Enrolled"),AG92=""),"Recommendation needed",IF(AND(OR(J92="Family told",J92="Enrolled"),AJ92=""),"Date family told needed","OK"))))))))</f>
        <v/>
      </c>
    </row>
    <row r="93" customFormat="false" ht="15" hidden="false" customHeight="false" outlineLevel="0" collapsed="false">
      <c r="A93" s="7"/>
      <c r="B93" s="7"/>
      <c r="C93" s="46"/>
      <c r="D93" s="7"/>
      <c r="E93" s="47"/>
      <c r="F93" s="46"/>
      <c r="G93" s="46"/>
      <c r="H93" s="7"/>
      <c r="I93" s="7"/>
      <c r="J93" s="47"/>
      <c r="K93" s="47"/>
      <c r="L93" s="47"/>
      <c r="M93" s="47"/>
      <c r="N93" s="47"/>
      <c r="O93" s="10"/>
      <c r="P93" s="47"/>
      <c r="Q93" s="47"/>
      <c r="R93" s="48" t="str">
        <f aca="false">IF(Q93="","",IF(Q93=0,"below 5:00",IF(Q93&gt;=66,"16:00 or above",INT((60+2*Q93)/12)&amp;":"&amp;TEXT(MOD(60+2*Q93,12),"00"))))</f>
        <v/>
      </c>
      <c r="S93" s="47"/>
      <c r="T93" s="47"/>
      <c r="U93" s="47"/>
      <c r="V93" s="47"/>
      <c r="W93" s="47"/>
      <c r="X93" s="47"/>
      <c r="Y93" s="47"/>
      <c r="Z93" s="47"/>
      <c r="AA93" s="10"/>
      <c r="AB93" s="10"/>
      <c r="AC93" s="47"/>
      <c r="AD93" s="47"/>
      <c r="AE93" s="47"/>
      <c r="AF93" s="47"/>
      <c r="AG93" s="47"/>
      <c r="AH93" s="47"/>
      <c r="AI93" s="46"/>
      <c r="AJ93" s="46"/>
      <c r="AK93" s="46"/>
      <c r="AL93" s="7"/>
      <c r="AM93" s="49" t="str">
        <f aca="false">IF(OR(C93="",G93=""),"",IFERROR(DATEDIF(C93,G93,"m"),""))</f>
        <v/>
      </c>
      <c r="AN93" s="49" t="str">
        <f aca="false">IF(OR(Q93="",AM93=""),"",60+2*Q93-AM93)</f>
        <v/>
      </c>
      <c r="AO93" s="49" t="str">
        <f aca="false">IF(OR(G93="",AJ93=""),"",AJ93-G93)</f>
        <v/>
      </c>
      <c r="AP93" s="50" t="str">
        <f aca="false">IF(AND(A93="",B93=""),"",IF(J93="","Status needed",IF(OR(J93="Applied",J93="Visit booked",J93="Withdrawn"),"OK",IF(G93="","Date assessed needed",IF(C93="","Date of birth needed",IF(COUNTA(L93,M93,P93,U93,V93,X93)&lt;6,"Band missing",IF(AND(OR(J93="Decision confirmed",J93="Family told",J93="Enrolled"),AG93=""),"Recommendation needed",IF(AND(OR(J93="Family told",J93="Enrolled"),AJ93=""),"Date family told needed","OK"))))))))</f>
        <v/>
      </c>
    </row>
    <row r="94" customFormat="false" ht="15" hidden="false" customHeight="false" outlineLevel="0" collapsed="false">
      <c r="A94" s="7"/>
      <c r="B94" s="7"/>
      <c r="C94" s="46"/>
      <c r="D94" s="7"/>
      <c r="E94" s="47"/>
      <c r="F94" s="46"/>
      <c r="G94" s="46"/>
      <c r="H94" s="7"/>
      <c r="I94" s="7"/>
      <c r="J94" s="47"/>
      <c r="K94" s="47"/>
      <c r="L94" s="47"/>
      <c r="M94" s="47"/>
      <c r="N94" s="47"/>
      <c r="O94" s="10"/>
      <c r="P94" s="47"/>
      <c r="Q94" s="47"/>
      <c r="R94" s="48" t="str">
        <f aca="false">IF(Q94="","",IF(Q94=0,"below 5:00",IF(Q94&gt;=66,"16:00 or above",INT((60+2*Q94)/12)&amp;":"&amp;TEXT(MOD(60+2*Q94,12),"00"))))</f>
        <v/>
      </c>
      <c r="S94" s="47"/>
      <c r="T94" s="47"/>
      <c r="U94" s="47"/>
      <c r="V94" s="47"/>
      <c r="W94" s="47"/>
      <c r="X94" s="47"/>
      <c r="Y94" s="47"/>
      <c r="Z94" s="47"/>
      <c r="AA94" s="10"/>
      <c r="AB94" s="10"/>
      <c r="AC94" s="47"/>
      <c r="AD94" s="47"/>
      <c r="AE94" s="47"/>
      <c r="AF94" s="47"/>
      <c r="AG94" s="47"/>
      <c r="AH94" s="47"/>
      <c r="AI94" s="46"/>
      <c r="AJ94" s="46"/>
      <c r="AK94" s="46"/>
      <c r="AL94" s="7"/>
      <c r="AM94" s="49" t="str">
        <f aca="false">IF(OR(C94="",G94=""),"",IFERROR(DATEDIF(C94,G94,"m"),""))</f>
        <v/>
      </c>
      <c r="AN94" s="49" t="str">
        <f aca="false">IF(OR(Q94="",AM94=""),"",60+2*Q94-AM94)</f>
        <v/>
      </c>
      <c r="AO94" s="49" t="str">
        <f aca="false">IF(OR(G94="",AJ94=""),"",AJ94-G94)</f>
        <v/>
      </c>
      <c r="AP94" s="50" t="str">
        <f aca="false">IF(AND(A94="",B94=""),"",IF(J94="","Status needed",IF(OR(J94="Applied",J94="Visit booked",J94="Withdrawn"),"OK",IF(G94="","Date assessed needed",IF(C94="","Date of birth needed",IF(COUNTA(L94,M94,P94,U94,V94,X94)&lt;6,"Band missing",IF(AND(OR(J94="Decision confirmed",J94="Family told",J94="Enrolled"),AG94=""),"Recommendation needed",IF(AND(OR(J94="Family told",J94="Enrolled"),AJ94=""),"Date family told needed","OK"))))))))</f>
        <v/>
      </c>
    </row>
    <row r="95" customFormat="false" ht="15" hidden="false" customHeight="false" outlineLevel="0" collapsed="false">
      <c r="A95" s="7"/>
      <c r="B95" s="7"/>
      <c r="C95" s="46"/>
      <c r="D95" s="7"/>
      <c r="E95" s="47"/>
      <c r="F95" s="46"/>
      <c r="G95" s="46"/>
      <c r="H95" s="7"/>
      <c r="I95" s="7"/>
      <c r="J95" s="47"/>
      <c r="K95" s="47"/>
      <c r="L95" s="47"/>
      <c r="M95" s="47"/>
      <c r="N95" s="47"/>
      <c r="O95" s="10"/>
      <c r="P95" s="47"/>
      <c r="Q95" s="47"/>
      <c r="R95" s="48" t="str">
        <f aca="false">IF(Q95="","",IF(Q95=0,"below 5:00",IF(Q95&gt;=66,"16:00 or above",INT((60+2*Q95)/12)&amp;":"&amp;TEXT(MOD(60+2*Q95,12),"00"))))</f>
        <v/>
      </c>
      <c r="S95" s="47"/>
      <c r="T95" s="47"/>
      <c r="U95" s="47"/>
      <c r="V95" s="47"/>
      <c r="W95" s="47"/>
      <c r="X95" s="47"/>
      <c r="Y95" s="47"/>
      <c r="Z95" s="47"/>
      <c r="AA95" s="10"/>
      <c r="AB95" s="10"/>
      <c r="AC95" s="47"/>
      <c r="AD95" s="47"/>
      <c r="AE95" s="47"/>
      <c r="AF95" s="47"/>
      <c r="AG95" s="47"/>
      <c r="AH95" s="47"/>
      <c r="AI95" s="46"/>
      <c r="AJ95" s="46"/>
      <c r="AK95" s="46"/>
      <c r="AL95" s="7"/>
      <c r="AM95" s="49" t="str">
        <f aca="false">IF(OR(C95="",G95=""),"",IFERROR(DATEDIF(C95,G95,"m"),""))</f>
        <v/>
      </c>
      <c r="AN95" s="49" t="str">
        <f aca="false">IF(OR(Q95="",AM95=""),"",60+2*Q95-AM95)</f>
        <v/>
      </c>
      <c r="AO95" s="49" t="str">
        <f aca="false">IF(OR(G95="",AJ95=""),"",AJ95-G95)</f>
        <v/>
      </c>
      <c r="AP95" s="50" t="str">
        <f aca="false">IF(AND(A95="",B95=""),"",IF(J95="","Status needed",IF(OR(J95="Applied",J95="Visit booked",J95="Withdrawn"),"OK",IF(G95="","Date assessed needed",IF(C95="","Date of birth needed",IF(COUNTA(L95,M95,P95,U95,V95,X95)&lt;6,"Band missing",IF(AND(OR(J95="Decision confirmed",J95="Family told",J95="Enrolled"),AG95=""),"Recommendation needed",IF(AND(OR(J95="Family told",J95="Enrolled"),AJ95=""),"Date family told needed","OK"))))))))</f>
        <v/>
      </c>
    </row>
    <row r="96" customFormat="false" ht="15" hidden="false" customHeight="false" outlineLevel="0" collapsed="false">
      <c r="A96" s="7"/>
      <c r="B96" s="7"/>
      <c r="C96" s="46"/>
      <c r="D96" s="7"/>
      <c r="E96" s="47"/>
      <c r="F96" s="46"/>
      <c r="G96" s="46"/>
      <c r="H96" s="7"/>
      <c r="I96" s="7"/>
      <c r="J96" s="47"/>
      <c r="K96" s="47"/>
      <c r="L96" s="47"/>
      <c r="M96" s="47"/>
      <c r="N96" s="47"/>
      <c r="O96" s="10"/>
      <c r="P96" s="47"/>
      <c r="Q96" s="47"/>
      <c r="R96" s="48" t="str">
        <f aca="false">IF(Q96="","",IF(Q96=0,"below 5:00",IF(Q96&gt;=66,"16:00 or above",INT((60+2*Q96)/12)&amp;":"&amp;TEXT(MOD(60+2*Q96,12),"00"))))</f>
        <v/>
      </c>
      <c r="S96" s="47"/>
      <c r="T96" s="47"/>
      <c r="U96" s="47"/>
      <c r="V96" s="47"/>
      <c r="W96" s="47"/>
      <c r="X96" s="47"/>
      <c r="Y96" s="47"/>
      <c r="Z96" s="47"/>
      <c r="AA96" s="10"/>
      <c r="AB96" s="10"/>
      <c r="AC96" s="47"/>
      <c r="AD96" s="47"/>
      <c r="AE96" s="47"/>
      <c r="AF96" s="47"/>
      <c r="AG96" s="47"/>
      <c r="AH96" s="47"/>
      <c r="AI96" s="46"/>
      <c r="AJ96" s="46"/>
      <c r="AK96" s="46"/>
      <c r="AL96" s="7"/>
      <c r="AM96" s="49" t="str">
        <f aca="false">IF(OR(C96="",G96=""),"",IFERROR(DATEDIF(C96,G96,"m"),""))</f>
        <v/>
      </c>
      <c r="AN96" s="49" t="str">
        <f aca="false">IF(OR(Q96="",AM96=""),"",60+2*Q96-AM96)</f>
        <v/>
      </c>
      <c r="AO96" s="49" t="str">
        <f aca="false">IF(OR(G96="",AJ96=""),"",AJ96-G96)</f>
        <v/>
      </c>
      <c r="AP96" s="50" t="str">
        <f aca="false">IF(AND(A96="",B96=""),"",IF(J96="","Status needed",IF(OR(J96="Applied",J96="Visit booked",J96="Withdrawn"),"OK",IF(G96="","Date assessed needed",IF(C96="","Date of birth needed",IF(COUNTA(L96,M96,P96,U96,V96,X96)&lt;6,"Band missing",IF(AND(OR(J96="Decision confirmed",J96="Family told",J96="Enrolled"),AG96=""),"Recommendation needed",IF(AND(OR(J96="Family told",J96="Enrolled"),AJ96=""),"Date family told needed","OK"))))))))</f>
        <v/>
      </c>
    </row>
    <row r="97" customFormat="false" ht="15" hidden="false" customHeight="false" outlineLevel="0" collapsed="false">
      <c r="A97" s="7"/>
      <c r="B97" s="7"/>
      <c r="C97" s="46"/>
      <c r="D97" s="7"/>
      <c r="E97" s="47"/>
      <c r="F97" s="46"/>
      <c r="G97" s="46"/>
      <c r="H97" s="7"/>
      <c r="I97" s="7"/>
      <c r="J97" s="47"/>
      <c r="K97" s="47"/>
      <c r="L97" s="47"/>
      <c r="M97" s="47"/>
      <c r="N97" s="47"/>
      <c r="O97" s="10"/>
      <c r="P97" s="47"/>
      <c r="Q97" s="47"/>
      <c r="R97" s="48" t="str">
        <f aca="false">IF(Q97="","",IF(Q97=0,"below 5:00",IF(Q97&gt;=66,"16:00 or above",INT((60+2*Q97)/12)&amp;":"&amp;TEXT(MOD(60+2*Q97,12),"00"))))</f>
        <v/>
      </c>
      <c r="S97" s="47"/>
      <c r="T97" s="47"/>
      <c r="U97" s="47"/>
      <c r="V97" s="47"/>
      <c r="W97" s="47"/>
      <c r="X97" s="47"/>
      <c r="Y97" s="47"/>
      <c r="Z97" s="47"/>
      <c r="AA97" s="10"/>
      <c r="AB97" s="10"/>
      <c r="AC97" s="47"/>
      <c r="AD97" s="47"/>
      <c r="AE97" s="47"/>
      <c r="AF97" s="47"/>
      <c r="AG97" s="47"/>
      <c r="AH97" s="47"/>
      <c r="AI97" s="46"/>
      <c r="AJ97" s="46"/>
      <c r="AK97" s="46"/>
      <c r="AL97" s="7"/>
      <c r="AM97" s="49" t="str">
        <f aca="false">IF(OR(C97="",G97=""),"",IFERROR(DATEDIF(C97,G97,"m"),""))</f>
        <v/>
      </c>
      <c r="AN97" s="49" t="str">
        <f aca="false">IF(OR(Q97="",AM97=""),"",60+2*Q97-AM97)</f>
        <v/>
      </c>
      <c r="AO97" s="49" t="str">
        <f aca="false">IF(OR(G97="",AJ97=""),"",AJ97-G97)</f>
        <v/>
      </c>
      <c r="AP97" s="50" t="str">
        <f aca="false">IF(AND(A97="",B97=""),"",IF(J97="","Status needed",IF(OR(J97="Applied",J97="Visit booked",J97="Withdrawn"),"OK",IF(G97="","Date assessed needed",IF(C97="","Date of birth needed",IF(COUNTA(L97,M97,P97,U97,V97,X97)&lt;6,"Band missing",IF(AND(OR(J97="Decision confirmed",J97="Family told",J97="Enrolled"),AG97=""),"Recommendation needed",IF(AND(OR(J97="Family told",J97="Enrolled"),AJ97=""),"Date family told needed","OK"))))))))</f>
        <v/>
      </c>
    </row>
    <row r="98" customFormat="false" ht="15" hidden="false" customHeight="false" outlineLevel="0" collapsed="false">
      <c r="A98" s="7"/>
      <c r="B98" s="7"/>
      <c r="C98" s="46"/>
      <c r="D98" s="7"/>
      <c r="E98" s="47"/>
      <c r="F98" s="46"/>
      <c r="G98" s="46"/>
      <c r="H98" s="7"/>
      <c r="I98" s="7"/>
      <c r="J98" s="47"/>
      <c r="K98" s="47"/>
      <c r="L98" s="47"/>
      <c r="M98" s="47"/>
      <c r="N98" s="47"/>
      <c r="O98" s="10"/>
      <c r="P98" s="47"/>
      <c r="Q98" s="47"/>
      <c r="R98" s="48" t="str">
        <f aca="false">IF(Q98="","",IF(Q98=0,"below 5:00",IF(Q98&gt;=66,"16:00 or above",INT((60+2*Q98)/12)&amp;":"&amp;TEXT(MOD(60+2*Q98,12),"00"))))</f>
        <v/>
      </c>
      <c r="S98" s="47"/>
      <c r="T98" s="47"/>
      <c r="U98" s="47"/>
      <c r="V98" s="47"/>
      <c r="W98" s="47"/>
      <c r="X98" s="47"/>
      <c r="Y98" s="47"/>
      <c r="Z98" s="47"/>
      <c r="AA98" s="10"/>
      <c r="AB98" s="10"/>
      <c r="AC98" s="47"/>
      <c r="AD98" s="47"/>
      <c r="AE98" s="47"/>
      <c r="AF98" s="47"/>
      <c r="AG98" s="47"/>
      <c r="AH98" s="47"/>
      <c r="AI98" s="46"/>
      <c r="AJ98" s="46"/>
      <c r="AK98" s="46"/>
      <c r="AL98" s="7"/>
      <c r="AM98" s="49" t="str">
        <f aca="false">IF(OR(C98="",G98=""),"",IFERROR(DATEDIF(C98,G98,"m"),""))</f>
        <v/>
      </c>
      <c r="AN98" s="49" t="str">
        <f aca="false">IF(OR(Q98="",AM98=""),"",60+2*Q98-AM98)</f>
        <v/>
      </c>
      <c r="AO98" s="49" t="str">
        <f aca="false">IF(OR(G98="",AJ98=""),"",AJ98-G98)</f>
        <v/>
      </c>
      <c r="AP98" s="50" t="str">
        <f aca="false">IF(AND(A98="",B98=""),"",IF(J98="","Status needed",IF(OR(J98="Applied",J98="Visit booked",J98="Withdrawn"),"OK",IF(G98="","Date assessed needed",IF(C98="","Date of birth needed",IF(COUNTA(L98,M98,P98,U98,V98,X98)&lt;6,"Band missing",IF(AND(OR(J98="Decision confirmed",J98="Family told",J98="Enrolled"),AG98=""),"Recommendation needed",IF(AND(OR(J98="Family told",J98="Enrolled"),AJ98=""),"Date family told needed","OK"))))))))</f>
        <v/>
      </c>
    </row>
    <row r="99" customFormat="false" ht="15" hidden="false" customHeight="false" outlineLevel="0" collapsed="false">
      <c r="A99" s="7"/>
      <c r="B99" s="7"/>
      <c r="C99" s="46"/>
      <c r="D99" s="7"/>
      <c r="E99" s="47"/>
      <c r="F99" s="46"/>
      <c r="G99" s="46"/>
      <c r="H99" s="7"/>
      <c r="I99" s="7"/>
      <c r="J99" s="47"/>
      <c r="K99" s="47"/>
      <c r="L99" s="47"/>
      <c r="M99" s="47"/>
      <c r="N99" s="47"/>
      <c r="O99" s="10"/>
      <c r="P99" s="47"/>
      <c r="Q99" s="47"/>
      <c r="R99" s="48" t="str">
        <f aca="false">IF(Q99="","",IF(Q99=0,"below 5:00",IF(Q99&gt;=66,"16:00 or above",INT((60+2*Q99)/12)&amp;":"&amp;TEXT(MOD(60+2*Q99,12),"00"))))</f>
        <v/>
      </c>
      <c r="S99" s="47"/>
      <c r="T99" s="47"/>
      <c r="U99" s="47"/>
      <c r="V99" s="47"/>
      <c r="W99" s="47"/>
      <c r="X99" s="47"/>
      <c r="Y99" s="47"/>
      <c r="Z99" s="47"/>
      <c r="AA99" s="10"/>
      <c r="AB99" s="10"/>
      <c r="AC99" s="47"/>
      <c r="AD99" s="47"/>
      <c r="AE99" s="47"/>
      <c r="AF99" s="47"/>
      <c r="AG99" s="47"/>
      <c r="AH99" s="47"/>
      <c r="AI99" s="46"/>
      <c r="AJ99" s="46"/>
      <c r="AK99" s="46"/>
      <c r="AL99" s="7"/>
      <c r="AM99" s="49" t="str">
        <f aca="false">IF(OR(C99="",G99=""),"",IFERROR(DATEDIF(C99,G99,"m"),""))</f>
        <v/>
      </c>
      <c r="AN99" s="49" t="str">
        <f aca="false">IF(OR(Q99="",AM99=""),"",60+2*Q99-AM99)</f>
        <v/>
      </c>
      <c r="AO99" s="49" t="str">
        <f aca="false">IF(OR(G99="",AJ99=""),"",AJ99-G99)</f>
        <v/>
      </c>
      <c r="AP99" s="50" t="str">
        <f aca="false">IF(AND(A99="",B99=""),"",IF(J99="","Status needed",IF(OR(J99="Applied",J99="Visit booked",J99="Withdrawn"),"OK",IF(G99="","Date assessed needed",IF(C99="","Date of birth needed",IF(COUNTA(L99,M99,P99,U99,V99,X99)&lt;6,"Band missing",IF(AND(OR(J99="Decision confirmed",J99="Family told",J99="Enrolled"),AG99=""),"Recommendation needed",IF(AND(OR(J99="Family told",J99="Enrolled"),AJ99=""),"Date family told needed","OK"))))))))</f>
        <v/>
      </c>
    </row>
    <row r="100" customFormat="false" ht="15" hidden="false" customHeight="false" outlineLevel="0" collapsed="false">
      <c r="A100" s="7"/>
      <c r="B100" s="7"/>
      <c r="C100" s="46"/>
      <c r="D100" s="7"/>
      <c r="E100" s="47"/>
      <c r="F100" s="46"/>
      <c r="G100" s="46"/>
      <c r="H100" s="7"/>
      <c r="I100" s="7"/>
      <c r="J100" s="47"/>
      <c r="K100" s="47"/>
      <c r="L100" s="47"/>
      <c r="M100" s="47"/>
      <c r="N100" s="47"/>
      <c r="O100" s="10"/>
      <c r="P100" s="47"/>
      <c r="Q100" s="47"/>
      <c r="R100" s="48" t="str">
        <f aca="false">IF(Q100="","",IF(Q100=0,"below 5:00",IF(Q100&gt;=66,"16:00 or above",INT((60+2*Q100)/12)&amp;":"&amp;TEXT(MOD(60+2*Q100,12),"00"))))</f>
        <v/>
      </c>
      <c r="S100" s="47"/>
      <c r="T100" s="47"/>
      <c r="U100" s="47"/>
      <c r="V100" s="47"/>
      <c r="W100" s="47"/>
      <c r="X100" s="47"/>
      <c r="Y100" s="47"/>
      <c r="Z100" s="47"/>
      <c r="AA100" s="10"/>
      <c r="AB100" s="10"/>
      <c r="AC100" s="47"/>
      <c r="AD100" s="47"/>
      <c r="AE100" s="47"/>
      <c r="AF100" s="47"/>
      <c r="AG100" s="47"/>
      <c r="AH100" s="47"/>
      <c r="AI100" s="46"/>
      <c r="AJ100" s="46"/>
      <c r="AK100" s="46"/>
      <c r="AL100" s="7"/>
      <c r="AM100" s="49" t="str">
        <f aca="false">IF(OR(C100="",G100=""),"",IFERROR(DATEDIF(C100,G100,"m"),""))</f>
        <v/>
      </c>
      <c r="AN100" s="49" t="str">
        <f aca="false">IF(OR(Q100="",AM100=""),"",60+2*Q100-AM100)</f>
        <v/>
      </c>
      <c r="AO100" s="49" t="str">
        <f aca="false">IF(OR(G100="",AJ100=""),"",AJ100-G100)</f>
        <v/>
      </c>
      <c r="AP100" s="50" t="str">
        <f aca="false">IF(AND(A100="",B100=""),"",IF(J100="","Status needed",IF(OR(J100="Applied",J100="Visit booked",J100="Withdrawn"),"OK",IF(G100="","Date assessed needed",IF(C100="","Date of birth needed",IF(COUNTA(L100,M100,P100,U100,V100,X100)&lt;6,"Band missing",IF(AND(OR(J100="Decision confirmed",J100="Family told",J100="Enrolled"),AG100=""),"Recommendation needed",IF(AND(OR(J100="Family told",J100="Enrolled"),AJ100=""),"Date family told needed","OK"))))))))</f>
        <v/>
      </c>
    </row>
    <row r="101" customFormat="false" ht="15" hidden="false" customHeight="false" outlineLevel="0" collapsed="false">
      <c r="A101" s="7"/>
      <c r="B101" s="7"/>
      <c r="C101" s="46"/>
      <c r="D101" s="7"/>
      <c r="E101" s="47"/>
      <c r="F101" s="46"/>
      <c r="G101" s="46"/>
      <c r="H101" s="7"/>
      <c r="I101" s="7"/>
      <c r="J101" s="47"/>
      <c r="K101" s="47"/>
      <c r="L101" s="47"/>
      <c r="M101" s="47"/>
      <c r="N101" s="47"/>
      <c r="O101" s="10"/>
      <c r="P101" s="47"/>
      <c r="Q101" s="47"/>
      <c r="R101" s="48" t="str">
        <f aca="false">IF(Q101="","",IF(Q101=0,"below 5:00",IF(Q101&gt;=66,"16:00 or above",INT((60+2*Q101)/12)&amp;":"&amp;TEXT(MOD(60+2*Q101,12),"00"))))</f>
        <v/>
      </c>
      <c r="S101" s="47"/>
      <c r="T101" s="47"/>
      <c r="U101" s="47"/>
      <c r="V101" s="47"/>
      <c r="W101" s="47"/>
      <c r="X101" s="47"/>
      <c r="Y101" s="47"/>
      <c r="Z101" s="47"/>
      <c r="AA101" s="10"/>
      <c r="AB101" s="10"/>
      <c r="AC101" s="47"/>
      <c r="AD101" s="47"/>
      <c r="AE101" s="47"/>
      <c r="AF101" s="47"/>
      <c r="AG101" s="47"/>
      <c r="AH101" s="47"/>
      <c r="AI101" s="46"/>
      <c r="AJ101" s="46"/>
      <c r="AK101" s="46"/>
      <c r="AL101" s="7"/>
      <c r="AM101" s="49" t="str">
        <f aca="false">IF(OR(C101="",G101=""),"",IFERROR(DATEDIF(C101,G101,"m"),""))</f>
        <v/>
      </c>
      <c r="AN101" s="49" t="str">
        <f aca="false">IF(OR(Q101="",AM101=""),"",60+2*Q101-AM101)</f>
        <v/>
      </c>
      <c r="AO101" s="49" t="str">
        <f aca="false">IF(OR(G101="",AJ101=""),"",AJ101-G101)</f>
        <v/>
      </c>
      <c r="AP101" s="50" t="str">
        <f aca="false">IF(AND(A101="",B101=""),"",IF(J101="","Status needed",IF(OR(J101="Applied",J101="Visit booked",J101="Withdrawn"),"OK",IF(G101="","Date assessed needed",IF(C101="","Date of birth needed",IF(COUNTA(L101,M101,P101,U101,V101,X101)&lt;6,"Band missing",IF(AND(OR(J101="Decision confirmed",J101="Family told",J101="Enrolled"),AG101=""),"Recommendation needed",IF(AND(OR(J101="Family told",J101="Enrolled"),AJ101=""),"Date family told needed","OK"))))))))</f>
        <v/>
      </c>
    </row>
    <row r="102" customFormat="false" ht="15" hidden="false" customHeight="false" outlineLevel="0" collapsed="false">
      <c r="A102" s="7"/>
      <c r="B102" s="7"/>
      <c r="C102" s="46"/>
      <c r="D102" s="7"/>
      <c r="E102" s="47"/>
      <c r="F102" s="46"/>
      <c r="G102" s="46"/>
      <c r="H102" s="7"/>
      <c r="I102" s="7"/>
      <c r="J102" s="47"/>
      <c r="K102" s="47"/>
      <c r="L102" s="47"/>
      <c r="M102" s="47"/>
      <c r="N102" s="47"/>
      <c r="O102" s="10"/>
      <c r="P102" s="47"/>
      <c r="Q102" s="47"/>
      <c r="R102" s="48" t="str">
        <f aca="false">IF(Q102="","",IF(Q102=0,"below 5:00",IF(Q102&gt;=66,"16:00 or above",INT((60+2*Q102)/12)&amp;":"&amp;TEXT(MOD(60+2*Q102,12),"00"))))</f>
        <v/>
      </c>
      <c r="S102" s="47"/>
      <c r="T102" s="47"/>
      <c r="U102" s="47"/>
      <c r="V102" s="47"/>
      <c r="W102" s="47"/>
      <c r="X102" s="47"/>
      <c r="Y102" s="47"/>
      <c r="Z102" s="47"/>
      <c r="AA102" s="10"/>
      <c r="AB102" s="10"/>
      <c r="AC102" s="47"/>
      <c r="AD102" s="47"/>
      <c r="AE102" s="47"/>
      <c r="AF102" s="47"/>
      <c r="AG102" s="47"/>
      <c r="AH102" s="47"/>
      <c r="AI102" s="46"/>
      <c r="AJ102" s="46"/>
      <c r="AK102" s="46"/>
      <c r="AL102" s="7"/>
      <c r="AM102" s="49" t="str">
        <f aca="false">IF(OR(C102="",G102=""),"",IFERROR(DATEDIF(C102,G102,"m"),""))</f>
        <v/>
      </c>
      <c r="AN102" s="49" t="str">
        <f aca="false">IF(OR(Q102="",AM102=""),"",60+2*Q102-AM102)</f>
        <v/>
      </c>
      <c r="AO102" s="49" t="str">
        <f aca="false">IF(OR(G102="",AJ102=""),"",AJ102-G102)</f>
        <v/>
      </c>
      <c r="AP102" s="50" t="str">
        <f aca="false">IF(AND(A102="",B102=""),"",IF(J102="","Status needed",IF(OR(J102="Applied",J102="Visit booked",J102="Withdrawn"),"OK",IF(G102="","Date assessed needed",IF(C102="","Date of birth needed",IF(COUNTA(L102,M102,P102,U102,V102,X102)&lt;6,"Band missing",IF(AND(OR(J102="Decision confirmed",J102="Family told",J102="Enrolled"),AG102=""),"Recommendation needed",IF(AND(OR(J102="Family told",J102="Enrolled"),AJ102=""),"Date family told needed","OK"))))))))</f>
        <v/>
      </c>
    </row>
    <row r="103" customFormat="false" ht="15" hidden="false" customHeight="false" outlineLevel="0" collapsed="false">
      <c r="A103" s="7"/>
      <c r="B103" s="7"/>
      <c r="C103" s="46"/>
      <c r="D103" s="7"/>
      <c r="E103" s="47"/>
      <c r="F103" s="46"/>
      <c r="G103" s="46"/>
      <c r="H103" s="7"/>
      <c r="I103" s="7"/>
      <c r="J103" s="47"/>
      <c r="K103" s="47"/>
      <c r="L103" s="47"/>
      <c r="M103" s="47"/>
      <c r="N103" s="47"/>
      <c r="O103" s="10"/>
      <c r="P103" s="47"/>
      <c r="Q103" s="47"/>
      <c r="R103" s="48" t="str">
        <f aca="false">IF(Q103="","",IF(Q103=0,"below 5:00",IF(Q103&gt;=66,"16:00 or above",INT((60+2*Q103)/12)&amp;":"&amp;TEXT(MOD(60+2*Q103,12),"00"))))</f>
        <v/>
      </c>
      <c r="S103" s="47"/>
      <c r="T103" s="47"/>
      <c r="U103" s="47"/>
      <c r="V103" s="47"/>
      <c r="W103" s="47"/>
      <c r="X103" s="47"/>
      <c r="Y103" s="47"/>
      <c r="Z103" s="47"/>
      <c r="AA103" s="10"/>
      <c r="AB103" s="10"/>
      <c r="AC103" s="47"/>
      <c r="AD103" s="47"/>
      <c r="AE103" s="47"/>
      <c r="AF103" s="47"/>
      <c r="AG103" s="47"/>
      <c r="AH103" s="47"/>
      <c r="AI103" s="46"/>
      <c r="AJ103" s="46"/>
      <c r="AK103" s="46"/>
      <c r="AL103" s="7"/>
      <c r="AM103" s="49" t="str">
        <f aca="false">IF(OR(C103="",G103=""),"",IFERROR(DATEDIF(C103,G103,"m"),""))</f>
        <v/>
      </c>
      <c r="AN103" s="49" t="str">
        <f aca="false">IF(OR(Q103="",AM103=""),"",60+2*Q103-AM103)</f>
        <v/>
      </c>
      <c r="AO103" s="49" t="str">
        <f aca="false">IF(OR(G103="",AJ103=""),"",AJ103-G103)</f>
        <v/>
      </c>
      <c r="AP103" s="50" t="str">
        <f aca="false">IF(AND(A103="",B103=""),"",IF(J103="","Status needed",IF(OR(J103="Applied",J103="Visit booked",J103="Withdrawn"),"OK",IF(G103="","Date assessed needed",IF(C103="","Date of birth needed",IF(COUNTA(L103,M103,P103,U103,V103,X103)&lt;6,"Band missing",IF(AND(OR(J103="Decision confirmed",J103="Family told",J103="Enrolled"),AG103=""),"Recommendation needed",IF(AND(OR(J103="Family told",J103="Enrolled"),AJ103=""),"Date family told needed","OK"))))))))</f>
        <v/>
      </c>
    </row>
    <row r="104" customFormat="false" ht="15" hidden="false" customHeight="false" outlineLevel="0" collapsed="false">
      <c r="A104" s="7"/>
      <c r="B104" s="7"/>
      <c r="C104" s="46"/>
      <c r="D104" s="7"/>
      <c r="E104" s="47"/>
      <c r="F104" s="46"/>
      <c r="G104" s="46"/>
      <c r="H104" s="7"/>
      <c r="I104" s="7"/>
      <c r="J104" s="47"/>
      <c r="K104" s="47"/>
      <c r="L104" s="47"/>
      <c r="M104" s="47"/>
      <c r="N104" s="47"/>
      <c r="O104" s="10"/>
      <c r="P104" s="47"/>
      <c r="Q104" s="47"/>
      <c r="R104" s="48" t="str">
        <f aca="false">IF(Q104="","",IF(Q104=0,"below 5:00",IF(Q104&gt;=66,"16:00 or above",INT((60+2*Q104)/12)&amp;":"&amp;TEXT(MOD(60+2*Q104,12),"00"))))</f>
        <v/>
      </c>
      <c r="S104" s="47"/>
      <c r="T104" s="47"/>
      <c r="U104" s="47"/>
      <c r="V104" s="47"/>
      <c r="W104" s="47"/>
      <c r="X104" s="47"/>
      <c r="Y104" s="47"/>
      <c r="Z104" s="47"/>
      <c r="AA104" s="10"/>
      <c r="AB104" s="10"/>
      <c r="AC104" s="47"/>
      <c r="AD104" s="47"/>
      <c r="AE104" s="47"/>
      <c r="AF104" s="47"/>
      <c r="AG104" s="47"/>
      <c r="AH104" s="47"/>
      <c r="AI104" s="46"/>
      <c r="AJ104" s="46"/>
      <c r="AK104" s="46"/>
      <c r="AL104" s="7"/>
      <c r="AM104" s="49" t="str">
        <f aca="false">IF(OR(C104="",G104=""),"",IFERROR(DATEDIF(C104,G104,"m"),""))</f>
        <v/>
      </c>
      <c r="AN104" s="49" t="str">
        <f aca="false">IF(OR(Q104="",AM104=""),"",60+2*Q104-AM104)</f>
        <v/>
      </c>
      <c r="AO104" s="49" t="str">
        <f aca="false">IF(OR(G104="",AJ104=""),"",AJ104-G104)</f>
        <v/>
      </c>
      <c r="AP104" s="50" t="str">
        <f aca="false">IF(AND(A104="",B104=""),"",IF(J104="","Status needed",IF(OR(J104="Applied",J104="Visit booked",J104="Withdrawn"),"OK",IF(G104="","Date assessed needed",IF(C104="","Date of birth needed",IF(COUNTA(L104,M104,P104,U104,V104,X104)&lt;6,"Band missing",IF(AND(OR(J104="Decision confirmed",J104="Family told",J104="Enrolled"),AG104=""),"Recommendation needed",IF(AND(OR(J104="Family told",J104="Enrolled"),AJ104=""),"Date family told needed","OK"))))))))</f>
        <v/>
      </c>
    </row>
    <row r="105" customFormat="false" ht="15" hidden="false" customHeight="false" outlineLevel="0" collapsed="false">
      <c r="A105" s="7"/>
      <c r="B105" s="7"/>
      <c r="C105" s="46"/>
      <c r="D105" s="7"/>
      <c r="E105" s="47"/>
      <c r="F105" s="46"/>
      <c r="G105" s="46"/>
      <c r="H105" s="7"/>
      <c r="I105" s="7"/>
      <c r="J105" s="47"/>
      <c r="K105" s="47"/>
      <c r="L105" s="47"/>
      <c r="M105" s="47"/>
      <c r="N105" s="47"/>
      <c r="O105" s="10"/>
      <c r="P105" s="47"/>
      <c r="Q105" s="47"/>
      <c r="R105" s="48" t="str">
        <f aca="false">IF(Q105="","",IF(Q105=0,"below 5:00",IF(Q105&gt;=66,"16:00 or above",INT((60+2*Q105)/12)&amp;":"&amp;TEXT(MOD(60+2*Q105,12),"00"))))</f>
        <v/>
      </c>
      <c r="S105" s="47"/>
      <c r="T105" s="47"/>
      <c r="U105" s="47"/>
      <c r="V105" s="47"/>
      <c r="W105" s="47"/>
      <c r="X105" s="47"/>
      <c r="Y105" s="47"/>
      <c r="Z105" s="47"/>
      <c r="AA105" s="10"/>
      <c r="AB105" s="10"/>
      <c r="AC105" s="47"/>
      <c r="AD105" s="47"/>
      <c r="AE105" s="47"/>
      <c r="AF105" s="47"/>
      <c r="AG105" s="47"/>
      <c r="AH105" s="47"/>
      <c r="AI105" s="46"/>
      <c r="AJ105" s="46"/>
      <c r="AK105" s="46"/>
      <c r="AL105" s="7"/>
      <c r="AM105" s="49" t="str">
        <f aca="false">IF(OR(C105="",G105=""),"",IFERROR(DATEDIF(C105,G105,"m"),""))</f>
        <v/>
      </c>
      <c r="AN105" s="49" t="str">
        <f aca="false">IF(OR(Q105="",AM105=""),"",60+2*Q105-AM105)</f>
        <v/>
      </c>
      <c r="AO105" s="49" t="str">
        <f aca="false">IF(OR(G105="",AJ105=""),"",AJ105-G105)</f>
        <v/>
      </c>
      <c r="AP105" s="50" t="str">
        <f aca="false">IF(AND(A105="",B105=""),"",IF(J105="","Status needed",IF(OR(J105="Applied",J105="Visit booked",J105="Withdrawn"),"OK",IF(G105="","Date assessed needed",IF(C105="","Date of birth needed",IF(COUNTA(L105,M105,P105,U105,V105,X105)&lt;6,"Band missing",IF(AND(OR(J105="Decision confirmed",J105="Family told",J105="Enrolled"),AG105=""),"Recommendation needed",IF(AND(OR(J105="Family told",J105="Enrolled"),AJ105=""),"Date family told needed","OK"))))))))</f>
        <v/>
      </c>
    </row>
    <row r="106" customFormat="false" ht="15" hidden="false" customHeight="false" outlineLevel="0" collapsed="false">
      <c r="A106" s="7"/>
      <c r="B106" s="7"/>
      <c r="C106" s="46"/>
      <c r="D106" s="7"/>
      <c r="E106" s="47"/>
      <c r="F106" s="46"/>
      <c r="G106" s="46"/>
      <c r="H106" s="7"/>
      <c r="I106" s="7"/>
      <c r="J106" s="47"/>
      <c r="K106" s="47"/>
      <c r="L106" s="47"/>
      <c r="M106" s="47"/>
      <c r="N106" s="47"/>
      <c r="O106" s="10"/>
      <c r="P106" s="47"/>
      <c r="Q106" s="47"/>
      <c r="R106" s="48" t="str">
        <f aca="false">IF(Q106="","",IF(Q106=0,"below 5:00",IF(Q106&gt;=66,"16:00 or above",INT((60+2*Q106)/12)&amp;":"&amp;TEXT(MOD(60+2*Q106,12),"00"))))</f>
        <v/>
      </c>
      <c r="S106" s="47"/>
      <c r="T106" s="47"/>
      <c r="U106" s="47"/>
      <c r="V106" s="47"/>
      <c r="W106" s="47"/>
      <c r="X106" s="47"/>
      <c r="Y106" s="47"/>
      <c r="Z106" s="47"/>
      <c r="AA106" s="10"/>
      <c r="AB106" s="10"/>
      <c r="AC106" s="47"/>
      <c r="AD106" s="47"/>
      <c r="AE106" s="47"/>
      <c r="AF106" s="47"/>
      <c r="AG106" s="47"/>
      <c r="AH106" s="47"/>
      <c r="AI106" s="46"/>
      <c r="AJ106" s="46"/>
      <c r="AK106" s="46"/>
      <c r="AL106" s="7"/>
      <c r="AM106" s="49" t="str">
        <f aca="false">IF(OR(C106="",G106=""),"",IFERROR(DATEDIF(C106,G106,"m"),""))</f>
        <v/>
      </c>
      <c r="AN106" s="49" t="str">
        <f aca="false">IF(OR(Q106="",AM106=""),"",60+2*Q106-AM106)</f>
        <v/>
      </c>
      <c r="AO106" s="49" t="str">
        <f aca="false">IF(OR(G106="",AJ106=""),"",AJ106-G106)</f>
        <v/>
      </c>
      <c r="AP106" s="50" t="str">
        <f aca="false">IF(AND(A106="",B106=""),"",IF(J106="","Status needed",IF(OR(J106="Applied",J106="Visit booked",J106="Withdrawn"),"OK",IF(G106="","Date assessed needed",IF(C106="","Date of birth needed",IF(COUNTA(L106,M106,P106,U106,V106,X106)&lt;6,"Band missing",IF(AND(OR(J106="Decision confirmed",J106="Family told",J106="Enrolled"),AG106=""),"Recommendation needed",IF(AND(OR(J106="Family told",J106="Enrolled"),AJ106=""),"Date family told needed","OK"))))))))</f>
        <v/>
      </c>
    </row>
    <row r="107" customFormat="false" ht="15" hidden="false" customHeight="false" outlineLevel="0" collapsed="false">
      <c r="A107" s="7"/>
      <c r="B107" s="7"/>
      <c r="C107" s="46"/>
      <c r="D107" s="7"/>
      <c r="E107" s="47"/>
      <c r="F107" s="46"/>
      <c r="G107" s="46"/>
      <c r="H107" s="7"/>
      <c r="I107" s="7"/>
      <c r="J107" s="47"/>
      <c r="K107" s="47"/>
      <c r="L107" s="47"/>
      <c r="M107" s="47"/>
      <c r="N107" s="47"/>
      <c r="O107" s="10"/>
      <c r="P107" s="47"/>
      <c r="Q107" s="47"/>
      <c r="R107" s="48" t="str">
        <f aca="false">IF(Q107="","",IF(Q107=0,"below 5:00",IF(Q107&gt;=66,"16:00 or above",INT((60+2*Q107)/12)&amp;":"&amp;TEXT(MOD(60+2*Q107,12),"00"))))</f>
        <v/>
      </c>
      <c r="S107" s="47"/>
      <c r="T107" s="47"/>
      <c r="U107" s="47"/>
      <c r="V107" s="47"/>
      <c r="W107" s="47"/>
      <c r="X107" s="47"/>
      <c r="Y107" s="47"/>
      <c r="Z107" s="47"/>
      <c r="AA107" s="10"/>
      <c r="AB107" s="10"/>
      <c r="AC107" s="47"/>
      <c r="AD107" s="47"/>
      <c r="AE107" s="47"/>
      <c r="AF107" s="47"/>
      <c r="AG107" s="47"/>
      <c r="AH107" s="47"/>
      <c r="AI107" s="46"/>
      <c r="AJ107" s="46"/>
      <c r="AK107" s="46"/>
      <c r="AL107" s="7"/>
      <c r="AM107" s="49" t="str">
        <f aca="false">IF(OR(C107="",G107=""),"",IFERROR(DATEDIF(C107,G107,"m"),""))</f>
        <v/>
      </c>
      <c r="AN107" s="49" t="str">
        <f aca="false">IF(OR(Q107="",AM107=""),"",60+2*Q107-AM107)</f>
        <v/>
      </c>
      <c r="AO107" s="49" t="str">
        <f aca="false">IF(OR(G107="",AJ107=""),"",AJ107-G107)</f>
        <v/>
      </c>
      <c r="AP107" s="50" t="str">
        <f aca="false">IF(AND(A107="",B107=""),"",IF(J107="","Status needed",IF(OR(J107="Applied",J107="Visit booked",J107="Withdrawn"),"OK",IF(G107="","Date assessed needed",IF(C107="","Date of birth needed",IF(COUNTA(L107,M107,P107,U107,V107,X107)&lt;6,"Band missing",IF(AND(OR(J107="Decision confirmed",J107="Family told",J107="Enrolled"),AG107=""),"Recommendation needed",IF(AND(OR(J107="Family told",J107="Enrolled"),AJ107=""),"Date family told needed","OK"))))))))</f>
        <v/>
      </c>
    </row>
    <row r="108" customFormat="false" ht="15" hidden="false" customHeight="false" outlineLevel="0" collapsed="false">
      <c r="A108" s="7"/>
      <c r="B108" s="7"/>
      <c r="C108" s="46"/>
      <c r="D108" s="7"/>
      <c r="E108" s="47"/>
      <c r="F108" s="46"/>
      <c r="G108" s="46"/>
      <c r="H108" s="7"/>
      <c r="I108" s="7"/>
      <c r="J108" s="47"/>
      <c r="K108" s="47"/>
      <c r="L108" s="47"/>
      <c r="M108" s="47"/>
      <c r="N108" s="47"/>
      <c r="O108" s="10"/>
      <c r="P108" s="47"/>
      <c r="Q108" s="47"/>
      <c r="R108" s="48" t="str">
        <f aca="false">IF(Q108="","",IF(Q108=0,"below 5:00",IF(Q108&gt;=66,"16:00 or above",INT((60+2*Q108)/12)&amp;":"&amp;TEXT(MOD(60+2*Q108,12),"00"))))</f>
        <v/>
      </c>
      <c r="S108" s="47"/>
      <c r="T108" s="47"/>
      <c r="U108" s="47"/>
      <c r="V108" s="47"/>
      <c r="W108" s="47"/>
      <c r="X108" s="47"/>
      <c r="Y108" s="47"/>
      <c r="Z108" s="47"/>
      <c r="AA108" s="10"/>
      <c r="AB108" s="10"/>
      <c r="AC108" s="47"/>
      <c r="AD108" s="47"/>
      <c r="AE108" s="47"/>
      <c r="AF108" s="47"/>
      <c r="AG108" s="47"/>
      <c r="AH108" s="47"/>
      <c r="AI108" s="46"/>
      <c r="AJ108" s="46"/>
      <c r="AK108" s="46"/>
      <c r="AL108" s="7"/>
      <c r="AM108" s="49" t="str">
        <f aca="false">IF(OR(C108="",G108=""),"",IFERROR(DATEDIF(C108,G108,"m"),""))</f>
        <v/>
      </c>
      <c r="AN108" s="49" t="str">
        <f aca="false">IF(OR(Q108="",AM108=""),"",60+2*Q108-AM108)</f>
        <v/>
      </c>
      <c r="AO108" s="49" t="str">
        <f aca="false">IF(OR(G108="",AJ108=""),"",AJ108-G108)</f>
        <v/>
      </c>
      <c r="AP108" s="50" t="str">
        <f aca="false">IF(AND(A108="",B108=""),"",IF(J108="","Status needed",IF(OR(J108="Applied",J108="Visit booked",J108="Withdrawn"),"OK",IF(G108="","Date assessed needed",IF(C108="","Date of birth needed",IF(COUNTA(L108,M108,P108,U108,V108,X108)&lt;6,"Band missing",IF(AND(OR(J108="Decision confirmed",J108="Family told",J108="Enrolled"),AG108=""),"Recommendation needed",IF(AND(OR(J108="Family told",J108="Enrolled"),AJ108=""),"Date family told needed","OK"))))))))</f>
        <v/>
      </c>
    </row>
    <row r="109" customFormat="false" ht="15" hidden="false" customHeight="false" outlineLevel="0" collapsed="false">
      <c r="A109" s="7"/>
      <c r="B109" s="7"/>
      <c r="C109" s="46"/>
      <c r="D109" s="7"/>
      <c r="E109" s="47"/>
      <c r="F109" s="46"/>
      <c r="G109" s="46"/>
      <c r="H109" s="7"/>
      <c r="I109" s="7"/>
      <c r="J109" s="47"/>
      <c r="K109" s="47"/>
      <c r="L109" s="47"/>
      <c r="M109" s="47"/>
      <c r="N109" s="47"/>
      <c r="O109" s="10"/>
      <c r="P109" s="47"/>
      <c r="Q109" s="47"/>
      <c r="R109" s="48" t="str">
        <f aca="false">IF(Q109="","",IF(Q109=0,"below 5:00",IF(Q109&gt;=66,"16:00 or above",INT((60+2*Q109)/12)&amp;":"&amp;TEXT(MOD(60+2*Q109,12),"00"))))</f>
        <v/>
      </c>
      <c r="S109" s="47"/>
      <c r="T109" s="47"/>
      <c r="U109" s="47"/>
      <c r="V109" s="47"/>
      <c r="W109" s="47"/>
      <c r="X109" s="47"/>
      <c r="Y109" s="47"/>
      <c r="Z109" s="47"/>
      <c r="AA109" s="10"/>
      <c r="AB109" s="10"/>
      <c r="AC109" s="47"/>
      <c r="AD109" s="47"/>
      <c r="AE109" s="47"/>
      <c r="AF109" s="47"/>
      <c r="AG109" s="47"/>
      <c r="AH109" s="47"/>
      <c r="AI109" s="46"/>
      <c r="AJ109" s="46"/>
      <c r="AK109" s="46"/>
      <c r="AL109" s="7"/>
      <c r="AM109" s="49" t="str">
        <f aca="false">IF(OR(C109="",G109=""),"",IFERROR(DATEDIF(C109,G109,"m"),""))</f>
        <v/>
      </c>
      <c r="AN109" s="49" t="str">
        <f aca="false">IF(OR(Q109="",AM109=""),"",60+2*Q109-AM109)</f>
        <v/>
      </c>
      <c r="AO109" s="49" t="str">
        <f aca="false">IF(OR(G109="",AJ109=""),"",AJ109-G109)</f>
        <v/>
      </c>
      <c r="AP109" s="50" t="str">
        <f aca="false">IF(AND(A109="",B109=""),"",IF(J109="","Status needed",IF(OR(J109="Applied",J109="Visit booked",J109="Withdrawn"),"OK",IF(G109="","Date assessed needed",IF(C109="","Date of birth needed",IF(COUNTA(L109,M109,P109,U109,V109,X109)&lt;6,"Band missing",IF(AND(OR(J109="Decision confirmed",J109="Family told",J109="Enrolled"),AG109=""),"Recommendation needed",IF(AND(OR(J109="Family told",J109="Enrolled"),AJ109=""),"Date family told needed","OK"))))))))</f>
        <v/>
      </c>
    </row>
    <row r="110" customFormat="false" ht="15" hidden="false" customHeight="false" outlineLevel="0" collapsed="false">
      <c r="A110" s="7"/>
      <c r="B110" s="7"/>
      <c r="C110" s="46"/>
      <c r="D110" s="7"/>
      <c r="E110" s="47"/>
      <c r="F110" s="46"/>
      <c r="G110" s="46"/>
      <c r="H110" s="7"/>
      <c r="I110" s="7"/>
      <c r="J110" s="47"/>
      <c r="K110" s="47"/>
      <c r="L110" s="47"/>
      <c r="M110" s="47"/>
      <c r="N110" s="47"/>
      <c r="O110" s="10"/>
      <c r="P110" s="47"/>
      <c r="Q110" s="47"/>
      <c r="R110" s="48" t="str">
        <f aca="false">IF(Q110="","",IF(Q110=0,"below 5:00",IF(Q110&gt;=66,"16:00 or above",INT((60+2*Q110)/12)&amp;":"&amp;TEXT(MOD(60+2*Q110,12),"00"))))</f>
        <v/>
      </c>
      <c r="S110" s="47"/>
      <c r="T110" s="47"/>
      <c r="U110" s="47"/>
      <c r="V110" s="47"/>
      <c r="W110" s="47"/>
      <c r="X110" s="47"/>
      <c r="Y110" s="47"/>
      <c r="Z110" s="47"/>
      <c r="AA110" s="10"/>
      <c r="AB110" s="10"/>
      <c r="AC110" s="47"/>
      <c r="AD110" s="47"/>
      <c r="AE110" s="47"/>
      <c r="AF110" s="47"/>
      <c r="AG110" s="47"/>
      <c r="AH110" s="47"/>
      <c r="AI110" s="46"/>
      <c r="AJ110" s="46"/>
      <c r="AK110" s="46"/>
      <c r="AL110" s="7"/>
      <c r="AM110" s="49" t="str">
        <f aca="false">IF(OR(C110="",G110=""),"",IFERROR(DATEDIF(C110,G110,"m"),""))</f>
        <v/>
      </c>
      <c r="AN110" s="49" t="str">
        <f aca="false">IF(OR(Q110="",AM110=""),"",60+2*Q110-AM110)</f>
        <v/>
      </c>
      <c r="AO110" s="49" t="str">
        <f aca="false">IF(OR(G110="",AJ110=""),"",AJ110-G110)</f>
        <v/>
      </c>
      <c r="AP110" s="50" t="str">
        <f aca="false">IF(AND(A110="",B110=""),"",IF(J110="","Status needed",IF(OR(J110="Applied",J110="Visit booked",J110="Withdrawn"),"OK",IF(G110="","Date assessed needed",IF(C110="","Date of birth needed",IF(COUNTA(L110,M110,P110,U110,V110,X110)&lt;6,"Band missing",IF(AND(OR(J110="Decision confirmed",J110="Family told",J110="Enrolled"),AG110=""),"Recommendation needed",IF(AND(OR(J110="Family told",J110="Enrolled"),AJ110=""),"Date family told needed","OK"))))))))</f>
        <v/>
      </c>
    </row>
    <row r="111" customFormat="false" ht="15" hidden="false" customHeight="false" outlineLevel="0" collapsed="false">
      <c r="A111" s="7"/>
      <c r="B111" s="7"/>
      <c r="C111" s="46"/>
      <c r="D111" s="7"/>
      <c r="E111" s="47"/>
      <c r="F111" s="46"/>
      <c r="G111" s="46"/>
      <c r="H111" s="7"/>
      <c r="I111" s="7"/>
      <c r="J111" s="47"/>
      <c r="K111" s="47"/>
      <c r="L111" s="47"/>
      <c r="M111" s="47"/>
      <c r="N111" s="47"/>
      <c r="O111" s="10"/>
      <c r="P111" s="47"/>
      <c r="Q111" s="47"/>
      <c r="R111" s="48" t="str">
        <f aca="false">IF(Q111="","",IF(Q111=0,"below 5:00",IF(Q111&gt;=66,"16:00 or above",INT((60+2*Q111)/12)&amp;":"&amp;TEXT(MOD(60+2*Q111,12),"00"))))</f>
        <v/>
      </c>
      <c r="S111" s="47"/>
      <c r="T111" s="47"/>
      <c r="U111" s="47"/>
      <c r="V111" s="47"/>
      <c r="W111" s="47"/>
      <c r="X111" s="47"/>
      <c r="Y111" s="47"/>
      <c r="Z111" s="47"/>
      <c r="AA111" s="10"/>
      <c r="AB111" s="10"/>
      <c r="AC111" s="47"/>
      <c r="AD111" s="47"/>
      <c r="AE111" s="47"/>
      <c r="AF111" s="47"/>
      <c r="AG111" s="47"/>
      <c r="AH111" s="47"/>
      <c r="AI111" s="46"/>
      <c r="AJ111" s="46"/>
      <c r="AK111" s="46"/>
      <c r="AL111" s="7"/>
      <c r="AM111" s="49" t="str">
        <f aca="false">IF(OR(C111="",G111=""),"",IFERROR(DATEDIF(C111,G111,"m"),""))</f>
        <v/>
      </c>
      <c r="AN111" s="49" t="str">
        <f aca="false">IF(OR(Q111="",AM111=""),"",60+2*Q111-AM111)</f>
        <v/>
      </c>
      <c r="AO111" s="49" t="str">
        <f aca="false">IF(OR(G111="",AJ111=""),"",AJ111-G111)</f>
        <v/>
      </c>
      <c r="AP111" s="50" t="str">
        <f aca="false">IF(AND(A111="",B111=""),"",IF(J111="","Status needed",IF(OR(J111="Applied",J111="Visit booked",J111="Withdrawn"),"OK",IF(G111="","Date assessed needed",IF(C111="","Date of birth needed",IF(COUNTA(L111,M111,P111,U111,V111,X111)&lt;6,"Band missing",IF(AND(OR(J111="Decision confirmed",J111="Family told",J111="Enrolled"),AG111=""),"Recommendation needed",IF(AND(OR(J111="Family told",J111="Enrolled"),AJ111=""),"Date family told needed","OK"))))))))</f>
        <v/>
      </c>
    </row>
    <row r="112" customFormat="false" ht="15" hidden="false" customHeight="false" outlineLevel="0" collapsed="false">
      <c r="A112" s="7"/>
      <c r="B112" s="7"/>
      <c r="C112" s="46"/>
      <c r="D112" s="7"/>
      <c r="E112" s="47"/>
      <c r="F112" s="46"/>
      <c r="G112" s="46"/>
      <c r="H112" s="7"/>
      <c r="I112" s="7"/>
      <c r="J112" s="47"/>
      <c r="K112" s="47"/>
      <c r="L112" s="47"/>
      <c r="M112" s="47"/>
      <c r="N112" s="47"/>
      <c r="O112" s="10"/>
      <c r="P112" s="47"/>
      <c r="Q112" s="47"/>
      <c r="R112" s="48" t="str">
        <f aca="false">IF(Q112="","",IF(Q112=0,"below 5:00",IF(Q112&gt;=66,"16:00 or above",INT((60+2*Q112)/12)&amp;":"&amp;TEXT(MOD(60+2*Q112,12),"00"))))</f>
        <v/>
      </c>
      <c r="S112" s="47"/>
      <c r="T112" s="47"/>
      <c r="U112" s="47"/>
      <c r="V112" s="47"/>
      <c r="W112" s="47"/>
      <c r="X112" s="47"/>
      <c r="Y112" s="47"/>
      <c r="Z112" s="47"/>
      <c r="AA112" s="10"/>
      <c r="AB112" s="10"/>
      <c r="AC112" s="47"/>
      <c r="AD112" s="47"/>
      <c r="AE112" s="47"/>
      <c r="AF112" s="47"/>
      <c r="AG112" s="47"/>
      <c r="AH112" s="47"/>
      <c r="AI112" s="46"/>
      <c r="AJ112" s="46"/>
      <c r="AK112" s="46"/>
      <c r="AL112" s="7"/>
      <c r="AM112" s="49" t="str">
        <f aca="false">IF(OR(C112="",G112=""),"",IFERROR(DATEDIF(C112,G112,"m"),""))</f>
        <v/>
      </c>
      <c r="AN112" s="49" t="str">
        <f aca="false">IF(OR(Q112="",AM112=""),"",60+2*Q112-AM112)</f>
        <v/>
      </c>
      <c r="AO112" s="49" t="str">
        <f aca="false">IF(OR(G112="",AJ112=""),"",AJ112-G112)</f>
        <v/>
      </c>
      <c r="AP112" s="50" t="str">
        <f aca="false">IF(AND(A112="",B112=""),"",IF(J112="","Status needed",IF(OR(J112="Applied",J112="Visit booked",J112="Withdrawn"),"OK",IF(G112="","Date assessed needed",IF(C112="","Date of birth needed",IF(COUNTA(L112,M112,P112,U112,V112,X112)&lt;6,"Band missing",IF(AND(OR(J112="Decision confirmed",J112="Family told",J112="Enrolled"),AG112=""),"Recommendation needed",IF(AND(OR(J112="Family told",J112="Enrolled"),AJ112=""),"Date family told needed","OK"))))))))</f>
        <v/>
      </c>
    </row>
    <row r="113" customFormat="false" ht="15" hidden="false" customHeight="false" outlineLevel="0" collapsed="false">
      <c r="A113" s="7"/>
      <c r="B113" s="7"/>
      <c r="C113" s="46"/>
      <c r="D113" s="7"/>
      <c r="E113" s="47"/>
      <c r="F113" s="46"/>
      <c r="G113" s="46"/>
      <c r="H113" s="7"/>
      <c r="I113" s="7"/>
      <c r="J113" s="47"/>
      <c r="K113" s="47"/>
      <c r="L113" s="47"/>
      <c r="M113" s="47"/>
      <c r="N113" s="47"/>
      <c r="O113" s="10"/>
      <c r="P113" s="47"/>
      <c r="Q113" s="47"/>
      <c r="R113" s="48" t="str">
        <f aca="false">IF(Q113="","",IF(Q113=0,"below 5:00",IF(Q113&gt;=66,"16:00 or above",INT((60+2*Q113)/12)&amp;":"&amp;TEXT(MOD(60+2*Q113,12),"00"))))</f>
        <v/>
      </c>
      <c r="S113" s="47"/>
      <c r="T113" s="47"/>
      <c r="U113" s="47"/>
      <c r="V113" s="47"/>
      <c r="W113" s="47"/>
      <c r="X113" s="47"/>
      <c r="Y113" s="47"/>
      <c r="Z113" s="47"/>
      <c r="AA113" s="10"/>
      <c r="AB113" s="10"/>
      <c r="AC113" s="47"/>
      <c r="AD113" s="47"/>
      <c r="AE113" s="47"/>
      <c r="AF113" s="47"/>
      <c r="AG113" s="47"/>
      <c r="AH113" s="47"/>
      <c r="AI113" s="46"/>
      <c r="AJ113" s="46"/>
      <c r="AK113" s="46"/>
      <c r="AL113" s="7"/>
      <c r="AM113" s="49" t="str">
        <f aca="false">IF(OR(C113="",G113=""),"",IFERROR(DATEDIF(C113,G113,"m"),""))</f>
        <v/>
      </c>
      <c r="AN113" s="49" t="str">
        <f aca="false">IF(OR(Q113="",AM113=""),"",60+2*Q113-AM113)</f>
        <v/>
      </c>
      <c r="AO113" s="49" t="str">
        <f aca="false">IF(OR(G113="",AJ113=""),"",AJ113-G113)</f>
        <v/>
      </c>
      <c r="AP113" s="50" t="str">
        <f aca="false">IF(AND(A113="",B113=""),"",IF(J113="","Status needed",IF(OR(J113="Applied",J113="Visit booked",J113="Withdrawn"),"OK",IF(G113="","Date assessed needed",IF(C113="","Date of birth needed",IF(COUNTA(L113,M113,P113,U113,V113,X113)&lt;6,"Band missing",IF(AND(OR(J113="Decision confirmed",J113="Family told",J113="Enrolled"),AG113=""),"Recommendation needed",IF(AND(OR(J113="Family told",J113="Enrolled"),AJ113=""),"Date family told needed","OK"))))))))</f>
        <v/>
      </c>
    </row>
    <row r="114" customFormat="false" ht="15" hidden="false" customHeight="false" outlineLevel="0" collapsed="false">
      <c r="A114" s="7"/>
      <c r="B114" s="7"/>
      <c r="C114" s="46"/>
      <c r="D114" s="7"/>
      <c r="E114" s="47"/>
      <c r="F114" s="46"/>
      <c r="G114" s="46"/>
      <c r="H114" s="7"/>
      <c r="I114" s="7"/>
      <c r="J114" s="47"/>
      <c r="K114" s="47"/>
      <c r="L114" s="47"/>
      <c r="M114" s="47"/>
      <c r="N114" s="47"/>
      <c r="O114" s="10"/>
      <c r="P114" s="47"/>
      <c r="Q114" s="47"/>
      <c r="R114" s="48" t="str">
        <f aca="false">IF(Q114="","",IF(Q114=0,"below 5:00",IF(Q114&gt;=66,"16:00 or above",INT((60+2*Q114)/12)&amp;":"&amp;TEXT(MOD(60+2*Q114,12),"00"))))</f>
        <v/>
      </c>
      <c r="S114" s="47"/>
      <c r="T114" s="47"/>
      <c r="U114" s="47"/>
      <c r="V114" s="47"/>
      <c r="W114" s="47"/>
      <c r="X114" s="47"/>
      <c r="Y114" s="47"/>
      <c r="Z114" s="47"/>
      <c r="AA114" s="10"/>
      <c r="AB114" s="10"/>
      <c r="AC114" s="47"/>
      <c r="AD114" s="47"/>
      <c r="AE114" s="47"/>
      <c r="AF114" s="47"/>
      <c r="AG114" s="47"/>
      <c r="AH114" s="47"/>
      <c r="AI114" s="46"/>
      <c r="AJ114" s="46"/>
      <c r="AK114" s="46"/>
      <c r="AL114" s="7"/>
      <c r="AM114" s="49" t="str">
        <f aca="false">IF(OR(C114="",G114=""),"",IFERROR(DATEDIF(C114,G114,"m"),""))</f>
        <v/>
      </c>
      <c r="AN114" s="49" t="str">
        <f aca="false">IF(OR(Q114="",AM114=""),"",60+2*Q114-AM114)</f>
        <v/>
      </c>
      <c r="AO114" s="49" t="str">
        <f aca="false">IF(OR(G114="",AJ114=""),"",AJ114-G114)</f>
        <v/>
      </c>
      <c r="AP114" s="50" t="str">
        <f aca="false">IF(AND(A114="",B114=""),"",IF(J114="","Status needed",IF(OR(J114="Applied",J114="Visit booked",J114="Withdrawn"),"OK",IF(G114="","Date assessed needed",IF(C114="","Date of birth needed",IF(COUNTA(L114,M114,P114,U114,V114,X114)&lt;6,"Band missing",IF(AND(OR(J114="Decision confirmed",J114="Family told",J114="Enrolled"),AG114=""),"Recommendation needed",IF(AND(OR(J114="Family told",J114="Enrolled"),AJ114=""),"Date family told needed","OK"))))))))</f>
        <v/>
      </c>
    </row>
    <row r="115" customFormat="false" ht="15" hidden="false" customHeight="false" outlineLevel="0" collapsed="false">
      <c r="A115" s="7"/>
      <c r="B115" s="7"/>
      <c r="C115" s="46"/>
      <c r="D115" s="7"/>
      <c r="E115" s="47"/>
      <c r="F115" s="46"/>
      <c r="G115" s="46"/>
      <c r="H115" s="7"/>
      <c r="I115" s="7"/>
      <c r="J115" s="47"/>
      <c r="K115" s="47"/>
      <c r="L115" s="47"/>
      <c r="M115" s="47"/>
      <c r="N115" s="47"/>
      <c r="O115" s="10"/>
      <c r="P115" s="47"/>
      <c r="Q115" s="47"/>
      <c r="R115" s="48" t="str">
        <f aca="false">IF(Q115="","",IF(Q115=0,"below 5:00",IF(Q115&gt;=66,"16:00 or above",INT((60+2*Q115)/12)&amp;":"&amp;TEXT(MOD(60+2*Q115,12),"00"))))</f>
        <v/>
      </c>
      <c r="S115" s="47"/>
      <c r="T115" s="47"/>
      <c r="U115" s="47"/>
      <c r="V115" s="47"/>
      <c r="W115" s="47"/>
      <c r="X115" s="47"/>
      <c r="Y115" s="47"/>
      <c r="Z115" s="47"/>
      <c r="AA115" s="10"/>
      <c r="AB115" s="10"/>
      <c r="AC115" s="47"/>
      <c r="AD115" s="47"/>
      <c r="AE115" s="47"/>
      <c r="AF115" s="47"/>
      <c r="AG115" s="47"/>
      <c r="AH115" s="47"/>
      <c r="AI115" s="46"/>
      <c r="AJ115" s="46"/>
      <c r="AK115" s="46"/>
      <c r="AL115" s="7"/>
      <c r="AM115" s="49" t="str">
        <f aca="false">IF(OR(C115="",G115=""),"",IFERROR(DATEDIF(C115,G115,"m"),""))</f>
        <v/>
      </c>
      <c r="AN115" s="49" t="str">
        <f aca="false">IF(OR(Q115="",AM115=""),"",60+2*Q115-AM115)</f>
        <v/>
      </c>
      <c r="AO115" s="49" t="str">
        <f aca="false">IF(OR(G115="",AJ115=""),"",AJ115-G115)</f>
        <v/>
      </c>
      <c r="AP115" s="50" t="str">
        <f aca="false">IF(AND(A115="",B115=""),"",IF(J115="","Status needed",IF(OR(J115="Applied",J115="Visit booked",J115="Withdrawn"),"OK",IF(G115="","Date assessed needed",IF(C115="","Date of birth needed",IF(COUNTA(L115,M115,P115,U115,V115,X115)&lt;6,"Band missing",IF(AND(OR(J115="Decision confirmed",J115="Family told",J115="Enrolled"),AG115=""),"Recommendation needed",IF(AND(OR(J115="Family told",J115="Enrolled"),AJ115=""),"Date family told needed","OK"))))))))</f>
        <v/>
      </c>
    </row>
    <row r="116" customFormat="false" ht="15" hidden="false" customHeight="false" outlineLevel="0" collapsed="false">
      <c r="A116" s="7"/>
      <c r="B116" s="7"/>
      <c r="C116" s="46"/>
      <c r="D116" s="7"/>
      <c r="E116" s="47"/>
      <c r="F116" s="46"/>
      <c r="G116" s="46"/>
      <c r="H116" s="7"/>
      <c r="I116" s="7"/>
      <c r="J116" s="47"/>
      <c r="K116" s="47"/>
      <c r="L116" s="47"/>
      <c r="M116" s="47"/>
      <c r="N116" s="47"/>
      <c r="O116" s="10"/>
      <c r="P116" s="47"/>
      <c r="Q116" s="47"/>
      <c r="R116" s="48" t="str">
        <f aca="false">IF(Q116="","",IF(Q116=0,"below 5:00",IF(Q116&gt;=66,"16:00 or above",INT((60+2*Q116)/12)&amp;":"&amp;TEXT(MOD(60+2*Q116,12),"00"))))</f>
        <v/>
      </c>
      <c r="S116" s="47"/>
      <c r="T116" s="47"/>
      <c r="U116" s="47"/>
      <c r="V116" s="47"/>
      <c r="W116" s="47"/>
      <c r="X116" s="47"/>
      <c r="Y116" s="47"/>
      <c r="Z116" s="47"/>
      <c r="AA116" s="10"/>
      <c r="AB116" s="10"/>
      <c r="AC116" s="47"/>
      <c r="AD116" s="47"/>
      <c r="AE116" s="47"/>
      <c r="AF116" s="47"/>
      <c r="AG116" s="47"/>
      <c r="AH116" s="47"/>
      <c r="AI116" s="46"/>
      <c r="AJ116" s="46"/>
      <c r="AK116" s="46"/>
      <c r="AL116" s="7"/>
      <c r="AM116" s="49" t="str">
        <f aca="false">IF(OR(C116="",G116=""),"",IFERROR(DATEDIF(C116,G116,"m"),""))</f>
        <v/>
      </c>
      <c r="AN116" s="49" t="str">
        <f aca="false">IF(OR(Q116="",AM116=""),"",60+2*Q116-AM116)</f>
        <v/>
      </c>
      <c r="AO116" s="49" t="str">
        <f aca="false">IF(OR(G116="",AJ116=""),"",AJ116-G116)</f>
        <v/>
      </c>
      <c r="AP116" s="50" t="str">
        <f aca="false">IF(AND(A116="",B116=""),"",IF(J116="","Status needed",IF(OR(J116="Applied",J116="Visit booked",J116="Withdrawn"),"OK",IF(G116="","Date assessed needed",IF(C116="","Date of birth needed",IF(COUNTA(L116,M116,P116,U116,V116,X116)&lt;6,"Band missing",IF(AND(OR(J116="Decision confirmed",J116="Family told",J116="Enrolled"),AG116=""),"Recommendation needed",IF(AND(OR(J116="Family told",J116="Enrolled"),AJ116=""),"Date family told needed","OK"))))))))</f>
        <v/>
      </c>
    </row>
    <row r="117" customFormat="false" ht="15" hidden="false" customHeight="false" outlineLevel="0" collapsed="false">
      <c r="A117" s="7"/>
      <c r="B117" s="7"/>
      <c r="C117" s="46"/>
      <c r="D117" s="7"/>
      <c r="E117" s="47"/>
      <c r="F117" s="46"/>
      <c r="G117" s="46"/>
      <c r="H117" s="7"/>
      <c r="I117" s="7"/>
      <c r="J117" s="47"/>
      <c r="K117" s="47"/>
      <c r="L117" s="47"/>
      <c r="M117" s="47"/>
      <c r="N117" s="47"/>
      <c r="O117" s="10"/>
      <c r="P117" s="47"/>
      <c r="Q117" s="47"/>
      <c r="R117" s="48" t="str">
        <f aca="false">IF(Q117="","",IF(Q117=0,"below 5:00",IF(Q117&gt;=66,"16:00 or above",INT((60+2*Q117)/12)&amp;":"&amp;TEXT(MOD(60+2*Q117,12),"00"))))</f>
        <v/>
      </c>
      <c r="S117" s="47"/>
      <c r="T117" s="47"/>
      <c r="U117" s="47"/>
      <c r="V117" s="47"/>
      <c r="W117" s="47"/>
      <c r="X117" s="47"/>
      <c r="Y117" s="47"/>
      <c r="Z117" s="47"/>
      <c r="AA117" s="10"/>
      <c r="AB117" s="10"/>
      <c r="AC117" s="47"/>
      <c r="AD117" s="47"/>
      <c r="AE117" s="47"/>
      <c r="AF117" s="47"/>
      <c r="AG117" s="47"/>
      <c r="AH117" s="47"/>
      <c r="AI117" s="46"/>
      <c r="AJ117" s="46"/>
      <c r="AK117" s="46"/>
      <c r="AL117" s="7"/>
      <c r="AM117" s="49" t="str">
        <f aca="false">IF(OR(C117="",G117=""),"",IFERROR(DATEDIF(C117,G117,"m"),""))</f>
        <v/>
      </c>
      <c r="AN117" s="49" t="str">
        <f aca="false">IF(OR(Q117="",AM117=""),"",60+2*Q117-AM117)</f>
        <v/>
      </c>
      <c r="AO117" s="49" t="str">
        <f aca="false">IF(OR(G117="",AJ117=""),"",AJ117-G117)</f>
        <v/>
      </c>
      <c r="AP117" s="50" t="str">
        <f aca="false">IF(AND(A117="",B117=""),"",IF(J117="","Status needed",IF(OR(J117="Applied",J117="Visit booked",J117="Withdrawn"),"OK",IF(G117="","Date assessed needed",IF(C117="","Date of birth needed",IF(COUNTA(L117,M117,P117,U117,V117,X117)&lt;6,"Band missing",IF(AND(OR(J117="Decision confirmed",J117="Family told",J117="Enrolled"),AG117=""),"Recommendation needed",IF(AND(OR(J117="Family told",J117="Enrolled"),AJ117=""),"Date family told needed","OK"))))))))</f>
        <v/>
      </c>
    </row>
    <row r="118" customFormat="false" ht="15" hidden="false" customHeight="false" outlineLevel="0" collapsed="false">
      <c r="A118" s="7"/>
      <c r="B118" s="7"/>
      <c r="C118" s="46"/>
      <c r="D118" s="7"/>
      <c r="E118" s="47"/>
      <c r="F118" s="46"/>
      <c r="G118" s="46"/>
      <c r="H118" s="7"/>
      <c r="I118" s="7"/>
      <c r="J118" s="47"/>
      <c r="K118" s="47"/>
      <c r="L118" s="47"/>
      <c r="M118" s="47"/>
      <c r="N118" s="47"/>
      <c r="O118" s="10"/>
      <c r="P118" s="47"/>
      <c r="Q118" s="47"/>
      <c r="R118" s="48" t="str">
        <f aca="false">IF(Q118="","",IF(Q118=0,"below 5:00",IF(Q118&gt;=66,"16:00 or above",INT((60+2*Q118)/12)&amp;":"&amp;TEXT(MOD(60+2*Q118,12),"00"))))</f>
        <v/>
      </c>
      <c r="S118" s="47"/>
      <c r="T118" s="47"/>
      <c r="U118" s="47"/>
      <c r="V118" s="47"/>
      <c r="W118" s="47"/>
      <c r="X118" s="47"/>
      <c r="Y118" s="47"/>
      <c r="Z118" s="47"/>
      <c r="AA118" s="10"/>
      <c r="AB118" s="10"/>
      <c r="AC118" s="47"/>
      <c r="AD118" s="47"/>
      <c r="AE118" s="47"/>
      <c r="AF118" s="47"/>
      <c r="AG118" s="47"/>
      <c r="AH118" s="47"/>
      <c r="AI118" s="46"/>
      <c r="AJ118" s="46"/>
      <c r="AK118" s="46"/>
      <c r="AL118" s="7"/>
      <c r="AM118" s="49" t="str">
        <f aca="false">IF(OR(C118="",G118=""),"",IFERROR(DATEDIF(C118,G118,"m"),""))</f>
        <v/>
      </c>
      <c r="AN118" s="49" t="str">
        <f aca="false">IF(OR(Q118="",AM118=""),"",60+2*Q118-AM118)</f>
        <v/>
      </c>
      <c r="AO118" s="49" t="str">
        <f aca="false">IF(OR(G118="",AJ118=""),"",AJ118-G118)</f>
        <v/>
      </c>
      <c r="AP118" s="50" t="str">
        <f aca="false">IF(AND(A118="",B118=""),"",IF(J118="","Status needed",IF(OR(J118="Applied",J118="Visit booked",J118="Withdrawn"),"OK",IF(G118="","Date assessed needed",IF(C118="","Date of birth needed",IF(COUNTA(L118,M118,P118,U118,V118,X118)&lt;6,"Band missing",IF(AND(OR(J118="Decision confirmed",J118="Family told",J118="Enrolled"),AG118=""),"Recommendation needed",IF(AND(OR(J118="Family told",J118="Enrolled"),AJ118=""),"Date family told needed","OK"))))))))</f>
        <v/>
      </c>
    </row>
    <row r="119" customFormat="false" ht="15" hidden="false" customHeight="false" outlineLevel="0" collapsed="false">
      <c r="A119" s="7"/>
      <c r="B119" s="7"/>
      <c r="C119" s="46"/>
      <c r="D119" s="7"/>
      <c r="E119" s="47"/>
      <c r="F119" s="46"/>
      <c r="G119" s="46"/>
      <c r="H119" s="7"/>
      <c r="I119" s="7"/>
      <c r="J119" s="47"/>
      <c r="K119" s="47"/>
      <c r="L119" s="47"/>
      <c r="M119" s="47"/>
      <c r="N119" s="47"/>
      <c r="O119" s="10"/>
      <c r="P119" s="47"/>
      <c r="Q119" s="47"/>
      <c r="R119" s="48" t="str">
        <f aca="false">IF(Q119="","",IF(Q119=0,"below 5:00",IF(Q119&gt;=66,"16:00 or above",INT((60+2*Q119)/12)&amp;":"&amp;TEXT(MOD(60+2*Q119,12),"00"))))</f>
        <v/>
      </c>
      <c r="S119" s="47"/>
      <c r="T119" s="47"/>
      <c r="U119" s="47"/>
      <c r="V119" s="47"/>
      <c r="W119" s="47"/>
      <c r="X119" s="47"/>
      <c r="Y119" s="47"/>
      <c r="Z119" s="47"/>
      <c r="AA119" s="10"/>
      <c r="AB119" s="10"/>
      <c r="AC119" s="47"/>
      <c r="AD119" s="47"/>
      <c r="AE119" s="47"/>
      <c r="AF119" s="47"/>
      <c r="AG119" s="47"/>
      <c r="AH119" s="47"/>
      <c r="AI119" s="46"/>
      <c r="AJ119" s="46"/>
      <c r="AK119" s="46"/>
      <c r="AL119" s="7"/>
      <c r="AM119" s="49" t="str">
        <f aca="false">IF(OR(C119="",G119=""),"",IFERROR(DATEDIF(C119,G119,"m"),""))</f>
        <v/>
      </c>
      <c r="AN119" s="49" t="str">
        <f aca="false">IF(OR(Q119="",AM119=""),"",60+2*Q119-AM119)</f>
        <v/>
      </c>
      <c r="AO119" s="49" t="str">
        <f aca="false">IF(OR(G119="",AJ119=""),"",AJ119-G119)</f>
        <v/>
      </c>
      <c r="AP119" s="50" t="str">
        <f aca="false">IF(AND(A119="",B119=""),"",IF(J119="","Status needed",IF(OR(J119="Applied",J119="Visit booked",J119="Withdrawn"),"OK",IF(G119="","Date assessed needed",IF(C119="","Date of birth needed",IF(COUNTA(L119,M119,P119,U119,V119,X119)&lt;6,"Band missing",IF(AND(OR(J119="Decision confirmed",J119="Family told",J119="Enrolled"),AG119=""),"Recommendation needed",IF(AND(OR(J119="Family told",J119="Enrolled"),AJ119=""),"Date family told needed","OK"))))))))</f>
        <v/>
      </c>
    </row>
    <row r="120" customFormat="false" ht="15" hidden="false" customHeight="false" outlineLevel="0" collapsed="false">
      <c r="A120" s="7"/>
      <c r="B120" s="7"/>
      <c r="C120" s="46"/>
      <c r="D120" s="7"/>
      <c r="E120" s="47"/>
      <c r="F120" s="46"/>
      <c r="G120" s="46"/>
      <c r="H120" s="7"/>
      <c r="I120" s="7"/>
      <c r="J120" s="47"/>
      <c r="K120" s="47"/>
      <c r="L120" s="47"/>
      <c r="M120" s="47"/>
      <c r="N120" s="47"/>
      <c r="O120" s="10"/>
      <c r="P120" s="47"/>
      <c r="Q120" s="47"/>
      <c r="R120" s="48" t="str">
        <f aca="false">IF(Q120="","",IF(Q120=0,"below 5:00",IF(Q120&gt;=66,"16:00 or above",INT((60+2*Q120)/12)&amp;":"&amp;TEXT(MOD(60+2*Q120,12),"00"))))</f>
        <v/>
      </c>
      <c r="S120" s="47"/>
      <c r="T120" s="47"/>
      <c r="U120" s="47"/>
      <c r="V120" s="47"/>
      <c r="W120" s="47"/>
      <c r="X120" s="47"/>
      <c r="Y120" s="47"/>
      <c r="Z120" s="47"/>
      <c r="AA120" s="10"/>
      <c r="AB120" s="10"/>
      <c r="AC120" s="47"/>
      <c r="AD120" s="47"/>
      <c r="AE120" s="47"/>
      <c r="AF120" s="47"/>
      <c r="AG120" s="47"/>
      <c r="AH120" s="47"/>
      <c r="AI120" s="46"/>
      <c r="AJ120" s="46"/>
      <c r="AK120" s="46"/>
      <c r="AL120" s="7"/>
      <c r="AM120" s="49" t="str">
        <f aca="false">IF(OR(C120="",G120=""),"",IFERROR(DATEDIF(C120,G120,"m"),""))</f>
        <v/>
      </c>
      <c r="AN120" s="49" t="str">
        <f aca="false">IF(OR(Q120="",AM120=""),"",60+2*Q120-AM120)</f>
        <v/>
      </c>
      <c r="AO120" s="49" t="str">
        <f aca="false">IF(OR(G120="",AJ120=""),"",AJ120-G120)</f>
        <v/>
      </c>
      <c r="AP120" s="50" t="str">
        <f aca="false">IF(AND(A120="",B120=""),"",IF(J120="","Status needed",IF(OR(J120="Applied",J120="Visit booked",J120="Withdrawn"),"OK",IF(G120="","Date assessed needed",IF(C120="","Date of birth needed",IF(COUNTA(L120,M120,P120,U120,V120,X120)&lt;6,"Band missing",IF(AND(OR(J120="Decision confirmed",J120="Family told",J120="Enrolled"),AG120=""),"Recommendation needed",IF(AND(OR(J120="Family told",J120="Enrolled"),AJ120=""),"Date family told needed","OK"))))))))</f>
        <v/>
      </c>
    </row>
    <row r="121" customFormat="false" ht="15" hidden="false" customHeight="false" outlineLevel="0" collapsed="false">
      <c r="A121" s="7"/>
      <c r="B121" s="7"/>
      <c r="C121" s="46"/>
      <c r="D121" s="7"/>
      <c r="E121" s="47"/>
      <c r="F121" s="46"/>
      <c r="G121" s="46"/>
      <c r="H121" s="7"/>
      <c r="I121" s="7"/>
      <c r="J121" s="47"/>
      <c r="K121" s="47"/>
      <c r="L121" s="47"/>
      <c r="M121" s="47"/>
      <c r="N121" s="47"/>
      <c r="O121" s="10"/>
      <c r="P121" s="47"/>
      <c r="Q121" s="47"/>
      <c r="R121" s="48" t="str">
        <f aca="false">IF(Q121="","",IF(Q121=0,"below 5:00",IF(Q121&gt;=66,"16:00 or above",INT((60+2*Q121)/12)&amp;":"&amp;TEXT(MOD(60+2*Q121,12),"00"))))</f>
        <v/>
      </c>
      <c r="S121" s="47"/>
      <c r="T121" s="47"/>
      <c r="U121" s="47"/>
      <c r="V121" s="47"/>
      <c r="W121" s="47"/>
      <c r="X121" s="47"/>
      <c r="Y121" s="47"/>
      <c r="Z121" s="47"/>
      <c r="AA121" s="10"/>
      <c r="AB121" s="10"/>
      <c r="AC121" s="47"/>
      <c r="AD121" s="47"/>
      <c r="AE121" s="47"/>
      <c r="AF121" s="47"/>
      <c r="AG121" s="47"/>
      <c r="AH121" s="47"/>
      <c r="AI121" s="46"/>
      <c r="AJ121" s="46"/>
      <c r="AK121" s="46"/>
      <c r="AL121" s="7"/>
      <c r="AM121" s="49" t="str">
        <f aca="false">IF(OR(C121="",G121=""),"",IFERROR(DATEDIF(C121,G121,"m"),""))</f>
        <v/>
      </c>
      <c r="AN121" s="49" t="str">
        <f aca="false">IF(OR(Q121="",AM121=""),"",60+2*Q121-AM121)</f>
        <v/>
      </c>
      <c r="AO121" s="49" t="str">
        <f aca="false">IF(OR(G121="",AJ121=""),"",AJ121-G121)</f>
        <v/>
      </c>
      <c r="AP121" s="50" t="str">
        <f aca="false">IF(AND(A121="",B121=""),"",IF(J121="","Status needed",IF(OR(J121="Applied",J121="Visit booked",J121="Withdrawn"),"OK",IF(G121="","Date assessed needed",IF(C121="","Date of birth needed",IF(COUNTA(L121,M121,P121,U121,V121,X121)&lt;6,"Band missing",IF(AND(OR(J121="Decision confirmed",J121="Family told",J121="Enrolled"),AG121=""),"Recommendation needed",IF(AND(OR(J121="Family told",J121="Enrolled"),AJ121=""),"Date family told needed","OK"))))))))</f>
        <v/>
      </c>
    </row>
    <row r="122" customFormat="false" ht="15" hidden="false" customHeight="false" outlineLevel="0" collapsed="false">
      <c r="A122" s="7"/>
      <c r="B122" s="7"/>
      <c r="C122" s="46"/>
      <c r="D122" s="7"/>
      <c r="E122" s="47"/>
      <c r="F122" s="46"/>
      <c r="G122" s="46"/>
      <c r="H122" s="7"/>
      <c r="I122" s="7"/>
      <c r="J122" s="47"/>
      <c r="K122" s="47"/>
      <c r="L122" s="47"/>
      <c r="M122" s="47"/>
      <c r="N122" s="47"/>
      <c r="O122" s="10"/>
      <c r="P122" s="47"/>
      <c r="Q122" s="47"/>
      <c r="R122" s="48" t="str">
        <f aca="false">IF(Q122="","",IF(Q122=0,"below 5:00",IF(Q122&gt;=66,"16:00 or above",INT((60+2*Q122)/12)&amp;":"&amp;TEXT(MOD(60+2*Q122,12),"00"))))</f>
        <v/>
      </c>
      <c r="S122" s="47"/>
      <c r="T122" s="47"/>
      <c r="U122" s="47"/>
      <c r="V122" s="47"/>
      <c r="W122" s="47"/>
      <c r="X122" s="47"/>
      <c r="Y122" s="47"/>
      <c r="Z122" s="47"/>
      <c r="AA122" s="10"/>
      <c r="AB122" s="10"/>
      <c r="AC122" s="47"/>
      <c r="AD122" s="47"/>
      <c r="AE122" s="47"/>
      <c r="AF122" s="47"/>
      <c r="AG122" s="47"/>
      <c r="AH122" s="47"/>
      <c r="AI122" s="46"/>
      <c r="AJ122" s="46"/>
      <c r="AK122" s="46"/>
      <c r="AL122" s="7"/>
      <c r="AM122" s="49" t="str">
        <f aca="false">IF(OR(C122="",G122=""),"",IFERROR(DATEDIF(C122,G122,"m"),""))</f>
        <v/>
      </c>
      <c r="AN122" s="49" t="str">
        <f aca="false">IF(OR(Q122="",AM122=""),"",60+2*Q122-AM122)</f>
        <v/>
      </c>
      <c r="AO122" s="49" t="str">
        <f aca="false">IF(OR(G122="",AJ122=""),"",AJ122-G122)</f>
        <v/>
      </c>
      <c r="AP122" s="50" t="str">
        <f aca="false">IF(AND(A122="",B122=""),"",IF(J122="","Status needed",IF(OR(J122="Applied",J122="Visit booked",J122="Withdrawn"),"OK",IF(G122="","Date assessed needed",IF(C122="","Date of birth needed",IF(COUNTA(L122,M122,P122,U122,V122,X122)&lt;6,"Band missing",IF(AND(OR(J122="Decision confirmed",J122="Family told",J122="Enrolled"),AG122=""),"Recommendation needed",IF(AND(OR(J122="Family told",J122="Enrolled"),AJ122=""),"Date family told needed","OK"))))))))</f>
        <v/>
      </c>
    </row>
    <row r="123" customFormat="false" ht="15" hidden="false" customHeight="false" outlineLevel="0" collapsed="false">
      <c r="A123" s="7"/>
      <c r="B123" s="7"/>
      <c r="C123" s="46"/>
      <c r="D123" s="7"/>
      <c r="E123" s="47"/>
      <c r="F123" s="46"/>
      <c r="G123" s="46"/>
      <c r="H123" s="7"/>
      <c r="I123" s="7"/>
      <c r="J123" s="47"/>
      <c r="K123" s="47"/>
      <c r="L123" s="47"/>
      <c r="M123" s="47"/>
      <c r="N123" s="47"/>
      <c r="O123" s="10"/>
      <c r="P123" s="47"/>
      <c r="Q123" s="47"/>
      <c r="R123" s="48" t="str">
        <f aca="false">IF(Q123="","",IF(Q123=0,"below 5:00",IF(Q123&gt;=66,"16:00 or above",INT((60+2*Q123)/12)&amp;":"&amp;TEXT(MOD(60+2*Q123,12),"00"))))</f>
        <v/>
      </c>
      <c r="S123" s="47"/>
      <c r="T123" s="47"/>
      <c r="U123" s="47"/>
      <c r="V123" s="47"/>
      <c r="W123" s="47"/>
      <c r="X123" s="47"/>
      <c r="Y123" s="47"/>
      <c r="Z123" s="47"/>
      <c r="AA123" s="10"/>
      <c r="AB123" s="10"/>
      <c r="AC123" s="47"/>
      <c r="AD123" s="47"/>
      <c r="AE123" s="47"/>
      <c r="AF123" s="47"/>
      <c r="AG123" s="47"/>
      <c r="AH123" s="47"/>
      <c r="AI123" s="46"/>
      <c r="AJ123" s="46"/>
      <c r="AK123" s="46"/>
      <c r="AL123" s="7"/>
      <c r="AM123" s="49" t="str">
        <f aca="false">IF(OR(C123="",G123=""),"",IFERROR(DATEDIF(C123,G123,"m"),""))</f>
        <v/>
      </c>
      <c r="AN123" s="49" t="str">
        <f aca="false">IF(OR(Q123="",AM123=""),"",60+2*Q123-AM123)</f>
        <v/>
      </c>
      <c r="AO123" s="49" t="str">
        <f aca="false">IF(OR(G123="",AJ123=""),"",AJ123-G123)</f>
        <v/>
      </c>
      <c r="AP123" s="50" t="str">
        <f aca="false">IF(AND(A123="",B123=""),"",IF(J123="","Status needed",IF(OR(J123="Applied",J123="Visit booked",J123="Withdrawn"),"OK",IF(G123="","Date assessed needed",IF(C123="","Date of birth needed",IF(COUNTA(L123,M123,P123,U123,V123,X123)&lt;6,"Band missing",IF(AND(OR(J123="Decision confirmed",J123="Family told",J123="Enrolled"),AG123=""),"Recommendation needed",IF(AND(OR(J123="Family told",J123="Enrolled"),AJ123=""),"Date family told needed","OK"))))))))</f>
        <v/>
      </c>
    </row>
    <row r="124" customFormat="false" ht="15" hidden="false" customHeight="false" outlineLevel="0" collapsed="false">
      <c r="A124" s="7"/>
      <c r="B124" s="7"/>
      <c r="C124" s="46"/>
      <c r="D124" s="7"/>
      <c r="E124" s="47"/>
      <c r="F124" s="46"/>
      <c r="G124" s="46"/>
      <c r="H124" s="7"/>
      <c r="I124" s="7"/>
      <c r="J124" s="47"/>
      <c r="K124" s="47"/>
      <c r="L124" s="47"/>
      <c r="M124" s="47"/>
      <c r="N124" s="47"/>
      <c r="O124" s="10"/>
      <c r="P124" s="47"/>
      <c r="Q124" s="47"/>
      <c r="R124" s="48" t="str">
        <f aca="false">IF(Q124="","",IF(Q124=0,"below 5:00",IF(Q124&gt;=66,"16:00 or above",INT((60+2*Q124)/12)&amp;":"&amp;TEXT(MOD(60+2*Q124,12),"00"))))</f>
        <v/>
      </c>
      <c r="S124" s="47"/>
      <c r="T124" s="47"/>
      <c r="U124" s="47"/>
      <c r="V124" s="47"/>
      <c r="W124" s="47"/>
      <c r="X124" s="47"/>
      <c r="Y124" s="47"/>
      <c r="Z124" s="47"/>
      <c r="AA124" s="10"/>
      <c r="AB124" s="10"/>
      <c r="AC124" s="47"/>
      <c r="AD124" s="47"/>
      <c r="AE124" s="47"/>
      <c r="AF124" s="47"/>
      <c r="AG124" s="47"/>
      <c r="AH124" s="47"/>
      <c r="AI124" s="46"/>
      <c r="AJ124" s="46"/>
      <c r="AK124" s="46"/>
      <c r="AL124" s="7"/>
      <c r="AM124" s="49" t="str">
        <f aca="false">IF(OR(C124="",G124=""),"",IFERROR(DATEDIF(C124,G124,"m"),""))</f>
        <v/>
      </c>
      <c r="AN124" s="49" t="str">
        <f aca="false">IF(OR(Q124="",AM124=""),"",60+2*Q124-AM124)</f>
        <v/>
      </c>
      <c r="AO124" s="49" t="str">
        <f aca="false">IF(OR(G124="",AJ124=""),"",AJ124-G124)</f>
        <v/>
      </c>
      <c r="AP124" s="50" t="str">
        <f aca="false">IF(AND(A124="",B124=""),"",IF(J124="","Status needed",IF(OR(J124="Applied",J124="Visit booked",J124="Withdrawn"),"OK",IF(G124="","Date assessed needed",IF(C124="","Date of birth needed",IF(COUNTA(L124,M124,P124,U124,V124,X124)&lt;6,"Band missing",IF(AND(OR(J124="Decision confirmed",J124="Family told",J124="Enrolled"),AG124=""),"Recommendation needed",IF(AND(OR(J124="Family told",J124="Enrolled"),AJ124=""),"Date family told needed","OK"))))))))</f>
        <v/>
      </c>
    </row>
    <row r="125" customFormat="false" ht="15" hidden="false" customHeight="false" outlineLevel="0" collapsed="false">
      <c r="A125" s="7"/>
      <c r="B125" s="7"/>
      <c r="C125" s="46"/>
      <c r="D125" s="7"/>
      <c r="E125" s="47"/>
      <c r="F125" s="46"/>
      <c r="G125" s="46"/>
      <c r="H125" s="7"/>
      <c r="I125" s="7"/>
      <c r="J125" s="47"/>
      <c r="K125" s="47"/>
      <c r="L125" s="47"/>
      <c r="M125" s="47"/>
      <c r="N125" s="47"/>
      <c r="O125" s="10"/>
      <c r="P125" s="47"/>
      <c r="Q125" s="47"/>
      <c r="R125" s="48" t="str">
        <f aca="false">IF(Q125="","",IF(Q125=0,"below 5:00",IF(Q125&gt;=66,"16:00 or above",INT((60+2*Q125)/12)&amp;":"&amp;TEXT(MOD(60+2*Q125,12),"00"))))</f>
        <v/>
      </c>
      <c r="S125" s="47"/>
      <c r="T125" s="47"/>
      <c r="U125" s="47"/>
      <c r="V125" s="47"/>
      <c r="W125" s="47"/>
      <c r="X125" s="47"/>
      <c r="Y125" s="47"/>
      <c r="Z125" s="47"/>
      <c r="AA125" s="10"/>
      <c r="AB125" s="10"/>
      <c r="AC125" s="47"/>
      <c r="AD125" s="47"/>
      <c r="AE125" s="47"/>
      <c r="AF125" s="47"/>
      <c r="AG125" s="47"/>
      <c r="AH125" s="47"/>
      <c r="AI125" s="46"/>
      <c r="AJ125" s="46"/>
      <c r="AK125" s="46"/>
      <c r="AL125" s="7"/>
      <c r="AM125" s="49" t="str">
        <f aca="false">IF(OR(C125="",G125=""),"",IFERROR(DATEDIF(C125,G125,"m"),""))</f>
        <v/>
      </c>
      <c r="AN125" s="49" t="str">
        <f aca="false">IF(OR(Q125="",AM125=""),"",60+2*Q125-AM125)</f>
        <v/>
      </c>
      <c r="AO125" s="49" t="str">
        <f aca="false">IF(OR(G125="",AJ125=""),"",AJ125-G125)</f>
        <v/>
      </c>
      <c r="AP125" s="50" t="str">
        <f aca="false">IF(AND(A125="",B125=""),"",IF(J125="","Status needed",IF(OR(J125="Applied",J125="Visit booked",J125="Withdrawn"),"OK",IF(G125="","Date assessed needed",IF(C125="","Date of birth needed",IF(COUNTA(L125,M125,P125,U125,V125,X125)&lt;6,"Band missing",IF(AND(OR(J125="Decision confirmed",J125="Family told",J125="Enrolled"),AG125=""),"Recommendation needed",IF(AND(OR(J125="Family told",J125="Enrolled"),AJ125=""),"Date family told needed","OK"))))))))</f>
        <v/>
      </c>
    </row>
    <row r="126" customFormat="false" ht="15" hidden="false" customHeight="false" outlineLevel="0" collapsed="false">
      <c r="A126" s="7"/>
      <c r="B126" s="7"/>
      <c r="C126" s="46"/>
      <c r="D126" s="7"/>
      <c r="E126" s="47"/>
      <c r="F126" s="46"/>
      <c r="G126" s="46"/>
      <c r="H126" s="7"/>
      <c r="I126" s="7"/>
      <c r="J126" s="47"/>
      <c r="K126" s="47"/>
      <c r="L126" s="47"/>
      <c r="M126" s="47"/>
      <c r="N126" s="47"/>
      <c r="O126" s="10"/>
      <c r="P126" s="47"/>
      <c r="Q126" s="47"/>
      <c r="R126" s="48" t="str">
        <f aca="false">IF(Q126="","",IF(Q126=0,"below 5:00",IF(Q126&gt;=66,"16:00 or above",INT((60+2*Q126)/12)&amp;":"&amp;TEXT(MOD(60+2*Q126,12),"00"))))</f>
        <v/>
      </c>
      <c r="S126" s="47"/>
      <c r="T126" s="47"/>
      <c r="U126" s="47"/>
      <c r="V126" s="47"/>
      <c r="W126" s="47"/>
      <c r="X126" s="47"/>
      <c r="Y126" s="47"/>
      <c r="Z126" s="47"/>
      <c r="AA126" s="10"/>
      <c r="AB126" s="10"/>
      <c r="AC126" s="47"/>
      <c r="AD126" s="47"/>
      <c r="AE126" s="47"/>
      <c r="AF126" s="47"/>
      <c r="AG126" s="47"/>
      <c r="AH126" s="47"/>
      <c r="AI126" s="46"/>
      <c r="AJ126" s="46"/>
      <c r="AK126" s="46"/>
      <c r="AL126" s="7"/>
      <c r="AM126" s="49" t="str">
        <f aca="false">IF(OR(C126="",G126=""),"",IFERROR(DATEDIF(C126,G126,"m"),""))</f>
        <v/>
      </c>
      <c r="AN126" s="49" t="str">
        <f aca="false">IF(OR(Q126="",AM126=""),"",60+2*Q126-AM126)</f>
        <v/>
      </c>
      <c r="AO126" s="49" t="str">
        <f aca="false">IF(OR(G126="",AJ126=""),"",AJ126-G126)</f>
        <v/>
      </c>
      <c r="AP126" s="50" t="str">
        <f aca="false">IF(AND(A126="",B126=""),"",IF(J126="","Status needed",IF(OR(J126="Applied",J126="Visit booked",J126="Withdrawn"),"OK",IF(G126="","Date assessed needed",IF(C126="","Date of birth needed",IF(COUNTA(L126,M126,P126,U126,V126,X126)&lt;6,"Band missing",IF(AND(OR(J126="Decision confirmed",J126="Family told",J126="Enrolled"),AG126=""),"Recommendation needed",IF(AND(OR(J126="Family told",J126="Enrolled"),AJ126=""),"Date family told needed","OK"))))))))</f>
        <v/>
      </c>
    </row>
    <row r="127" customFormat="false" ht="15" hidden="false" customHeight="false" outlineLevel="0" collapsed="false">
      <c r="A127" s="7"/>
      <c r="B127" s="7"/>
      <c r="C127" s="46"/>
      <c r="D127" s="7"/>
      <c r="E127" s="47"/>
      <c r="F127" s="46"/>
      <c r="G127" s="46"/>
      <c r="H127" s="7"/>
      <c r="I127" s="7"/>
      <c r="J127" s="47"/>
      <c r="K127" s="47"/>
      <c r="L127" s="47"/>
      <c r="M127" s="47"/>
      <c r="N127" s="47"/>
      <c r="O127" s="10"/>
      <c r="P127" s="47"/>
      <c r="Q127" s="47"/>
      <c r="R127" s="48" t="str">
        <f aca="false">IF(Q127="","",IF(Q127=0,"below 5:00",IF(Q127&gt;=66,"16:00 or above",INT((60+2*Q127)/12)&amp;":"&amp;TEXT(MOD(60+2*Q127,12),"00"))))</f>
        <v/>
      </c>
      <c r="S127" s="47"/>
      <c r="T127" s="47"/>
      <c r="U127" s="47"/>
      <c r="V127" s="47"/>
      <c r="W127" s="47"/>
      <c r="X127" s="47"/>
      <c r="Y127" s="47"/>
      <c r="Z127" s="47"/>
      <c r="AA127" s="10"/>
      <c r="AB127" s="10"/>
      <c r="AC127" s="47"/>
      <c r="AD127" s="47"/>
      <c r="AE127" s="47"/>
      <c r="AF127" s="47"/>
      <c r="AG127" s="47"/>
      <c r="AH127" s="47"/>
      <c r="AI127" s="46"/>
      <c r="AJ127" s="46"/>
      <c r="AK127" s="46"/>
      <c r="AL127" s="7"/>
      <c r="AM127" s="49" t="str">
        <f aca="false">IF(OR(C127="",G127=""),"",IFERROR(DATEDIF(C127,G127,"m"),""))</f>
        <v/>
      </c>
      <c r="AN127" s="49" t="str">
        <f aca="false">IF(OR(Q127="",AM127=""),"",60+2*Q127-AM127)</f>
        <v/>
      </c>
      <c r="AO127" s="49" t="str">
        <f aca="false">IF(OR(G127="",AJ127=""),"",AJ127-G127)</f>
        <v/>
      </c>
      <c r="AP127" s="50" t="str">
        <f aca="false">IF(AND(A127="",B127=""),"",IF(J127="","Status needed",IF(OR(J127="Applied",J127="Visit booked",J127="Withdrawn"),"OK",IF(G127="","Date assessed needed",IF(C127="","Date of birth needed",IF(COUNTA(L127,M127,P127,U127,V127,X127)&lt;6,"Band missing",IF(AND(OR(J127="Decision confirmed",J127="Family told",J127="Enrolled"),AG127=""),"Recommendation needed",IF(AND(OR(J127="Family told",J127="Enrolled"),AJ127=""),"Date family told needed","OK"))))))))</f>
        <v/>
      </c>
    </row>
    <row r="128" customFormat="false" ht="15" hidden="false" customHeight="false" outlineLevel="0" collapsed="false">
      <c r="A128" s="7"/>
      <c r="B128" s="7"/>
      <c r="C128" s="46"/>
      <c r="D128" s="7"/>
      <c r="E128" s="47"/>
      <c r="F128" s="46"/>
      <c r="G128" s="46"/>
      <c r="H128" s="7"/>
      <c r="I128" s="7"/>
      <c r="J128" s="47"/>
      <c r="K128" s="47"/>
      <c r="L128" s="47"/>
      <c r="M128" s="47"/>
      <c r="N128" s="47"/>
      <c r="O128" s="10"/>
      <c r="P128" s="47"/>
      <c r="Q128" s="47"/>
      <c r="R128" s="48" t="str">
        <f aca="false">IF(Q128="","",IF(Q128=0,"below 5:00",IF(Q128&gt;=66,"16:00 or above",INT((60+2*Q128)/12)&amp;":"&amp;TEXT(MOD(60+2*Q128,12),"00"))))</f>
        <v/>
      </c>
      <c r="S128" s="47"/>
      <c r="T128" s="47"/>
      <c r="U128" s="47"/>
      <c r="V128" s="47"/>
      <c r="W128" s="47"/>
      <c r="X128" s="47"/>
      <c r="Y128" s="47"/>
      <c r="Z128" s="47"/>
      <c r="AA128" s="10"/>
      <c r="AB128" s="10"/>
      <c r="AC128" s="47"/>
      <c r="AD128" s="47"/>
      <c r="AE128" s="47"/>
      <c r="AF128" s="47"/>
      <c r="AG128" s="47"/>
      <c r="AH128" s="47"/>
      <c r="AI128" s="46"/>
      <c r="AJ128" s="46"/>
      <c r="AK128" s="46"/>
      <c r="AL128" s="7"/>
      <c r="AM128" s="49" t="str">
        <f aca="false">IF(OR(C128="",G128=""),"",IFERROR(DATEDIF(C128,G128,"m"),""))</f>
        <v/>
      </c>
      <c r="AN128" s="49" t="str">
        <f aca="false">IF(OR(Q128="",AM128=""),"",60+2*Q128-AM128)</f>
        <v/>
      </c>
      <c r="AO128" s="49" t="str">
        <f aca="false">IF(OR(G128="",AJ128=""),"",AJ128-G128)</f>
        <v/>
      </c>
      <c r="AP128" s="50" t="str">
        <f aca="false">IF(AND(A128="",B128=""),"",IF(J128="","Status needed",IF(OR(J128="Applied",J128="Visit booked",J128="Withdrawn"),"OK",IF(G128="","Date assessed needed",IF(C128="","Date of birth needed",IF(COUNTA(L128,M128,P128,U128,V128,X128)&lt;6,"Band missing",IF(AND(OR(J128="Decision confirmed",J128="Family told",J128="Enrolled"),AG128=""),"Recommendation needed",IF(AND(OR(J128="Family told",J128="Enrolled"),AJ128=""),"Date family told needed","OK"))))))))</f>
        <v/>
      </c>
    </row>
    <row r="129" customFormat="false" ht="15" hidden="false" customHeight="false" outlineLevel="0" collapsed="false">
      <c r="A129" s="7"/>
      <c r="B129" s="7"/>
      <c r="C129" s="46"/>
      <c r="D129" s="7"/>
      <c r="E129" s="47"/>
      <c r="F129" s="46"/>
      <c r="G129" s="46"/>
      <c r="H129" s="7"/>
      <c r="I129" s="7"/>
      <c r="J129" s="47"/>
      <c r="K129" s="47"/>
      <c r="L129" s="47"/>
      <c r="M129" s="47"/>
      <c r="N129" s="47"/>
      <c r="O129" s="10"/>
      <c r="P129" s="47"/>
      <c r="Q129" s="47"/>
      <c r="R129" s="48" t="str">
        <f aca="false">IF(Q129="","",IF(Q129=0,"below 5:00",IF(Q129&gt;=66,"16:00 or above",INT((60+2*Q129)/12)&amp;":"&amp;TEXT(MOD(60+2*Q129,12),"00"))))</f>
        <v/>
      </c>
      <c r="S129" s="47"/>
      <c r="T129" s="47"/>
      <c r="U129" s="47"/>
      <c r="V129" s="47"/>
      <c r="W129" s="47"/>
      <c r="X129" s="47"/>
      <c r="Y129" s="47"/>
      <c r="Z129" s="47"/>
      <c r="AA129" s="10"/>
      <c r="AB129" s="10"/>
      <c r="AC129" s="47"/>
      <c r="AD129" s="47"/>
      <c r="AE129" s="47"/>
      <c r="AF129" s="47"/>
      <c r="AG129" s="47"/>
      <c r="AH129" s="47"/>
      <c r="AI129" s="46"/>
      <c r="AJ129" s="46"/>
      <c r="AK129" s="46"/>
      <c r="AL129" s="7"/>
      <c r="AM129" s="49" t="str">
        <f aca="false">IF(OR(C129="",G129=""),"",IFERROR(DATEDIF(C129,G129,"m"),""))</f>
        <v/>
      </c>
      <c r="AN129" s="49" t="str">
        <f aca="false">IF(OR(Q129="",AM129=""),"",60+2*Q129-AM129)</f>
        <v/>
      </c>
      <c r="AO129" s="49" t="str">
        <f aca="false">IF(OR(G129="",AJ129=""),"",AJ129-G129)</f>
        <v/>
      </c>
      <c r="AP129" s="50" t="str">
        <f aca="false">IF(AND(A129="",B129=""),"",IF(J129="","Status needed",IF(OR(J129="Applied",J129="Visit booked",J129="Withdrawn"),"OK",IF(G129="","Date assessed needed",IF(C129="","Date of birth needed",IF(COUNTA(L129,M129,P129,U129,V129,X129)&lt;6,"Band missing",IF(AND(OR(J129="Decision confirmed",J129="Family told",J129="Enrolled"),AG129=""),"Recommendation needed",IF(AND(OR(J129="Family told",J129="Enrolled"),AJ129=""),"Date family told needed","OK"))))))))</f>
        <v/>
      </c>
    </row>
    <row r="130" customFormat="false" ht="15" hidden="false" customHeight="false" outlineLevel="0" collapsed="false">
      <c r="A130" s="7"/>
      <c r="B130" s="7"/>
      <c r="C130" s="46"/>
      <c r="D130" s="7"/>
      <c r="E130" s="47"/>
      <c r="F130" s="46"/>
      <c r="G130" s="46"/>
      <c r="H130" s="7"/>
      <c r="I130" s="7"/>
      <c r="J130" s="47"/>
      <c r="K130" s="47"/>
      <c r="L130" s="47"/>
      <c r="M130" s="47"/>
      <c r="N130" s="47"/>
      <c r="O130" s="10"/>
      <c r="P130" s="47"/>
      <c r="Q130" s="47"/>
      <c r="R130" s="48" t="str">
        <f aca="false">IF(Q130="","",IF(Q130=0,"below 5:00",IF(Q130&gt;=66,"16:00 or above",INT((60+2*Q130)/12)&amp;":"&amp;TEXT(MOD(60+2*Q130,12),"00"))))</f>
        <v/>
      </c>
      <c r="S130" s="47"/>
      <c r="T130" s="47"/>
      <c r="U130" s="47"/>
      <c r="V130" s="47"/>
      <c r="W130" s="47"/>
      <c r="X130" s="47"/>
      <c r="Y130" s="47"/>
      <c r="Z130" s="47"/>
      <c r="AA130" s="10"/>
      <c r="AB130" s="10"/>
      <c r="AC130" s="47"/>
      <c r="AD130" s="47"/>
      <c r="AE130" s="47"/>
      <c r="AF130" s="47"/>
      <c r="AG130" s="47"/>
      <c r="AH130" s="47"/>
      <c r="AI130" s="46"/>
      <c r="AJ130" s="46"/>
      <c r="AK130" s="46"/>
      <c r="AL130" s="7"/>
      <c r="AM130" s="49" t="str">
        <f aca="false">IF(OR(C130="",G130=""),"",IFERROR(DATEDIF(C130,G130,"m"),""))</f>
        <v/>
      </c>
      <c r="AN130" s="49" t="str">
        <f aca="false">IF(OR(Q130="",AM130=""),"",60+2*Q130-AM130)</f>
        <v/>
      </c>
      <c r="AO130" s="49" t="str">
        <f aca="false">IF(OR(G130="",AJ130=""),"",AJ130-G130)</f>
        <v/>
      </c>
      <c r="AP130" s="50" t="str">
        <f aca="false">IF(AND(A130="",B130=""),"",IF(J130="","Status needed",IF(OR(J130="Applied",J130="Visit booked",J130="Withdrawn"),"OK",IF(G130="","Date assessed needed",IF(C130="","Date of birth needed",IF(COUNTA(L130,M130,P130,U130,V130,X130)&lt;6,"Band missing",IF(AND(OR(J130="Decision confirmed",J130="Family told",J130="Enrolled"),AG130=""),"Recommendation needed",IF(AND(OR(J130="Family told",J130="Enrolled"),AJ130=""),"Date family told needed","OK"))))))))</f>
        <v/>
      </c>
    </row>
    <row r="131" customFormat="false" ht="15" hidden="false" customHeight="false" outlineLevel="0" collapsed="false">
      <c r="A131" s="7"/>
      <c r="B131" s="7"/>
      <c r="C131" s="46"/>
      <c r="D131" s="7"/>
      <c r="E131" s="47"/>
      <c r="F131" s="46"/>
      <c r="G131" s="46"/>
      <c r="H131" s="7"/>
      <c r="I131" s="7"/>
      <c r="J131" s="47"/>
      <c r="K131" s="47"/>
      <c r="L131" s="47"/>
      <c r="M131" s="47"/>
      <c r="N131" s="47"/>
      <c r="O131" s="10"/>
      <c r="P131" s="47"/>
      <c r="Q131" s="47"/>
      <c r="R131" s="48" t="str">
        <f aca="false">IF(Q131="","",IF(Q131=0,"below 5:00",IF(Q131&gt;=66,"16:00 or above",INT((60+2*Q131)/12)&amp;":"&amp;TEXT(MOD(60+2*Q131,12),"00"))))</f>
        <v/>
      </c>
      <c r="S131" s="47"/>
      <c r="T131" s="47"/>
      <c r="U131" s="47"/>
      <c r="V131" s="47"/>
      <c r="W131" s="47"/>
      <c r="X131" s="47"/>
      <c r="Y131" s="47"/>
      <c r="Z131" s="47"/>
      <c r="AA131" s="10"/>
      <c r="AB131" s="10"/>
      <c r="AC131" s="47"/>
      <c r="AD131" s="47"/>
      <c r="AE131" s="47"/>
      <c r="AF131" s="47"/>
      <c r="AG131" s="47"/>
      <c r="AH131" s="47"/>
      <c r="AI131" s="46"/>
      <c r="AJ131" s="46"/>
      <c r="AK131" s="46"/>
      <c r="AL131" s="7"/>
      <c r="AM131" s="49" t="str">
        <f aca="false">IF(OR(C131="",G131=""),"",IFERROR(DATEDIF(C131,G131,"m"),""))</f>
        <v/>
      </c>
      <c r="AN131" s="49" t="str">
        <f aca="false">IF(OR(Q131="",AM131=""),"",60+2*Q131-AM131)</f>
        <v/>
      </c>
      <c r="AO131" s="49" t="str">
        <f aca="false">IF(OR(G131="",AJ131=""),"",AJ131-G131)</f>
        <v/>
      </c>
      <c r="AP131" s="50" t="str">
        <f aca="false">IF(AND(A131="",B131=""),"",IF(J131="","Status needed",IF(OR(J131="Applied",J131="Visit booked",J131="Withdrawn"),"OK",IF(G131="","Date assessed needed",IF(C131="","Date of birth needed",IF(COUNTA(L131,M131,P131,U131,V131,X131)&lt;6,"Band missing",IF(AND(OR(J131="Decision confirmed",J131="Family told",J131="Enrolled"),AG131=""),"Recommendation needed",IF(AND(OR(J131="Family told",J131="Enrolled"),AJ131=""),"Date family told needed","OK"))))))))</f>
        <v/>
      </c>
    </row>
    <row r="132" customFormat="false" ht="15" hidden="false" customHeight="false" outlineLevel="0" collapsed="false">
      <c r="A132" s="7"/>
      <c r="B132" s="7"/>
      <c r="C132" s="46"/>
      <c r="D132" s="7"/>
      <c r="E132" s="47"/>
      <c r="F132" s="46"/>
      <c r="G132" s="46"/>
      <c r="H132" s="7"/>
      <c r="I132" s="7"/>
      <c r="J132" s="47"/>
      <c r="K132" s="47"/>
      <c r="L132" s="47"/>
      <c r="M132" s="47"/>
      <c r="N132" s="47"/>
      <c r="O132" s="10"/>
      <c r="P132" s="47"/>
      <c r="Q132" s="47"/>
      <c r="R132" s="48" t="str">
        <f aca="false">IF(Q132="","",IF(Q132=0,"below 5:00",IF(Q132&gt;=66,"16:00 or above",INT((60+2*Q132)/12)&amp;":"&amp;TEXT(MOD(60+2*Q132,12),"00"))))</f>
        <v/>
      </c>
      <c r="S132" s="47"/>
      <c r="T132" s="47"/>
      <c r="U132" s="47"/>
      <c r="V132" s="47"/>
      <c r="W132" s="47"/>
      <c r="X132" s="47"/>
      <c r="Y132" s="47"/>
      <c r="Z132" s="47"/>
      <c r="AA132" s="10"/>
      <c r="AB132" s="10"/>
      <c r="AC132" s="47"/>
      <c r="AD132" s="47"/>
      <c r="AE132" s="47"/>
      <c r="AF132" s="47"/>
      <c r="AG132" s="47"/>
      <c r="AH132" s="47"/>
      <c r="AI132" s="46"/>
      <c r="AJ132" s="46"/>
      <c r="AK132" s="46"/>
      <c r="AL132" s="7"/>
      <c r="AM132" s="49" t="str">
        <f aca="false">IF(OR(C132="",G132=""),"",IFERROR(DATEDIF(C132,G132,"m"),""))</f>
        <v/>
      </c>
      <c r="AN132" s="49" t="str">
        <f aca="false">IF(OR(Q132="",AM132=""),"",60+2*Q132-AM132)</f>
        <v/>
      </c>
      <c r="AO132" s="49" t="str">
        <f aca="false">IF(OR(G132="",AJ132=""),"",AJ132-G132)</f>
        <v/>
      </c>
      <c r="AP132" s="50" t="str">
        <f aca="false">IF(AND(A132="",B132=""),"",IF(J132="","Status needed",IF(OR(J132="Applied",J132="Visit booked",J132="Withdrawn"),"OK",IF(G132="","Date assessed needed",IF(C132="","Date of birth needed",IF(COUNTA(L132,M132,P132,U132,V132,X132)&lt;6,"Band missing",IF(AND(OR(J132="Decision confirmed",J132="Family told",J132="Enrolled"),AG132=""),"Recommendation needed",IF(AND(OR(J132="Family told",J132="Enrolled"),AJ132=""),"Date family told needed","OK"))))))))</f>
        <v/>
      </c>
    </row>
    <row r="133" customFormat="false" ht="15" hidden="false" customHeight="false" outlineLevel="0" collapsed="false">
      <c r="A133" s="7"/>
      <c r="B133" s="7"/>
      <c r="C133" s="46"/>
      <c r="D133" s="7"/>
      <c r="E133" s="47"/>
      <c r="F133" s="46"/>
      <c r="G133" s="46"/>
      <c r="H133" s="7"/>
      <c r="I133" s="7"/>
      <c r="J133" s="47"/>
      <c r="K133" s="47"/>
      <c r="L133" s="47"/>
      <c r="M133" s="47"/>
      <c r="N133" s="47"/>
      <c r="O133" s="10"/>
      <c r="P133" s="47"/>
      <c r="Q133" s="47"/>
      <c r="R133" s="48" t="str">
        <f aca="false">IF(Q133="","",IF(Q133=0,"below 5:00",IF(Q133&gt;=66,"16:00 or above",INT((60+2*Q133)/12)&amp;":"&amp;TEXT(MOD(60+2*Q133,12),"00"))))</f>
        <v/>
      </c>
      <c r="S133" s="47"/>
      <c r="T133" s="47"/>
      <c r="U133" s="47"/>
      <c r="V133" s="47"/>
      <c r="W133" s="47"/>
      <c r="X133" s="47"/>
      <c r="Y133" s="47"/>
      <c r="Z133" s="47"/>
      <c r="AA133" s="10"/>
      <c r="AB133" s="10"/>
      <c r="AC133" s="47"/>
      <c r="AD133" s="47"/>
      <c r="AE133" s="47"/>
      <c r="AF133" s="47"/>
      <c r="AG133" s="47"/>
      <c r="AH133" s="47"/>
      <c r="AI133" s="46"/>
      <c r="AJ133" s="46"/>
      <c r="AK133" s="46"/>
      <c r="AL133" s="7"/>
      <c r="AM133" s="49" t="str">
        <f aca="false">IF(OR(C133="",G133=""),"",IFERROR(DATEDIF(C133,G133,"m"),""))</f>
        <v/>
      </c>
      <c r="AN133" s="49" t="str">
        <f aca="false">IF(OR(Q133="",AM133=""),"",60+2*Q133-AM133)</f>
        <v/>
      </c>
      <c r="AO133" s="49" t="str">
        <f aca="false">IF(OR(G133="",AJ133=""),"",AJ133-G133)</f>
        <v/>
      </c>
      <c r="AP133" s="50" t="str">
        <f aca="false">IF(AND(A133="",B133=""),"",IF(J133="","Status needed",IF(OR(J133="Applied",J133="Visit booked",J133="Withdrawn"),"OK",IF(G133="","Date assessed needed",IF(C133="","Date of birth needed",IF(COUNTA(L133,M133,P133,U133,V133,X133)&lt;6,"Band missing",IF(AND(OR(J133="Decision confirmed",J133="Family told",J133="Enrolled"),AG133=""),"Recommendation needed",IF(AND(OR(J133="Family told",J133="Enrolled"),AJ133=""),"Date family told needed","OK"))))))))</f>
        <v/>
      </c>
    </row>
    <row r="134" customFormat="false" ht="15" hidden="false" customHeight="false" outlineLevel="0" collapsed="false">
      <c r="A134" s="7"/>
      <c r="B134" s="7"/>
      <c r="C134" s="46"/>
      <c r="D134" s="7"/>
      <c r="E134" s="47"/>
      <c r="F134" s="46"/>
      <c r="G134" s="46"/>
      <c r="H134" s="7"/>
      <c r="I134" s="7"/>
      <c r="J134" s="47"/>
      <c r="K134" s="47"/>
      <c r="L134" s="47"/>
      <c r="M134" s="47"/>
      <c r="N134" s="47"/>
      <c r="O134" s="10"/>
      <c r="P134" s="47"/>
      <c r="Q134" s="47"/>
      <c r="R134" s="48" t="str">
        <f aca="false">IF(Q134="","",IF(Q134=0,"below 5:00",IF(Q134&gt;=66,"16:00 or above",INT((60+2*Q134)/12)&amp;":"&amp;TEXT(MOD(60+2*Q134,12),"00"))))</f>
        <v/>
      </c>
      <c r="S134" s="47"/>
      <c r="T134" s="47"/>
      <c r="U134" s="47"/>
      <c r="V134" s="47"/>
      <c r="W134" s="47"/>
      <c r="X134" s="47"/>
      <c r="Y134" s="47"/>
      <c r="Z134" s="47"/>
      <c r="AA134" s="10"/>
      <c r="AB134" s="10"/>
      <c r="AC134" s="47"/>
      <c r="AD134" s="47"/>
      <c r="AE134" s="47"/>
      <c r="AF134" s="47"/>
      <c r="AG134" s="47"/>
      <c r="AH134" s="47"/>
      <c r="AI134" s="46"/>
      <c r="AJ134" s="46"/>
      <c r="AK134" s="46"/>
      <c r="AL134" s="7"/>
      <c r="AM134" s="49" t="str">
        <f aca="false">IF(OR(C134="",G134=""),"",IFERROR(DATEDIF(C134,G134,"m"),""))</f>
        <v/>
      </c>
      <c r="AN134" s="49" t="str">
        <f aca="false">IF(OR(Q134="",AM134=""),"",60+2*Q134-AM134)</f>
        <v/>
      </c>
      <c r="AO134" s="49" t="str">
        <f aca="false">IF(OR(G134="",AJ134=""),"",AJ134-G134)</f>
        <v/>
      </c>
      <c r="AP134" s="50" t="str">
        <f aca="false">IF(AND(A134="",B134=""),"",IF(J134="","Status needed",IF(OR(J134="Applied",J134="Visit booked",J134="Withdrawn"),"OK",IF(G134="","Date assessed needed",IF(C134="","Date of birth needed",IF(COUNTA(L134,M134,P134,U134,V134,X134)&lt;6,"Band missing",IF(AND(OR(J134="Decision confirmed",J134="Family told",J134="Enrolled"),AG134=""),"Recommendation needed",IF(AND(OR(J134="Family told",J134="Enrolled"),AJ134=""),"Date family told needed","OK"))))))))</f>
        <v/>
      </c>
    </row>
    <row r="135" customFormat="false" ht="15" hidden="false" customHeight="false" outlineLevel="0" collapsed="false">
      <c r="A135" s="7"/>
      <c r="B135" s="7"/>
      <c r="C135" s="46"/>
      <c r="D135" s="7"/>
      <c r="E135" s="47"/>
      <c r="F135" s="46"/>
      <c r="G135" s="46"/>
      <c r="H135" s="7"/>
      <c r="I135" s="7"/>
      <c r="J135" s="47"/>
      <c r="K135" s="47"/>
      <c r="L135" s="47"/>
      <c r="M135" s="47"/>
      <c r="N135" s="47"/>
      <c r="O135" s="10"/>
      <c r="P135" s="47"/>
      <c r="Q135" s="47"/>
      <c r="R135" s="48" t="str">
        <f aca="false">IF(Q135="","",IF(Q135=0,"below 5:00",IF(Q135&gt;=66,"16:00 or above",INT((60+2*Q135)/12)&amp;":"&amp;TEXT(MOD(60+2*Q135,12),"00"))))</f>
        <v/>
      </c>
      <c r="S135" s="47"/>
      <c r="T135" s="47"/>
      <c r="U135" s="47"/>
      <c r="V135" s="47"/>
      <c r="W135" s="47"/>
      <c r="X135" s="47"/>
      <c r="Y135" s="47"/>
      <c r="Z135" s="47"/>
      <c r="AA135" s="10"/>
      <c r="AB135" s="10"/>
      <c r="AC135" s="47"/>
      <c r="AD135" s="47"/>
      <c r="AE135" s="47"/>
      <c r="AF135" s="47"/>
      <c r="AG135" s="47"/>
      <c r="AH135" s="47"/>
      <c r="AI135" s="46"/>
      <c r="AJ135" s="46"/>
      <c r="AK135" s="46"/>
      <c r="AL135" s="7"/>
      <c r="AM135" s="49" t="str">
        <f aca="false">IF(OR(C135="",G135=""),"",IFERROR(DATEDIF(C135,G135,"m"),""))</f>
        <v/>
      </c>
      <c r="AN135" s="49" t="str">
        <f aca="false">IF(OR(Q135="",AM135=""),"",60+2*Q135-AM135)</f>
        <v/>
      </c>
      <c r="AO135" s="49" t="str">
        <f aca="false">IF(OR(G135="",AJ135=""),"",AJ135-G135)</f>
        <v/>
      </c>
      <c r="AP135" s="50" t="str">
        <f aca="false">IF(AND(A135="",B135=""),"",IF(J135="","Status needed",IF(OR(J135="Applied",J135="Visit booked",J135="Withdrawn"),"OK",IF(G135="","Date assessed needed",IF(C135="","Date of birth needed",IF(COUNTA(L135,M135,P135,U135,V135,X135)&lt;6,"Band missing",IF(AND(OR(J135="Decision confirmed",J135="Family told",J135="Enrolled"),AG135=""),"Recommendation needed",IF(AND(OR(J135="Family told",J135="Enrolled"),AJ135=""),"Date family told needed","OK"))))))))</f>
        <v/>
      </c>
    </row>
    <row r="136" customFormat="false" ht="15" hidden="false" customHeight="false" outlineLevel="0" collapsed="false">
      <c r="A136" s="7"/>
      <c r="B136" s="7"/>
      <c r="C136" s="46"/>
      <c r="D136" s="7"/>
      <c r="E136" s="47"/>
      <c r="F136" s="46"/>
      <c r="G136" s="46"/>
      <c r="H136" s="7"/>
      <c r="I136" s="7"/>
      <c r="J136" s="47"/>
      <c r="K136" s="47"/>
      <c r="L136" s="47"/>
      <c r="M136" s="47"/>
      <c r="N136" s="47"/>
      <c r="O136" s="10"/>
      <c r="P136" s="47"/>
      <c r="Q136" s="47"/>
      <c r="R136" s="48" t="str">
        <f aca="false">IF(Q136="","",IF(Q136=0,"below 5:00",IF(Q136&gt;=66,"16:00 or above",INT((60+2*Q136)/12)&amp;":"&amp;TEXT(MOD(60+2*Q136,12),"00"))))</f>
        <v/>
      </c>
      <c r="S136" s="47"/>
      <c r="T136" s="47"/>
      <c r="U136" s="47"/>
      <c r="V136" s="47"/>
      <c r="W136" s="47"/>
      <c r="X136" s="47"/>
      <c r="Y136" s="47"/>
      <c r="Z136" s="47"/>
      <c r="AA136" s="10"/>
      <c r="AB136" s="10"/>
      <c r="AC136" s="47"/>
      <c r="AD136" s="47"/>
      <c r="AE136" s="47"/>
      <c r="AF136" s="47"/>
      <c r="AG136" s="47"/>
      <c r="AH136" s="47"/>
      <c r="AI136" s="46"/>
      <c r="AJ136" s="46"/>
      <c r="AK136" s="46"/>
      <c r="AL136" s="7"/>
      <c r="AM136" s="49" t="str">
        <f aca="false">IF(OR(C136="",G136=""),"",IFERROR(DATEDIF(C136,G136,"m"),""))</f>
        <v/>
      </c>
      <c r="AN136" s="49" t="str">
        <f aca="false">IF(OR(Q136="",AM136=""),"",60+2*Q136-AM136)</f>
        <v/>
      </c>
      <c r="AO136" s="49" t="str">
        <f aca="false">IF(OR(G136="",AJ136=""),"",AJ136-G136)</f>
        <v/>
      </c>
      <c r="AP136" s="50" t="str">
        <f aca="false">IF(AND(A136="",B136=""),"",IF(J136="","Status needed",IF(OR(J136="Applied",J136="Visit booked",J136="Withdrawn"),"OK",IF(G136="","Date assessed needed",IF(C136="","Date of birth needed",IF(COUNTA(L136,M136,P136,U136,V136,X136)&lt;6,"Band missing",IF(AND(OR(J136="Decision confirmed",J136="Family told",J136="Enrolled"),AG136=""),"Recommendation needed",IF(AND(OR(J136="Family told",J136="Enrolled"),AJ136=""),"Date family told needed","OK"))))))))</f>
        <v/>
      </c>
    </row>
    <row r="137" customFormat="false" ht="15" hidden="false" customHeight="false" outlineLevel="0" collapsed="false">
      <c r="A137" s="7"/>
      <c r="B137" s="7"/>
      <c r="C137" s="46"/>
      <c r="D137" s="7"/>
      <c r="E137" s="47"/>
      <c r="F137" s="46"/>
      <c r="G137" s="46"/>
      <c r="H137" s="7"/>
      <c r="I137" s="7"/>
      <c r="J137" s="47"/>
      <c r="K137" s="47"/>
      <c r="L137" s="47"/>
      <c r="M137" s="47"/>
      <c r="N137" s="47"/>
      <c r="O137" s="10"/>
      <c r="P137" s="47"/>
      <c r="Q137" s="47"/>
      <c r="R137" s="48" t="str">
        <f aca="false">IF(Q137="","",IF(Q137=0,"below 5:00",IF(Q137&gt;=66,"16:00 or above",INT((60+2*Q137)/12)&amp;":"&amp;TEXT(MOD(60+2*Q137,12),"00"))))</f>
        <v/>
      </c>
      <c r="S137" s="47"/>
      <c r="T137" s="47"/>
      <c r="U137" s="47"/>
      <c r="V137" s="47"/>
      <c r="W137" s="47"/>
      <c r="X137" s="47"/>
      <c r="Y137" s="47"/>
      <c r="Z137" s="47"/>
      <c r="AA137" s="10"/>
      <c r="AB137" s="10"/>
      <c r="AC137" s="47"/>
      <c r="AD137" s="47"/>
      <c r="AE137" s="47"/>
      <c r="AF137" s="47"/>
      <c r="AG137" s="47"/>
      <c r="AH137" s="47"/>
      <c r="AI137" s="46"/>
      <c r="AJ137" s="46"/>
      <c r="AK137" s="46"/>
      <c r="AL137" s="7"/>
      <c r="AM137" s="49" t="str">
        <f aca="false">IF(OR(C137="",G137=""),"",IFERROR(DATEDIF(C137,G137,"m"),""))</f>
        <v/>
      </c>
      <c r="AN137" s="49" t="str">
        <f aca="false">IF(OR(Q137="",AM137=""),"",60+2*Q137-AM137)</f>
        <v/>
      </c>
      <c r="AO137" s="49" t="str">
        <f aca="false">IF(OR(G137="",AJ137=""),"",AJ137-G137)</f>
        <v/>
      </c>
      <c r="AP137" s="50" t="str">
        <f aca="false">IF(AND(A137="",B137=""),"",IF(J137="","Status needed",IF(OR(J137="Applied",J137="Visit booked",J137="Withdrawn"),"OK",IF(G137="","Date assessed needed",IF(C137="","Date of birth needed",IF(COUNTA(L137,M137,P137,U137,V137,X137)&lt;6,"Band missing",IF(AND(OR(J137="Decision confirmed",J137="Family told",J137="Enrolled"),AG137=""),"Recommendation needed",IF(AND(OR(J137="Family told",J137="Enrolled"),AJ137=""),"Date family told needed","OK"))))))))</f>
        <v/>
      </c>
    </row>
    <row r="138" customFormat="false" ht="15" hidden="false" customHeight="false" outlineLevel="0" collapsed="false">
      <c r="A138" s="7"/>
      <c r="B138" s="7"/>
      <c r="C138" s="46"/>
      <c r="D138" s="7"/>
      <c r="E138" s="47"/>
      <c r="F138" s="46"/>
      <c r="G138" s="46"/>
      <c r="H138" s="7"/>
      <c r="I138" s="7"/>
      <c r="J138" s="47"/>
      <c r="K138" s="47"/>
      <c r="L138" s="47"/>
      <c r="M138" s="47"/>
      <c r="N138" s="47"/>
      <c r="O138" s="10"/>
      <c r="P138" s="47"/>
      <c r="Q138" s="47"/>
      <c r="R138" s="48" t="str">
        <f aca="false">IF(Q138="","",IF(Q138=0,"below 5:00",IF(Q138&gt;=66,"16:00 or above",INT((60+2*Q138)/12)&amp;":"&amp;TEXT(MOD(60+2*Q138,12),"00"))))</f>
        <v/>
      </c>
      <c r="S138" s="47"/>
      <c r="T138" s="47"/>
      <c r="U138" s="47"/>
      <c r="V138" s="47"/>
      <c r="W138" s="47"/>
      <c r="X138" s="47"/>
      <c r="Y138" s="47"/>
      <c r="Z138" s="47"/>
      <c r="AA138" s="10"/>
      <c r="AB138" s="10"/>
      <c r="AC138" s="47"/>
      <c r="AD138" s="47"/>
      <c r="AE138" s="47"/>
      <c r="AF138" s="47"/>
      <c r="AG138" s="47"/>
      <c r="AH138" s="47"/>
      <c r="AI138" s="46"/>
      <c r="AJ138" s="46"/>
      <c r="AK138" s="46"/>
      <c r="AL138" s="7"/>
      <c r="AM138" s="49" t="str">
        <f aca="false">IF(OR(C138="",G138=""),"",IFERROR(DATEDIF(C138,G138,"m"),""))</f>
        <v/>
      </c>
      <c r="AN138" s="49" t="str">
        <f aca="false">IF(OR(Q138="",AM138=""),"",60+2*Q138-AM138)</f>
        <v/>
      </c>
      <c r="AO138" s="49" t="str">
        <f aca="false">IF(OR(G138="",AJ138=""),"",AJ138-G138)</f>
        <v/>
      </c>
      <c r="AP138" s="50" t="str">
        <f aca="false">IF(AND(A138="",B138=""),"",IF(J138="","Status needed",IF(OR(J138="Applied",J138="Visit booked",J138="Withdrawn"),"OK",IF(G138="","Date assessed needed",IF(C138="","Date of birth needed",IF(COUNTA(L138,M138,P138,U138,V138,X138)&lt;6,"Band missing",IF(AND(OR(J138="Decision confirmed",J138="Family told",J138="Enrolled"),AG138=""),"Recommendation needed",IF(AND(OR(J138="Family told",J138="Enrolled"),AJ138=""),"Date family told needed","OK"))))))))</f>
        <v/>
      </c>
    </row>
    <row r="139" customFormat="false" ht="15" hidden="false" customHeight="false" outlineLevel="0" collapsed="false">
      <c r="A139" s="7"/>
      <c r="B139" s="7"/>
      <c r="C139" s="46"/>
      <c r="D139" s="7"/>
      <c r="E139" s="47"/>
      <c r="F139" s="46"/>
      <c r="G139" s="46"/>
      <c r="H139" s="7"/>
      <c r="I139" s="7"/>
      <c r="J139" s="47"/>
      <c r="K139" s="47"/>
      <c r="L139" s="47"/>
      <c r="M139" s="47"/>
      <c r="N139" s="47"/>
      <c r="O139" s="10"/>
      <c r="P139" s="47"/>
      <c r="Q139" s="47"/>
      <c r="R139" s="48" t="str">
        <f aca="false">IF(Q139="","",IF(Q139=0,"below 5:00",IF(Q139&gt;=66,"16:00 or above",INT((60+2*Q139)/12)&amp;":"&amp;TEXT(MOD(60+2*Q139,12),"00"))))</f>
        <v/>
      </c>
      <c r="S139" s="47"/>
      <c r="T139" s="47"/>
      <c r="U139" s="47"/>
      <c r="V139" s="47"/>
      <c r="W139" s="47"/>
      <c r="X139" s="47"/>
      <c r="Y139" s="47"/>
      <c r="Z139" s="47"/>
      <c r="AA139" s="10"/>
      <c r="AB139" s="10"/>
      <c r="AC139" s="47"/>
      <c r="AD139" s="47"/>
      <c r="AE139" s="47"/>
      <c r="AF139" s="47"/>
      <c r="AG139" s="47"/>
      <c r="AH139" s="47"/>
      <c r="AI139" s="46"/>
      <c r="AJ139" s="46"/>
      <c r="AK139" s="46"/>
      <c r="AL139" s="7"/>
      <c r="AM139" s="49" t="str">
        <f aca="false">IF(OR(C139="",G139=""),"",IFERROR(DATEDIF(C139,G139,"m"),""))</f>
        <v/>
      </c>
      <c r="AN139" s="49" t="str">
        <f aca="false">IF(OR(Q139="",AM139=""),"",60+2*Q139-AM139)</f>
        <v/>
      </c>
      <c r="AO139" s="49" t="str">
        <f aca="false">IF(OR(G139="",AJ139=""),"",AJ139-G139)</f>
        <v/>
      </c>
      <c r="AP139" s="50" t="str">
        <f aca="false">IF(AND(A139="",B139=""),"",IF(J139="","Status needed",IF(OR(J139="Applied",J139="Visit booked",J139="Withdrawn"),"OK",IF(G139="","Date assessed needed",IF(C139="","Date of birth needed",IF(COUNTA(L139,M139,P139,U139,V139,X139)&lt;6,"Band missing",IF(AND(OR(J139="Decision confirmed",J139="Family told",J139="Enrolled"),AG139=""),"Recommendation needed",IF(AND(OR(J139="Family told",J139="Enrolled"),AJ139=""),"Date family told needed","OK"))))))))</f>
        <v/>
      </c>
    </row>
    <row r="140" customFormat="false" ht="15" hidden="false" customHeight="false" outlineLevel="0" collapsed="false">
      <c r="A140" s="7"/>
      <c r="B140" s="7"/>
      <c r="C140" s="46"/>
      <c r="D140" s="7"/>
      <c r="E140" s="47"/>
      <c r="F140" s="46"/>
      <c r="G140" s="46"/>
      <c r="H140" s="7"/>
      <c r="I140" s="7"/>
      <c r="J140" s="47"/>
      <c r="K140" s="47"/>
      <c r="L140" s="47"/>
      <c r="M140" s="47"/>
      <c r="N140" s="47"/>
      <c r="O140" s="10"/>
      <c r="P140" s="47"/>
      <c r="Q140" s="47"/>
      <c r="R140" s="48" t="str">
        <f aca="false">IF(Q140="","",IF(Q140=0,"below 5:00",IF(Q140&gt;=66,"16:00 or above",INT((60+2*Q140)/12)&amp;":"&amp;TEXT(MOD(60+2*Q140,12),"00"))))</f>
        <v/>
      </c>
      <c r="S140" s="47"/>
      <c r="T140" s="47"/>
      <c r="U140" s="47"/>
      <c r="V140" s="47"/>
      <c r="W140" s="47"/>
      <c r="X140" s="47"/>
      <c r="Y140" s="47"/>
      <c r="Z140" s="47"/>
      <c r="AA140" s="10"/>
      <c r="AB140" s="10"/>
      <c r="AC140" s="47"/>
      <c r="AD140" s="47"/>
      <c r="AE140" s="47"/>
      <c r="AF140" s="47"/>
      <c r="AG140" s="47"/>
      <c r="AH140" s="47"/>
      <c r="AI140" s="46"/>
      <c r="AJ140" s="46"/>
      <c r="AK140" s="46"/>
      <c r="AL140" s="7"/>
      <c r="AM140" s="49" t="str">
        <f aca="false">IF(OR(C140="",G140=""),"",IFERROR(DATEDIF(C140,G140,"m"),""))</f>
        <v/>
      </c>
      <c r="AN140" s="49" t="str">
        <f aca="false">IF(OR(Q140="",AM140=""),"",60+2*Q140-AM140)</f>
        <v/>
      </c>
      <c r="AO140" s="49" t="str">
        <f aca="false">IF(OR(G140="",AJ140=""),"",AJ140-G140)</f>
        <v/>
      </c>
      <c r="AP140" s="50" t="str">
        <f aca="false">IF(AND(A140="",B140=""),"",IF(J140="","Status needed",IF(OR(J140="Applied",J140="Visit booked",J140="Withdrawn"),"OK",IF(G140="","Date assessed needed",IF(C140="","Date of birth needed",IF(COUNTA(L140,M140,P140,U140,V140,X140)&lt;6,"Band missing",IF(AND(OR(J140="Decision confirmed",J140="Family told",J140="Enrolled"),AG140=""),"Recommendation needed",IF(AND(OR(J140="Family told",J140="Enrolled"),AJ140=""),"Date family told needed","OK"))))))))</f>
        <v/>
      </c>
    </row>
    <row r="141" customFormat="false" ht="15" hidden="false" customHeight="false" outlineLevel="0" collapsed="false">
      <c r="A141" s="7"/>
      <c r="B141" s="7"/>
      <c r="C141" s="46"/>
      <c r="D141" s="7"/>
      <c r="E141" s="47"/>
      <c r="F141" s="46"/>
      <c r="G141" s="46"/>
      <c r="H141" s="7"/>
      <c r="I141" s="7"/>
      <c r="J141" s="47"/>
      <c r="K141" s="47"/>
      <c r="L141" s="47"/>
      <c r="M141" s="47"/>
      <c r="N141" s="47"/>
      <c r="O141" s="10"/>
      <c r="P141" s="47"/>
      <c r="Q141" s="47"/>
      <c r="R141" s="48" t="str">
        <f aca="false">IF(Q141="","",IF(Q141=0,"below 5:00",IF(Q141&gt;=66,"16:00 or above",INT((60+2*Q141)/12)&amp;":"&amp;TEXT(MOD(60+2*Q141,12),"00"))))</f>
        <v/>
      </c>
      <c r="S141" s="47"/>
      <c r="T141" s="47"/>
      <c r="U141" s="47"/>
      <c r="V141" s="47"/>
      <c r="W141" s="47"/>
      <c r="X141" s="47"/>
      <c r="Y141" s="47"/>
      <c r="Z141" s="47"/>
      <c r="AA141" s="10"/>
      <c r="AB141" s="10"/>
      <c r="AC141" s="47"/>
      <c r="AD141" s="47"/>
      <c r="AE141" s="47"/>
      <c r="AF141" s="47"/>
      <c r="AG141" s="47"/>
      <c r="AH141" s="47"/>
      <c r="AI141" s="46"/>
      <c r="AJ141" s="46"/>
      <c r="AK141" s="46"/>
      <c r="AL141" s="7"/>
      <c r="AM141" s="49" t="str">
        <f aca="false">IF(OR(C141="",G141=""),"",IFERROR(DATEDIF(C141,G141,"m"),""))</f>
        <v/>
      </c>
      <c r="AN141" s="49" t="str">
        <f aca="false">IF(OR(Q141="",AM141=""),"",60+2*Q141-AM141)</f>
        <v/>
      </c>
      <c r="AO141" s="49" t="str">
        <f aca="false">IF(OR(G141="",AJ141=""),"",AJ141-G141)</f>
        <v/>
      </c>
      <c r="AP141" s="50" t="str">
        <f aca="false">IF(AND(A141="",B141=""),"",IF(J141="","Status needed",IF(OR(J141="Applied",J141="Visit booked",J141="Withdrawn"),"OK",IF(G141="","Date assessed needed",IF(C141="","Date of birth needed",IF(COUNTA(L141,M141,P141,U141,V141,X141)&lt;6,"Band missing",IF(AND(OR(J141="Decision confirmed",J141="Family told",J141="Enrolled"),AG141=""),"Recommendation needed",IF(AND(OR(J141="Family told",J141="Enrolled"),AJ141=""),"Date family told needed","OK"))))))))</f>
        <v/>
      </c>
    </row>
    <row r="142" customFormat="false" ht="15" hidden="false" customHeight="false" outlineLevel="0" collapsed="false">
      <c r="A142" s="7"/>
      <c r="B142" s="7"/>
      <c r="C142" s="46"/>
      <c r="D142" s="7"/>
      <c r="E142" s="47"/>
      <c r="F142" s="46"/>
      <c r="G142" s="46"/>
      <c r="H142" s="7"/>
      <c r="I142" s="7"/>
      <c r="J142" s="47"/>
      <c r="K142" s="47"/>
      <c r="L142" s="47"/>
      <c r="M142" s="47"/>
      <c r="N142" s="47"/>
      <c r="O142" s="10"/>
      <c r="P142" s="47"/>
      <c r="Q142" s="47"/>
      <c r="R142" s="48" t="str">
        <f aca="false">IF(Q142="","",IF(Q142=0,"below 5:00",IF(Q142&gt;=66,"16:00 or above",INT((60+2*Q142)/12)&amp;":"&amp;TEXT(MOD(60+2*Q142,12),"00"))))</f>
        <v/>
      </c>
      <c r="S142" s="47"/>
      <c r="T142" s="47"/>
      <c r="U142" s="47"/>
      <c r="V142" s="47"/>
      <c r="W142" s="47"/>
      <c r="X142" s="47"/>
      <c r="Y142" s="47"/>
      <c r="Z142" s="47"/>
      <c r="AA142" s="10"/>
      <c r="AB142" s="10"/>
      <c r="AC142" s="47"/>
      <c r="AD142" s="47"/>
      <c r="AE142" s="47"/>
      <c r="AF142" s="47"/>
      <c r="AG142" s="47"/>
      <c r="AH142" s="47"/>
      <c r="AI142" s="46"/>
      <c r="AJ142" s="46"/>
      <c r="AK142" s="46"/>
      <c r="AL142" s="7"/>
      <c r="AM142" s="49" t="str">
        <f aca="false">IF(OR(C142="",G142=""),"",IFERROR(DATEDIF(C142,G142,"m"),""))</f>
        <v/>
      </c>
      <c r="AN142" s="49" t="str">
        <f aca="false">IF(OR(Q142="",AM142=""),"",60+2*Q142-AM142)</f>
        <v/>
      </c>
      <c r="AO142" s="49" t="str">
        <f aca="false">IF(OR(G142="",AJ142=""),"",AJ142-G142)</f>
        <v/>
      </c>
      <c r="AP142" s="50" t="str">
        <f aca="false">IF(AND(A142="",B142=""),"",IF(J142="","Status needed",IF(OR(J142="Applied",J142="Visit booked",J142="Withdrawn"),"OK",IF(G142="","Date assessed needed",IF(C142="","Date of birth needed",IF(COUNTA(L142,M142,P142,U142,V142,X142)&lt;6,"Band missing",IF(AND(OR(J142="Decision confirmed",J142="Family told",J142="Enrolled"),AG142=""),"Recommendation needed",IF(AND(OR(J142="Family told",J142="Enrolled"),AJ142=""),"Date family told needed","OK"))))))))</f>
        <v/>
      </c>
    </row>
    <row r="143" customFormat="false" ht="15" hidden="false" customHeight="false" outlineLevel="0" collapsed="false">
      <c r="A143" s="7"/>
      <c r="B143" s="7"/>
      <c r="C143" s="46"/>
      <c r="D143" s="7"/>
      <c r="E143" s="47"/>
      <c r="F143" s="46"/>
      <c r="G143" s="46"/>
      <c r="H143" s="7"/>
      <c r="I143" s="7"/>
      <c r="J143" s="47"/>
      <c r="K143" s="47"/>
      <c r="L143" s="47"/>
      <c r="M143" s="47"/>
      <c r="N143" s="47"/>
      <c r="O143" s="10"/>
      <c r="P143" s="47"/>
      <c r="Q143" s="47"/>
      <c r="R143" s="48" t="str">
        <f aca="false">IF(Q143="","",IF(Q143=0,"below 5:00",IF(Q143&gt;=66,"16:00 or above",INT((60+2*Q143)/12)&amp;":"&amp;TEXT(MOD(60+2*Q143,12),"00"))))</f>
        <v/>
      </c>
      <c r="S143" s="47"/>
      <c r="T143" s="47"/>
      <c r="U143" s="47"/>
      <c r="V143" s="47"/>
      <c r="W143" s="47"/>
      <c r="X143" s="47"/>
      <c r="Y143" s="47"/>
      <c r="Z143" s="47"/>
      <c r="AA143" s="10"/>
      <c r="AB143" s="10"/>
      <c r="AC143" s="47"/>
      <c r="AD143" s="47"/>
      <c r="AE143" s="47"/>
      <c r="AF143" s="47"/>
      <c r="AG143" s="47"/>
      <c r="AH143" s="47"/>
      <c r="AI143" s="46"/>
      <c r="AJ143" s="46"/>
      <c r="AK143" s="46"/>
      <c r="AL143" s="7"/>
      <c r="AM143" s="49" t="str">
        <f aca="false">IF(OR(C143="",G143=""),"",IFERROR(DATEDIF(C143,G143,"m"),""))</f>
        <v/>
      </c>
      <c r="AN143" s="49" t="str">
        <f aca="false">IF(OR(Q143="",AM143=""),"",60+2*Q143-AM143)</f>
        <v/>
      </c>
      <c r="AO143" s="49" t="str">
        <f aca="false">IF(OR(G143="",AJ143=""),"",AJ143-G143)</f>
        <v/>
      </c>
      <c r="AP143" s="50" t="str">
        <f aca="false">IF(AND(A143="",B143=""),"",IF(J143="","Status needed",IF(OR(J143="Applied",J143="Visit booked",J143="Withdrawn"),"OK",IF(G143="","Date assessed needed",IF(C143="","Date of birth needed",IF(COUNTA(L143,M143,P143,U143,V143,X143)&lt;6,"Band missing",IF(AND(OR(J143="Decision confirmed",J143="Family told",J143="Enrolled"),AG143=""),"Recommendation needed",IF(AND(OR(J143="Family told",J143="Enrolled"),AJ143=""),"Date family told needed","OK"))))))))</f>
        <v/>
      </c>
    </row>
    <row r="144" customFormat="false" ht="15" hidden="false" customHeight="false" outlineLevel="0" collapsed="false">
      <c r="A144" s="7"/>
      <c r="B144" s="7"/>
      <c r="C144" s="46"/>
      <c r="D144" s="7"/>
      <c r="E144" s="47"/>
      <c r="F144" s="46"/>
      <c r="G144" s="46"/>
      <c r="H144" s="7"/>
      <c r="I144" s="7"/>
      <c r="J144" s="47"/>
      <c r="K144" s="47"/>
      <c r="L144" s="47"/>
      <c r="M144" s="47"/>
      <c r="N144" s="47"/>
      <c r="O144" s="10"/>
      <c r="P144" s="47"/>
      <c r="Q144" s="47"/>
      <c r="R144" s="48" t="str">
        <f aca="false">IF(Q144="","",IF(Q144=0,"below 5:00",IF(Q144&gt;=66,"16:00 or above",INT((60+2*Q144)/12)&amp;":"&amp;TEXT(MOD(60+2*Q144,12),"00"))))</f>
        <v/>
      </c>
      <c r="S144" s="47"/>
      <c r="T144" s="47"/>
      <c r="U144" s="47"/>
      <c r="V144" s="47"/>
      <c r="W144" s="47"/>
      <c r="X144" s="47"/>
      <c r="Y144" s="47"/>
      <c r="Z144" s="47"/>
      <c r="AA144" s="10"/>
      <c r="AB144" s="10"/>
      <c r="AC144" s="47"/>
      <c r="AD144" s="47"/>
      <c r="AE144" s="47"/>
      <c r="AF144" s="47"/>
      <c r="AG144" s="47"/>
      <c r="AH144" s="47"/>
      <c r="AI144" s="46"/>
      <c r="AJ144" s="46"/>
      <c r="AK144" s="46"/>
      <c r="AL144" s="7"/>
      <c r="AM144" s="49" t="str">
        <f aca="false">IF(OR(C144="",G144=""),"",IFERROR(DATEDIF(C144,G144,"m"),""))</f>
        <v/>
      </c>
      <c r="AN144" s="49" t="str">
        <f aca="false">IF(OR(Q144="",AM144=""),"",60+2*Q144-AM144)</f>
        <v/>
      </c>
      <c r="AO144" s="49" t="str">
        <f aca="false">IF(OR(G144="",AJ144=""),"",AJ144-G144)</f>
        <v/>
      </c>
      <c r="AP144" s="50" t="str">
        <f aca="false">IF(AND(A144="",B144=""),"",IF(J144="","Status needed",IF(OR(J144="Applied",J144="Visit booked",J144="Withdrawn"),"OK",IF(G144="","Date assessed needed",IF(C144="","Date of birth needed",IF(COUNTA(L144,M144,P144,U144,V144,X144)&lt;6,"Band missing",IF(AND(OR(J144="Decision confirmed",J144="Family told",J144="Enrolled"),AG144=""),"Recommendation needed",IF(AND(OR(J144="Family told",J144="Enrolled"),AJ144=""),"Date family told needed","OK"))))))))</f>
        <v/>
      </c>
    </row>
    <row r="145" customFormat="false" ht="15" hidden="false" customHeight="false" outlineLevel="0" collapsed="false">
      <c r="A145" s="7"/>
      <c r="B145" s="7"/>
      <c r="C145" s="46"/>
      <c r="D145" s="7"/>
      <c r="E145" s="47"/>
      <c r="F145" s="46"/>
      <c r="G145" s="46"/>
      <c r="H145" s="7"/>
      <c r="I145" s="7"/>
      <c r="J145" s="47"/>
      <c r="K145" s="47"/>
      <c r="L145" s="47"/>
      <c r="M145" s="47"/>
      <c r="N145" s="47"/>
      <c r="O145" s="10"/>
      <c r="P145" s="47"/>
      <c r="Q145" s="47"/>
      <c r="R145" s="48" t="str">
        <f aca="false">IF(Q145="","",IF(Q145=0,"below 5:00",IF(Q145&gt;=66,"16:00 or above",INT((60+2*Q145)/12)&amp;":"&amp;TEXT(MOD(60+2*Q145,12),"00"))))</f>
        <v/>
      </c>
      <c r="S145" s="47"/>
      <c r="T145" s="47"/>
      <c r="U145" s="47"/>
      <c r="V145" s="47"/>
      <c r="W145" s="47"/>
      <c r="X145" s="47"/>
      <c r="Y145" s="47"/>
      <c r="Z145" s="47"/>
      <c r="AA145" s="10"/>
      <c r="AB145" s="10"/>
      <c r="AC145" s="47"/>
      <c r="AD145" s="47"/>
      <c r="AE145" s="47"/>
      <c r="AF145" s="47"/>
      <c r="AG145" s="47"/>
      <c r="AH145" s="47"/>
      <c r="AI145" s="46"/>
      <c r="AJ145" s="46"/>
      <c r="AK145" s="46"/>
      <c r="AL145" s="7"/>
      <c r="AM145" s="49" t="str">
        <f aca="false">IF(OR(C145="",G145=""),"",IFERROR(DATEDIF(C145,G145,"m"),""))</f>
        <v/>
      </c>
      <c r="AN145" s="49" t="str">
        <f aca="false">IF(OR(Q145="",AM145=""),"",60+2*Q145-AM145)</f>
        <v/>
      </c>
      <c r="AO145" s="49" t="str">
        <f aca="false">IF(OR(G145="",AJ145=""),"",AJ145-G145)</f>
        <v/>
      </c>
      <c r="AP145" s="50" t="str">
        <f aca="false">IF(AND(A145="",B145=""),"",IF(J145="","Status needed",IF(OR(J145="Applied",J145="Visit booked",J145="Withdrawn"),"OK",IF(G145="","Date assessed needed",IF(C145="","Date of birth needed",IF(COUNTA(L145,M145,P145,U145,V145,X145)&lt;6,"Band missing",IF(AND(OR(J145="Decision confirmed",J145="Family told",J145="Enrolled"),AG145=""),"Recommendation needed",IF(AND(OR(J145="Family told",J145="Enrolled"),AJ145=""),"Date family told needed","OK"))))))))</f>
        <v/>
      </c>
    </row>
    <row r="146" customFormat="false" ht="15" hidden="false" customHeight="false" outlineLevel="0" collapsed="false">
      <c r="A146" s="7"/>
      <c r="B146" s="7"/>
      <c r="C146" s="46"/>
      <c r="D146" s="7"/>
      <c r="E146" s="47"/>
      <c r="F146" s="46"/>
      <c r="G146" s="46"/>
      <c r="H146" s="7"/>
      <c r="I146" s="7"/>
      <c r="J146" s="47"/>
      <c r="K146" s="47"/>
      <c r="L146" s="47"/>
      <c r="M146" s="47"/>
      <c r="N146" s="47"/>
      <c r="O146" s="10"/>
      <c r="P146" s="47"/>
      <c r="Q146" s="47"/>
      <c r="R146" s="48" t="str">
        <f aca="false">IF(Q146="","",IF(Q146=0,"below 5:00",IF(Q146&gt;=66,"16:00 or above",INT((60+2*Q146)/12)&amp;":"&amp;TEXT(MOD(60+2*Q146,12),"00"))))</f>
        <v/>
      </c>
      <c r="S146" s="47"/>
      <c r="T146" s="47"/>
      <c r="U146" s="47"/>
      <c r="V146" s="47"/>
      <c r="W146" s="47"/>
      <c r="X146" s="47"/>
      <c r="Y146" s="47"/>
      <c r="Z146" s="47"/>
      <c r="AA146" s="10"/>
      <c r="AB146" s="10"/>
      <c r="AC146" s="47"/>
      <c r="AD146" s="47"/>
      <c r="AE146" s="47"/>
      <c r="AF146" s="47"/>
      <c r="AG146" s="47"/>
      <c r="AH146" s="47"/>
      <c r="AI146" s="46"/>
      <c r="AJ146" s="46"/>
      <c r="AK146" s="46"/>
      <c r="AL146" s="7"/>
      <c r="AM146" s="49" t="str">
        <f aca="false">IF(OR(C146="",G146=""),"",IFERROR(DATEDIF(C146,G146,"m"),""))</f>
        <v/>
      </c>
      <c r="AN146" s="49" t="str">
        <f aca="false">IF(OR(Q146="",AM146=""),"",60+2*Q146-AM146)</f>
        <v/>
      </c>
      <c r="AO146" s="49" t="str">
        <f aca="false">IF(OR(G146="",AJ146=""),"",AJ146-G146)</f>
        <v/>
      </c>
      <c r="AP146" s="50" t="str">
        <f aca="false">IF(AND(A146="",B146=""),"",IF(J146="","Status needed",IF(OR(J146="Applied",J146="Visit booked",J146="Withdrawn"),"OK",IF(G146="","Date assessed needed",IF(C146="","Date of birth needed",IF(COUNTA(L146,M146,P146,U146,V146,X146)&lt;6,"Band missing",IF(AND(OR(J146="Decision confirmed",J146="Family told",J146="Enrolled"),AG146=""),"Recommendation needed",IF(AND(OR(J146="Family told",J146="Enrolled"),AJ146=""),"Date family told needed","OK"))))))))</f>
        <v/>
      </c>
    </row>
    <row r="147" customFormat="false" ht="15" hidden="false" customHeight="false" outlineLevel="0" collapsed="false">
      <c r="A147" s="7"/>
      <c r="B147" s="7"/>
      <c r="C147" s="46"/>
      <c r="D147" s="7"/>
      <c r="E147" s="47"/>
      <c r="F147" s="46"/>
      <c r="G147" s="46"/>
      <c r="H147" s="7"/>
      <c r="I147" s="7"/>
      <c r="J147" s="47"/>
      <c r="K147" s="47"/>
      <c r="L147" s="47"/>
      <c r="M147" s="47"/>
      <c r="N147" s="47"/>
      <c r="O147" s="10"/>
      <c r="P147" s="47"/>
      <c r="Q147" s="47"/>
      <c r="R147" s="48" t="str">
        <f aca="false">IF(Q147="","",IF(Q147=0,"below 5:00",IF(Q147&gt;=66,"16:00 or above",INT((60+2*Q147)/12)&amp;":"&amp;TEXT(MOD(60+2*Q147,12),"00"))))</f>
        <v/>
      </c>
      <c r="S147" s="47"/>
      <c r="T147" s="47"/>
      <c r="U147" s="47"/>
      <c r="V147" s="47"/>
      <c r="W147" s="47"/>
      <c r="X147" s="47"/>
      <c r="Y147" s="47"/>
      <c r="Z147" s="47"/>
      <c r="AA147" s="10"/>
      <c r="AB147" s="10"/>
      <c r="AC147" s="47"/>
      <c r="AD147" s="47"/>
      <c r="AE147" s="47"/>
      <c r="AF147" s="47"/>
      <c r="AG147" s="47"/>
      <c r="AH147" s="47"/>
      <c r="AI147" s="46"/>
      <c r="AJ147" s="46"/>
      <c r="AK147" s="46"/>
      <c r="AL147" s="7"/>
      <c r="AM147" s="49" t="str">
        <f aca="false">IF(OR(C147="",G147=""),"",IFERROR(DATEDIF(C147,G147,"m"),""))</f>
        <v/>
      </c>
      <c r="AN147" s="49" t="str">
        <f aca="false">IF(OR(Q147="",AM147=""),"",60+2*Q147-AM147)</f>
        <v/>
      </c>
      <c r="AO147" s="49" t="str">
        <f aca="false">IF(OR(G147="",AJ147=""),"",AJ147-G147)</f>
        <v/>
      </c>
      <c r="AP147" s="50" t="str">
        <f aca="false">IF(AND(A147="",B147=""),"",IF(J147="","Status needed",IF(OR(J147="Applied",J147="Visit booked",J147="Withdrawn"),"OK",IF(G147="","Date assessed needed",IF(C147="","Date of birth needed",IF(COUNTA(L147,M147,P147,U147,V147,X147)&lt;6,"Band missing",IF(AND(OR(J147="Decision confirmed",J147="Family told",J147="Enrolled"),AG147=""),"Recommendation needed",IF(AND(OR(J147="Family told",J147="Enrolled"),AJ147=""),"Date family told needed","OK"))))))))</f>
        <v/>
      </c>
    </row>
    <row r="148" customFormat="false" ht="15" hidden="false" customHeight="false" outlineLevel="0" collapsed="false">
      <c r="A148" s="7"/>
      <c r="B148" s="7"/>
      <c r="C148" s="46"/>
      <c r="D148" s="7"/>
      <c r="E148" s="47"/>
      <c r="F148" s="46"/>
      <c r="G148" s="46"/>
      <c r="H148" s="7"/>
      <c r="I148" s="7"/>
      <c r="J148" s="47"/>
      <c r="K148" s="47"/>
      <c r="L148" s="47"/>
      <c r="M148" s="47"/>
      <c r="N148" s="47"/>
      <c r="O148" s="10"/>
      <c r="P148" s="47"/>
      <c r="Q148" s="47"/>
      <c r="R148" s="48" t="str">
        <f aca="false">IF(Q148="","",IF(Q148=0,"below 5:00",IF(Q148&gt;=66,"16:00 or above",INT((60+2*Q148)/12)&amp;":"&amp;TEXT(MOD(60+2*Q148,12),"00"))))</f>
        <v/>
      </c>
      <c r="S148" s="47"/>
      <c r="T148" s="47"/>
      <c r="U148" s="47"/>
      <c r="V148" s="47"/>
      <c r="W148" s="47"/>
      <c r="X148" s="47"/>
      <c r="Y148" s="47"/>
      <c r="Z148" s="47"/>
      <c r="AA148" s="10"/>
      <c r="AB148" s="10"/>
      <c r="AC148" s="47"/>
      <c r="AD148" s="47"/>
      <c r="AE148" s="47"/>
      <c r="AF148" s="47"/>
      <c r="AG148" s="47"/>
      <c r="AH148" s="47"/>
      <c r="AI148" s="46"/>
      <c r="AJ148" s="46"/>
      <c r="AK148" s="46"/>
      <c r="AL148" s="7"/>
      <c r="AM148" s="49" t="str">
        <f aca="false">IF(OR(C148="",G148=""),"",IFERROR(DATEDIF(C148,G148,"m"),""))</f>
        <v/>
      </c>
      <c r="AN148" s="49" t="str">
        <f aca="false">IF(OR(Q148="",AM148=""),"",60+2*Q148-AM148)</f>
        <v/>
      </c>
      <c r="AO148" s="49" t="str">
        <f aca="false">IF(OR(G148="",AJ148=""),"",AJ148-G148)</f>
        <v/>
      </c>
      <c r="AP148" s="50" t="str">
        <f aca="false">IF(AND(A148="",B148=""),"",IF(J148="","Status needed",IF(OR(J148="Applied",J148="Visit booked",J148="Withdrawn"),"OK",IF(G148="","Date assessed needed",IF(C148="","Date of birth needed",IF(COUNTA(L148,M148,P148,U148,V148,X148)&lt;6,"Band missing",IF(AND(OR(J148="Decision confirmed",J148="Family told",J148="Enrolled"),AG148=""),"Recommendation needed",IF(AND(OR(J148="Family told",J148="Enrolled"),AJ148=""),"Date family told needed","OK"))))))))</f>
        <v/>
      </c>
    </row>
    <row r="149" customFormat="false" ht="15" hidden="false" customHeight="false" outlineLevel="0" collapsed="false">
      <c r="A149" s="7"/>
      <c r="B149" s="7"/>
      <c r="C149" s="46"/>
      <c r="D149" s="7"/>
      <c r="E149" s="47"/>
      <c r="F149" s="46"/>
      <c r="G149" s="46"/>
      <c r="H149" s="7"/>
      <c r="I149" s="7"/>
      <c r="J149" s="47"/>
      <c r="K149" s="47"/>
      <c r="L149" s="47"/>
      <c r="M149" s="47"/>
      <c r="N149" s="47"/>
      <c r="O149" s="10"/>
      <c r="P149" s="47"/>
      <c r="Q149" s="47"/>
      <c r="R149" s="48" t="str">
        <f aca="false">IF(Q149="","",IF(Q149=0,"below 5:00",IF(Q149&gt;=66,"16:00 or above",INT((60+2*Q149)/12)&amp;":"&amp;TEXT(MOD(60+2*Q149,12),"00"))))</f>
        <v/>
      </c>
      <c r="S149" s="47"/>
      <c r="T149" s="47"/>
      <c r="U149" s="47"/>
      <c r="V149" s="47"/>
      <c r="W149" s="47"/>
      <c r="X149" s="47"/>
      <c r="Y149" s="47"/>
      <c r="Z149" s="47"/>
      <c r="AA149" s="10"/>
      <c r="AB149" s="10"/>
      <c r="AC149" s="47"/>
      <c r="AD149" s="47"/>
      <c r="AE149" s="47"/>
      <c r="AF149" s="47"/>
      <c r="AG149" s="47"/>
      <c r="AH149" s="47"/>
      <c r="AI149" s="46"/>
      <c r="AJ149" s="46"/>
      <c r="AK149" s="46"/>
      <c r="AL149" s="7"/>
      <c r="AM149" s="49" t="str">
        <f aca="false">IF(OR(C149="",G149=""),"",IFERROR(DATEDIF(C149,G149,"m"),""))</f>
        <v/>
      </c>
      <c r="AN149" s="49" t="str">
        <f aca="false">IF(OR(Q149="",AM149=""),"",60+2*Q149-AM149)</f>
        <v/>
      </c>
      <c r="AO149" s="49" t="str">
        <f aca="false">IF(OR(G149="",AJ149=""),"",AJ149-G149)</f>
        <v/>
      </c>
      <c r="AP149" s="50" t="str">
        <f aca="false">IF(AND(A149="",B149=""),"",IF(J149="","Status needed",IF(OR(J149="Applied",J149="Visit booked",J149="Withdrawn"),"OK",IF(G149="","Date assessed needed",IF(C149="","Date of birth needed",IF(COUNTA(L149,M149,P149,U149,V149,X149)&lt;6,"Band missing",IF(AND(OR(J149="Decision confirmed",J149="Family told",J149="Enrolled"),AG149=""),"Recommendation needed",IF(AND(OR(J149="Family told",J149="Enrolled"),AJ149=""),"Date family told needed","OK"))))))))</f>
        <v/>
      </c>
    </row>
    <row r="150" customFormat="false" ht="15" hidden="false" customHeight="false" outlineLevel="0" collapsed="false">
      <c r="A150" s="7"/>
      <c r="B150" s="7"/>
      <c r="C150" s="46"/>
      <c r="D150" s="7"/>
      <c r="E150" s="47"/>
      <c r="F150" s="46"/>
      <c r="G150" s="46"/>
      <c r="H150" s="7"/>
      <c r="I150" s="7"/>
      <c r="J150" s="47"/>
      <c r="K150" s="47"/>
      <c r="L150" s="47"/>
      <c r="M150" s="47"/>
      <c r="N150" s="47"/>
      <c r="O150" s="10"/>
      <c r="P150" s="47"/>
      <c r="Q150" s="47"/>
      <c r="R150" s="48" t="str">
        <f aca="false">IF(Q150="","",IF(Q150=0,"below 5:00",IF(Q150&gt;=66,"16:00 or above",INT((60+2*Q150)/12)&amp;":"&amp;TEXT(MOD(60+2*Q150,12),"00"))))</f>
        <v/>
      </c>
      <c r="S150" s="47"/>
      <c r="T150" s="47"/>
      <c r="U150" s="47"/>
      <c r="V150" s="47"/>
      <c r="W150" s="47"/>
      <c r="X150" s="47"/>
      <c r="Y150" s="47"/>
      <c r="Z150" s="47"/>
      <c r="AA150" s="10"/>
      <c r="AB150" s="10"/>
      <c r="AC150" s="47"/>
      <c r="AD150" s="47"/>
      <c r="AE150" s="47"/>
      <c r="AF150" s="47"/>
      <c r="AG150" s="47"/>
      <c r="AH150" s="47"/>
      <c r="AI150" s="46"/>
      <c r="AJ150" s="46"/>
      <c r="AK150" s="46"/>
      <c r="AL150" s="7"/>
      <c r="AM150" s="49" t="str">
        <f aca="false">IF(OR(C150="",G150=""),"",IFERROR(DATEDIF(C150,G150,"m"),""))</f>
        <v/>
      </c>
      <c r="AN150" s="49" t="str">
        <f aca="false">IF(OR(Q150="",AM150=""),"",60+2*Q150-AM150)</f>
        <v/>
      </c>
      <c r="AO150" s="49" t="str">
        <f aca="false">IF(OR(G150="",AJ150=""),"",AJ150-G150)</f>
        <v/>
      </c>
      <c r="AP150" s="50" t="str">
        <f aca="false">IF(AND(A150="",B150=""),"",IF(J150="","Status needed",IF(OR(J150="Applied",J150="Visit booked",J150="Withdrawn"),"OK",IF(G150="","Date assessed needed",IF(C150="","Date of birth needed",IF(COUNTA(L150,M150,P150,U150,V150,X150)&lt;6,"Band missing",IF(AND(OR(J150="Decision confirmed",J150="Family told",J150="Enrolled"),AG150=""),"Recommendation needed",IF(AND(OR(J150="Family told",J150="Enrolled"),AJ150=""),"Date family told needed","OK"))))))))</f>
        <v/>
      </c>
    </row>
    <row r="151" customFormat="false" ht="15" hidden="false" customHeight="false" outlineLevel="0" collapsed="false">
      <c r="A151" s="7"/>
      <c r="B151" s="7"/>
      <c r="C151" s="46"/>
      <c r="D151" s="7"/>
      <c r="E151" s="47"/>
      <c r="F151" s="46"/>
      <c r="G151" s="46"/>
      <c r="H151" s="7"/>
      <c r="I151" s="7"/>
      <c r="J151" s="47"/>
      <c r="K151" s="47"/>
      <c r="L151" s="47"/>
      <c r="M151" s="47"/>
      <c r="N151" s="47"/>
      <c r="O151" s="10"/>
      <c r="P151" s="47"/>
      <c r="Q151" s="47"/>
      <c r="R151" s="48" t="str">
        <f aca="false">IF(Q151="","",IF(Q151=0,"below 5:00",IF(Q151&gt;=66,"16:00 or above",INT((60+2*Q151)/12)&amp;":"&amp;TEXT(MOD(60+2*Q151,12),"00"))))</f>
        <v/>
      </c>
      <c r="S151" s="47"/>
      <c r="T151" s="47"/>
      <c r="U151" s="47"/>
      <c r="V151" s="47"/>
      <c r="W151" s="47"/>
      <c r="X151" s="47"/>
      <c r="Y151" s="47"/>
      <c r="Z151" s="47"/>
      <c r="AA151" s="10"/>
      <c r="AB151" s="10"/>
      <c r="AC151" s="47"/>
      <c r="AD151" s="47"/>
      <c r="AE151" s="47"/>
      <c r="AF151" s="47"/>
      <c r="AG151" s="47"/>
      <c r="AH151" s="47"/>
      <c r="AI151" s="46"/>
      <c r="AJ151" s="46"/>
      <c r="AK151" s="46"/>
      <c r="AL151" s="7"/>
      <c r="AM151" s="49" t="str">
        <f aca="false">IF(OR(C151="",G151=""),"",IFERROR(DATEDIF(C151,G151,"m"),""))</f>
        <v/>
      </c>
      <c r="AN151" s="49" t="str">
        <f aca="false">IF(OR(Q151="",AM151=""),"",60+2*Q151-AM151)</f>
        <v/>
      </c>
      <c r="AO151" s="49" t="str">
        <f aca="false">IF(OR(G151="",AJ151=""),"",AJ151-G151)</f>
        <v/>
      </c>
      <c r="AP151" s="50" t="str">
        <f aca="false">IF(AND(A151="",B151=""),"",IF(J151="","Status needed",IF(OR(J151="Applied",J151="Visit booked",J151="Withdrawn"),"OK",IF(G151="","Date assessed needed",IF(C151="","Date of birth needed",IF(COUNTA(L151,M151,P151,U151,V151,X151)&lt;6,"Band missing",IF(AND(OR(J151="Decision confirmed",J151="Family told",J151="Enrolled"),AG151=""),"Recommendation needed",IF(AND(OR(J151="Family told",J151="Enrolled"),AJ151=""),"Date family told needed","OK"))))))))</f>
        <v/>
      </c>
    </row>
    <row r="152" customFormat="false" ht="15" hidden="false" customHeight="false" outlineLevel="0" collapsed="false">
      <c r="A152" s="7"/>
      <c r="B152" s="7"/>
      <c r="C152" s="46"/>
      <c r="D152" s="7"/>
      <c r="E152" s="47"/>
      <c r="F152" s="46"/>
      <c r="G152" s="46"/>
      <c r="H152" s="7"/>
      <c r="I152" s="7"/>
      <c r="J152" s="47"/>
      <c r="K152" s="47"/>
      <c r="L152" s="47"/>
      <c r="M152" s="47"/>
      <c r="N152" s="47"/>
      <c r="O152" s="10"/>
      <c r="P152" s="47"/>
      <c r="Q152" s="47"/>
      <c r="R152" s="48" t="str">
        <f aca="false">IF(Q152="","",IF(Q152=0,"below 5:00",IF(Q152&gt;=66,"16:00 or above",INT((60+2*Q152)/12)&amp;":"&amp;TEXT(MOD(60+2*Q152,12),"00"))))</f>
        <v/>
      </c>
      <c r="S152" s="47"/>
      <c r="T152" s="47"/>
      <c r="U152" s="47"/>
      <c r="V152" s="47"/>
      <c r="W152" s="47"/>
      <c r="X152" s="47"/>
      <c r="Y152" s="47"/>
      <c r="Z152" s="47"/>
      <c r="AA152" s="10"/>
      <c r="AB152" s="10"/>
      <c r="AC152" s="47"/>
      <c r="AD152" s="47"/>
      <c r="AE152" s="47"/>
      <c r="AF152" s="47"/>
      <c r="AG152" s="47"/>
      <c r="AH152" s="47"/>
      <c r="AI152" s="46"/>
      <c r="AJ152" s="46"/>
      <c r="AK152" s="46"/>
      <c r="AL152" s="7"/>
      <c r="AM152" s="49" t="str">
        <f aca="false">IF(OR(C152="",G152=""),"",IFERROR(DATEDIF(C152,G152,"m"),""))</f>
        <v/>
      </c>
      <c r="AN152" s="49" t="str">
        <f aca="false">IF(OR(Q152="",AM152=""),"",60+2*Q152-AM152)</f>
        <v/>
      </c>
      <c r="AO152" s="49" t="str">
        <f aca="false">IF(OR(G152="",AJ152=""),"",AJ152-G152)</f>
        <v/>
      </c>
      <c r="AP152" s="50" t="str">
        <f aca="false">IF(AND(A152="",B152=""),"",IF(J152="","Status needed",IF(OR(J152="Applied",J152="Visit booked",J152="Withdrawn"),"OK",IF(G152="","Date assessed needed",IF(C152="","Date of birth needed",IF(COUNTA(L152,M152,P152,U152,V152,X152)&lt;6,"Band missing",IF(AND(OR(J152="Decision confirmed",J152="Family told",J152="Enrolled"),AG152=""),"Recommendation needed",IF(AND(OR(J152="Family told",J152="Enrolled"),AJ152=""),"Date family told needed","OK"))))))))</f>
        <v/>
      </c>
    </row>
    <row r="153" customFormat="false" ht="15" hidden="false" customHeight="false" outlineLevel="0" collapsed="false">
      <c r="A153" s="7"/>
      <c r="B153" s="7"/>
      <c r="C153" s="46"/>
      <c r="D153" s="7"/>
      <c r="E153" s="47"/>
      <c r="F153" s="46"/>
      <c r="G153" s="46"/>
      <c r="H153" s="7"/>
      <c r="I153" s="7"/>
      <c r="J153" s="47"/>
      <c r="K153" s="47"/>
      <c r="L153" s="47"/>
      <c r="M153" s="47"/>
      <c r="N153" s="47"/>
      <c r="O153" s="10"/>
      <c r="P153" s="47"/>
      <c r="Q153" s="47"/>
      <c r="R153" s="48" t="str">
        <f aca="false">IF(Q153="","",IF(Q153=0,"below 5:00",IF(Q153&gt;=66,"16:00 or above",INT((60+2*Q153)/12)&amp;":"&amp;TEXT(MOD(60+2*Q153,12),"00"))))</f>
        <v/>
      </c>
      <c r="S153" s="47"/>
      <c r="T153" s="47"/>
      <c r="U153" s="47"/>
      <c r="V153" s="47"/>
      <c r="W153" s="47"/>
      <c r="X153" s="47"/>
      <c r="Y153" s="47"/>
      <c r="Z153" s="47"/>
      <c r="AA153" s="10"/>
      <c r="AB153" s="10"/>
      <c r="AC153" s="47"/>
      <c r="AD153" s="47"/>
      <c r="AE153" s="47"/>
      <c r="AF153" s="47"/>
      <c r="AG153" s="47"/>
      <c r="AH153" s="47"/>
      <c r="AI153" s="46"/>
      <c r="AJ153" s="46"/>
      <c r="AK153" s="46"/>
      <c r="AL153" s="7"/>
      <c r="AM153" s="49" t="str">
        <f aca="false">IF(OR(C153="",G153=""),"",IFERROR(DATEDIF(C153,G153,"m"),""))</f>
        <v/>
      </c>
      <c r="AN153" s="49" t="str">
        <f aca="false">IF(OR(Q153="",AM153=""),"",60+2*Q153-AM153)</f>
        <v/>
      </c>
      <c r="AO153" s="49" t="str">
        <f aca="false">IF(OR(G153="",AJ153=""),"",AJ153-G153)</f>
        <v/>
      </c>
      <c r="AP153" s="50" t="str">
        <f aca="false">IF(AND(A153="",B153=""),"",IF(J153="","Status needed",IF(OR(J153="Applied",J153="Visit booked",J153="Withdrawn"),"OK",IF(G153="","Date assessed needed",IF(C153="","Date of birth needed",IF(COUNTA(L153,M153,P153,U153,V153,X153)&lt;6,"Band missing",IF(AND(OR(J153="Decision confirmed",J153="Family told",J153="Enrolled"),AG153=""),"Recommendation needed",IF(AND(OR(J153="Family told",J153="Enrolled"),AJ153=""),"Date family told needed","OK"))))))))</f>
        <v/>
      </c>
    </row>
    <row r="154" customFormat="false" ht="15" hidden="false" customHeight="false" outlineLevel="0" collapsed="false">
      <c r="A154" s="7"/>
      <c r="B154" s="7"/>
      <c r="C154" s="46"/>
      <c r="D154" s="7"/>
      <c r="E154" s="47"/>
      <c r="F154" s="46"/>
      <c r="G154" s="46"/>
      <c r="H154" s="7"/>
      <c r="I154" s="7"/>
      <c r="J154" s="47"/>
      <c r="K154" s="47"/>
      <c r="L154" s="47"/>
      <c r="M154" s="47"/>
      <c r="N154" s="47"/>
      <c r="O154" s="10"/>
      <c r="P154" s="47"/>
      <c r="Q154" s="47"/>
      <c r="R154" s="48" t="str">
        <f aca="false">IF(Q154="","",IF(Q154=0,"below 5:00",IF(Q154&gt;=66,"16:00 or above",INT((60+2*Q154)/12)&amp;":"&amp;TEXT(MOD(60+2*Q154,12),"00"))))</f>
        <v/>
      </c>
      <c r="S154" s="47"/>
      <c r="T154" s="47"/>
      <c r="U154" s="47"/>
      <c r="V154" s="47"/>
      <c r="W154" s="47"/>
      <c r="X154" s="47"/>
      <c r="Y154" s="47"/>
      <c r="Z154" s="47"/>
      <c r="AA154" s="10"/>
      <c r="AB154" s="10"/>
      <c r="AC154" s="47"/>
      <c r="AD154" s="47"/>
      <c r="AE154" s="47"/>
      <c r="AF154" s="47"/>
      <c r="AG154" s="47"/>
      <c r="AH154" s="47"/>
      <c r="AI154" s="46"/>
      <c r="AJ154" s="46"/>
      <c r="AK154" s="46"/>
      <c r="AL154" s="7"/>
      <c r="AM154" s="49" t="str">
        <f aca="false">IF(OR(C154="",G154=""),"",IFERROR(DATEDIF(C154,G154,"m"),""))</f>
        <v/>
      </c>
      <c r="AN154" s="49" t="str">
        <f aca="false">IF(OR(Q154="",AM154=""),"",60+2*Q154-AM154)</f>
        <v/>
      </c>
      <c r="AO154" s="49" t="str">
        <f aca="false">IF(OR(G154="",AJ154=""),"",AJ154-G154)</f>
        <v/>
      </c>
      <c r="AP154" s="50" t="str">
        <f aca="false">IF(AND(A154="",B154=""),"",IF(J154="","Status needed",IF(OR(J154="Applied",J154="Visit booked",J154="Withdrawn"),"OK",IF(G154="","Date assessed needed",IF(C154="","Date of birth needed",IF(COUNTA(L154,M154,P154,U154,V154,X154)&lt;6,"Band missing",IF(AND(OR(J154="Decision confirmed",J154="Family told",J154="Enrolled"),AG154=""),"Recommendation needed",IF(AND(OR(J154="Family told",J154="Enrolled"),AJ154=""),"Date family told needed","OK"))))))))</f>
        <v/>
      </c>
    </row>
    <row r="155" customFormat="false" ht="15" hidden="false" customHeight="false" outlineLevel="0" collapsed="false">
      <c r="A155" s="7"/>
      <c r="B155" s="7"/>
      <c r="C155" s="46"/>
      <c r="D155" s="7"/>
      <c r="E155" s="47"/>
      <c r="F155" s="46"/>
      <c r="G155" s="46"/>
      <c r="H155" s="7"/>
      <c r="I155" s="7"/>
      <c r="J155" s="47"/>
      <c r="K155" s="47"/>
      <c r="L155" s="47"/>
      <c r="M155" s="47"/>
      <c r="N155" s="47"/>
      <c r="O155" s="10"/>
      <c r="P155" s="47"/>
      <c r="Q155" s="47"/>
      <c r="R155" s="48" t="str">
        <f aca="false">IF(Q155="","",IF(Q155=0,"below 5:00",IF(Q155&gt;=66,"16:00 or above",INT((60+2*Q155)/12)&amp;":"&amp;TEXT(MOD(60+2*Q155,12),"00"))))</f>
        <v/>
      </c>
      <c r="S155" s="47"/>
      <c r="T155" s="47"/>
      <c r="U155" s="47"/>
      <c r="V155" s="47"/>
      <c r="W155" s="47"/>
      <c r="X155" s="47"/>
      <c r="Y155" s="47"/>
      <c r="Z155" s="47"/>
      <c r="AA155" s="10"/>
      <c r="AB155" s="10"/>
      <c r="AC155" s="47"/>
      <c r="AD155" s="47"/>
      <c r="AE155" s="47"/>
      <c r="AF155" s="47"/>
      <c r="AG155" s="47"/>
      <c r="AH155" s="47"/>
      <c r="AI155" s="46"/>
      <c r="AJ155" s="46"/>
      <c r="AK155" s="46"/>
      <c r="AL155" s="7"/>
      <c r="AM155" s="49" t="str">
        <f aca="false">IF(OR(C155="",G155=""),"",IFERROR(DATEDIF(C155,G155,"m"),""))</f>
        <v/>
      </c>
      <c r="AN155" s="49" t="str">
        <f aca="false">IF(OR(Q155="",AM155=""),"",60+2*Q155-AM155)</f>
        <v/>
      </c>
      <c r="AO155" s="49" t="str">
        <f aca="false">IF(OR(G155="",AJ155=""),"",AJ155-G155)</f>
        <v/>
      </c>
      <c r="AP155" s="50" t="str">
        <f aca="false">IF(AND(A155="",B155=""),"",IF(J155="","Status needed",IF(OR(J155="Applied",J155="Visit booked",J155="Withdrawn"),"OK",IF(G155="","Date assessed needed",IF(C155="","Date of birth needed",IF(COUNTA(L155,M155,P155,U155,V155,X155)&lt;6,"Band missing",IF(AND(OR(J155="Decision confirmed",J155="Family told",J155="Enrolled"),AG155=""),"Recommendation needed",IF(AND(OR(J155="Family told",J155="Enrolled"),AJ155=""),"Date family told needed","OK"))))))))</f>
        <v/>
      </c>
    </row>
    <row r="156" customFormat="false" ht="15" hidden="false" customHeight="false" outlineLevel="0" collapsed="false">
      <c r="A156" s="7"/>
      <c r="B156" s="7"/>
      <c r="C156" s="46"/>
      <c r="D156" s="7"/>
      <c r="E156" s="47"/>
      <c r="F156" s="46"/>
      <c r="G156" s="46"/>
      <c r="H156" s="7"/>
      <c r="I156" s="7"/>
      <c r="J156" s="47"/>
      <c r="K156" s="47"/>
      <c r="L156" s="47"/>
      <c r="M156" s="47"/>
      <c r="N156" s="47"/>
      <c r="O156" s="10"/>
      <c r="P156" s="47"/>
      <c r="Q156" s="47"/>
      <c r="R156" s="48" t="str">
        <f aca="false">IF(Q156="","",IF(Q156=0,"below 5:00",IF(Q156&gt;=66,"16:00 or above",INT((60+2*Q156)/12)&amp;":"&amp;TEXT(MOD(60+2*Q156,12),"00"))))</f>
        <v/>
      </c>
      <c r="S156" s="47"/>
      <c r="T156" s="47"/>
      <c r="U156" s="47"/>
      <c r="V156" s="47"/>
      <c r="W156" s="47"/>
      <c r="X156" s="47"/>
      <c r="Y156" s="47"/>
      <c r="Z156" s="47"/>
      <c r="AA156" s="10"/>
      <c r="AB156" s="10"/>
      <c r="AC156" s="47"/>
      <c r="AD156" s="47"/>
      <c r="AE156" s="47"/>
      <c r="AF156" s="47"/>
      <c r="AG156" s="47"/>
      <c r="AH156" s="47"/>
      <c r="AI156" s="46"/>
      <c r="AJ156" s="46"/>
      <c r="AK156" s="46"/>
      <c r="AL156" s="7"/>
      <c r="AM156" s="49" t="str">
        <f aca="false">IF(OR(C156="",G156=""),"",IFERROR(DATEDIF(C156,G156,"m"),""))</f>
        <v/>
      </c>
      <c r="AN156" s="49" t="str">
        <f aca="false">IF(OR(Q156="",AM156=""),"",60+2*Q156-AM156)</f>
        <v/>
      </c>
      <c r="AO156" s="49" t="str">
        <f aca="false">IF(OR(G156="",AJ156=""),"",AJ156-G156)</f>
        <v/>
      </c>
      <c r="AP156" s="50" t="str">
        <f aca="false">IF(AND(A156="",B156=""),"",IF(J156="","Status needed",IF(OR(J156="Applied",J156="Visit booked",J156="Withdrawn"),"OK",IF(G156="","Date assessed needed",IF(C156="","Date of birth needed",IF(COUNTA(L156,M156,P156,U156,V156,X156)&lt;6,"Band missing",IF(AND(OR(J156="Decision confirmed",J156="Family told",J156="Enrolled"),AG156=""),"Recommendation needed",IF(AND(OR(J156="Family told",J156="Enrolled"),AJ156=""),"Date family told needed","OK"))))))))</f>
        <v/>
      </c>
    </row>
    <row r="157" customFormat="false" ht="15" hidden="false" customHeight="false" outlineLevel="0" collapsed="false">
      <c r="A157" s="7"/>
      <c r="B157" s="7"/>
      <c r="C157" s="46"/>
      <c r="D157" s="7"/>
      <c r="E157" s="47"/>
      <c r="F157" s="46"/>
      <c r="G157" s="46"/>
      <c r="H157" s="7"/>
      <c r="I157" s="7"/>
      <c r="J157" s="47"/>
      <c r="K157" s="47"/>
      <c r="L157" s="47"/>
      <c r="M157" s="47"/>
      <c r="N157" s="47"/>
      <c r="O157" s="10"/>
      <c r="P157" s="47"/>
      <c r="Q157" s="47"/>
      <c r="R157" s="48" t="str">
        <f aca="false">IF(Q157="","",IF(Q157=0,"below 5:00",IF(Q157&gt;=66,"16:00 or above",INT((60+2*Q157)/12)&amp;":"&amp;TEXT(MOD(60+2*Q157,12),"00"))))</f>
        <v/>
      </c>
      <c r="S157" s="47"/>
      <c r="T157" s="47"/>
      <c r="U157" s="47"/>
      <c r="V157" s="47"/>
      <c r="W157" s="47"/>
      <c r="X157" s="47"/>
      <c r="Y157" s="47"/>
      <c r="Z157" s="47"/>
      <c r="AA157" s="10"/>
      <c r="AB157" s="10"/>
      <c r="AC157" s="47"/>
      <c r="AD157" s="47"/>
      <c r="AE157" s="47"/>
      <c r="AF157" s="47"/>
      <c r="AG157" s="47"/>
      <c r="AH157" s="47"/>
      <c r="AI157" s="46"/>
      <c r="AJ157" s="46"/>
      <c r="AK157" s="46"/>
      <c r="AL157" s="7"/>
      <c r="AM157" s="49" t="str">
        <f aca="false">IF(OR(C157="",G157=""),"",IFERROR(DATEDIF(C157,G157,"m"),""))</f>
        <v/>
      </c>
      <c r="AN157" s="49" t="str">
        <f aca="false">IF(OR(Q157="",AM157=""),"",60+2*Q157-AM157)</f>
        <v/>
      </c>
      <c r="AO157" s="49" t="str">
        <f aca="false">IF(OR(G157="",AJ157=""),"",AJ157-G157)</f>
        <v/>
      </c>
      <c r="AP157" s="50" t="str">
        <f aca="false">IF(AND(A157="",B157=""),"",IF(J157="","Status needed",IF(OR(J157="Applied",J157="Visit booked",J157="Withdrawn"),"OK",IF(G157="","Date assessed needed",IF(C157="","Date of birth needed",IF(COUNTA(L157,M157,P157,U157,V157,X157)&lt;6,"Band missing",IF(AND(OR(J157="Decision confirmed",J157="Family told",J157="Enrolled"),AG157=""),"Recommendation needed",IF(AND(OR(J157="Family told",J157="Enrolled"),AJ157=""),"Date family told needed","OK"))))))))</f>
        <v/>
      </c>
    </row>
    <row r="158" customFormat="false" ht="15" hidden="false" customHeight="false" outlineLevel="0" collapsed="false">
      <c r="A158" s="7"/>
      <c r="B158" s="7"/>
      <c r="C158" s="46"/>
      <c r="D158" s="7"/>
      <c r="E158" s="47"/>
      <c r="F158" s="46"/>
      <c r="G158" s="46"/>
      <c r="H158" s="7"/>
      <c r="I158" s="7"/>
      <c r="J158" s="47"/>
      <c r="K158" s="47"/>
      <c r="L158" s="47"/>
      <c r="M158" s="47"/>
      <c r="N158" s="47"/>
      <c r="O158" s="10"/>
      <c r="P158" s="47"/>
      <c r="Q158" s="47"/>
      <c r="R158" s="48" t="str">
        <f aca="false">IF(Q158="","",IF(Q158=0,"below 5:00",IF(Q158&gt;=66,"16:00 or above",INT((60+2*Q158)/12)&amp;":"&amp;TEXT(MOD(60+2*Q158,12),"00"))))</f>
        <v/>
      </c>
      <c r="S158" s="47"/>
      <c r="T158" s="47"/>
      <c r="U158" s="47"/>
      <c r="V158" s="47"/>
      <c r="W158" s="47"/>
      <c r="X158" s="47"/>
      <c r="Y158" s="47"/>
      <c r="Z158" s="47"/>
      <c r="AA158" s="10"/>
      <c r="AB158" s="10"/>
      <c r="AC158" s="47"/>
      <c r="AD158" s="47"/>
      <c r="AE158" s="47"/>
      <c r="AF158" s="47"/>
      <c r="AG158" s="47"/>
      <c r="AH158" s="47"/>
      <c r="AI158" s="46"/>
      <c r="AJ158" s="46"/>
      <c r="AK158" s="46"/>
      <c r="AL158" s="7"/>
      <c r="AM158" s="49" t="str">
        <f aca="false">IF(OR(C158="",G158=""),"",IFERROR(DATEDIF(C158,G158,"m"),""))</f>
        <v/>
      </c>
      <c r="AN158" s="49" t="str">
        <f aca="false">IF(OR(Q158="",AM158=""),"",60+2*Q158-AM158)</f>
        <v/>
      </c>
      <c r="AO158" s="49" t="str">
        <f aca="false">IF(OR(G158="",AJ158=""),"",AJ158-G158)</f>
        <v/>
      </c>
      <c r="AP158" s="50" t="str">
        <f aca="false">IF(AND(A158="",B158=""),"",IF(J158="","Status needed",IF(OR(J158="Applied",J158="Visit booked",J158="Withdrawn"),"OK",IF(G158="","Date assessed needed",IF(C158="","Date of birth needed",IF(COUNTA(L158,M158,P158,U158,V158,X158)&lt;6,"Band missing",IF(AND(OR(J158="Decision confirmed",J158="Family told",J158="Enrolled"),AG158=""),"Recommendation needed",IF(AND(OR(J158="Family told",J158="Enrolled"),AJ158=""),"Date family told needed","OK"))))))))</f>
        <v/>
      </c>
    </row>
    <row r="159" customFormat="false" ht="15" hidden="false" customHeight="false" outlineLevel="0" collapsed="false">
      <c r="A159" s="7"/>
      <c r="B159" s="7"/>
      <c r="C159" s="46"/>
      <c r="D159" s="7"/>
      <c r="E159" s="47"/>
      <c r="F159" s="46"/>
      <c r="G159" s="46"/>
      <c r="H159" s="7"/>
      <c r="I159" s="7"/>
      <c r="J159" s="47"/>
      <c r="K159" s="47"/>
      <c r="L159" s="47"/>
      <c r="M159" s="47"/>
      <c r="N159" s="47"/>
      <c r="O159" s="10"/>
      <c r="P159" s="47"/>
      <c r="Q159" s="47"/>
      <c r="R159" s="48" t="str">
        <f aca="false">IF(Q159="","",IF(Q159=0,"below 5:00",IF(Q159&gt;=66,"16:00 or above",INT((60+2*Q159)/12)&amp;":"&amp;TEXT(MOD(60+2*Q159,12),"00"))))</f>
        <v/>
      </c>
      <c r="S159" s="47"/>
      <c r="T159" s="47"/>
      <c r="U159" s="47"/>
      <c r="V159" s="47"/>
      <c r="W159" s="47"/>
      <c r="X159" s="47"/>
      <c r="Y159" s="47"/>
      <c r="Z159" s="47"/>
      <c r="AA159" s="10"/>
      <c r="AB159" s="10"/>
      <c r="AC159" s="47"/>
      <c r="AD159" s="47"/>
      <c r="AE159" s="47"/>
      <c r="AF159" s="47"/>
      <c r="AG159" s="47"/>
      <c r="AH159" s="47"/>
      <c r="AI159" s="46"/>
      <c r="AJ159" s="46"/>
      <c r="AK159" s="46"/>
      <c r="AL159" s="7"/>
      <c r="AM159" s="49" t="str">
        <f aca="false">IF(OR(C159="",G159=""),"",IFERROR(DATEDIF(C159,G159,"m"),""))</f>
        <v/>
      </c>
      <c r="AN159" s="49" t="str">
        <f aca="false">IF(OR(Q159="",AM159=""),"",60+2*Q159-AM159)</f>
        <v/>
      </c>
      <c r="AO159" s="49" t="str">
        <f aca="false">IF(OR(G159="",AJ159=""),"",AJ159-G159)</f>
        <v/>
      </c>
      <c r="AP159" s="50" t="str">
        <f aca="false">IF(AND(A159="",B159=""),"",IF(J159="","Status needed",IF(OR(J159="Applied",J159="Visit booked",J159="Withdrawn"),"OK",IF(G159="","Date assessed needed",IF(C159="","Date of birth needed",IF(COUNTA(L159,M159,P159,U159,V159,X159)&lt;6,"Band missing",IF(AND(OR(J159="Decision confirmed",J159="Family told",J159="Enrolled"),AG159=""),"Recommendation needed",IF(AND(OR(J159="Family told",J159="Enrolled"),AJ159=""),"Date family told needed","OK"))))))))</f>
        <v/>
      </c>
    </row>
    <row r="160" customFormat="false" ht="15" hidden="false" customHeight="false" outlineLevel="0" collapsed="false">
      <c r="A160" s="7"/>
      <c r="B160" s="7"/>
      <c r="C160" s="46"/>
      <c r="D160" s="7"/>
      <c r="E160" s="47"/>
      <c r="F160" s="46"/>
      <c r="G160" s="46"/>
      <c r="H160" s="7"/>
      <c r="I160" s="7"/>
      <c r="J160" s="47"/>
      <c r="K160" s="47"/>
      <c r="L160" s="47"/>
      <c r="M160" s="47"/>
      <c r="N160" s="47"/>
      <c r="O160" s="10"/>
      <c r="P160" s="47"/>
      <c r="Q160" s="47"/>
      <c r="R160" s="48" t="str">
        <f aca="false">IF(Q160="","",IF(Q160=0,"below 5:00",IF(Q160&gt;=66,"16:00 or above",INT((60+2*Q160)/12)&amp;":"&amp;TEXT(MOD(60+2*Q160,12),"00"))))</f>
        <v/>
      </c>
      <c r="S160" s="47"/>
      <c r="T160" s="47"/>
      <c r="U160" s="47"/>
      <c r="V160" s="47"/>
      <c r="W160" s="47"/>
      <c r="X160" s="47"/>
      <c r="Y160" s="47"/>
      <c r="Z160" s="47"/>
      <c r="AA160" s="10"/>
      <c r="AB160" s="10"/>
      <c r="AC160" s="47"/>
      <c r="AD160" s="47"/>
      <c r="AE160" s="47"/>
      <c r="AF160" s="47"/>
      <c r="AG160" s="47"/>
      <c r="AH160" s="47"/>
      <c r="AI160" s="46"/>
      <c r="AJ160" s="46"/>
      <c r="AK160" s="46"/>
      <c r="AL160" s="7"/>
      <c r="AM160" s="49" t="str">
        <f aca="false">IF(OR(C160="",G160=""),"",IFERROR(DATEDIF(C160,G160,"m"),""))</f>
        <v/>
      </c>
      <c r="AN160" s="49" t="str">
        <f aca="false">IF(OR(Q160="",AM160=""),"",60+2*Q160-AM160)</f>
        <v/>
      </c>
      <c r="AO160" s="49" t="str">
        <f aca="false">IF(OR(G160="",AJ160=""),"",AJ160-G160)</f>
        <v/>
      </c>
      <c r="AP160" s="50" t="str">
        <f aca="false">IF(AND(A160="",B160=""),"",IF(J160="","Status needed",IF(OR(J160="Applied",J160="Visit booked",J160="Withdrawn"),"OK",IF(G160="","Date assessed needed",IF(C160="","Date of birth needed",IF(COUNTA(L160,M160,P160,U160,V160,X160)&lt;6,"Band missing",IF(AND(OR(J160="Decision confirmed",J160="Family told",J160="Enrolled"),AG160=""),"Recommendation needed",IF(AND(OR(J160="Family told",J160="Enrolled"),AJ160=""),"Date family told needed","OK"))))))))</f>
        <v/>
      </c>
    </row>
    <row r="161" customFormat="false" ht="15" hidden="false" customHeight="false" outlineLevel="0" collapsed="false">
      <c r="A161" s="7"/>
      <c r="B161" s="7"/>
      <c r="C161" s="46"/>
      <c r="D161" s="7"/>
      <c r="E161" s="47"/>
      <c r="F161" s="46"/>
      <c r="G161" s="46"/>
      <c r="H161" s="7"/>
      <c r="I161" s="7"/>
      <c r="J161" s="47"/>
      <c r="K161" s="47"/>
      <c r="L161" s="47"/>
      <c r="M161" s="47"/>
      <c r="N161" s="47"/>
      <c r="O161" s="10"/>
      <c r="P161" s="47"/>
      <c r="Q161" s="47"/>
      <c r="R161" s="48" t="str">
        <f aca="false">IF(Q161="","",IF(Q161=0,"below 5:00",IF(Q161&gt;=66,"16:00 or above",INT((60+2*Q161)/12)&amp;":"&amp;TEXT(MOD(60+2*Q161,12),"00"))))</f>
        <v/>
      </c>
      <c r="S161" s="47"/>
      <c r="T161" s="47"/>
      <c r="U161" s="47"/>
      <c r="V161" s="47"/>
      <c r="W161" s="47"/>
      <c r="X161" s="47"/>
      <c r="Y161" s="47"/>
      <c r="Z161" s="47"/>
      <c r="AA161" s="10"/>
      <c r="AB161" s="10"/>
      <c r="AC161" s="47"/>
      <c r="AD161" s="47"/>
      <c r="AE161" s="47"/>
      <c r="AF161" s="47"/>
      <c r="AG161" s="47"/>
      <c r="AH161" s="47"/>
      <c r="AI161" s="46"/>
      <c r="AJ161" s="46"/>
      <c r="AK161" s="46"/>
      <c r="AL161" s="7"/>
      <c r="AM161" s="49" t="str">
        <f aca="false">IF(OR(C161="",G161=""),"",IFERROR(DATEDIF(C161,G161,"m"),""))</f>
        <v/>
      </c>
      <c r="AN161" s="49" t="str">
        <f aca="false">IF(OR(Q161="",AM161=""),"",60+2*Q161-AM161)</f>
        <v/>
      </c>
      <c r="AO161" s="49" t="str">
        <f aca="false">IF(OR(G161="",AJ161=""),"",AJ161-G161)</f>
        <v/>
      </c>
      <c r="AP161" s="50" t="str">
        <f aca="false">IF(AND(A161="",B161=""),"",IF(J161="","Status needed",IF(OR(J161="Applied",J161="Visit booked",J161="Withdrawn"),"OK",IF(G161="","Date assessed needed",IF(C161="","Date of birth needed",IF(COUNTA(L161,M161,P161,U161,V161,X161)&lt;6,"Band missing",IF(AND(OR(J161="Decision confirmed",J161="Family told",J161="Enrolled"),AG161=""),"Recommendation needed",IF(AND(OR(J161="Family told",J161="Enrolled"),AJ161=""),"Date family told needed","OK"))))))))</f>
        <v/>
      </c>
    </row>
    <row r="162" customFormat="false" ht="15" hidden="false" customHeight="false" outlineLevel="0" collapsed="false">
      <c r="A162" s="7"/>
      <c r="B162" s="7"/>
      <c r="C162" s="46"/>
      <c r="D162" s="7"/>
      <c r="E162" s="47"/>
      <c r="F162" s="46"/>
      <c r="G162" s="46"/>
      <c r="H162" s="7"/>
      <c r="I162" s="7"/>
      <c r="J162" s="47"/>
      <c r="K162" s="47"/>
      <c r="L162" s="47"/>
      <c r="M162" s="47"/>
      <c r="N162" s="47"/>
      <c r="O162" s="10"/>
      <c r="P162" s="47"/>
      <c r="Q162" s="47"/>
      <c r="R162" s="48" t="str">
        <f aca="false">IF(Q162="","",IF(Q162=0,"below 5:00",IF(Q162&gt;=66,"16:00 or above",INT((60+2*Q162)/12)&amp;":"&amp;TEXT(MOD(60+2*Q162,12),"00"))))</f>
        <v/>
      </c>
      <c r="S162" s="47"/>
      <c r="T162" s="47"/>
      <c r="U162" s="47"/>
      <c r="V162" s="47"/>
      <c r="W162" s="47"/>
      <c r="X162" s="47"/>
      <c r="Y162" s="47"/>
      <c r="Z162" s="47"/>
      <c r="AA162" s="10"/>
      <c r="AB162" s="10"/>
      <c r="AC162" s="47"/>
      <c r="AD162" s="47"/>
      <c r="AE162" s="47"/>
      <c r="AF162" s="47"/>
      <c r="AG162" s="47"/>
      <c r="AH162" s="47"/>
      <c r="AI162" s="46"/>
      <c r="AJ162" s="46"/>
      <c r="AK162" s="46"/>
      <c r="AL162" s="7"/>
      <c r="AM162" s="49" t="str">
        <f aca="false">IF(OR(C162="",G162=""),"",IFERROR(DATEDIF(C162,G162,"m"),""))</f>
        <v/>
      </c>
      <c r="AN162" s="49" t="str">
        <f aca="false">IF(OR(Q162="",AM162=""),"",60+2*Q162-AM162)</f>
        <v/>
      </c>
      <c r="AO162" s="49" t="str">
        <f aca="false">IF(OR(G162="",AJ162=""),"",AJ162-G162)</f>
        <v/>
      </c>
      <c r="AP162" s="50" t="str">
        <f aca="false">IF(AND(A162="",B162=""),"",IF(J162="","Status needed",IF(OR(J162="Applied",J162="Visit booked",J162="Withdrawn"),"OK",IF(G162="","Date assessed needed",IF(C162="","Date of birth needed",IF(COUNTA(L162,M162,P162,U162,V162,X162)&lt;6,"Band missing",IF(AND(OR(J162="Decision confirmed",J162="Family told",J162="Enrolled"),AG162=""),"Recommendation needed",IF(AND(OR(J162="Family told",J162="Enrolled"),AJ162=""),"Date family told needed","OK"))))))))</f>
        <v/>
      </c>
    </row>
    <row r="163" customFormat="false" ht="15" hidden="false" customHeight="false" outlineLevel="0" collapsed="false">
      <c r="A163" s="7"/>
      <c r="B163" s="7"/>
      <c r="C163" s="46"/>
      <c r="D163" s="7"/>
      <c r="E163" s="47"/>
      <c r="F163" s="46"/>
      <c r="G163" s="46"/>
      <c r="H163" s="7"/>
      <c r="I163" s="7"/>
      <c r="J163" s="47"/>
      <c r="K163" s="47"/>
      <c r="L163" s="47"/>
      <c r="M163" s="47"/>
      <c r="N163" s="47"/>
      <c r="O163" s="10"/>
      <c r="P163" s="47"/>
      <c r="Q163" s="47"/>
      <c r="R163" s="48" t="str">
        <f aca="false">IF(Q163="","",IF(Q163=0,"below 5:00",IF(Q163&gt;=66,"16:00 or above",INT((60+2*Q163)/12)&amp;":"&amp;TEXT(MOD(60+2*Q163,12),"00"))))</f>
        <v/>
      </c>
      <c r="S163" s="47"/>
      <c r="T163" s="47"/>
      <c r="U163" s="47"/>
      <c r="V163" s="47"/>
      <c r="W163" s="47"/>
      <c r="X163" s="47"/>
      <c r="Y163" s="47"/>
      <c r="Z163" s="47"/>
      <c r="AA163" s="10"/>
      <c r="AB163" s="10"/>
      <c r="AC163" s="47"/>
      <c r="AD163" s="47"/>
      <c r="AE163" s="47"/>
      <c r="AF163" s="47"/>
      <c r="AG163" s="47"/>
      <c r="AH163" s="47"/>
      <c r="AI163" s="46"/>
      <c r="AJ163" s="46"/>
      <c r="AK163" s="46"/>
      <c r="AL163" s="7"/>
      <c r="AM163" s="49" t="str">
        <f aca="false">IF(OR(C163="",G163=""),"",IFERROR(DATEDIF(C163,G163,"m"),""))</f>
        <v/>
      </c>
      <c r="AN163" s="49" t="str">
        <f aca="false">IF(OR(Q163="",AM163=""),"",60+2*Q163-AM163)</f>
        <v/>
      </c>
      <c r="AO163" s="49" t="str">
        <f aca="false">IF(OR(G163="",AJ163=""),"",AJ163-G163)</f>
        <v/>
      </c>
      <c r="AP163" s="50" t="str">
        <f aca="false">IF(AND(A163="",B163=""),"",IF(J163="","Status needed",IF(OR(J163="Applied",J163="Visit booked",J163="Withdrawn"),"OK",IF(G163="","Date assessed needed",IF(C163="","Date of birth needed",IF(COUNTA(L163,M163,P163,U163,V163,X163)&lt;6,"Band missing",IF(AND(OR(J163="Decision confirmed",J163="Family told",J163="Enrolled"),AG163=""),"Recommendation needed",IF(AND(OR(J163="Family told",J163="Enrolled"),AJ163=""),"Date family told needed","OK"))))))))</f>
        <v/>
      </c>
    </row>
    <row r="164" customFormat="false" ht="15" hidden="false" customHeight="false" outlineLevel="0" collapsed="false">
      <c r="A164" s="7"/>
      <c r="B164" s="7"/>
      <c r="C164" s="46"/>
      <c r="D164" s="7"/>
      <c r="E164" s="47"/>
      <c r="F164" s="46"/>
      <c r="G164" s="46"/>
      <c r="H164" s="7"/>
      <c r="I164" s="7"/>
      <c r="J164" s="47"/>
      <c r="K164" s="47"/>
      <c r="L164" s="47"/>
      <c r="M164" s="47"/>
      <c r="N164" s="47"/>
      <c r="O164" s="10"/>
      <c r="P164" s="47"/>
      <c r="Q164" s="47"/>
      <c r="R164" s="48" t="str">
        <f aca="false">IF(Q164="","",IF(Q164=0,"below 5:00",IF(Q164&gt;=66,"16:00 or above",INT((60+2*Q164)/12)&amp;":"&amp;TEXT(MOD(60+2*Q164,12),"00"))))</f>
        <v/>
      </c>
      <c r="S164" s="47"/>
      <c r="T164" s="47"/>
      <c r="U164" s="47"/>
      <c r="V164" s="47"/>
      <c r="W164" s="47"/>
      <c r="X164" s="47"/>
      <c r="Y164" s="47"/>
      <c r="Z164" s="47"/>
      <c r="AA164" s="10"/>
      <c r="AB164" s="10"/>
      <c r="AC164" s="47"/>
      <c r="AD164" s="47"/>
      <c r="AE164" s="47"/>
      <c r="AF164" s="47"/>
      <c r="AG164" s="47"/>
      <c r="AH164" s="47"/>
      <c r="AI164" s="46"/>
      <c r="AJ164" s="46"/>
      <c r="AK164" s="46"/>
      <c r="AL164" s="7"/>
      <c r="AM164" s="49" t="str">
        <f aca="false">IF(OR(C164="",G164=""),"",IFERROR(DATEDIF(C164,G164,"m"),""))</f>
        <v/>
      </c>
      <c r="AN164" s="49" t="str">
        <f aca="false">IF(OR(Q164="",AM164=""),"",60+2*Q164-AM164)</f>
        <v/>
      </c>
      <c r="AO164" s="49" t="str">
        <f aca="false">IF(OR(G164="",AJ164=""),"",AJ164-G164)</f>
        <v/>
      </c>
      <c r="AP164" s="50" t="str">
        <f aca="false">IF(AND(A164="",B164=""),"",IF(J164="","Status needed",IF(OR(J164="Applied",J164="Visit booked",J164="Withdrawn"),"OK",IF(G164="","Date assessed needed",IF(C164="","Date of birth needed",IF(COUNTA(L164,M164,P164,U164,V164,X164)&lt;6,"Band missing",IF(AND(OR(J164="Decision confirmed",J164="Family told",J164="Enrolled"),AG164=""),"Recommendation needed",IF(AND(OR(J164="Family told",J164="Enrolled"),AJ164=""),"Date family told needed","OK"))))))))</f>
        <v/>
      </c>
    </row>
    <row r="165" customFormat="false" ht="15" hidden="false" customHeight="false" outlineLevel="0" collapsed="false">
      <c r="A165" s="7"/>
      <c r="B165" s="7"/>
      <c r="C165" s="46"/>
      <c r="D165" s="7"/>
      <c r="E165" s="47"/>
      <c r="F165" s="46"/>
      <c r="G165" s="46"/>
      <c r="H165" s="7"/>
      <c r="I165" s="7"/>
      <c r="J165" s="47"/>
      <c r="K165" s="47"/>
      <c r="L165" s="47"/>
      <c r="M165" s="47"/>
      <c r="N165" s="47"/>
      <c r="O165" s="10"/>
      <c r="P165" s="47"/>
      <c r="Q165" s="47"/>
      <c r="R165" s="48" t="str">
        <f aca="false">IF(Q165="","",IF(Q165=0,"below 5:00",IF(Q165&gt;=66,"16:00 or above",INT((60+2*Q165)/12)&amp;":"&amp;TEXT(MOD(60+2*Q165,12),"00"))))</f>
        <v/>
      </c>
      <c r="S165" s="47"/>
      <c r="T165" s="47"/>
      <c r="U165" s="47"/>
      <c r="V165" s="47"/>
      <c r="W165" s="47"/>
      <c r="X165" s="47"/>
      <c r="Y165" s="47"/>
      <c r="Z165" s="47"/>
      <c r="AA165" s="10"/>
      <c r="AB165" s="10"/>
      <c r="AC165" s="47"/>
      <c r="AD165" s="47"/>
      <c r="AE165" s="47"/>
      <c r="AF165" s="47"/>
      <c r="AG165" s="47"/>
      <c r="AH165" s="47"/>
      <c r="AI165" s="46"/>
      <c r="AJ165" s="46"/>
      <c r="AK165" s="46"/>
      <c r="AL165" s="7"/>
      <c r="AM165" s="49" t="str">
        <f aca="false">IF(OR(C165="",G165=""),"",IFERROR(DATEDIF(C165,G165,"m"),""))</f>
        <v/>
      </c>
      <c r="AN165" s="49" t="str">
        <f aca="false">IF(OR(Q165="",AM165=""),"",60+2*Q165-AM165)</f>
        <v/>
      </c>
      <c r="AO165" s="49" t="str">
        <f aca="false">IF(OR(G165="",AJ165=""),"",AJ165-G165)</f>
        <v/>
      </c>
      <c r="AP165" s="50" t="str">
        <f aca="false">IF(AND(A165="",B165=""),"",IF(J165="","Status needed",IF(OR(J165="Applied",J165="Visit booked",J165="Withdrawn"),"OK",IF(G165="","Date assessed needed",IF(C165="","Date of birth needed",IF(COUNTA(L165,M165,P165,U165,V165,X165)&lt;6,"Band missing",IF(AND(OR(J165="Decision confirmed",J165="Family told",J165="Enrolled"),AG165=""),"Recommendation needed",IF(AND(OR(J165="Family told",J165="Enrolled"),AJ165=""),"Date family told needed","OK"))))))))</f>
        <v/>
      </c>
    </row>
    <row r="166" customFormat="false" ht="15" hidden="false" customHeight="false" outlineLevel="0" collapsed="false">
      <c r="A166" s="7"/>
      <c r="B166" s="7"/>
      <c r="C166" s="46"/>
      <c r="D166" s="7"/>
      <c r="E166" s="47"/>
      <c r="F166" s="46"/>
      <c r="G166" s="46"/>
      <c r="H166" s="7"/>
      <c r="I166" s="7"/>
      <c r="J166" s="47"/>
      <c r="K166" s="47"/>
      <c r="L166" s="47"/>
      <c r="M166" s="47"/>
      <c r="N166" s="47"/>
      <c r="O166" s="10"/>
      <c r="P166" s="47"/>
      <c r="Q166" s="47"/>
      <c r="R166" s="48" t="str">
        <f aca="false">IF(Q166="","",IF(Q166=0,"below 5:00",IF(Q166&gt;=66,"16:00 or above",INT((60+2*Q166)/12)&amp;":"&amp;TEXT(MOD(60+2*Q166,12),"00"))))</f>
        <v/>
      </c>
      <c r="S166" s="47"/>
      <c r="T166" s="47"/>
      <c r="U166" s="47"/>
      <c r="V166" s="47"/>
      <c r="W166" s="47"/>
      <c r="X166" s="47"/>
      <c r="Y166" s="47"/>
      <c r="Z166" s="47"/>
      <c r="AA166" s="10"/>
      <c r="AB166" s="10"/>
      <c r="AC166" s="47"/>
      <c r="AD166" s="47"/>
      <c r="AE166" s="47"/>
      <c r="AF166" s="47"/>
      <c r="AG166" s="47"/>
      <c r="AH166" s="47"/>
      <c r="AI166" s="46"/>
      <c r="AJ166" s="46"/>
      <c r="AK166" s="46"/>
      <c r="AL166" s="7"/>
      <c r="AM166" s="49" t="str">
        <f aca="false">IF(OR(C166="",G166=""),"",IFERROR(DATEDIF(C166,G166,"m"),""))</f>
        <v/>
      </c>
      <c r="AN166" s="49" t="str">
        <f aca="false">IF(OR(Q166="",AM166=""),"",60+2*Q166-AM166)</f>
        <v/>
      </c>
      <c r="AO166" s="49" t="str">
        <f aca="false">IF(OR(G166="",AJ166=""),"",AJ166-G166)</f>
        <v/>
      </c>
      <c r="AP166" s="50" t="str">
        <f aca="false">IF(AND(A166="",B166=""),"",IF(J166="","Status needed",IF(OR(J166="Applied",J166="Visit booked",J166="Withdrawn"),"OK",IF(G166="","Date assessed needed",IF(C166="","Date of birth needed",IF(COUNTA(L166,M166,P166,U166,V166,X166)&lt;6,"Band missing",IF(AND(OR(J166="Decision confirmed",J166="Family told",J166="Enrolled"),AG166=""),"Recommendation needed",IF(AND(OR(J166="Family told",J166="Enrolled"),AJ166=""),"Date family told needed","OK"))))))))</f>
        <v/>
      </c>
    </row>
    <row r="167" customFormat="false" ht="15" hidden="false" customHeight="false" outlineLevel="0" collapsed="false">
      <c r="A167" s="7"/>
      <c r="B167" s="7"/>
      <c r="C167" s="46"/>
      <c r="D167" s="7"/>
      <c r="E167" s="47"/>
      <c r="F167" s="46"/>
      <c r="G167" s="46"/>
      <c r="H167" s="7"/>
      <c r="I167" s="7"/>
      <c r="J167" s="47"/>
      <c r="K167" s="47"/>
      <c r="L167" s="47"/>
      <c r="M167" s="47"/>
      <c r="N167" s="47"/>
      <c r="O167" s="10"/>
      <c r="P167" s="47"/>
      <c r="Q167" s="47"/>
      <c r="R167" s="48" t="str">
        <f aca="false">IF(Q167="","",IF(Q167=0,"below 5:00",IF(Q167&gt;=66,"16:00 or above",INT((60+2*Q167)/12)&amp;":"&amp;TEXT(MOD(60+2*Q167,12),"00"))))</f>
        <v/>
      </c>
      <c r="S167" s="47"/>
      <c r="T167" s="47"/>
      <c r="U167" s="47"/>
      <c r="V167" s="47"/>
      <c r="W167" s="47"/>
      <c r="X167" s="47"/>
      <c r="Y167" s="47"/>
      <c r="Z167" s="47"/>
      <c r="AA167" s="10"/>
      <c r="AB167" s="10"/>
      <c r="AC167" s="47"/>
      <c r="AD167" s="47"/>
      <c r="AE167" s="47"/>
      <c r="AF167" s="47"/>
      <c r="AG167" s="47"/>
      <c r="AH167" s="47"/>
      <c r="AI167" s="46"/>
      <c r="AJ167" s="46"/>
      <c r="AK167" s="46"/>
      <c r="AL167" s="7"/>
      <c r="AM167" s="49" t="str">
        <f aca="false">IF(OR(C167="",G167=""),"",IFERROR(DATEDIF(C167,G167,"m"),""))</f>
        <v/>
      </c>
      <c r="AN167" s="49" t="str">
        <f aca="false">IF(OR(Q167="",AM167=""),"",60+2*Q167-AM167)</f>
        <v/>
      </c>
      <c r="AO167" s="49" t="str">
        <f aca="false">IF(OR(G167="",AJ167=""),"",AJ167-G167)</f>
        <v/>
      </c>
      <c r="AP167" s="50" t="str">
        <f aca="false">IF(AND(A167="",B167=""),"",IF(J167="","Status needed",IF(OR(J167="Applied",J167="Visit booked",J167="Withdrawn"),"OK",IF(G167="","Date assessed needed",IF(C167="","Date of birth needed",IF(COUNTA(L167,M167,P167,U167,V167,X167)&lt;6,"Band missing",IF(AND(OR(J167="Decision confirmed",J167="Family told",J167="Enrolled"),AG167=""),"Recommendation needed",IF(AND(OR(J167="Family told",J167="Enrolled"),AJ167=""),"Date family told needed","OK"))))))))</f>
        <v/>
      </c>
    </row>
    <row r="168" customFormat="false" ht="15" hidden="false" customHeight="false" outlineLevel="0" collapsed="false">
      <c r="A168" s="7"/>
      <c r="B168" s="7"/>
      <c r="C168" s="46"/>
      <c r="D168" s="7"/>
      <c r="E168" s="47"/>
      <c r="F168" s="46"/>
      <c r="G168" s="46"/>
      <c r="H168" s="7"/>
      <c r="I168" s="7"/>
      <c r="J168" s="47"/>
      <c r="K168" s="47"/>
      <c r="L168" s="47"/>
      <c r="M168" s="47"/>
      <c r="N168" s="47"/>
      <c r="O168" s="10"/>
      <c r="P168" s="47"/>
      <c r="Q168" s="47"/>
      <c r="R168" s="48" t="str">
        <f aca="false">IF(Q168="","",IF(Q168=0,"below 5:00",IF(Q168&gt;=66,"16:00 or above",INT((60+2*Q168)/12)&amp;":"&amp;TEXT(MOD(60+2*Q168,12),"00"))))</f>
        <v/>
      </c>
      <c r="S168" s="47"/>
      <c r="T168" s="47"/>
      <c r="U168" s="47"/>
      <c r="V168" s="47"/>
      <c r="W168" s="47"/>
      <c r="X168" s="47"/>
      <c r="Y168" s="47"/>
      <c r="Z168" s="47"/>
      <c r="AA168" s="10"/>
      <c r="AB168" s="10"/>
      <c r="AC168" s="47"/>
      <c r="AD168" s="47"/>
      <c r="AE168" s="47"/>
      <c r="AF168" s="47"/>
      <c r="AG168" s="47"/>
      <c r="AH168" s="47"/>
      <c r="AI168" s="46"/>
      <c r="AJ168" s="46"/>
      <c r="AK168" s="46"/>
      <c r="AL168" s="7"/>
      <c r="AM168" s="49" t="str">
        <f aca="false">IF(OR(C168="",G168=""),"",IFERROR(DATEDIF(C168,G168,"m"),""))</f>
        <v/>
      </c>
      <c r="AN168" s="49" t="str">
        <f aca="false">IF(OR(Q168="",AM168=""),"",60+2*Q168-AM168)</f>
        <v/>
      </c>
      <c r="AO168" s="49" t="str">
        <f aca="false">IF(OR(G168="",AJ168=""),"",AJ168-G168)</f>
        <v/>
      </c>
      <c r="AP168" s="50" t="str">
        <f aca="false">IF(AND(A168="",B168=""),"",IF(J168="","Status needed",IF(OR(J168="Applied",J168="Visit booked",J168="Withdrawn"),"OK",IF(G168="","Date assessed needed",IF(C168="","Date of birth needed",IF(COUNTA(L168,M168,P168,U168,V168,X168)&lt;6,"Band missing",IF(AND(OR(J168="Decision confirmed",J168="Family told",J168="Enrolled"),AG168=""),"Recommendation needed",IF(AND(OR(J168="Family told",J168="Enrolled"),AJ168=""),"Date family told needed","OK"))))))))</f>
        <v/>
      </c>
    </row>
    <row r="169" customFormat="false" ht="15" hidden="false" customHeight="false" outlineLevel="0" collapsed="false">
      <c r="A169" s="7"/>
      <c r="B169" s="7"/>
      <c r="C169" s="46"/>
      <c r="D169" s="7"/>
      <c r="E169" s="47"/>
      <c r="F169" s="46"/>
      <c r="G169" s="46"/>
      <c r="H169" s="7"/>
      <c r="I169" s="7"/>
      <c r="J169" s="47"/>
      <c r="K169" s="47"/>
      <c r="L169" s="47"/>
      <c r="M169" s="47"/>
      <c r="N169" s="47"/>
      <c r="O169" s="10"/>
      <c r="P169" s="47"/>
      <c r="Q169" s="47"/>
      <c r="R169" s="48" t="str">
        <f aca="false">IF(Q169="","",IF(Q169=0,"below 5:00",IF(Q169&gt;=66,"16:00 or above",INT((60+2*Q169)/12)&amp;":"&amp;TEXT(MOD(60+2*Q169,12),"00"))))</f>
        <v/>
      </c>
      <c r="S169" s="47"/>
      <c r="T169" s="47"/>
      <c r="U169" s="47"/>
      <c r="V169" s="47"/>
      <c r="W169" s="47"/>
      <c r="X169" s="47"/>
      <c r="Y169" s="47"/>
      <c r="Z169" s="47"/>
      <c r="AA169" s="10"/>
      <c r="AB169" s="10"/>
      <c r="AC169" s="47"/>
      <c r="AD169" s="47"/>
      <c r="AE169" s="47"/>
      <c r="AF169" s="47"/>
      <c r="AG169" s="47"/>
      <c r="AH169" s="47"/>
      <c r="AI169" s="46"/>
      <c r="AJ169" s="46"/>
      <c r="AK169" s="46"/>
      <c r="AL169" s="7"/>
      <c r="AM169" s="49" t="str">
        <f aca="false">IF(OR(C169="",G169=""),"",IFERROR(DATEDIF(C169,G169,"m"),""))</f>
        <v/>
      </c>
      <c r="AN169" s="49" t="str">
        <f aca="false">IF(OR(Q169="",AM169=""),"",60+2*Q169-AM169)</f>
        <v/>
      </c>
      <c r="AO169" s="49" t="str">
        <f aca="false">IF(OR(G169="",AJ169=""),"",AJ169-G169)</f>
        <v/>
      </c>
      <c r="AP169" s="50" t="str">
        <f aca="false">IF(AND(A169="",B169=""),"",IF(J169="","Status needed",IF(OR(J169="Applied",J169="Visit booked",J169="Withdrawn"),"OK",IF(G169="","Date assessed needed",IF(C169="","Date of birth needed",IF(COUNTA(L169,M169,P169,U169,V169,X169)&lt;6,"Band missing",IF(AND(OR(J169="Decision confirmed",J169="Family told",J169="Enrolled"),AG169=""),"Recommendation needed",IF(AND(OR(J169="Family told",J169="Enrolled"),AJ169=""),"Date family told needed","OK"))))))))</f>
        <v/>
      </c>
    </row>
    <row r="170" customFormat="false" ht="15" hidden="false" customHeight="false" outlineLevel="0" collapsed="false">
      <c r="A170" s="7"/>
      <c r="B170" s="7"/>
      <c r="C170" s="46"/>
      <c r="D170" s="7"/>
      <c r="E170" s="47"/>
      <c r="F170" s="46"/>
      <c r="G170" s="46"/>
      <c r="H170" s="7"/>
      <c r="I170" s="7"/>
      <c r="J170" s="47"/>
      <c r="K170" s="47"/>
      <c r="L170" s="47"/>
      <c r="M170" s="47"/>
      <c r="N170" s="47"/>
      <c r="O170" s="10"/>
      <c r="P170" s="47"/>
      <c r="Q170" s="47"/>
      <c r="R170" s="48" t="str">
        <f aca="false">IF(Q170="","",IF(Q170=0,"below 5:00",IF(Q170&gt;=66,"16:00 or above",INT((60+2*Q170)/12)&amp;":"&amp;TEXT(MOD(60+2*Q170,12),"00"))))</f>
        <v/>
      </c>
      <c r="S170" s="47"/>
      <c r="T170" s="47"/>
      <c r="U170" s="47"/>
      <c r="V170" s="47"/>
      <c r="W170" s="47"/>
      <c r="X170" s="47"/>
      <c r="Y170" s="47"/>
      <c r="Z170" s="47"/>
      <c r="AA170" s="10"/>
      <c r="AB170" s="10"/>
      <c r="AC170" s="47"/>
      <c r="AD170" s="47"/>
      <c r="AE170" s="47"/>
      <c r="AF170" s="47"/>
      <c r="AG170" s="47"/>
      <c r="AH170" s="47"/>
      <c r="AI170" s="46"/>
      <c r="AJ170" s="46"/>
      <c r="AK170" s="46"/>
      <c r="AL170" s="7"/>
      <c r="AM170" s="49" t="str">
        <f aca="false">IF(OR(C170="",G170=""),"",IFERROR(DATEDIF(C170,G170,"m"),""))</f>
        <v/>
      </c>
      <c r="AN170" s="49" t="str">
        <f aca="false">IF(OR(Q170="",AM170=""),"",60+2*Q170-AM170)</f>
        <v/>
      </c>
      <c r="AO170" s="49" t="str">
        <f aca="false">IF(OR(G170="",AJ170=""),"",AJ170-G170)</f>
        <v/>
      </c>
      <c r="AP170" s="50" t="str">
        <f aca="false">IF(AND(A170="",B170=""),"",IF(J170="","Status needed",IF(OR(J170="Applied",J170="Visit booked",J170="Withdrawn"),"OK",IF(G170="","Date assessed needed",IF(C170="","Date of birth needed",IF(COUNTA(L170,M170,P170,U170,V170,X170)&lt;6,"Band missing",IF(AND(OR(J170="Decision confirmed",J170="Family told",J170="Enrolled"),AG170=""),"Recommendation needed",IF(AND(OR(J170="Family told",J170="Enrolled"),AJ170=""),"Date family told needed","OK"))))))))</f>
        <v/>
      </c>
    </row>
    <row r="171" customFormat="false" ht="15" hidden="false" customHeight="false" outlineLevel="0" collapsed="false">
      <c r="A171" s="7"/>
      <c r="B171" s="7"/>
      <c r="C171" s="46"/>
      <c r="D171" s="7"/>
      <c r="E171" s="47"/>
      <c r="F171" s="46"/>
      <c r="G171" s="46"/>
      <c r="H171" s="7"/>
      <c r="I171" s="7"/>
      <c r="J171" s="47"/>
      <c r="K171" s="47"/>
      <c r="L171" s="47"/>
      <c r="M171" s="47"/>
      <c r="N171" s="47"/>
      <c r="O171" s="10"/>
      <c r="P171" s="47"/>
      <c r="Q171" s="47"/>
      <c r="R171" s="48" t="str">
        <f aca="false">IF(Q171="","",IF(Q171=0,"below 5:00",IF(Q171&gt;=66,"16:00 or above",INT((60+2*Q171)/12)&amp;":"&amp;TEXT(MOD(60+2*Q171,12),"00"))))</f>
        <v/>
      </c>
      <c r="S171" s="47"/>
      <c r="T171" s="47"/>
      <c r="U171" s="47"/>
      <c r="V171" s="47"/>
      <c r="W171" s="47"/>
      <c r="X171" s="47"/>
      <c r="Y171" s="47"/>
      <c r="Z171" s="47"/>
      <c r="AA171" s="10"/>
      <c r="AB171" s="10"/>
      <c r="AC171" s="47"/>
      <c r="AD171" s="47"/>
      <c r="AE171" s="47"/>
      <c r="AF171" s="47"/>
      <c r="AG171" s="47"/>
      <c r="AH171" s="47"/>
      <c r="AI171" s="46"/>
      <c r="AJ171" s="46"/>
      <c r="AK171" s="46"/>
      <c r="AL171" s="7"/>
      <c r="AM171" s="49" t="str">
        <f aca="false">IF(OR(C171="",G171=""),"",IFERROR(DATEDIF(C171,G171,"m"),""))</f>
        <v/>
      </c>
      <c r="AN171" s="49" t="str">
        <f aca="false">IF(OR(Q171="",AM171=""),"",60+2*Q171-AM171)</f>
        <v/>
      </c>
      <c r="AO171" s="49" t="str">
        <f aca="false">IF(OR(G171="",AJ171=""),"",AJ171-G171)</f>
        <v/>
      </c>
      <c r="AP171" s="50" t="str">
        <f aca="false">IF(AND(A171="",B171=""),"",IF(J171="","Status needed",IF(OR(J171="Applied",J171="Visit booked",J171="Withdrawn"),"OK",IF(G171="","Date assessed needed",IF(C171="","Date of birth needed",IF(COUNTA(L171,M171,P171,U171,V171,X171)&lt;6,"Band missing",IF(AND(OR(J171="Decision confirmed",J171="Family told",J171="Enrolled"),AG171=""),"Recommendation needed",IF(AND(OR(J171="Family told",J171="Enrolled"),AJ171=""),"Date family told needed","OK"))))))))</f>
        <v/>
      </c>
    </row>
    <row r="172" customFormat="false" ht="15" hidden="false" customHeight="false" outlineLevel="0" collapsed="false">
      <c r="A172" s="7"/>
      <c r="B172" s="7"/>
      <c r="C172" s="46"/>
      <c r="D172" s="7"/>
      <c r="E172" s="47"/>
      <c r="F172" s="46"/>
      <c r="G172" s="46"/>
      <c r="H172" s="7"/>
      <c r="I172" s="7"/>
      <c r="J172" s="47"/>
      <c r="K172" s="47"/>
      <c r="L172" s="47"/>
      <c r="M172" s="47"/>
      <c r="N172" s="47"/>
      <c r="O172" s="10"/>
      <c r="P172" s="47"/>
      <c r="Q172" s="47"/>
      <c r="R172" s="48" t="str">
        <f aca="false">IF(Q172="","",IF(Q172=0,"below 5:00",IF(Q172&gt;=66,"16:00 or above",INT((60+2*Q172)/12)&amp;":"&amp;TEXT(MOD(60+2*Q172,12),"00"))))</f>
        <v/>
      </c>
      <c r="S172" s="47"/>
      <c r="T172" s="47"/>
      <c r="U172" s="47"/>
      <c r="V172" s="47"/>
      <c r="W172" s="47"/>
      <c r="X172" s="47"/>
      <c r="Y172" s="47"/>
      <c r="Z172" s="47"/>
      <c r="AA172" s="10"/>
      <c r="AB172" s="10"/>
      <c r="AC172" s="47"/>
      <c r="AD172" s="47"/>
      <c r="AE172" s="47"/>
      <c r="AF172" s="47"/>
      <c r="AG172" s="47"/>
      <c r="AH172" s="47"/>
      <c r="AI172" s="46"/>
      <c r="AJ172" s="46"/>
      <c r="AK172" s="46"/>
      <c r="AL172" s="7"/>
      <c r="AM172" s="49" t="str">
        <f aca="false">IF(OR(C172="",G172=""),"",IFERROR(DATEDIF(C172,G172,"m"),""))</f>
        <v/>
      </c>
      <c r="AN172" s="49" t="str">
        <f aca="false">IF(OR(Q172="",AM172=""),"",60+2*Q172-AM172)</f>
        <v/>
      </c>
      <c r="AO172" s="49" t="str">
        <f aca="false">IF(OR(G172="",AJ172=""),"",AJ172-G172)</f>
        <v/>
      </c>
      <c r="AP172" s="50" t="str">
        <f aca="false">IF(AND(A172="",B172=""),"",IF(J172="","Status needed",IF(OR(J172="Applied",J172="Visit booked",J172="Withdrawn"),"OK",IF(G172="","Date assessed needed",IF(C172="","Date of birth needed",IF(COUNTA(L172,M172,P172,U172,V172,X172)&lt;6,"Band missing",IF(AND(OR(J172="Decision confirmed",J172="Family told",J172="Enrolled"),AG172=""),"Recommendation needed",IF(AND(OR(J172="Family told",J172="Enrolled"),AJ172=""),"Date family told needed","OK"))))))))</f>
        <v/>
      </c>
    </row>
    <row r="173" customFormat="false" ht="15" hidden="false" customHeight="false" outlineLevel="0" collapsed="false">
      <c r="A173" s="7"/>
      <c r="B173" s="7"/>
      <c r="C173" s="46"/>
      <c r="D173" s="7"/>
      <c r="E173" s="47"/>
      <c r="F173" s="46"/>
      <c r="G173" s="46"/>
      <c r="H173" s="7"/>
      <c r="I173" s="7"/>
      <c r="J173" s="47"/>
      <c r="K173" s="47"/>
      <c r="L173" s="47"/>
      <c r="M173" s="47"/>
      <c r="N173" s="47"/>
      <c r="O173" s="10"/>
      <c r="P173" s="47"/>
      <c r="Q173" s="47"/>
      <c r="R173" s="48" t="str">
        <f aca="false">IF(Q173="","",IF(Q173=0,"below 5:00",IF(Q173&gt;=66,"16:00 or above",INT((60+2*Q173)/12)&amp;":"&amp;TEXT(MOD(60+2*Q173,12),"00"))))</f>
        <v/>
      </c>
      <c r="S173" s="47"/>
      <c r="T173" s="47"/>
      <c r="U173" s="47"/>
      <c r="V173" s="47"/>
      <c r="W173" s="47"/>
      <c r="X173" s="47"/>
      <c r="Y173" s="47"/>
      <c r="Z173" s="47"/>
      <c r="AA173" s="10"/>
      <c r="AB173" s="10"/>
      <c r="AC173" s="47"/>
      <c r="AD173" s="47"/>
      <c r="AE173" s="47"/>
      <c r="AF173" s="47"/>
      <c r="AG173" s="47"/>
      <c r="AH173" s="47"/>
      <c r="AI173" s="46"/>
      <c r="AJ173" s="46"/>
      <c r="AK173" s="46"/>
      <c r="AL173" s="7"/>
      <c r="AM173" s="49" t="str">
        <f aca="false">IF(OR(C173="",G173=""),"",IFERROR(DATEDIF(C173,G173,"m"),""))</f>
        <v/>
      </c>
      <c r="AN173" s="49" t="str">
        <f aca="false">IF(OR(Q173="",AM173=""),"",60+2*Q173-AM173)</f>
        <v/>
      </c>
      <c r="AO173" s="49" t="str">
        <f aca="false">IF(OR(G173="",AJ173=""),"",AJ173-G173)</f>
        <v/>
      </c>
      <c r="AP173" s="50" t="str">
        <f aca="false">IF(AND(A173="",B173=""),"",IF(J173="","Status needed",IF(OR(J173="Applied",J173="Visit booked",J173="Withdrawn"),"OK",IF(G173="","Date assessed needed",IF(C173="","Date of birth needed",IF(COUNTA(L173,M173,P173,U173,V173,X173)&lt;6,"Band missing",IF(AND(OR(J173="Decision confirmed",J173="Family told",J173="Enrolled"),AG173=""),"Recommendation needed",IF(AND(OR(J173="Family told",J173="Enrolled"),AJ173=""),"Date family told needed","OK"))))))))</f>
        <v/>
      </c>
    </row>
    <row r="174" customFormat="false" ht="15" hidden="false" customHeight="false" outlineLevel="0" collapsed="false">
      <c r="A174" s="7"/>
      <c r="B174" s="7"/>
      <c r="C174" s="46"/>
      <c r="D174" s="7"/>
      <c r="E174" s="47"/>
      <c r="F174" s="46"/>
      <c r="G174" s="46"/>
      <c r="H174" s="7"/>
      <c r="I174" s="7"/>
      <c r="J174" s="47"/>
      <c r="K174" s="47"/>
      <c r="L174" s="47"/>
      <c r="M174" s="47"/>
      <c r="N174" s="47"/>
      <c r="O174" s="10"/>
      <c r="P174" s="47"/>
      <c r="Q174" s="47"/>
      <c r="R174" s="48" t="str">
        <f aca="false">IF(Q174="","",IF(Q174=0,"below 5:00",IF(Q174&gt;=66,"16:00 or above",INT((60+2*Q174)/12)&amp;":"&amp;TEXT(MOD(60+2*Q174,12),"00"))))</f>
        <v/>
      </c>
      <c r="S174" s="47"/>
      <c r="T174" s="47"/>
      <c r="U174" s="47"/>
      <c r="V174" s="47"/>
      <c r="W174" s="47"/>
      <c r="X174" s="47"/>
      <c r="Y174" s="47"/>
      <c r="Z174" s="47"/>
      <c r="AA174" s="10"/>
      <c r="AB174" s="10"/>
      <c r="AC174" s="47"/>
      <c r="AD174" s="47"/>
      <c r="AE174" s="47"/>
      <c r="AF174" s="47"/>
      <c r="AG174" s="47"/>
      <c r="AH174" s="47"/>
      <c r="AI174" s="46"/>
      <c r="AJ174" s="46"/>
      <c r="AK174" s="46"/>
      <c r="AL174" s="7"/>
      <c r="AM174" s="49" t="str">
        <f aca="false">IF(OR(C174="",G174=""),"",IFERROR(DATEDIF(C174,G174,"m"),""))</f>
        <v/>
      </c>
      <c r="AN174" s="49" t="str">
        <f aca="false">IF(OR(Q174="",AM174=""),"",60+2*Q174-AM174)</f>
        <v/>
      </c>
      <c r="AO174" s="49" t="str">
        <f aca="false">IF(OR(G174="",AJ174=""),"",AJ174-G174)</f>
        <v/>
      </c>
      <c r="AP174" s="50" t="str">
        <f aca="false">IF(AND(A174="",B174=""),"",IF(J174="","Status needed",IF(OR(J174="Applied",J174="Visit booked",J174="Withdrawn"),"OK",IF(G174="","Date assessed needed",IF(C174="","Date of birth needed",IF(COUNTA(L174,M174,P174,U174,V174,X174)&lt;6,"Band missing",IF(AND(OR(J174="Decision confirmed",J174="Family told",J174="Enrolled"),AG174=""),"Recommendation needed",IF(AND(OR(J174="Family told",J174="Enrolled"),AJ174=""),"Date family told needed","OK"))))))))</f>
        <v/>
      </c>
    </row>
    <row r="175" customFormat="false" ht="15" hidden="false" customHeight="false" outlineLevel="0" collapsed="false">
      <c r="A175" s="7"/>
      <c r="B175" s="7"/>
      <c r="C175" s="46"/>
      <c r="D175" s="7"/>
      <c r="E175" s="47"/>
      <c r="F175" s="46"/>
      <c r="G175" s="46"/>
      <c r="H175" s="7"/>
      <c r="I175" s="7"/>
      <c r="J175" s="47"/>
      <c r="K175" s="47"/>
      <c r="L175" s="47"/>
      <c r="M175" s="47"/>
      <c r="N175" s="47"/>
      <c r="O175" s="10"/>
      <c r="P175" s="47"/>
      <c r="Q175" s="47"/>
      <c r="R175" s="48" t="str">
        <f aca="false">IF(Q175="","",IF(Q175=0,"below 5:00",IF(Q175&gt;=66,"16:00 or above",INT((60+2*Q175)/12)&amp;":"&amp;TEXT(MOD(60+2*Q175,12),"00"))))</f>
        <v/>
      </c>
      <c r="S175" s="47"/>
      <c r="T175" s="47"/>
      <c r="U175" s="47"/>
      <c r="V175" s="47"/>
      <c r="W175" s="47"/>
      <c r="X175" s="47"/>
      <c r="Y175" s="47"/>
      <c r="Z175" s="47"/>
      <c r="AA175" s="10"/>
      <c r="AB175" s="10"/>
      <c r="AC175" s="47"/>
      <c r="AD175" s="47"/>
      <c r="AE175" s="47"/>
      <c r="AF175" s="47"/>
      <c r="AG175" s="47"/>
      <c r="AH175" s="47"/>
      <c r="AI175" s="46"/>
      <c r="AJ175" s="46"/>
      <c r="AK175" s="46"/>
      <c r="AL175" s="7"/>
      <c r="AM175" s="49" t="str">
        <f aca="false">IF(OR(C175="",G175=""),"",IFERROR(DATEDIF(C175,G175,"m"),""))</f>
        <v/>
      </c>
      <c r="AN175" s="49" t="str">
        <f aca="false">IF(OR(Q175="",AM175=""),"",60+2*Q175-AM175)</f>
        <v/>
      </c>
      <c r="AO175" s="49" t="str">
        <f aca="false">IF(OR(G175="",AJ175=""),"",AJ175-G175)</f>
        <v/>
      </c>
      <c r="AP175" s="50" t="str">
        <f aca="false">IF(AND(A175="",B175=""),"",IF(J175="","Status needed",IF(OR(J175="Applied",J175="Visit booked",J175="Withdrawn"),"OK",IF(G175="","Date assessed needed",IF(C175="","Date of birth needed",IF(COUNTA(L175,M175,P175,U175,V175,X175)&lt;6,"Band missing",IF(AND(OR(J175="Decision confirmed",J175="Family told",J175="Enrolled"),AG175=""),"Recommendation needed",IF(AND(OR(J175="Family told",J175="Enrolled"),AJ175=""),"Date family told needed","OK"))))))))</f>
        <v/>
      </c>
    </row>
    <row r="176" customFormat="false" ht="15" hidden="false" customHeight="false" outlineLevel="0" collapsed="false">
      <c r="A176" s="7"/>
      <c r="B176" s="7"/>
      <c r="C176" s="46"/>
      <c r="D176" s="7"/>
      <c r="E176" s="47"/>
      <c r="F176" s="46"/>
      <c r="G176" s="46"/>
      <c r="H176" s="7"/>
      <c r="I176" s="7"/>
      <c r="J176" s="47"/>
      <c r="K176" s="47"/>
      <c r="L176" s="47"/>
      <c r="M176" s="47"/>
      <c r="N176" s="47"/>
      <c r="O176" s="10"/>
      <c r="P176" s="47"/>
      <c r="Q176" s="47"/>
      <c r="R176" s="48" t="str">
        <f aca="false">IF(Q176="","",IF(Q176=0,"below 5:00",IF(Q176&gt;=66,"16:00 or above",INT((60+2*Q176)/12)&amp;":"&amp;TEXT(MOD(60+2*Q176,12),"00"))))</f>
        <v/>
      </c>
      <c r="S176" s="47"/>
      <c r="T176" s="47"/>
      <c r="U176" s="47"/>
      <c r="V176" s="47"/>
      <c r="W176" s="47"/>
      <c r="X176" s="47"/>
      <c r="Y176" s="47"/>
      <c r="Z176" s="47"/>
      <c r="AA176" s="10"/>
      <c r="AB176" s="10"/>
      <c r="AC176" s="47"/>
      <c r="AD176" s="47"/>
      <c r="AE176" s="47"/>
      <c r="AF176" s="47"/>
      <c r="AG176" s="47"/>
      <c r="AH176" s="47"/>
      <c r="AI176" s="46"/>
      <c r="AJ176" s="46"/>
      <c r="AK176" s="46"/>
      <c r="AL176" s="7"/>
      <c r="AM176" s="49" t="str">
        <f aca="false">IF(OR(C176="",G176=""),"",IFERROR(DATEDIF(C176,G176,"m"),""))</f>
        <v/>
      </c>
      <c r="AN176" s="49" t="str">
        <f aca="false">IF(OR(Q176="",AM176=""),"",60+2*Q176-AM176)</f>
        <v/>
      </c>
      <c r="AO176" s="49" t="str">
        <f aca="false">IF(OR(G176="",AJ176=""),"",AJ176-G176)</f>
        <v/>
      </c>
      <c r="AP176" s="50" t="str">
        <f aca="false">IF(AND(A176="",B176=""),"",IF(J176="","Status needed",IF(OR(J176="Applied",J176="Visit booked",J176="Withdrawn"),"OK",IF(G176="","Date assessed needed",IF(C176="","Date of birth needed",IF(COUNTA(L176,M176,P176,U176,V176,X176)&lt;6,"Band missing",IF(AND(OR(J176="Decision confirmed",J176="Family told",J176="Enrolled"),AG176=""),"Recommendation needed",IF(AND(OR(J176="Family told",J176="Enrolled"),AJ176=""),"Date family told needed","OK"))))))))</f>
        <v/>
      </c>
    </row>
    <row r="177" customFormat="false" ht="15" hidden="false" customHeight="false" outlineLevel="0" collapsed="false">
      <c r="A177" s="7"/>
      <c r="B177" s="7"/>
      <c r="C177" s="46"/>
      <c r="D177" s="7"/>
      <c r="E177" s="47"/>
      <c r="F177" s="46"/>
      <c r="G177" s="46"/>
      <c r="H177" s="7"/>
      <c r="I177" s="7"/>
      <c r="J177" s="47"/>
      <c r="K177" s="47"/>
      <c r="L177" s="47"/>
      <c r="M177" s="47"/>
      <c r="N177" s="47"/>
      <c r="O177" s="10"/>
      <c r="P177" s="47"/>
      <c r="Q177" s="47"/>
      <c r="R177" s="48" t="str">
        <f aca="false">IF(Q177="","",IF(Q177=0,"below 5:00",IF(Q177&gt;=66,"16:00 or above",INT((60+2*Q177)/12)&amp;":"&amp;TEXT(MOD(60+2*Q177,12),"00"))))</f>
        <v/>
      </c>
      <c r="S177" s="47"/>
      <c r="T177" s="47"/>
      <c r="U177" s="47"/>
      <c r="V177" s="47"/>
      <c r="W177" s="47"/>
      <c r="X177" s="47"/>
      <c r="Y177" s="47"/>
      <c r="Z177" s="47"/>
      <c r="AA177" s="10"/>
      <c r="AB177" s="10"/>
      <c r="AC177" s="47"/>
      <c r="AD177" s="47"/>
      <c r="AE177" s="47"/>
      <c r="AF177" s="47"/>
      <c r="AG177" s="47"/>
      <c r="AH177" s="47"/>
      <c r="AI177" s="46"/>
      <c r="AJ177" s="46"/>
      <c r="AK177" s="46"/>
      <c r="AL177" s="7"/>
      <c r="AM177" s="49" t="str">
        <f aca="false">IF(OR(C177="",G177=""),"",IFERROR(DATEDIF(C177,G177,"m"),""))</f>
        <v/>
      </c>
      <c r="AN177" s="49" t="str">
        <f aca="false">IF(OR(Q177="",AM177=""),"",60+2*Q177-AM177)</f>
        <v/>
      </c>
      <c r="AO177" s="49" t="str">
        <f aca="false">IF(OR(G177="",AJ177=""),"",AJ177-G177)</f>
        <v/>
      </c>
      <c r="AP177" s="50" t="str">
        <f aca="false">IF(AND(A177="",B177=""),"",IF(J177="","Status needed",IF(OR(J177="Applied",J177="Visit booked",J177="Withdrawn"),"OK",IF(G177="","Date assessed needed",IF(C177="","Date of birth needed",IF(COUNTA(L177,M177,P177,U177,V177,X177)&lt;6,"Band missing",IF(AND(OR(J177="Decision confirmed",J177="Family told",J177="Enrolled"),AG177=""),"Recommendation needed",IF(AND(OR(J177="Family told",J177="Enrolled"),AJ177=""),"Date family told needed","OK"))))))))</f>
        <v/>
      </c>
    </row>
    <row r="178" customFormat="false" ht="15" hidden="false" customHeight="false" outlineLevel="0" collapsed="false">
      <c r="A178" s="7"/>
      <c r="B178" s="7"/>
      <c r="C178" s="46"/>
      <c r="D178" s="7"/>
      <c r="E178" s="47"/>
      <c r="F178" s="46"/>
      <c r="G178" s="46"/>
      <c r="H178" s="7"/>
      <c r="I178" s="7"/>
      <c r="J178" s="47"/>
      <c r="K178" s="47"/>
      <c r="L178" s="47"/>
      <c r="M178" s="47"/>
      <c r="N178" s="47"/>
      <c r="O178" s="10"/>
      <c r="P178" s="47"/>
      <c r="Q178" s="47"/>
      <c r="R178" s="48" t="str">
        <f aca="false">IF(Q178="","",IF(Q178=0,"below 5:00",IF(Q178&gt;=66,"16:00 or above",INT((60+2*Q178)/12)&amp;":"&amp;TEXT(MOD(60+2*Q178,12),"00"))))</f>
        <v/>
      </c>
      <c r="S178" s="47"/>
      <c r="T178" s="47"/>
      <c r="U178" s="47"/>
      <c r="V178" s="47"/>
      <c r="W178" s="47"/>
      <c r="X178" s="47"/>
      <c r="Y178" s="47"/>
      <c r="Z178" s="47"/>
      <c r="AA178" s="10"/>
      <c r="AB178" s="10"/>
      <c r="AC178" s="47"/>
      <c r="AD178" s="47"/>
      <c r="AE178" s="47"/>
      <c r="AF178" s="47"/>
      <c r="AG178" s="47"/>
      <c r="AH178" s="47"/>
      <c r="AI178" s="46"/>
      <c r="AJ178" s="46"/>
      <c r="AK178" s="46"/>
      <c r="AL178" s="7"/>
      <c r="AM178" s="49" t="str">
        <f aca="false">IF(OR(C178="",G178=""),"",IFERROR(DATEDIF(C178,G178,"m"),""))</f>
        <v/>
      </c>
      <c r="AN178" s="49" t="str">
        <f aca="false">IF(OR(Q178="",AM178=""),"",60+2*Q178-AM178)</f>
        <v/>
      </c>
      <c r="AO178" s="49" t="str">
        <f aca="false">IF(OR(G178="",AJ178=""),"",AJ178-G178)</f>
        <v/>
      </c>
      <c r="AP178" s="50" t="str">
        <f aca="false">IF(AND(A178="",B178=""),"",IF(J178="","Status needed",IF(OR(J178="Applied",J178="Visit booked",J178="Withdrawn"),"OK",IF(G178="","Date assessed needed",IF(C178="","Date of birth needed",IF(COUNTA(L178,M178,P178,U178,V178,X178)&lt;6,"Band missing",IF(AND(OR(J178="Decision confirmed",J178="Family told",J178="Enrolled"),AG178=""),"Recommendation needed",IF(AND(OR(J178="Family told",J178="Enrolled"),AJ178=""),"Date family told needed","OK"))))))))</f>
        <v/>
      </c>
    </row>
    <row r="179" customFormat="false" ht="15" hidden="false" customHeight="false" outlineLevel="0" collapsed="false">
      <c r="A179" s="7"/>
      <c r="B179" s="7"/>
      <c r="C179" s="46"/>
      <c r="D179" s="7"/>
      <c r="E179" s="47"/>
      <c r="F179" s="46"/>
      <c r="G179" s="46"/>
      <c r="H179" s="7"/>
      <c r="I179" s="7"/>
      <c r="J179" s="47"/>
      <c r="K179" s="47"/>
      <c r="L179" s="47"/>
      <c r="M179" s="47"/>
      <c r="N179" s="47"/>
      <c r="O179" s="10"/>
      <c r="P179" s="47"/>
      <c r="Q179" s="47"/>
      <c r="R179" s="48" t="str">
        <f aca="false">IF(Q179="","",IF(Q179=0,"below 5:00",IF(Q179&gt;=66,"16:00 or above",INT((60+2*Q179)/12)&amp;":"&amp;TEXT(MOD(60+2*Q179,12),"00"))))</f>
        <v/>
      </c>
      <c r="S179" s="47"/>
      <c r="T179" s="47"/>
      <c r="U179" s="47"/>
      <c r="V179" s="47"/>
      <c r="W179" s="47"/>
      <c r="X179" s="47"/>
      <c r="Y179" s="47"/>
      <c r="Z179" s="47"/>
      <c r="AA179" s="10"/>
      <c r="AB179" s="10"/>
      <c r="AC179" s="47"/>
      <c r="AD179" s="47"/>
      <c r="AE179" s="47"/>
      <c r="AF179" s="47"/>
      <c r="AG179" s="47"/>
      <c r="AH179" s="47"/>
      <c r="AI179" s="46"/>
      <c r="AJ179" s="46"/>
      <c r="AK179" s="46"/>
      <c r="AL179" s="7"/>
      <c r="AM179" s="49" t="str">
        <f aca="false">IF(OR(C179="",G179=""),"",IFERROR(DATEDIF(C179,G179,"m"),""))</f>
        <v/>
      </c>
      <c r="AN179" s="49" t="str">
        <f aca="false">IF(OR(Q179="",AM179=""),"",60+2*Q179-AM179)</f>
        <v/>
      </c>
      <c r="AO179" s="49" t="str">
        <f aca="false">IF(OR(G179="",AJ179=""),"",AJ179-G179)</f>
        <v/>
      </c>
      <c r="AP179" s="50" t="str">
        <f aca="false">IF(AND(A179="",B179=""),"",IF(J179="","Status needed",IF(OR(J179="Applied",J179="Visit booked",J179="Withdrawn"),"OK",IF(G179="","Date assessed needed",IF(C179="","Date of birth needed",IF(COUNTA(L179,M179,P179,U179,V179,X179)&lt;6,"Band missing",IF(AND(OR(J179="Decision confirmed",J179="Family told",J179="Enrolled"),AG179=""),"Recommendation needed",IF(AND(OR(J179="Family told",J179="Enrolled"),AJ179=""),"Date family told needed","OK"))))))))</f>
        <v/>
      </c>
    </row>
    <row r="180" customFormat="false" ht="15" hidden="false" customHeight="false" outlineLevel="0" collapsed="false">
      <c r="A180" s="7"/>
      <c r="B180" s="7"/>
      <c r="C180" s="46"/>
      <c r="D180" s="7"/>
      <c r="E180" s="47"/>
      <c r="F180" s="46"/>
      <c r="G180" s="46"/>
      <c r="H180" s="7"/>
      <c r="I180" s="7"/>
      <c r="J180" s="47"/>
      <c r="K180" s="47"/>
      <c r="L180" s="47"/>
      <c r="M180" s="47"/>
      <c r="N180" s="47"/>
      <c r="O180" s="10"/>
      <c r="P180" s="47"/>
      <c r="Q180" s="47"/>
      <c r="R180" s="48" t="str">
        <f aca="false">IF(Q180="","",IF(Q180=0,"below 5:00",IF(Q180&gt;=66,"16:00 or above",INT((60+2*Q180)/12)&amp;":"&amp;TEXT(MOD(60+2*Q180,12),"00"))))</f>
        <v/>
      </c>
      <c r="S180" s="47"/>
      <c r="T180" s="47"/>
      <c r="U180" s="47"/>
      <c r="V180" s="47"/>
      <c r="W180" s="47"/>
      <c r="X180" s="47"/>
      <c r="Y180" s="47"/>
      <c r="Z180" s="47"/>
      <c r="AA180" s="10"/>
      <c r="AB180" s="10"/>
      <c r="AC180" s="47"/>
      <c r="AD180" s="47"/>
      <c r="AE180" s="47"/>
      <c r="AF180" s="47"/>
      <c r="AG180" s="47"/>
      <c r="AH180" s="47"/>
      <c r="AI180" s="46"/>
      <c r="AJ180" s="46"/>
      <c r="AK180" s="46"/>
      <c r="AL180" s="7"/>
      <c r="AM180" s="49" t="str">
        <f aca="false">IF(OR(C180="",G180=""),"",IFERROR(DATEDIF(C180,G180,"m"),""))</f>
        <v/>
      </c>
      <c r="AN180" s="49" t="str">
        <f aca="false">IF(OR(Q180="",AM180=""),"",60+2*Q180-AM180)</f>
        <v/>
      </c>
      <c r="AO180" s="49" t="str">
        <f aca="false">IF(OR(G180="",AJ180=""),"",AJ180-G180)</f>
        <v/>
      </c>
      <c r="AP180" s="50" t="str">
        <f aca="false">IF(AND(A180="",B180=""),"",IF(J180="","Status needed",IF(OR(J180="Applied",J180="Visit booked",J180="Withdrawn"),"OK",IF(G180="","Date assessed needed",IF(C180="","Date of birth needed",IF(COUNTA(L180,M180,P180,U180,V180,X180)&lt;6,"Band missing",IF(AND(OR(J180="Decision confirmed",J180="Family told",J180="Enrolled"),AG180=""),"Recommendation needed",IF(AND(OR(J180="Family told",J180="Enrolled"),AJ180=""),"Date family told needed","OK"))))))))</f>
        <v/>
      </c>
    </row>
    <row r="181" customFormat="false" ht="15" hidden="false" customHeight="false" outlineLevel="0" collapsed="false">
      <c r="A181" s="7"/>
      <c r="B181" s="7"/>
      <c r="C181" s="46"/>
      <c r="D181" s="7"/>
      <c r="E181" s="47"/>
      <c r="F181" s="46"/>
      <c r="G181" s="46"/>
      <c r="H181" s="7"/>
      <c r="I181" s="7"/>
      <c r="J181" s="47"/>
      <c r="K181" s="47"/>
      <c r="L181" s="47"/>
      <c r="M181" s="47"/>
      <c r="N181" s="47"/>
      <c r="O181" s="10"/>
      <c r="P181" s="47"/>
      <c r="Q181" s="47"/>
      <c r="R181" s="48" t="str">
        <f aca="false">IF(Q181="","",IF(Q181=0,"below 5:00",IF(Q181&gt;=66,"16:00 or above",INT((60+2*Q181)/12)&amp;":"&amp;TEXT(MOD(60+2*Q181,12),"00"))))</f>
        <v/>
      </c>
      <c r="S181" s="47"/>
      <c r="T181" s="47"/>
      <c r="U181" s="47"/>
      <c r="V181" s="47"/>
      <c r="W181" s="47"/>
      <c r="X181" s="47"/>
      <c r="Y181" s="47"/>
      <c r="Z181" s="47"/>
      <c r="AA181" s="10"/>
      <c r="AB181" s="10"/>
      <c r="AC181" s="47"/>
      <c r="AD181" s="47"/>
      <c r="AE181" s="47"/>
      <c r="AF181" s="47"/>
      <c r="AG181" s="47"/>
      <c r="AH181" s="47"/>
      <c r="AI181" s="46"/>
      <c r="AJ181" s="46"/>
      <c r="AK181" s="46"/>
      <c r="AL181" s="7"/>
      <c r="AM181" s="49" t="str">
        <f aca="false">IF(OR(C181="",G181=""),"",IFERROR(DATEDIF(C181,G181,"m"),""))</f>
        <v/>
      </c>
      <c r="AN181" s="49" t="str">
        <f aca="false">IF(OR(Q181="",AM181=""),"",60+2*Q181-AM181)</f>
        <v/>
      </c>
      <c r="AO181" s="49" t="str">
        <f aca="false">IF(OR(G181="",AJ181=""),"",AJ181-G181)</f>
        <v/>
      </c>
      <c r="AP181" s="50" t="str">
        <f aca="false">IF(AND(A181="",B181=""),"",IF(J181="","Status needed",IF(OR(J181="Applied",J181="Visit booked",J181="Withdrawn"),"OK",IF(G181="","Date assessed needed",IF(C181="","Date of birth needed",IF(COUNTA(L181,M181,P181,U181,V181,X181)&lt;6,"Band missing",IF(AND(OR(J181="Decision confirmed",J181="Family told",J181="Enrolled"),AG181=""),"Recommendation needed",IF(AND(OR(J181="Family told",J181="Enrolled"),AJ181=""),"Date family told needed","OK"))))))))</f>
        <v/>
      </c>
    </row>
    <row r="182" customFormat="false" ht="15" hidden="false" customHeight="false" outlineLevel="0" collapsed="false">
      <c r="A182" s="7"/>
      <c r="B182" s="7"/>
      <c r="C182" s="46"/>
      <c r="D182" s="7"/>
      <c r="E182" s="47"/>
      <c r="F182" s="46"/>
      <c r="G182" s="46"/>
      <c r="H182" s="7"/>
      <c r="I182" s="7"/>
      <c r="J182" s="47"/>
      <c r="K182" s="47"/>
      <c r="L182" s="47"/>
      <c r="M182" s="47"/>
      <c r="N182" s="47"/>
      <c r="O182" s="10"/>
      <c r="P182" s="47"/>
      <c r="Q182" s="47"/>
      <c r="R182" s="48" t="str">
        <f aca="false">IF(Q182="","",IF(Q182=0,"below 5:00",IF(Q182&gt;=66,"16:00 or above",INT((60+2*Q182)/12)&amp;":"&amp;TEXT(MOD(60+2*Q182,12),"00"))))</f>
        <v/>
      </c>
      <c r="S182" s="47"/>
      <c r="T182" s="47"/>
      <c r="U182" s="47"/>
      <c r="V182" s="47"/>
      <c r="W182" s="47"/>
      <c r="X182" s="47"/>
      <c r="Y182" s="47"/>
      <c r="Z182" s="47"/>
      <c r="AA182" s="10"/>
      <c r="AB182" s="10"/>
      <c r="AC182" s="47"/>
      <c r="AD182" s="47"/>
      <c r="AE182" s="47"/>
      <c r="AF182" s="47"/>
      <c r="AG182" s="47"/>
      <c r="AH182" s="47"/>
      <c r="AI182" s="46"/>
      <c r="AJ182" s="46"/>
      <c r="AK182" s="46"/>
      <c r="AL182" s="7"/>
      <c r="AM182" s="49" t="str">
        <f aca="false">IF(OR(C182="",G182=""),"",IFERROR(DATEDIF(C182,G182,"m"),""))</f>
        <v/>
      </c>
      <c r="AN182" s="49" t="str">
        <f aca="false">IF(OR(Q182="",AM182=""),"",60+2*Q182-AM182)</f>
        <v/>
      </c>
      <c r="AO182" s="49" t="str">
        <f aca="false">IF(OR(G182="",AJ182=""),"",AJ182-G182)</f>
        <v/>
      </c>
      <c r="AP182" s="50" t="str">
        <f aca="false">IF(AND(A182="",B182=""),"",IF(J182="","Status needed",IF(OR(J182="Applied",J182="Visit booked",J182="Withdrawn"),"OK",IF(G182="","Date assessed needed",IF(C182="","Date of birth needed",IF(COUNTA(L182,M182,P182,U182,V182,X182)&lt;6,"Band missing",IF(AND(OR(J182="Decision confirmed",J182="Family told",J182="Enrolled"),AG182=""),"Recommendation needed",IF(AND(OR(J182="Family told",J182="Enrolled"),AJ182=""),"Date family told needed","OK"))))))))</f>
        <v/>
      </c>
    </row>
    <row r="183" customFormat="false" ht="15" hidden="false" customHeight="false" outlineLevel="0" collapsed="false">
      <c r="A183" s="7"/>
      <c r="B183" s="7"/>
      <c r="C183" s="46"/>
      <c r="D183" s="7"/>
      <c r="E183" s="47"/>
      <c r="F183" s="46"/>
      <c r="G183" s="46"/>
      <c r="H183" s="7"/>
      <c r="I183" s="7"/>
      <c r="J183" s="47"/>
      <c r="K183" s="47"/>
      <c r="L183" s="47"/>
      <c r="M183" s="47"/>
      <c r="N183" s="47"/>
      <c r="O183" s="10"/>
      <c r="P183" s="47"/>
      <c r="Q183" s="47"/>
      <c r="R183" s="48" t="str">
        <f aca="false">IF(Q183="","",IF(Q183=0,"below 5:00",IF(Q183&gt;=66,"16:00 or above",INT((60+2*Q183)/12)&amp;":"&amp;TEXT(MOD(60+2*Q183,12),"00"))))</f>
        <v/>
      </c>
      <c r="S183" s="47"/>
      <c r="T183" s="47"/>
      <c r="U183" s="47"/>
      <c r="V183" s="47"/>
      <c r="W183" s="47"/>
      <c r="X183" s="47"/>
      <c r="Y183" s="47"/>
      <c r="Z183" s="47"/>
      <c r="AA183" s="10"/>
      <c r="AB183" s="10"/>
      <c r="AC183" s="47"/>
      <c r="AD183" s="47"/>
      <c r="AE183" s="47"/>
      <c r="AF183" s="47"/>
      <c r="AG183" s="47"/>
      <c r="AH183" s="47"/>
      <c r="AI183" s="46"/>
      <c r="AJ183" s="46"/>
      <c r="AK183" s="46"/>
      <c r="AL183" s="7"/>
      <c r="AM183" s="49" t="str">
        <f aca="false">IF(OR(C183="",G183=""),"",IFERROR(DATEDIF(C183,G183,"m"),""))</f>
        <v/>
      </c>
      <c r="AN183" s="49" t="str">
        <f aca="false">IF(OR(Q183="",AM183=""),"",60+2*Q183-AM183)</f>
        <v/>
      </c>
      <c r="AO183" s="49" t="str">
        <f aca="false">IF(OR(G183="",AJ183=""),"",AJ183-G183)</f>
        <v/>
      </c>
      <c r="AP183" s="50" t="str">
        <f aca="false">IF(AND(A183="",B183=""),"",IF(J183="","Status needed",IF(OR(J183="Applied",J183="Visit booked",J183="Withdrawn"),"OK",IF(G183="","Date assessed needed",IF(C183="","Date of birth needed",IF(COUNTA(L183,M183,P183,U183,V183,X183)&lt;6,"Band missing",IF(AND(OR(J183="Decision confirmed",J183="Family told",J183="Enrolled"),AG183=""),"Recommendation needed",IF(AND(OR(J183="Family told",J183="Enrolled"),AJ183=""),"Date family told needed","OK"))))))))</f>
        <v/>
      </c>
    </row>
    <row r="184" customFormat="false" ht="15" hidden="false" customHeight="false" outlineLevel="0" collapsed="false">
      <c r="A184" s="7"/>
      <c r="B184" s="7"/>
      <c r="C184" s="46"/>
      <c r="D184" s="7"/>
      <c r="E184" s="47"/>
      <c r="F184" s="46"/>
      <c r="G184" s="46"/>
      <c r="H184" s="7"/>
      <c r="I184" s="7"/>
      <c r="J184" s="47"/>
      <c r="K184" s="47"/>
      <c r="L184" s="47"/>
      <c r="M184" s="47"/>
      <c r="N184" s="47"/>
      <c r="O184" s="10"/>
      <c r="P184" s="47"/>
      <c r="Q184" s="47"/>
      <c r="R184" s="48" t="str">
        <f aca="false">IF(Q184="","",IF(Q184=0,"below 5:00",IF(Q184&gt;=66,"16:00 or above",INT((60+2*Q184)/12)&amp;":"&amp;TEXT(MOD(60+2*Q184,12),"00"))))</f>
        <v/>
      </c>
      <c r="S184" s="47"/>
      <c r="T184" s="47"/>
      <c r="U184" s="47"/>
      <c r="V184" s="47"/>
      <c r="W184" s="47"/>
      <c r="X184" s="47"/>
      <c r="Y184" s="47"/>
      <c r="Z184" s="47"/>
      <c r="AA184" s="10"/>
      <c r="AB184" s="10"/>
      <c r="AC184" s="47"/>
      <c r="AD184" s="47"/>
      <c r="AE184" s="47"/>
      <c r="AF184" s="47"/>
      <c r="AG184" s="47"/>
      <c r="AH184" s="47"/>
      <c r="AI184" s="46"/>
      <c r="AJ184" s="46"/>
      <c r="AK184" s="46"/>
      <c r="AL184" s="7"/>
      <c r="AM184" s="49" t="str">
        <f aca="false">IF(OR(C184="",G184=""),"",IFERROR(DATEDIF(C184,G184,"m"),""))</f>
        <v/>
      </c>
      <c r="AN184" s="49" t="str">
        <f aca="false">IF(OR(Q184="",AM184=""),"",60+2*Q184-AM184)</f>
        <v/>
      </c>
      <c r="AO184" s="49" t="str">
        <f aca="false">IF(OR(G184="",AJ184=""),"",AJ184-G184)</f>
        <v/>
      </c>
      <c r="AP184" s="50" t="str">
        <f aca="false">IF(AND(A184="",B184=""),"",IF(J184="","Status needed",IF(OR(J184="Applied",J184="Visit booked",J184="Withdrawn"),"OK",IF(G184="","Date assessed needed",IF(C184="","Date of birth needed",IF(COUNTA(L184,M184,P184,U184,V184,X184)&lt;6,"Band missing",IF(AND(OR(J184="Decision confirmed",J184="Family told",J184="Enrolled"),AG184=""),"Recommendation needed",IF(AND(OR(J184="Family told",J184="Enrolled"),AJ184=""),"Date family told needed","OK"))))))))</f>
        <v/>
      </c>
    </row>
    <row r="185" customFormat="false" ht="15" hidden="false" customHeight="false" outlineLevel="0" collapsed="false">
      <c r="A185" s="7"/>
      <c r="B185" s="7"/>
      <c r="C185" s="46"/>
      <c r="D185" s="7"/>
      <c r="E185" s="47"/>
      <c r="F185" s="46"/>
      <c r="G185" s="46"/>
      <c r="H185" s="7"/>
      <c r="I185" s="7"/>
      <c r="J185" s="47"/>
      <c r="K185" s="47"/>
      <c r="L185" s="47"/>
      <c r="M185" s="47"/>
      <c r="N185" s="47"/>
      <c r="O185" s="10"/>
      <c r="P185" s="47"/>
      <c r="Q185" s="47"/>
      <c r="R185" s="48" t="str">
        <f aca="false">IF(Q185="","",IF(Q185=0,"below 5:00",IF(Q185&gt;=66,"16:00 or above",INT((60+2*Q185)/12)&amp;":"&amp;TEXT(MOD(60+2*Q185,12),"00"))))</f>
        <v/>
      </c>
      <c r="S185" s="47"/>
      <c r="T185" s="47"/>
      <c r="U185" s="47"/>
      <c r="V185" s="47"/>
      <c r="W185" s="47"/>
      <c r="X185" s="47"/>
      <c r="Y185" s="47"/>
      <c r="Z185" s="47"/>
      <c r="AA185" s="10"/>
      <c r="AB185" s="10"/>
      <c r="AC185" s="47"/>
      <c r="AD185" s="47"/>
      <c r="AE185" s="47"/>
      <c r="AF185" s="47"/>
      <c r="AG185" s="47"/>
      <c r="AH185" s="47"/>
      <c r="AI185" s="46"/>
      <c r="AJ185" s="46"/>
      <c r="AK185" s="46"/>
      <c r="AL185" s="7"/>
      <c r="AM185" s="49" t="str">
        <f aca="false">IF(OR(C185="",G185=""),"",IFERROR(DATEDIF(C185,G185,"m"),""))</f>
        <v/>
      </c>
      <c r="AN185" s="49" t="str">
        <f aca="false">IF(OR(Q185="",AM185=""),"",60+2*Q185-AM185)</f>
        <v/>
      </c>
      <c r="AO185" s="49" t="str">
        <f aca="false">IF(OR(G185="",AJ185=""),"",AJ185-G185)</f>
        <v/>
      </c>
      <c r="AP185" s="50" t="str">
        <f aca="false">IF(AND(A185="",B185=""),"",IF(J185="","Status needed",IF(OR(J185="Applied",J185="Visit booked",J185="Withdrawn"),"OK",IF(G185="","Date assessed needed",IF(C185="","Date of birth needed",IF(COUNTA(L185,M185,P185,U185,V185,X185)&lt;6,"Band missing",IF(AND(OR(J185="Decision confirmed",J185="Family told",J185="Enrolled"),AG185=""),"Recommendation needed",IF(AND(OR(J185="Family told",J185="Enrolled"),AJ185=""),"Date family told needed","OK"))))))))</f>
        <v/>
      </c>
    </row>
    <row r="186" customFormat="false" ht="15" hidden="false" customHeight="false" outlineLevel="0" collapsed="false">
      <c r="A186" s="7"/>
      <c r="B186" s="7"/>
      <c r="C186" s="46"/>
      <c r="D186" s="7"/>
      <c r="E186" s="47"/>
      <c r="F186" s="46"/>
      <c r="G186" s="46"/>
      <c r="H186" s="7"/>
      <c r="I186" s="7"/>
      <c r="J186" s="47"/>
      <c r="K186" s="47"/>
      <c r="L186" s="47"/>
      <c r="M186" s="47"/>
      <c r="N186" s="47"/>
      <c r="O186" s="10"/>
      <c r="P186" s="47"/>
      <c r="Q186" s="47"/>
      <c r="R186" s="48" t="str">
        <f aca="false">IF(Q186="","",IF(Q186=0,"below 5:00",IF(Q186&gt;=66,"16:00 or above",INT((60+2*Q186)/12)&amp;":"&amp;TEXT(MOD(60+2*Q186,12),"00"))))</f>
        <v/>
      </c>
      <c r="S186" s="47"/>
      <c r="T186" s="47"/>
      <c r="U186" s="47"/>
      <c r="V186" s="47"/>
      <c r="W186" s="47"/>
      <c r="X186" s="47"/>
      <c r="Y186" s="47"/>
      <c r="Z186" s="47"/>
      <c r="AA186" s="10"/>
      <c r="AB186" s="10"/>
      <c r="AC186" s="47"/>
      <c r="AD186" s="47"/>
      <c r="AE186" s="47"/>
      <c r="AF186" s="47"/>
      <c r="AG186" s="47"/>
      <c r="AH186" s="47"/>
      <c r="AI186" s="46"/>
      <c r="AJ186" s="46"/>
      <c r="AK186" s="46"/>
      <c r="AL186" s="7"/>
      <c r="AM186" s="49" t="str">
        <f aca="false">IF(OR(C186="",G186=""),"",IFERROR(DATEDIF(C186,G186,"m"),""))</f>
        <v/>
      </c>
      <c r="AN186" s="49" t="str">
        <f aca="false">IF(OR(Q186="",AM186=""),"",60+2*Q186-AM186)</f>
        <v/>
      </c>
      <c r="AO186" s="49" t="str">
        <f aca="false">IF(OR(G186="",AJ186=""),"",AJ186-G186)</f>
        <v/>
      </c>
      <c r="AP186" s="50" t="str">
        <f aca="false">IF(AND(A186="",B186=""),"",IF(J186="","Status needed",IF(OR(J186="Applied",J186="Visit booked",J186="Withdrawn"),"OK",IF(G186="","Date assessed needed",IF(C186="","Date of birth needed",IF(COUNTA(L186,M186,P186,U186,V186,X186)&lt;6,"Band missing",IF(AND(OR(J186="Decision confirmed",J186="Family told",J186="Enrolled"),AG186=""),"Recommendation needed",IF(AND(OR(J186="Family told",J186="Enrolled"),AJ186=""),"Date family told needed","OK"))))))))</f>
        <v/>
      </c>
    </row>
    <row r="187" customFormat="false" ht="15" hidden="false" customHeight="false" outlineLevel="0" collapsed="false">
      <c r="A187" s="7"/>
      <c r="B187" s="7"/>
      <c r="C187" s="46"/>
      <c r="D187" s="7"/>
      <c r="E187" s="47"/>
      <c r="F187" s="46"/>
      <c r="G187" s="46"/>
      <c r="H187" s="7"/>
      <c r="I187" s="7"/>
      <c r="J187" s="47"/>
      <c r="K187" s="47"/>
      <c r="L187" s="47"/>
      <c r="M187" s="47"/>
      <c r="N187" s="47"/>
      <c r="O187" s="10"/>
      <c r="P187" s="47"/>
      <c r="Q187" s="47"/>
      <c r="R187" s="48" t="str">
        <f aca="false">IF(Q187="","",IF(Q187=0,"below 5:00",IF(Q187&gt;=66,"16:00 or above",INT((60+2*Q187)/12)&amp;":"&amp;TEXT(MOD(60+2*Q187,12),"00"))))</f>
        <v/>
      </c>
      <c r="S187" s="47"/>
      <c r="T187" s="47"/>
      <c r="U187" s="47"/>
      <c r="V187" s="47"/>
      <c r="W187" s="47"/>
      <c r="X187" s="47"/>
      <c r="Y187" s="47"/>
      <c r="Z187" s="47"/>
      <c r="AA187" s="10"/>
      <c r="AB187" s="10"/>
      <c r="AC187" s="47"/>
      <c r="AD187" s="47"/>
      <c r="AE187" s="47"/>
      <c r="AF187" s="47"/>
      <c r="AG187" s="47"/>
      <c r="AH187" s="47"/>
      <c r="AI187" s="46"/>
      <c r="AJ187" s="46"/>
      <c r="AK187" s="46"/>
      <c r="AL187" s="7"/>
      <c r="AM187" s="49" t="str">
        <f aca="false">IF(OR(C187="",G187=""),"",IFERROR(DATEDIF(C187,G187,"m"),""))</f>
        <v/>
      </c>
      <c r="AN187" s="49" t="str">
        <f aca="false">IF(OR(Q187="",AM187=""),"",60+2*Q187-AM187)</f>
        <v/>
      </c>
      <c r="AO187" s="49" t="str">
        <f aca="false">IF(OR(G187="",AJ187=""),"",AJ187-G187)</f>
        <v/>
      </c>
      <c r="AP187" s="50" t="str">
        <f aca="false">IF(AND(A187="",B187=""),"",IF(J187="","Status needed",IF(OR(J187="Applied",J187="Visit booked",J187="Withdrawn"),"OK",IF(G187="","Date assessed needed",IF(C187="","Date of birth needed",IF(COUNTA(L187,M187,P187,U187,V187,X187)&lt;6,"Band missing",IF(AND(OR(J187="Decision confirmed",J187="Family told",J187="Enrolled"),AG187=""),"Recommendation needed",IF(AND(OR(J187="Family told",J187="Enrolled"),AJ187=""),"Date family told needed","OK"))))))))</f>
        <v/>
      </c>
    </row>
    <row r="188" customFormat="false" ht="15" hidden="false" customHeight="false" outlineLevel="0" collapsed="false">
      <c r="A188" s="7"/>
      <c r="B188" s="7"/>
      <c r="C188" s="46"/>
      <c r="D188" s="7"/>
      <c r="E188" s="47"/>
      <c r="F188" s="46"/>
      <c r="G188" s="46"/>
      <c r="H188" s="7"/>
      <c r="I188" s="7"/>
      <c r="J188" s="47"/>
      <c r="K188" s="47"/>
      <c r="L188" s="47"/>
      <c r="M188" s="47"/>
      <c r="N188" s="47"/>
      <c r="O188" s="10"/>
      <c r="P188" s="47"/>
      <c r="Q188" s="47"/>
      <c r="R188" s="48" t="str">
        <f aca="false">IF(Q188="","",IF(Q188=0,"below 5:00",IF(Q188&gt;=66,"16:00 or above",INT((60+2*Q188)/12)&amp;":"&amp;TEXT(MOD(60+2*Q188,12),"00"))))</f>
        <v/>
      </c>
      <c r="S188" s="47"/>
      <c r="T188" s="47"/>
      <c r="U188" s="47"/>
      <c r="V188" s="47"/>
      <c r="W188" s="47"/>
      <c r="X188" s="47"/>
      <c r="Y188" s="47"/>
      <c r="Z188" s="47"/>
      <c r="AA188" s="10"/>
      <c r="AB188" s="10"/>
      <c r="AC188" s="47"/>
      <c r="AD188" s="47"/>
      <c r="AE188" s="47"/>
      <c r="AF188" s="47"/>
      <c r="AG188" s="47"/>
      <c r="AH188" s="47"/>
      <c r="AI188" s="46"/>
      <c r="AJ188" s="46"/>
      <c r="AK188" s="46"/>
      <c r="AL188" s="7"/>
      <c r="AM188" s="49" t="str">
        <f aca="false">IF(OR(C188="",G188=""),"",IFERROR(DATEDIF(C188,G188,"m"),""))</f>
        <v/>
      </c>
      <c r="AN188" s="49" t="str">
        <f aca="false">IF(OR(Q188="",AM188=""),"",60+2*Q188-AM188)</f>
        <v/>
      </c>
      <c r="AO188" s="49" t="str">
        <f aca="false">IF(OR(G188="",AJ188=""),"",AJ188-G188)</f>
        <v/>
      </c>
      <c r="AP188" s="50" t="str">
        <f aca="false">IF(AND(A188="",B188=""),"",IF(J188="","Status needed",IF(OR(J188="Applied",J188="Visit booked",J188="Withdrawn"),"OK",IF(G188="","Date assessed needed",IF(C188="","Date of birth needed",IF(COUNTA(L188,M188,P188,U188,V188,X188)&lt;6,"Band missing",IF(AND(OR(J188="Decision confirmed",J188="Family told",J188="Enrolled"),AG188=""),"Recommendation needed",IF(AND(OR(J188="Family told",J188="Enrolled"),AJ188=""),"Date family told needed","OK"))))))))</f>
        <v/>
      </c>
    </row>
    <row r="189" customFormat="false" ht="15" hidden="false" customHeight="false" outlineLevel="0" collapsed="false">
      <c r="A189" s="7"/>
      <c r="B189" s="7"/>
      <c r="C189" s="46"/>
      <c r="D189" s="7"/>
      <c r="E189" s="47"/>
      <c r="F189" s="46"/>
      <c r="G189" s="46"/>
      <c r="H189" s="7"/>
      <c r="I189" s="7"/>
      <c r="J189" s="47"/>
      <c r="K189" s="47"/>
      <c r="L189" s="47"/>
      <c r="M189" s="47"/>
      <c r="N189" s="47"/>
      <c r="O189" s="10"/>
      <c r="P189" s="47"/>
      <c r="Q189" s="47"/>
      <c r="R189" s="48" t="str">
        <f aca="false">IF(Q189="","",IF(Q189=0,"below 5:00",IF(Q189&gt;=66,"16:00 or above",INT((60+2*Q189)/12)&amp;":"&amp;TEXT(MOD(60+2*Q189,12),"00"))))</f>
        <v/>
      </c>
      <c r="S189" s="47"/>
      <c r="T189" s="47"/>
      <c r="U189" s="47"/>
      <c r="V189" s="47"/>
      <c r="W189" s="47"/>
      <c r="X189" s="47"/>
      <c r="Y189" s="47"/>
      <c r="Z189" s="47"/>
      <c r="AA189" s="10"/>
      <c r="AB189" s="10"/>
      <c r="AC189" s="47"/>
      <c r="AD189" s="47"/>
      <c r="AE189" s="47"/>
      <c r="AF189" s="47"/>
      <c r="AG189" s="47"/>
      <c r="AH189" s="47"/>
      <c r="AI189" s="46"/>
      <c r="AJ189" s="46"/>
      <c r="AK189" s="46"/>
      <c r="AL189" s="7"/>
      <c r="AM189" s="49" t="str">
        <f aca="false">IF(OR(C189="",G189=""),"",IFERROR(DATEDIF(C189,G189,"m"),""))</f>
        <v/>
      </c>
      <c r="AN189" s="49" t="str">
        <f aca="false">IF(OR(Q189="",AM189=""),"",60+2*Q189-AM189)</f>
        <v/>
      </c>
      <c r="AO189" s="49" t="str">
        <f aca="false">IF(OR(G189="",AJ189=""),"",AJ189-G189)</f>
        <v/>
      </c>
      <c r="AP189" s="50" t="str">
        <f aca="false">IF(AND(A189="",B189=""),"",IF(J189="","Status needed",IF(OR(J189="Applied",J189="Visit booked",J189="Withdrawn"),"OK",IF(G189="","Date assessed needed",IF(C189="","Date of birth needed",IF(COUNTA(L189,M189,P189,U189,V189,X189)&lt;6,"Band missing",IF(AND(OR(J189="Decision confirmed",J189="Family told",J189="Enrolled"),AG189=""),"Recommendation needed",IF(AND(OR(J189="Family told",J189="Enrolled"),AJ189=""),"Date family told needed","OK"))))))))</f>
        <v/>
      </c>
    </row>
    <row r="190" customFormat="false" ht="15" hidden="false" customHeight="false" outlineLevel="0" collapsed="false">
      <c r="A190" s="7"/>
      <c r="B190" s="7"/>
      <c r="C190" s="46"/>
      <c r="D190" s="7"/>
      <c r="E190" s="47"/>
      <c r="F190" s="46"/>
      <c r="G190" s="46"/>
      <c r="H190" s="7"/>
      <c r="I190" s="7"/>
      <c r="J190" s="47"/>
      <c r="K190" s="47"/>
      <c r="L190" s="47"/>
      <c r="M190" s="47"/>
      <c r="N190" s="47"/>
      <c r="O190" s="10"/>
      <c r="P190" s="47"/>
      <c r="Q190" s="47"/>
      <c r="R190" s="48" t="str">
        <f aca="false">IF(Q190="","",IF(Q190=0,"below 5:00",IF(Q190&gt;=66,"16:00 or above",INT((60+2*Q190)/12)&amp;":"&amp;TEXT(MOD(60+2*Q190,12),"00"))))</f>
        <v/>
      </c>
      <c r="S190" s="47"/>
      <c r="T190" s="47"/>
      <c r="U190" s="47"/>
      <c r="V190" s="47"/>
      <c r="W190" s="47"/>
      <c r="X190" s="47"/>
      <c r="Y190" s="47"/>
      <c r="Z190" s="47"/>
      <c r="AA190" s="10"/>
      <c r="AB190" s="10"/>
      <c r="AC190" s="47"/>
      <c r="AD190" s="47"/>
      <c r="AE190" s="47"/>
      <c r="AF190" s="47"/>
      <c r="AG190" s="47"/>
      <c r="AH190" s="47"/>
      <c r="AI190" s="46"/>
      <c r="AJ190" s="46"/>
      <c r="AK190" s="46"/>
      <c r="AL190" s="7"/>
      <c r="AM190" s="49" t="str">
        <f aca="false">IF(OR(C190="",G190=""),"",IFERROR(DATEDIF(C190,G190,"m"),""))</f>
        <v/>
      </c>
      <c r="AN190" s="49" t="str">
        <f aca="false">IF(OR(Q190="",AM190=""),"",60+2*Q190-AM190)</f>
        <v/>
      </c>
      <c r="AO190" s="49" t="str">
        <f aca="false">IF(OR(G190="",AJ190=""),"",AJ190-G190)</f>
        <v/>
      </c>
      <c r="AP190" s="50" t="str">
        <f aca="false">IF(AND(A190="",B190=""),"",IF(J190="","Status needed",IF(OR(J190="Applied",J190="Visit booked",J190="Withdrawn"),"OK",IF(G190="","Date assessed needed",IF(C190="","Date of birth needed",IF(COUNTA(L190,M190,P190,U190,V190,X190)&lt;6,"Band missing",IF(AND(OR(J190="Decision confirmed",J190="Family told",J190="Enrolled"),AG190=""),"Recommendation needed",IF(AND(OR(J190="Family told",J190="Enrolled"),AJ190=""),"Date family told needed","OK"))))))))</f>
        <v/>
      </c>
    </row>
    <row r="191" customFormat="false" ht="15" hidden="false" customHeight="false" outlineLevel="0" collapsed="false">
      <c r="A191" s="7"/>
      <c r="B191" s="7"/>
      <c r="C191" s="46"/>
      <c r="D191" s="7"/>
      <c r="E191" s="47"/>
      <c r="F191" s="46"/>
      <c r="G191" s="46"/>
      <c r="H191" s="7"/>
      <c r="I191" s="7"/>
      <c r="J191" s="47"/>
      <c r="K191" s="47"/>
      <c r="L191" s="47"/>
      <c r="M191" s="47"/>
      <c r="N191" s="47"/>
      <c r="O191" s="10"/>
      <c r="P191" s="47"/>
      <c r="Q191" s="47"/>
      <c r="R191" s="48" t="str">
        <f aca="false">IF(Q191="","",IF(Q191=0,"below 5:00",IF(Q191&gt;=66,"16:00 or above",INT((60+2*Q191)/12)&amp;":"&amp;TEXT(MOD(60+2*Q191,12),"00"))))</f>
        <v/>
      </c>
      <c r="S191" s="47"/>
      <c r="T191" s="47"/>
      <c r="U191" s="47"/>
      <c r="V191" s="47"/>
      <c r="W191" s="47"/>
      <c r="X191" s="47"/>
      <c r="Y191" s="47"/>
      <c r="Z191" s="47"/>
      <c r="AA191" s="10"/>
      <c r="AB191" s="10"/>
      <c r="AC191" s="47"/>
      <c r="AD191" s="47"/>
      <c r="AE191" s="47"/>
      <c r="AF191" s="47"/>
      <c r="AG191" s="47"/>
      <c r="AH191" s="47"/>
      <c r="AI191" s="46"/>
      <c r="AJ191" s="46"/>
      <c r="AK191" s="46"/>
      <c r="AL191" s="7"/>
      <c r="AM191" s="49" t="str">
        <f aca="false">IF(OR(C191="",G191=""),"",IFERROR(DATEDIF(C191,G191,"m"),""))</f>
        <v/>
      </c>
      <c r="AN191" s="49" t="str">
        <f aca="false">IF(OR(Q191="",AM191=""),"",60+2*Q191-AM191)</f>
        <v/>
      </c>
      <c r="AO191" s="49" t="str">
        <f aca="false">IF(OR(G191="",AJ191=""),"",AJ191-G191)</f>
        <v/>
      </c>
      <c r="AP191" s="50" t="str">
        <f aca="false">IF(AND(A191="",B191=""),"",IF(J191="","Status needed",IF(OR(J191="Applied",J191="Visit booked",J191="Withdrawn"),"OK",IF(G191="","Date assessed needed",IF(C191="","Date of birth needed",IF(COUNTA(L191,M191,P191,U191,V191,X191)&lt;6,"Band missing",IF(AND(OR(J191="Decision confirmed",J191="Family told",J191="Enrolled"),AG191=""),"Recommendation needed",IF(AND(OR(J191="Family told",J191="Enrolled"),AJ191=""),"Date family told needed","OK"))))))))</f>
        <v/>
      </c>
    </row>
    <row r="192" customFormat="false" ht="15" hidden="false" customHeight="false" outlineLevel="0" collapsed="false">
      <c r="A192" s="7"/>
      <c r="B192" s="7"/>
      <c r="C192" s="46"/>
      <c r="D192" s="7"/>
      <c r="E192" s="47"/>
      <c r="F192" s="46"/>
      <c r="G192" s="46"/>
      <c r="H192" s="7"/>
      <c r="I192" s="7"/>
      <c r="J192" s="47"/>
      <c r="K192" s="47"/>
      <c r="L192" s="47"/>
      <c r="M192" s="47"/>
      <c r="N192" s="47"/>
      <c r="O192" s="10"/>
      <c r="P192" s="47"/>
      <c r="Q192" s="47"/>
      <c r="R192" s="48" t="str">
        <f aca="false">IF(Q192="","",IF(Q192=0,"below 5:00",IF(Q192&gt;=66,"16:00 or above",INT((60+2*Q192)/12)&amp;":"&amp;TEXT(MOD(60+2*Q192,12),"00"))))</f>
        <v/>
      </c>
      <c r="S192" s="47"/>
      <c r="T192" s="47"/>
      <c r="U192" s="47"/>
      <c r="V192" s="47"/>
      <c r="W192" s="47"/>
      <c r="X192" s="47"/>
      <c r="Y192" s="47"/>
      <c r="Z192" s="47"/>
      <c r="AA192" s="10"/>
      <c r="AB192" s="10"/>
      <c r="AC192" s="47"/>
      <c r="AD192" s="47"/>
      <c r="AE192" s="47"/>
      <c r="AF192" s="47"/>
      <c r="AG192" s="47"/>
      <c r="AH192" s="47"/>
      <c r="AI192" s="46"/>
      <c r="AJ192" s="46"/>
      <c r="AK192" s="46"/>
      <c r="AL192" s="7"/>
      <c r="AM192" s="49" t="str">
        <f aca="false">IF(OR(C192="",G192=""),"",IFERROR(DATEDIF(C192,G192,"m"),""))</f>
        <v/>
      </c>
      <c r="AN192" s="49" t="str">
        <f aca="false">IF(OR(Q192="",AM192=""),"",60+2*Q192-AM192)</f>
        <v/>
      </c>
      <c r="AO192" s="49" t="str">
        <f aca="false">IF(OR(G192="",AJ192=""),"",AJ192-G192)</f>
        <v/>
      </c>
      <c r="AP192" s="50" t="str">
        <f aca="false">IF(AND(A192="",B192=""),"",IF(J192="","Status needed",IF(OR(J192="Applied",J192="Visit booked",J192="Withdrawn"),"OK",IF(G192="","Date assessed needed",IF(C192="","Date of birth needed",IF(COUNTA(L192,M192,P192,U192,V192,X192)&lt;6,"Band missing",IF(AND(OR(J192="Decision confirmed",J192="Family told",J192="Enrolled"),AG192=""),"Recommendation needed",IF(AND(OR(J192="Family told",J192="Enrolled"),AJ192=""),"Date family told needed","OK"))))))))</f>
        <v/>
      </c>
    </row>
    <row r="193" customFormat="false" ht="15" hidden="false" customHeight="false" outlineLevel="0" collapsed="false">
      <c r="A193" s="7"/>
      <c r="B193" s="7"/>
      <c r="C193" s="46"/>
      <c r="D193" s="7"/>
      <c r="E193" s="47"/>
      <c r="F193" s="46"/>
      <c r="G193" s="46"/>
      <c r="H193" s="7"/>
      <c r="I193" s="7"/>
      <c r="J193" s="47"/>
      <c r="K193" s="47"/>
      <c r="L193" s="47"/>
      <c r="M193" s="47"/>
      <c r="N193" s="47"/>
      <c r="O193" s="10"/>
      <c r="P193" s="47"/>
      <c r="Q193" s="47"/>
      <c r="R193" s="48" t="str">
        <f aca="false">IF(Q193="","",IF(Q193=0,"below 5:00",IF(Q193&gt;=66,"16:00 or above",INT((60+2*Q193)/12)&amp;":"&amp;TEXT(MOD(60+2*Q193,12),"00"))))</f>
        <v/>
      </c>
      <c r="S193" s="47"/>
      <c r="T193" s="47"/>
      <c r="U193" s="47"/>
      <c r="V193" s="47"/>
      <c r="W193" s="47"/>
      <c r="X193" s="47"/>
      <c r="Y193" s="47"/>
      <c r="Z193" s="47"/>
      <c r="AA193" s="10"/>
      <c r="AB193" s="10"/>
      <c r="AC193" s="47"/>
      <c r="AD193" s="47"/>
      <c r="AE193" s="47"/>
      <c r="AF193" s="47"/>
      <c r="AG193" s="47"/>
      <c r="AH193" s="47"/>
      <c r="AI193" s="46"/>
      <c r="AJ193" s="46"/>
      <c r="AK193" s="46"/>
      <c r="AL193" s="7"/>
      <c r="AM193" s="49" t="str">
        <f aca="false">IF(OR(C193="",G193=""),"",IFERROR(DATEDIF(C193,G193,"m"),""))</f>
        <v/>
      </c>
      <c r="AN193" s="49" t="str">
        <f aca="false">IF(OR(Q193="",AM193=""),"",60+2*Q193-AM193)</f>
        <v/>
      </c>
      <c r="AO193" s="49" t="str">
        <f aca="false">IF(OR(G193="",AJ193=""),"",AJ193-G193)</f>
        <v/>
      </c>
      <c r="AP193" s="50" t="str">
        <f aca="false">IF(AND(A193="",B193=""),"",IF(J193="","Status needed",IF(OR(J193="Applied",J193="Visit booked",J193="Withdrawn"),"OK",IF(G193="","Date assessed needed",IF(C193="","Date of birth needed",IF(COUNTA(L193,M193,P193,U193,V193,X193)&lt;6,"Band missing",IF(AND(OR(J193="Decision confirmed",J193="Family told",J193="Enrolled"),AG193=""),"Recommendation needed",IF(AND(OR(J193="Family told",J193="Enrolled"),AJ193=""),"Date family told needed","OK"))))))))</f>
        <v/>
      </c>
    </row>
    <row r="194" customFormat="false" ht="15" hidden="false" customHeight="false" outlineLevel="0" collapsed="false">
      <c r="A194" s="7"/>
      <c r="B194" s="7"/>
      <c r="C194" s="46"/>
      <c r="D194" s="7"/>
      <c r="E194" s="47"/>
      <c r="F194" s="46"/>
      <c r="G194" s="46"/>
      <c r="H194" s="7"/>
      <c r="I194" s="7"/>
      <c r="J194" s="47"/>
      <c r="K194" s="47"/>
      <c r="L194" s="47"/>
      <c r="M194" s="47"/>
      <c r="N194" s="47"/>
      <c r="O194" s="10"/>
      <c r="P194" s="47"/>
      <c r="Q194" s="47"/>
      <c r="R194" s="48" t="str">
        <f aca="false">IF(Q194="","",IF(Q194=0,"below 5:00",IF(Q194&gt;=66,"16:00 or above",INT((60+2*Q194)/12)&amp;":"&amp;TEXT(MOD(60+2*Q194,12),"00"))))</f>
        <v/>
      </c>
      <c r="S194" s="47"/>
      <c r="T194" s="47"/>
      <c r="U194" s="47"/>
      <c r="V194" s="47"/>
      <c r="W194" s="47"/>
      <c r="X194" s="47"/>
      <c r="Y194" s="47"/>
      <c r="Z194" s="47"/>
      <c r="AA194" s="10"/>
      <c r="AB194" s="10"/>
      <c r="AC194" s="47"/>
      <c r="AD194" s="47"/>
      <c r="AE194" s="47"/>
      <c r="AF194" s="47"/>
      <c r="AG194" s="47"/>
      <c r="AH194" s="47"/>
      <c r="AI194" s="46"/>
      <c r="AJ194" s="46"/>
      <c r="AK194" s="46"/>
      <c r="AL194" s="7"/>
      <c r="AM194" s="49" t="str">
        <f aca="false">IF(OR(C194="",G194=""),"",IFERROR(DATEDIF(C194,G194,"m"),""))</f>
        <v/>
      </c>
      <c r="AN194" s="49" t="str">
        <f aca="false">IF(OR(Q194="",AM194=""),"",60+2*Q194-AM194)</f>
        <v/>
      </c>
      <c r="AO194" s="49" t="str">
        <f aca="false">IF(OR(G194="",AJ194=""),"",AJ194-G194)</f>
        <v/>
      </c>
      <c r="AP194" s="50" t="str">
        <f aca="false">IF(AND(A194="",B194=""),"",IF(J194="","Status needed",IF(OR(J194="Applied",J194="Visit booked",J194="Withdrawn"),"OK",IF(G194="","Date assessed needed",IF(C194="","Date of birth needed",IF(COUNTA(L194,M194,P194,U194,V194,X194)&lt;6,"Band missing",IF(AND(OR(J194="Decision confirmed",J194="Family told",J194="Enrolled"),AG194=""),"Recommendation needed",IF(AND(OR(J194="Family told",J194="Enrolled"),AJ194=""),"Date family told needed","OK"))))))))</f>
        <v/>
      </c>
    </row>
    <row r="195" customFormat="false" ht="15" hidden="false" customHeight="false" outlineLevel="0" collapsed="false">
      <c r="A195" s="7"/>
      <c r="B195" s="7"/>
      <c r="C195" s="46"/>
      <c r="D195" s="7"/>
      <c r="E195" s="47"/>
      <c r="F195" s="46"/>
      <c r="G195" s="46"/>
      <c r="H195" s="7"/>
      <c r="I195" s="7"/>
      <c r="J195" s="47"/>
      <c r="K195" s="47"/>
      <c r="L195" s="47"/>
      <c r="M195" s="47"/>
      <c r="N195" s="47"/>
      <c r="O195" s="10"/>
      <c r="P195" s="47"/>
      <c r="Q195" s="47"/>
      <c r="R195" s="48" t="str">
        <f aca="false">IF(Q195="","",IF(Q195=0,"below 5:00",IF(Q195&gt;=66,"16:00 or above",INT((60+2*Q195)/12)&amp;":"&amp;TEXT(MOD(60+2*Q195,12),"00"))))</f>
        <v/>
      </c>
      <c r="S195" s="47"/>
      <c r="T195" s="47"/>
      <c r="U195" s="47"/>
      <c r="V195" s="47"/>
      <c r="W195" s="47"/>
      <c r="X195" s="47"/>
      <c r="Y195" s="47"/>
      <c r="Z195" s="47"/>
      <c r="AA195" s="10"/>
      <c r="AB195" s="10"/>
      <c r="AC195" s="47"/>
      <c r="AD195" s="47"/>
      <c r="AE195" s="47"/>
      <c r="AF195" s="47"/>
      <c r="AG195" s="47"/>
      <c r="AH195" s="47"/>
      <c r="AI195" s="46"/>
      <c r="AJ195" s="46"/>
      <c r="AK195" s="46"/>
      <c r="AL195" s="7"/>
      <c r="AM195" s="49" t="str">
        <f aca="false">IF(OR(C195="",G195=""),"",IFERROR(DATEDIF(C195,G195,"m"),""))</f>
        <v/>
      </c>
      <c r="AN195" s="49" t="str">
        <f aca="false">IF(OR(Q195="",AM195=""),"",60+2*Q195-AM195)</f>
        <v/>
      </c>
      <c r="AO195" s="49" t="str">
        <f aca="false">IF(OR(G195="",AJ195=""),"",AJ195-G195)</f>
        <v/>
      </c>
      <c r="AP195" s="50" t="str">
        <f aca="false">IF(AND(A195="",B195=""),"",IF(J195="","Status needed",IF(OR(J195="Applied",J195="Visit booked",J195="Withdrawn"),"OK",IF(G195="","Date assessed needed",IF(C195="","Date of birth needed",IF(COUNTA(L195,M195,P195,U195,V195,X195)&lt;6,"Band missing",IF(AND(OR(J195="Decision confirmed",J195="Family told",J195="Enrolled"),AG195=""),"Recommendation needed",IF(AND(OR(J195="Family told",J195="Enrolled"),AJ195=""),"Date family told needed","OK"))))))))</f>
        <v/>
      </c>
    </row>
    <row r="196" customFormat="false" ht="15" hidden="false" customHeight="false" outlineLevel="0" collapsed="false">
      <c r="A196" s="7"/>
      <c r="B196" s="7"/>
      <c r="C196" s="46"/>
      <c r="D196" s="7"/>
      <c r="E196" s="47"/>
      <c r="F196" s="46"/>
      <c r="G196" s="46"/>
      <c r="H196" s="7"/>
      <c r="I196" s="7"/>
      <c r="J196" s="47"/>
      <c r="K196" s="47"/>
      <c r="L196" s="47"/>
      <c r="M196" s="47"/>
      <c r="N196" s="47"/>
      <c r="O196" s="10"/>
      <c r="P196" s="47"/>
      <c r="Q196" s="47"/>
      <c r="R196" s="48" t="str">
        <f aca="false">IF(Q196="","",IF(Q196=0,"below 5:00",IF(Q196&gt;=66,"16:00 or above",INT((60+2*Q196)/12)&amp;":"&amp;TEXT(MOD(60+2*Q196,12),"00"))))</f>
        <v/>
      </c>
      <c r="S196" s="47"/>
      <c r="T196" s="47"/>
      <c r="U196" s="47"/>
      <c r="V196" s="47"/>
      <c r="W196" s="47"/>
      <c r="X196" s="47"/>
      <c r="Y196" s="47"/>
      <c r="Z196" s="47"/>
      <c r="AA196" s="10"/>
      <c r="AB196" s="10"/>
      <c r="AC196" s="47"/>
      <c r="AD196" s="47"/>
      <c r="AE196" s="47"/>
      <c r="AF196" s="47"/>
      <c r="AG196" s="47"/>
      <c r="AH196" s="47"/>
      <c r="AI196" s="46"/>
      <c r="AJ196" s="46"/>
      <c r="AK196" s="46"/>
      <c r="AL196" s="7"/>
      <c r="AM196" s="49" t="str">
        <f aca="false">IF(OR(C196="",G196=""),"",IFERROR(DATEDIF(C196,G196,"m"),""))</f>
        <v/>
      </c>
      <c r="AN196" s="49" t="str">
        <f aca="false">IF(OR(Q196="",AM196=""),"",60+2*Q196-AM196)</f>
        <v/>
      </c>
      <c r="AO196" s="49" t="str">
        <f aca="false">IF(OR(G196="",AJ196=""),"",AJ196-G196)</f>
        <v/>
      </c>
      <c r="AP196" s="50" t="str">
        <f aca="false">IF(AND(A196="",B196=""),"",IF(J196="","Status needed",IF(OR(J196="Applied",J196="Visit booked",J196="Withdrawn"),"OK",IF(G196="","Date assessed needed",IF(C196="","Date of birth needed",IF(COUNTA(L196,M196,P196,U196,V196,X196)&lt;6,"Band missing",IF(AND(OR(J196="Decision confirmed",J196="Family told",J196="Enrolled"),AG196=""),"Recommendation needed",IF(AND(OR(J196="Family told",J196="Enrolled"),AJ196=""),"Date family told needed","OK"))))))))</f>
        <v/>
      </c>
    </row>
    <row r="197" customFormat="false" ht="15" hidden="false" customHeight="false" outlineLevel="0" collapsed="false">
      <c r="A197" s="7"/>
      <c r="B197" s="7"/>
      <c r="C197" s="46"/>
      <c r="D197" s="7"/>
      <c r="E197" s="47"/>
      <c r="F197" s="46"/>
      <c r="G197" s="46"/>
      <c r="H197" s="7"/>
      <c r="I197" s="7"/>
      <c r="J197" s="47"/>
      <c r="K197" s="47"/>
      <c r="L197" s="47"/>
      <c r="M197" s="47"/>
      <c r="N197" s="47"/>
      <c r="O197" s="10"/>
      <c r="P197" s="47"/>
      <c r="Q197" s="47"/>
      <c r="R197" s="48" t="str">
        <f aca="false">IF(Q197="","",IF(Q197=0,"below 5:00",IF(Q197&gt;=66,"16:00 or above",INT((60+2*Q197)/12)&amp;":"&amp;TEXT(MOD(60+2*Q197,12),"00"))))</f>
        <v/>
      </c>
      <c r="S197" s="47"/>
      <c r="T197" s="47"/>
      <c r="U197" s="47"/>
      <c r="V197" s="47"/>
      <c r="W197" s="47"/>
      <c r="X197" s="47"/>
      <c r="Y197" s="47"/>
      <c r="Z197" s="47"/>
      <c r="AA197" s="10"/>
      <c r="AB197" s="10"/>
      <c r="AC197" s="47"/>
      <c r="AD197" s="47"/>
      <c r="AE197" s="47"/>
      <c r="AF197" s="47"/>
      <c r="AG197" s="47"/>
      <c r="AH197" s="47"/>
      <c r="AI197" s="46"/>
      <c r="AJ197" s="46"/>
      <c r="AK197" s="46"/>
      <c r="AL197" s="7"/>
      <c r="AM197" s="49" t="str">
        <f aca="false">IF(OR(C197="",G197=""),"",IFERROR(DATEDIF(C197,G197,"m"),""))</f>
        <v/>
      </c>
      <c r="AN197" s="49" t="str">
        <f aca="false">IF(OR(Q197="",AM197=""),"",60+2*Q197-AM197)</f>
        <v/>
      </c>
      <c r="AO197" s="49" t="str">
        <f aca="false">IF(OR(G197="",AJ197=""),"",AJ197-G197)</f>
        <v/>
      </c>
      <c r="AP197" s="50" t="str">
        <f aca="false">IF(AND(A197="",B197=""),"",IF(J197="","Status needed",IF(OR(J197="Applied",J197="Visit booked",J197="Withdrawn"),"OK",IF(G197="","Date assessed needed",IF(C197="","Date of birth needed",IF(COUNTA(L197,M197,P197,U197,V197,X197)&lt;6,"Band missing",IF(AND(OR(J197="Decision confirmed",J197="Family told",J197="Enrolled"),AG197=""),"Recommendation needed",IF(AND(OR(J197="Family told",J197="Enrolled"),AJ197=""),"Date family told needed","OK"))))))))</f>
        <v/>
      </c>
    </row>
    <row r="198" customFormat="false" ht="15" hidden="false" customHeight="false" outlineLevel="0" collapsed="false">
      <c r="A198" s="7"/>
      <c r="B198" s="7"/>
      <c r="C198" s="46"/>
      <c r="D198" s="7"/>
      <c r="E198" s="47"/>
      <c r="F198" s="46"/>
      <c r="G198" s="46"/>
      <c r="H198" s="7"/>
      <c r="I198" s="7"/>
      <c r="J198" s="47"/>
      <c r="K198" s="47"/>
      <c r="L198" s="47"/>
      <c r="M198" s="47"/>
      <c r="N198" s="47"/>
      <c r="O198" s="10"/>
      <c r="P198" s="47"/>
      <c r="Q198" s="47"/>
      <c r="R198" s="48" t="str">
        <f aca="false">IF(Q198="","",IF(Q198=0,"below 5:00",IF(Q198&gt;=66,"16:00 or above",INT((60+2*Q198)/12)&amp;":"&amp;TEXT(MOD(60+2*Q198,12),"00"))))</f>
        <v/>
      </c>
      <c r="S198" s="47"/>
      <c r="T198" s="47"/>
      <c r="U198" s="47"/>
      <c r="V198" s="47"/>
      <c r="W198" s="47"/>
      <c r="X198" s="47"/>
      <c r="Y198" s="47"/>
      <c r="Z198" s="47"/>
      <c r="AA198" s="10"/>
      <c r="AB198" s="10"/>
      <c r="AC198" s="47"/>
      <c r="AD198" s="47"/>
      <c r="AE198" s="47"/>
      <c r="AF198" s="47"/>
      <c r="AG198" s="47"/>
      <c r="AH198" s="47"/>
      <c r="AI198" s="46"/>
      <c r="AJ198" s="46"/>
      <c r="AK198" s="46"/>
      <c r="AL198" s="7"/>
      <c r="AM198" s="49" t="str">
        <f aca="false">IF(OR(C198="",G198=""),"",IFERROR(DATEDIF(C198,G198,"m"),""))</f>
        <v/>
      </c>
      <c r="AN198" s="49" t="str">
        <f aca="false">IF(OR(Q198="",AM198=""),"",60+2*Q198-AM198)</f>
        <v/>
      </c>
      <c r="AO198" s="49" t="str">
        <f aca="false">IF(OR(G198="",AJ198=""),"",AJ198-G198)</f>
        <v/>
      </c>
      <c r="AP198" s="50" t="str">
        <f aca="false">IF(AND(A198="",B198=""),"",IF(J198="","Status needed",IF(OR(J198="Applied",J198="Visit booked",J198="Withdrawn"),"OK",IF(G198="","Date assessed needed",IF(C198="","Date of birth needed",IF(COUNTA(L198,M198,P198,U198,V198,X198)&lt;6,"Band missing",IF(AND(OR(J198="Decision confirmed",J198="Family told",J198="Enrolled"),AG198=""),"Recommendation needed",IF(AND(OR(J198="Family told",J198="Enrolled"),AJ198=""),"Date family told needed","OK"))))))))</f>
        <v/>
      </c>
    </row>
    <row r="199" customFormat="false" ht="15" hidden="false" customHeight="false" outlineLevel="0" collapsed="false">
      <c r="A199" s="7"/>
      <c r="B199" s="7"/>
      <c r="C199" s="46"/>
      <c r="D199" s="7"/>
      <c r="E199" s="47"/>
      <c r="F199" s="46"/>
      <c r="G199" s="46"/>
      <c r="H199" s="7"/>
      <c r="I199" s="7"/>
      <c r="J199" s="47"/>
      <c r="K199" s="47"/>
      <c r="L199" s="47"/>
      <c r="M199" s="47"/>
      <c r="N199" s="47"/>
      <c r="O199" s="10"/>
      <c r="P199" s="47"/>
      <c r="Q199" s="47"/>
      <c r="R199" s="48" t="str">
        <f aca="false">IF(Q199="","",IF(Q199=0,"below 5:00",IF(Q199&gt;=66,"16:00 or above",INT((60+2*Q199)/12)&amp;":"&amp;TEXT(MOD(60+2*Q199,12),"00"))))</f>
        <v/>
      </c>
      <c r="S199" s="47"/>
      <c r="T199" s="47"/>
      <c r="U199" s="47"/>
      <c r="V199" s="47"/>
      <c r="W199" s="47"/>
      <c r="X199" s="47"/>
      <c r="Y199" s="47"/>
      <c r="Z199" s="47"/>
      <c r="AA199" s="10"/>
      <c r="AB199" s="10"/>
      <c r="AC199" s="47"/>
      <c r="AD199" s="47"/>
      <c r="AE199" s="47"/>
      <c r="AF199" s="47"/>
      <c r="AG199" s="47"/>
      <c r="AH199" s="47"/>
      <c r="AI199" s="46"/>
      <c r="AJ199" s="46"/>
      <c r="AK199" s="46"/>
      <c r="AL199" s="7"/>
      <c r="AM199" s="49" t="str">
        <f aca="false">IF(OR(C199="",G199=""),"",IFERROR(DATEDIF(C199,G199,"m"),""))</f>
        <v/>
      </c>
      <c r="AN199" s="49" t="str">
        <f aca="false">IF(OR(Q199="",AM199=""),"",60+2*Q199-AM199)</f>
        <v/>
      </c>
      <c r="AO199" s="49" t="str">
        <f aca="false">IF(OR(G199="",AJ199=""),"",AJ199-G199)</f>
        <v/>
      </c>
      <c r="AP199" s="50" t="str">
        <f aca="false">IF(AND(A199="",B199=""),"",IF(J199="","Status needed",IF(OR(J199="Applied",J199="Visit booked",J199="Withdrawn"),"OK",IF(G199="","Date assessed needed",IF(C199="","Date of birth needed",IF(COUNTA(L199,M199,P199,U199,V199,X199)&lt;6,"Band missing",IF(AND(OR(J199="Decision confirmed",J199="Family told",J199="Enrolled"),AG199=""),"Recommendation needed",IF(AND(OR(J199="Family told",J199="Enrolled"),AJ199=""),"Date family told needed","OK"))))))))</f>
        <v/>
      </c>
    </row>
    <row r="200" customFormat="false" ht="15" hidden="false" customHeight="false" outlineLevel="0" collapsed="false">
      <c r="A200" s="7"/>
      <c r="B200" s="7"/>
      <c r="C200" s="46"/>
      <c r="D200" s="7"/>
      <c r="E200" s="47"/>
      <c r="F200" s="46"/>
      <c r="G200" s="46"/>
      <c r="H200" s="7"/>
      <c r="I200" s="7"/>
      <c r="J200" s="47"/>
      <c r="K200" s="47"/>
      <c r="L200" s="47"/>
      <c r="M200" s="47"/>
      <c r="N200" s="47"/>
      <c r="O200" s="10"/>
      <c r="P200" s="47"/>
      <c r="Q200" s="47"/>
      <c r="R200" s="48" t="str">
        <f aca="false">IF(Q200="","",IF(Q200=0,"below 5:00",IF(Q200&gt;=66,"16:00 or above",INT((60+2*Q200)/12)&amp;":"&amp;TEXT(MOD(60+2*Q200,12),"00"))))</f>
        <v/>
      </c>
      <c r="S200" s="47"/>
      <c r="T200" s="47"/>
      <c r="U200" s="47"/>
      <c r="V200" s="47"/>
      <c r="W200" s="47"/>
      <c r="X200" s="47"/>
      <c r="Y200" s="47"/>
      <c r="Z200" s="47"/>
      <c r="AA200" s="10"/>
      <c r="AB200" s="10"/>
      <c r="AC200" s="47"/>
      <c r="AD200" s="47"/>
      <c r="AE200" s="47"/>
      <c r="AF200" s="47"/>
      <c r="AG200" s="47"/>
      <c r="AH200" s="47"/>
      <c r="AI200" s="46"/>
      <c r="AJ200" s="46"/>
      <c r="AK200" s="46"/>
      <c r="AL200" s="7"/>
      <c r="AM200" s="49" t="str">
        <f aca="false">IF(OR(C200="",G200=""),"",IFERROR(DATEDIF(C200,G200,"m"),""))</f>
        <v/>
      </c>
      <c r="AN200" s="49" t="str">
        <f aca="false">IF(OR(Q200="",AM200=""),"",60+2*Q200-AM200)</f>
        <v/>
      </c>
      <c r="AO200" s="49" t="str">
        <f aca="false">IF(OR(G200="",AJ200=""),"",AJ200-G200)</f>
        <v/>
      </c>
      <c r="AP200" s="50" t="str">
        <f aca="false">IF(AND(A200="",B200=""),"",IF(J200="","Status needed",IF(OR(J200="Applied",J200="Visit booked",J200="Withdrawn"),"OK",IF(G200="","Date assessed needed",IF(C200="","Date of birth needed",IF(COUNTA(L200,M200,P200,U200,V200,X200)&lt;6,"Band missing",IF(AND(OR(J200="Decision confirmed",J200="Family told",J200="Enrolled"),AG200=""),"Recommendation needed",IF(AND(OR(J200="Family told",J200="Enrolled"),AJ200=""),"Date family told needed","OK"))))))))</f>
        <v/>
      </c>
    </row>
    <row r="201" customFormat="false" ht="15" hidden="false" customHeight="false" outlineLevel="0" collapsed="false">
      <c r="A201" s="7"/>
      <c r="B201" s="7"/>
      <c r="C201" s="46"/>
      <c r="D201" s="7"/>
      <c r="E201" s="47"/>
      <c r="F201" s="46"/>
      <c r="G201" s="46"/>
      <c r="H201" s="7"/>
      <c r="I201" s="7"/>
      <c r="J201" s="47"/>
      <c r="K201" s="47"/>
      <c r="L201" s="47"/>
      <c r="M201" s="47"/>
      <c r="N201" s="47"/>
      <c r="O201" s="10"/>
      <c r="P201" s="47"/>
      <c r="Q201" s="47"/>
      <c r="R201" s="48" t="str">
        <f aca="false">IF(Q201="","",IF(Q201=0,"below 5:00",IF(Q201&gt;=66,"16:00 or above",INT((60+2*Q201)/12)&amp;":"&amp;TEXT(MOD(60+2*Q201,12),"00"))))</f>
        <v/>
      </c>
      <c r="S201" s="47"/>
      <c r="T201" s="47"/>
      <c r="U201" s="47"/>
      <c r="V201" s="47"/>
      <c r="W201" s="47"/>
      <c r="X201" s="47"/>
      <c r="Y201" s="47"/>
      <c r="Z201" s="47"/>
      <c r="AA201" s="10"/>
      <c r="AB201" s="10"/>
      <c r="AC201" s="47"/>
      <c r="AD201" s="47"/>
      <c r="AE201" s="47"/>
      <c r="AF201" s="47"/>
      <c r="AG201" s="47"/>
      <c r="AH201" s="47"/>
      <c r="AI201" s="46"/>
      <c r="AJ201" s="46"/>
      <c r="AK201" s="46"/>
      <c r="AL201" s="7"/>
      <c r="AM201" s="49" t="str">
        <f aca="false">IF(OR(C201="",G201=""),"",IFERROR(DATEDIF(C201,G201,"m"),""))</f>
        <v/>
      </c>
      <c r="AN201" s="49" t="str">
        <f aca="false">IF(OR(Q201="",AM201=""),"",60+2*Q201-AM201)</f>
        <v/>
      </c>
      <c r="AO201" s="49" t="str">
        <f aca="false">IF(OR(G201="",AJ201=""),"",AJ201-G201)</f>
        <v/>
      </c>
      <c r="AP201" s="50" t="str">
        <f aca="false">IF(AND(A201="",B201=""),"",IF(J201="","Status needed",IF(OR(J201="Applied",J201="Visit booked",J201="Withdrawn"),"OK",IF(G201="","Date assessed needed",IF(C201="","Date of birth needed",IF(COUNTA(L201,M201,P201,U201,V201,X201)&lt;6,"Band missing",IF(AND(OR(J201="Decision confirmed",J201="Family told",J201="Enrolled"),AG201=""),"Recommendation needed",IF(AND(OR(J201="Family told",J201="Enrolled"),AJ201=""),"Date family told needed","OK"))))))))</f>
        <v/>
      </c>
    </row>
    <row r="202" customFormat="false" ht="15" hidden="false" customHeight="false" outlineLevel="0" collapsed="false">
      <c r="A202" s="7"/>
      <c r="B202" s="7"/>
      <c r="C202" s="46"/>
      <c r="D202" s="7"/>
      <c r="E202" s="47"/>
      <c r="F202" s="46"/>
      <c r="G202" s="46"/>
      <c r="H202" s="7"/>
      <c r="I202" s="7"/>
      <c r="J202" s="47"/>
      <c r="K202" s="47"/>
      <c r="L202" s="47"/>
      <c r="M202" s="47"/>
      <c r="N202" s="47"/>
      <c r="O202" s="10"/>
      <c r="P202" s="47"/>
      <c r="Q202" s="47"/>
      <c r="R202" s="48" t="str">
        <f aca="false">IF(Q202="","",IF(Q202=0,"below 5:00",IF(Q202&gt;=66,"16:00 or above",INT((60+2*Q202)/12)&amp;":"&amp;TEXT(MOD(60+2*Q202,12),"00"))))</f>
        <v/>
      </c>
      <c r="S202" s="47"/>
      <c r="T202" s="47"/>
      <c r="U202" s="47"/>
      <c r="V202" s="47"/>
      <c r="W202" s="47"/>
      <c r="X202" s="47"/>
      <c r="Y202" s="47"/>
      <c r="Z202" s="47"/>
      <c r="AA202" s="10"/>
      <c r="AB202" s="10"/>
      <c r="AC202" s="47"/>
      <c r="AD202" s="47"/>
      <c r="AE202" s="47"/>
      <c r="AF202" s="47"/>
      <c r="AG202" s="47"/>
      <c r="AH202" s="47"/>
      <c r="AI202" s="46"/>
      <c r="AJ202" s="46"/>
      <c r="AK202" s="46"/>
      <c r="AL202" s="7"/>
      <c r="AM202" s="49" t="str">
        <f aca="false">IF(OR(C202="",G202=""),"",IFERROR(DATEDIF(C202,G202,"m"),""))</f>
        <v/>
      </c>
      <c r="AN202" s="49" t="str">
        <f aca="false">IF(OR(Q202="",AM202=""),"",60+2*Q202-AM202)</f>
        <v/>
      </c>
      <c r="AO202" s="49" t="str">
        <f aca="false">IF(OR(G202="",AJ202=""),"",AJ202-G202)</f>
        <v/>
      </c>
      <c r="AP202" s="50" t="str">
        <f aca="false">IF(AND(A202="",B202=""),"",IF(J202="","Status needed",IF(OR(J202="Applied",J202="Visit booked",J202="Withdrawn"),"OK",IF(G202="","Date assessed needed",IF(C202="","Date of birth needed",IF(COUNTA(L202,M202,P202,U202,V202,X202)&lt;6,"Band missing",IF(AND(OR(J202="Decision confirmed",J202="Family told",J202="Enrolled"),AG202=""),"Recommendation needed",IF(AND(OR(J202="Family told",J202="Enrolled"),AJ202=""),"Date family told needed","OK"))))))))</f>
        <v/>
      </c>
    </row>
    <row r="203" customFormat="false" ht="15" hidden="false" customHeight="false" outlineLevel="0" collapsed="false">
      <c r="A203" s="7"/>
      <c r="B203" s="7"/>
      <c r="C203" s="46"/>
      <c r="D203" s="7"/>
      <c r="E203" s="47"/>
      <c r="F203" s="46"/>
      <c r="G203" s="46"/>
      <c r="H203" s="7"/>
      <c r="I203" s="7"/>
      <c r="J203" s="47"/>
      <c r="K203" s="47"/>
      <c r="L203" s="47"/>
      <c r="M203" s="47"/>
      <c r="N203" s="47"/>
      <c r="O203" s="10"/>
      <c r="P203" s="47"/>
      <c r="Q203" s="47"/>
      <c r="R203" s="48" t="str">
        <f aca="false">IF(Q203="","",IF(Q203=0,"below 5:00",IF(Q203&gt;=66,"16:00 or above",INT((60+2*Q203)/12)&amp;":"&amp;TEXT(MOD(60+2*Q203,12),"00"))))</f>
        <v/>
      </c>
      <c r="S203" s="47"/>
      <c r="T203" s="47"/>
      <c r="U203" s="47"/>
      <c r="V203" s="47"/>
      <c r="W203" s="47"/>
      <c r="X203" s="47"/>
      <c r="Y203" s="47"/>
      <c r="Z203" s="47"/>
      <c r="AA203" s="10"/>
      <c r="AB203" s="10"/>
      <c r="AC203" s="47"/>
      <c r="AD203" s="47"/>
      <c r="AE203" s="47"/>
      <c r="AF203" s="47"/>
      <c r="AG203" s="47"/>
      <c r="AH203" s="47"/>
      <c r="AI203" s="46"/>
      <c r="AJ203" s="46"/>
      <c r="AK203" s="46"/>
      <c r="AL203" s="7"/>
      <c r="AM203" s="49" t="str">
        <f aca="false">IF(OR(C203="",G203=""),"",IFERROR(DATEDIF(C203,G203,"m"),""))</f>
        <v/>
      </c>
      <c r="AN203" s="49" t="str">
        <f aca="false">IF(OR(Q203="",AM203=""),"",60+2*Q203-AM203)</f>
        <v/>
      </c>
      <c r="AO203" s="49" t="str">
        <f aca="false">IF(OR(G203="",AJ203=""),"",AJ203-G203)</f>
        <v/>
      </c>
      <c r="AP203" s="50" t="str">
        <f aca="false">IF(AND(A203="",B203=""),"",IF(J203="","Status needed",IF(OR(J203="Applied",J203="Visit booked",J203="Withdrawn"),"OK",IF(G203="","Date assessed needed",IF(C203="","Date of birth needed",IF(COUNTA(L203,M203,P203,U203,V203,X203)&lt;6,"Band missing",IF(AND(OR(J203="Decision confirmed",J203="Family told",J203="Enrolled"),AG203=""),"Recommendation needed",IF(AND(OR(J203="Family told",J203="Enrolled"),AJ203=""),"Date family told needed","OK"))))))))</f>
        <v/>
      </c>
    </row>
    <row r="204" customFormat="false" ht="15" hidden="false" customHeight="false" outlineLevel="0" collapsed="false">
      <c r="A204" s="7"/>
      <c r="B204" s="7"/>
      <c r="C204" s="46"/>
      <c r="D204" s="7"/>
      <c r="E204" s="47"/>
      <c r="F204" s="46"/>
      <c r="G204" s="46"/>
      <c r="H204" s="7"/>
      <c r="I204" s="7"/>
      <c r="J204" s="47"/>
      <c r="K204" s="47"/>
      <c r="L204" s="47"/>
      <c r="M204" s="47"/>
      <c r="N204" s="47"/>
      <c r="O204" s="10"/>
      <c r="P204" s="47"/>
      <c r="Q204" s="47"/>
      <c r="R204" s="48" t="str">
        <f aca="false">IF(Q204="","",IF(Q204=0,"below 5:00",IF(Q204&gt;=66,"16:00 or above",INT((60+2*Q204)/12)&amp;":"&amp;TEXT(MOD(60+2*Q204,12),"00"))))</f>
        <v/>
      </c>
      <c r="S204" s="47"/>
      <c r="T204" s="47"/>
      <c r="U204" s="47"/>
      <c r="V204" s="47"/>
      <c r="W204" s="47"/>
      <c r="X204" s="47"/>
      <c r="Y204" s="47"/>
      <c r="Z204" s="47"/>
      <c r="AA204" s="10"/>
      <c r="AB204" s="10"/>
      <c r="AC204" s="47"/>
      <c r="AD204" s="47"/>
      <c r="AE204" s="47"/>
      <c r="AF204" s="47"/>
      <c r="AG204" s="47"/>
      <c r="AH204" s="47"/>
      <c r="AI204" s="46"/>
      <c r="AJ204" s="46"/>
      <c r="AK204" s="46"/>
      <c r="AL204" s="7"/>
      <c r="AM204" s="49" t="str">
        <f aca="false">IF(OR(C204="",G204=""),"",IFERROR(DATEDIF(C204,G204,"m"),""))</f>
        <v/>
      </c>
      <c r="AN204" s="49" t="str">
        <f aca="false">IF(OR(Q204="",AM204=""),"",60+2*Q204-AM204)</f>
        <v/>
      </c>
      <c r="AO204" s="49" t="str">
        <f aca="false">IF(OR(G204="",AJ204=""),"",AJ204-G204)</f>
        <v/>
      </c>
      <c r="AP204" s="50" t="str">
        <f aca="false">IF(AND(A204="",B204=""),"",IF(J204="","Status needed",IF(OR(J204="Applied",J204="Visit booked",J204="Withdrawn"),"OK",IF(G204="","Date assessed needed",IF(C204="","Date of birth needed",IF(COUNTA(L204,M204,P204,U204,V204,X204)&lt;6,"Band missing",IF(AND(OR(J204="Decision confirmed",J204="Family told",J204="Enrolled"),AG204=""),"Recommendation needed",IF(AND(OR(J204="Family told",J204="Enrolled"),AJ204=""),"Date family told needed","OK"))))))))</f>
        <v/>
      </c>
    </row>
    <row r="205" customFormat="false" ht="15" hidden="false" customHeight="false" outlineLevel="0" collapsed="false">
      <c r="A205" s="7"/>
      <c r="B205" s="7"/>
      <c r="C205" s="46"/>
      <c r="D205" s="7"/>
      <c r="E205" s="47"/>
      <c r="F205" s="46"/>
      <c r="G205" s="46"/>
      <c r="H205" s="7"/>
      <c r="I205" s="7"/>
      <c r="J205" s="47"/>
      <c r="K205" s="47"/>
      <c r="L205" s="47"/>
      <c r="M205" s="47"/>
      <c r="N205" s="47"/>
      <c r="O205" s="10"/>
      <c r="P205" s="47"/>
      <c r="Q205" s="47"/>
      <c r="R205" s="48" t="str">
        <f aca="false">IF(Q205="","",IF(Q205=0,"below 5:00",IF(Q205&gt;=66,"16:00 or above",INT((60+2*Q205)/12)&amp;":"&amp;TEXT(MOD(60+2*Q205,12),"00"))))</f>
        <v/>
      </c>
      <c r="S205" s="47"/>
      <c r="T205" s="47"/>
      <c r="U205" s="47"/>
      <c r="V205" s="47"/>
      <c r="W205" s="47"/>
      <c r="X205" s="47"/>
      <c r="Y205" s="47"/>
      <c r="Z205" s="47"/>
      <c r="AA205" s="10"/>
      <c r="AB205" s="10"/>
      <c r="AC205" s="47"/>
      <c r="AD205" s="47"/>
      <c r="AE205" s="47"/>
      <c r="AF205" s="47"/>
      <c r="AG205" s="47"/>
      <c r="AH205" s="47"/>
      <c r="AI205" s="46"/>
      <c r="AJ205" s="46"/>
      <c r="AK205" s="46"/>
      <c r="AL205" s="7"/>
      <c r="AM205" s="49" t="str">
        <f aca="false">IF(OR(C205="",G205=""),"",IFERROR(DATEDIF(C205,G205,"m"),""))</f>
        <v/>
      </c>
      <c r="AN205" s="49" t="str">
        <f aca="false">IF(OR(Q205="",AM205=""),"",60+2*Q205-AM205)</f>
        <v/>
      </c>
      <c r="AO205" s="49" t="str">
        <f aca="false">IF(OR(G205="",AJ205=""),"",AJ205-G205)</f>
        <v/>
      </c>
      <c r="AP205" s="50" t="str">
        <f aca="false">IF(AND(A205="",B205=""),"",IF(J205="","Status needed",IF(OR(J205="Applied",J205="Visit booked",J205="Withdrawn"),"OK",IF(G205="","Date assessed needed",IF(C205="","Date of birth needed",IF(COUNTA(L205,M205,P205,U205,V205,X205)&lt;6,"Band missing",IF(AND(OR(J205="Decision confirmed",J205="Family told",J205="Enrolled"),AG205=""),"Recommendation needed",IF(AND(OR(J205="Family told",J205="Enrolled"),AJ205=""),"Date family told needed","OK"))))))))</f>
        <v/>
      </c>
    </row>
    <row r="206" customFormat="false" ht="15" hidden="false" customHeight="false" outlineLevel="0" collapsed="false">
      <c r="A206" s="7"/>
      <c r="B206" s="7"/>
      <c r="C206" s="46"/>
      <c r="D206" s="7"/>
      <c r="E206" s="47"/>
      <c r="F206" s="46"/>
      <c r="G206" s="46"/>
      <c r="H206" s="7"/>
      <c r="I206" s="7"/>
      <c r="J206" s="47"/>
      <c r="K206" s="47"/>
      <c r="L206" s="47"/>
      <c r="M206" s="47"/>
      <c r="N206" s="47"/>
      <c r="O206" s="10"/>
      <c r="P206" s="47"/>
      <c r="Q206" s="47"/>
      <c r="R206" s="48" t="str">
        <f aca="false">IF(Q206="","",IF(Q206=0,"below 5:00",IF(Q206&gt;=66,"16:00 or above",INT((60+2*Q206)/12)&amp;":"&amp;TEXT(MOD(60+2*Q206,12),"00"))))</f>
        <v/>
      </c>
      <c r="S206" s="47"/>
      <c r="T206" s="47"/>
      <c r="U206" s="47"/>
      <c r="V206" s="47"/>
      <c r="W206" s="47"/>
      <c r="X206" s="47"/>
      <c r="Y206" s="47"/>
      <c r="Z206" s="47"/>
      <c r="AA206" s="10"/>
      <c r="AB206" s="10"/>
      <c r="AC206" s="47"/>
      <c r="AD206" s="47"/>
      <c r="AE206" s="47"/>
      <c r="AF206" s="47"/>
      <c r="AG206" s="47"/>
      <c r="AH206" s="47"/>
      <c r="AI206" s="46"/>
      <c r="AJ206" s="46"/>
      <c r="AK206" s="46"/>
      <c r="AL206" s="7"/>
      <c r="AM206" s="49" t="str">
        <f aca="false">IF(OR(C206="",G206=""),"",IFERROR(DATEDIF(C206,G206,"m"),""))</f>
        <v/>
      </c>
      <c r="AN206" s="49" t="str">
        <f aca="false">IF(OR(Q206="",AM206=""),"",60+2*Q206-AM206)</f>
        <v/>
      </c>
      <c r="AO206" s="49" t="str">
        <f aca="false">IF(OR(G206="",AJ206=""),"",AJ206-G206)</f>
        <v/>
      </c>
      <c r="AP206" s="50" t="str">
        <f aca="false">IF(AND(A206="",B206=""),"",IF(J206="","Status needed",IF(OR(J206="Applied",J206="Visit booked",J206="Withdrawn"),"OK",IF(G206="","Date assessed needed",IF(C206="","Date of birth needed",IF(COUNTA(L206,M206,P206,U206,V206,X206)&lt;6,"Band missing",IF(AND(OR(J206="Decision confirmed",J206="Family told",J206="Enrolled"),AG206=""),"Recommendation needed",IF(AND(OR(J206="Family told",J206="Enrolled"),AJ206=""),"Date family told needed","OK"))))))))</f>
        <v/>
      </c>
    </row>
    <row r="207" customFormat="false" ht="15" hidden="false" customHeight="false" outlineLevel="0" collapsed="false">
      <c r="A207" s="7"/>
      <c r="B207" s="7"/>
      <c r="C207" s="46"/>
      <c r="D207" s="7"/>
      <c r="E207" s="47"/>
      <c r="F207" s="46"/>
      <c r="G207" s="46"/>
      <c r="H207" s="7"/>
      <c r="I207" s="7"/>
      <c r="J207" s="47"/>
      <c r="K207" s="47"/>
      <c r="L207" s="47"/>
      <c r="M207" s="47"/>
      <c r="N207" s="47"/>
      <c r="O207" s="10"/>
      <c r="P207" s="47"/>
      <c r="Q207" s="47"/>
      <c r="R207" s="48" t="str">
        <f aca="false">IF(Q207="","",IF(Q207=0,"below 5:00",IF(Q207&gt;=66,"16:00 or above",INT((60+2*Q207)/12)&amp;":"&amp;TEXT(MOD(60+2*Q207,12),"00"))))</f>
        <v/>
      </c>
      <c r="S207" s="47"/>
      <c r="T207" s="47"/>
      <c r="U207" s="47"/>
      <c r="V207" s="47"/>
      <c r="W207" s="47"/>
      <c r="X207" s="47"/>
      <c r="Y207" s="47"/>
      <c r="Z207" s="47"/>
      <c r="AA207" s="10"/>
      <c r="AB207" s="10"/>
      <c r="AC207" s="47"/>
      <c r="AD207" s="47"/>
      <c r="AE207" s="47"/>
      <c r="AF207" s="47"/>
      <c r="AG207" s="47"/>
      <c r="AH207" s="47"/>
      <c r="AI207" s="46"/>
      <c r="AJ207" s="46"/>
      <c r="AK207" s="46"/>
      <c r="AL207" s="7"/>
      <c r="AM207" s="49" t="str">
        <f aca="false">IF(OR(C207="",G207=""),"",IFERROR(DATEDIF(C207,G207,"m"),""))</f>
        <v/>
      </c>
      <c r="AN207" s="49" t="str">
        <f aca="false">IF(OR(Q207="",AM207=""),"",60+2*Q207-AM207)</f>
        <v/>
      </c>
      <c r="AO207" s="49" t="str">
        <f aca="false">IF(OR(G207="",AJ207=""),"",AJ207-G207)</f>
        <v/>
      </c>
      <c r="AP207" s="50" t="str">
        <f aca="false">IF(AND(A207="",B207=""),"",IF(J207="","Status needed",IF(OR(J207="Applied",J207="Visit booked",J207="Withdrawn"),"OK",IF(G207="","Date assessed needed",IF(C207="","Date of birth needed",IF(COUNTA(L207,M207,P207,U207,V207,X207)&lt;6,"Band missing",IF(AND(OR(J207="Decision confirmed",J207="Family told",J207="Enrolled"),AG207=""),"Recommendation needed",IF(AND(OR(J207="Family told",J207="Enrolled"),AJ207=""),"Date family told needed","OK"))))))))</f>
        <v/>
      </c>
    </row>
    <row r="208" customFormat="false" ht="15" hidden="false" customHeight="false" outlineLevel="0" collapsed="false">
      <c r="A208" s="7"/>
      <c r="B208" s="7"/>
      <c r="C208" s="46"/>
      <c r="D208" s="7"/>
      <c r="E208" s="47"/>
      <c r="F208" s="46"/>
      <c r="G208" s="46"/>
      <c r="H208" s="7"/>
      <c r="I208" s="7"/>
      <c r="J208" s="47"/>
      <c r="K208" s="47"/>
      <c r="L208" s="47"/>
      <c r="M208" s="47"/>
      <c r="N208" s="47"/>
      <c r="O208" s="10"/>
      <c r="P208" s="47"/>
      <c r="Q208" s="47"/>
      <c r="R208" s="48" t="str">
        <f aca="false">IF(Q208="","",IF(Q208=0,"below 5:00",IF(Q208&gt;=66,"16:00 or above",INT((60+2*Q208)/12)&amp;":"&amp;TEXT(MOD(60+2*Q208,12),"00"))))</f>
        <v/>
      </c>
      <c r="S208" s="47"/>
      <c r="T208" s="47"/>
      <c r="U208" s="47"/>
      <c r="V208" s="47"/>
      <c r="W208" s="47"/>
      <c r="X208" s="47"/>
      <c r="Y208" s="47"/>
      <c r="Z208" s="47"/>
      <c r="AA208" s="10"/>
      <c r="AB208" s="10"/>
      <c r="AC208" s="47"/>
      <c r="AD208" s="47"/>
      <c r="AE208" s="47"/>
      <c r="AF208" s="47"/>
      <c r="AG208" s="47"/>
      <c r="AH208" s="47"/>
      <c r="AI208" s="46"/>
      <c r="AJ208" s="46"/>
      <c r="AK208" s="46"/>
      <c r="AL208" s="7"/>
      <c r="AM208" s="49" t="str">
        <f aca="false">IF(OR(C208="",G208=""),"",IFERROR(DATEDIF(C208,G208,"m"),""))</f>
        <v/>
      </c>
      <c r="AN208" s="49" t="str">
        <f aca="false">IF(OR(Q208="",AM208=""),"",60+2*Q208-AM208)</f>
        <v/>
      </c>
      <c r="AO208" s="49" t="str">
        <f aca="false">IF(OR(G208="",AJ208=""),"",AJ208-G208)</f>
        <v/>
      </c>
      <c r="AP208" s="50" t="str">
        <f aca="false">IF(AND(A208="",B208=""),"",IF(J208="","Status needed",IF(OR(J208="Applied",J208="Visit booked",J208="Withdrawn"),"OK",IF(G208="","Date assessed needed",IF(C208="","Date of birth needed",IF(COUNTA(L208,M208,P208,U208,V208,X208)&lt;6,"Band missing",IF(AND(OR(J208="Decision confirmed",J208="Family told",J208="Enrolled"),AG208=""),"Recommendation needed",IF(AND(OR(J208="Family told",J208="Enrolled"),AJ208=""),"Date family told needed","OK"))))))))</f>
        <v/>
      </c>
    </row>
    <row r="209" customFormat="false" ht="15" hidden="false" customHeight="false" outlineLevel="0" collapsed="false">
      <c r="A209" s="7"/>
      <c r="B209" s="7"/>
      <c r="C209" s="46"/>
      <c r="D209" s="7"/>
      <c r="E209" s="47"/>
      <c r="F209" s="46"/>
      <c r="G209" s="46"/>
      <c r="H209" s="7"/>
      <c r="I209" s="7"/>
      <c r="J209" s="47"/>
      <c r="K209" s="47"/>
      <c r="L209" s="47"/>
      <c r="M209" s="47"/>
      <c r="N209" s="47"/>
      <c r="O209" s="10"/>
      <c r="P209" s="47"/>
      <c r="Q209" s="47"/>
      <c r="R209" s="48" t="str">
        <f aca="false">IF(Q209="","",IF(Q209=0,"below 5:00",IF(Q209&gt;=66,"16:00 or above",INT((60+2*Q209)/12)&amp;":"&amp;TEXT(MOD(60+2*Q209,12),"00"))))</f>
        <v/>
      </c>
      <c r="S209" s="47"/>
      <c r="T209" s="47"/>
      <c r="U209" s="47"/>
      <c r="V209" s="47"/>
      <c r="W209" s="47"/>
      <c r="X209" s="47"/>
      <c r="Y209" s="47"/>
      <c r="Z209" s="47"/>
      <c r="AA209" s="10"/>
      <c r="AB209" s="10"/>
      <c r="AC209" s="47"/>
      <c r="AD209" s="47"/>
      <c r="AE209" s="47"/>
      <c r="AF209" s="47"/>
      <c r="AG209" s="47"/>
      <c r="AH209" s="47"/>
      <c r="AI209" s="46"/>
      <c r="AJ209" s="46"/>
      <c r="AK209" s="46"/>
      <c r="AL209" s="7"/>
      <c r="AM209" s="49" t="str">
        <f aca="false">IF(OR(C209="",G209=""),"",IFERROR(DATEDIF(C209,G209,"m"),""))</f>
        <v/>
      </c>
      <c r="AN209" s="49" t="str">
        <f aca="false">IF(OR(Q209="",AM209=""),"",60+2*Q209-AM209)</f>
        <v/>
      </c>
      <c r="AO209" s="49" t="str">
        <f aca="false">IF(OR(G209="",AJ209=""),"",AJ209-G209)</f>
        <v/>
      </c>
      <c r="AP209" s="50" t="str">
        <f aca="false">IF(AND(A209="",B209=""),"",IF(J209="","Status needed",IF(OR(J209="Applied",J209="Visit booked",J209="Withdrawn"),"OK",IF(G209="","Date assessed needed",IF(C209="","Date of birth needed",IF(COUNTA(L209,M209,P209,U209,V209,X209)&lt;6,"Band missing",IF(AND(OR(J209="Decision confirmed",J209="Family told",J209="Enrolled"),AG209=""),"Recommendation needed",IF(AND(OR(J209="Family told",J209="Enrolled"),AJ209=""),"Date family told needed","OK"))))))))</f>
        <v/>
      </c>
    </row>
    <row r="210" customFormat="false" ht="15" hidden="false" customHeight="false" outlineLevel="0" collapsed="false">
      <c r="A210" s="7"/>
      <c r="B210" s="7"/>
      <c r="C210" s="46"/>
      <c r="D210" s="7"/>
      <c r="E210" s="47"/>
      <c r="F210" s="46"/>
      <c r="G210" s="46"/>
      <c r="H210" s="7"/>
      <c r="I210" s="7"/>
      <c r="J210" s="47"/>
      <c r="K210" s="47"/>
      <c r="L210" s="47"/>
      <c r="M210" s="47"/>
      <c r="N210" s="47"/>
      <c r="O210" s="10"/>
      <c r="P210" s="47"/>
      <c r="Q210" s="47"/>
      <c r="R210" s="48" t="str">
        <f aca="false">IF(Q210="","",IF(Q210=0,"below 5:00",IF(Q210&gt;=66,"16:00 or above",INT((60+2*Q210)/12)&amp;":"&amp;TEXT(MOD(60+2*Q210,12),"00"))))</f>
        <v/>
      </c>
      <c r="S210" s="47"/>
      <c r="T210" s="47"/>
      <c r="U210" s="47"/>
      <c r="V210" s="47"/>
      <c r="W210" s="47"/>
      <c r="X210" s="47"/>
      <c r="Y210" s="47"/>
      <c r="Z210" s="47"/>
      <c r="AA210" s="10"/>
      <c r="AB210" s="10"/>
      <c r="AC210" s="47"/>
      <c r="AD210" s="47"/>
      <c r="AE210" s="47"/>
      <c r="AF210" s="47"/>
      <c r="AG210" s="47"/>
      <c r="AH210" s="47"/>
      <c r="AI210" s="46"/>
      <c r="AJ210" s="46"/>
      <c r="AK210" s="46"/>
      <c r="AL210" s="7"/>
      <c r="AM210" s="49" t="str">
        <f aca="false">IF(OR(C210="",G210=""),"",IFERROR(DATEDIF(C210,G210,"m"),""))</f>
        <v/>
      </c>
      <c r="AN210" s="49" t="str">
        <f aca="false">IF(OR(Q210="",AM210=""),"",60+2*Q210-AM210)</f>
        <v/>
      </c>
      <c r="AO210" s="49" t="str">
        <f aca="false">IF(OR(G210="",AJ210=""),"",AJ210-G210)</f>
        <v/>
      </c>
      <c r="AP210" s="50" t="str">
        <f aca="false">IF(AND(A210="",B210=""),"",IF(J210="","Status needed",IF(OR(J210="Applied",J210="Visit booked",J210="Withdrawn"),"OK",IF(G210="","Date assessed needed",IF(C210="","Date of birth needed",IF(COUNTA(L210,M210,P210,U210,V210,X210)&lt;6,"Band missing",IF(AND(OR(J210="Decision confirmed",J210="Family told",J210="Enrolled"),AG210=""),"Recommendation needed",IF(AND(OR(J210="Family told",J210="Enrolled"),AJ210=""),"Date family told needed","OK"))))))))</f>
        <v/>
      </c>
    </row>
    <row r="211" customFormat="false" ht="15" hidden="false" customHeight="false" outlineLevel="0" collapsed="false">
      <c r="A211" s="7"/>
      <c r="B211" s="7"/>
      <c r="C211" s="46"/>
      <c r="D211" s="7"/>
      <c r="E211" s="47"/>
      <c r="F211" s="46"/>
      <c r="G211" s="46"/>
      <c r="H211" s="7"/>
      <c r="I211" s="7"/>
      <c r="J211" s="47"/>
      <c r="K211" s="47"/>
      <c r="L211" s="47"/>
      <c r="M211" s="47"/>
      <c r="N211" s="47"/>
      <c r="O211" s="10"/>
      <c r="P211" s="47"/>
      <c r="Q211" s="47"/>
      <c r="R211" s="48" t="str">
        <f aca="false">IF(Q211="","",IF(Q211=0,"below 5:00",IF(Q211&gt;=66,"16:00 or above",INT((60+2*Q211)/12)&amp;":"&amp;TEXT(MOD(60+2*Q211,12),"00"))))</f>
        <v/>
      </c>
      <c r="S211" s="47"/>
      <c r="T211" s="47"/>
      <c r="U211" s="47"/>
      <c r="V211" s="47"/>
      <c r="W211" s="47"/>
      <c r="X211" s="47"/>
      <c r="Y211" s="47"/>
      <c r="Z211" s="47"/>
      <c r="AA211" s="10"/>
      <c r="AB211" s="10"/>
      <c r="AC211" s="47"/>
      <c r="AD211" s="47"/>
      <c r="AE211" s="47"/>
      <c r="AF211" s="47"/>
      <c r="AG211" s="47"/>
      <c r="AH211" s="47"/>
      <c r="AI211" s="46"/>
      <c r="AJ211" s="46"/>
      <c r="AK211" s="46"/>
      <c r="AL211" s="7"/>
      <c r="AM211" s="49" t="str">
        <f aca="false">IF(OR(C211="",G211=""),"",IFERROR(DATEDIF(C211,G211,"m"),""))</f>
        <v/>
      </c>
      <c r="AN211" s="49" t="str">
        <f aca="false">IF(OR(Q211="",AM211=""),"",60+2*Q211-AM211)</f>
        <v/>
      </c>
      <c r="AO211" s="49" t="str">
        <f aca="false">IF(OR(G211="",AJ211=""),"",AJ211-G211)</f>
        <v/>
      </c>
      <c r="AP211" s="50" t="str">
        <f aca="false">IF(AND(A211="",B211=""),"",IF(J211="","Status needed",IF(OR(J211="Applied",J211="Visit booked",J211="Withdrawn"),"OK",IF(G211="","Date assessed needed",IF(C211="","Date of birth needed",IF(COUNTA(L211,M211,P211,U211,V211,X211)&lt;6,"Band missing",IF(AND(OR(J211="Decision confirmed",J211="Family told",J211="Enrolled"),AG211=""),"Recommendation needed",IF(AND(OR(J211="Family told",J211="Enrolled"),AJ211=""),"Date family told needed","OK"))))))))</f>
        <v/>
      </c>
    </row>
    <row r="212" customFormat="false" ht="15" hidden="false" customHeight="false" outlineLevel="0" collapsed="false">
      <c r="A212" s="7"/>
      <c r="B212" s="7"/>
      <c r="C212" s="46"/>
      <c r="D212" s="7"/>
      <c r="E212" s="47"/>
      <c r="F212" s="46"/>
      <c r="G212" s="46"/>
      <c r="H212" s="7"/>
      <c r="I212" s="7"/>
      <c r="J212" s="47"/>
      <c r="K212" s="47"/>
      <c r="L212" s="47"/>
      <c r="M212" s="47"/>
      <c r="N212" s="47"/>
      <c r="O212" s="10"/>
      <c r="P212" s="47"/>
      <c r="Q212" s="47"/>
      <c r="R212" s="48" t="str">
        <f aca="false">IF(Q212="","",IF(Q212=0,"below 5:00",IF(Q212&gt;=66,"16:00 or above",INT((60+2*Q212)/12)&amp;":"&amp;TEXT(MOD(60+2*Q212,12),"00"))))</f>
        <v/>
      </c>
      <c r="S212" s="47"/>
      <c r="T212" s="47"/>
      <c r="U212" s="47"/>
      <c r="V212" s="47"/>
      <c r="W212" s="47"/>
      <c r="X212" s="47"/>
      <c r="Y212" s="47"/>
      <c r="Z212" s="47"/>
      <c r="AA212" s="10"/>
      <c r="AB212" s="10"/>
      <c r="AC212" s="47"/>
      <c r="AD212" s="47"/>
      <c r="AE212" s="47"/>
      <c r="AF212" s="47"/>
      <c r="AG212" s="47"/>
      <c r="AH212" s="47"/>
      <c r="AI212" s="46"/>
      <c r="AJ212" s="46"/>
      <c r="AK212" s="46"/>
      <c r="AL212" s="7"/>
      <c r="AM212" s="49" t="str">
        <f aca="false">IF(OR(C212="",G212=""),"",IFERROR(DATEDIF(C212,G212,"m"),""))</f>
        <v/>
      </c>
      <c r="AN212" s="49" t="str">
        <f aca="false">IF(OR(Q212="",AM212=""),"",60+2*Q212-AM212)</f>
        <v/>
      </c>
      <c r="AO212" s="49" t="str">
        <f aca="false">IF(OR(G212="",AJ212=""),"",AJ212-G212)</f>
        <v/>
      </c>
      <c r="AP212" s="50" t="str">
        <f aca="false">IF(AND(A212="",B212=""),"",IF(J212="","Status needed",IF(OR(J212="Applied",J212="Visit booked",J212="Withdrawn"),"OK",IF(G212="","Date assessed needed",IF(C212="","Date of birth needed",IF(COUNTA(L212,M212,P212,U212,V212,X212)&lt;6,"Band missing",IF(AND(OR(J212="Decision confirmed",J212="Family told",J212="Enrolled"),AG212=""),"Recommendation needed",IF(AND(OR(J212="Family told",J212="Enrolled"),AJ212=""),"Date family told needed","OK"))))))))</f>
        <v/>
      </c>
    </row>
    <row r="213" customFormat="false" ht="15" hidden="false" customHeight="false" outlineLevel="0" collapsed="false">
      <c r="A213" s="7"/>
      <c r="B213" s="7"/>
      <c r="C213" s="46"/>
      <c r="D213" s="7"/>
      <c r="E213" s="47"/>
      <c r="F213" s="46"/>
      <c r="G213" s="46"/>
      <c r="H213" s="7"/>
      <c r="I213" s="7"/>
      <c r="J213" s="47"/>
      <c r="K213" s="47"/>
      <c r="L213" s="47"/>
      <c r="M213" s="47"/>
      <c r="N213" s="47"/>
      <c r="O213" s="10"/>
      <c r="P213" s="47"/>
      <c r="Q213" s="47"/>
      <c r="R213" s="48" t="str">
        <f aca="false">IF(Q213="","",IF(Q213=0,"below 5:00",IF(Q213&gt;=66,"16:00 or above",INT((60+2*Q213)/12)&amp;":"&amp;TEXT(MOD(60+2*Q213,12),"00"))))</f>
        <v/>
      </c>
      <c r="S213" s="47"/>
      <c r="T213" s="47"/>
      <c r="U213" s="47"/>
      <c r="V213" s="47"/>
      <c r="W213" s="47"/>
      <c r="X213" s="47"/>
      <c r="Y213" s="47"/>
      <c r="Z213" s="47"/>
      <c r="AA213" s="10"/>
      <c r="AB213" s="10"/>
      <c r="AC213" s="47"/>
      <c r="AD213" s="47"/>
      <c r="AE213" s="47"/>
      <c r="AF213" s="47"/>
      <c r="AG213" s="47"/>
      <c r="AH213" s="47"/>
      <c r="AI213" s="46"/>
      <c r="AJ213" s="46"/>
      <c r="AK213" s="46"/>
      <c r="AL213" s="7"/>
      <c r="AM213" s="49" t="str">
        <f aca="false">IF(OR(C213="",G213=""),"",IFERROR(DATEDIF(C213,G213,"m"),""))</f>
        <v/>
      </c>
      <c r="AN213" s="49" t="str">
        <f aca="false">IF(OR(Q213="",AM213=""),"",60+2*Q213-AM213)</f>
        <v/>
      </c>
      <c r="AO213" s="49" t="str">
        <f aca="false">IF(OR(G213="",AJ213=""),"",AJ213-G213)</f>
        <v/>
      </c>
      <c r="AP213" s="50" t="str">
        <f aca="false">IF(AND(A213="",B213=""),"",IF(J213="","Status needed",IF(OR(J213="Applied",J213="Visit booked",J213="Withdrawn"),"OK",IF(G213="","Date assessed needed",IF(C213="","Date of birth needed",IF(COUNTA(L213,M213,P213,U213,V213,X213)&lt;6,"Band missing",IF(AND(OR(J213="Decision confirmed",J213="Family told",J213="Enrolled"),AG213=""),"Recommendation needed",IF(AND(OR(J213="Family told",J213="Enrolled"),AJ213=""),"Date family told needed","OK"))))))))</f>
        <v/>
      </c>
    </row>
    <row r="214" customFormat="false" ht="15" hidden="false" customHeight="false" outlineLevel="0" collapsed="false">
      <c r="A214" s="7"/>
      <c r="B214" s="7"/>
      <c r="C214" s="46"/>
      <c r="D214" s="7"/>
      <c r="E214" s="47"/>
      <c r="F214" s="46"/>
      <c r="G214" s="46"/>
      <c r="H214" s="7"/>
      <c r="I214" s="7"/>
      <c r="J214" s="47"/>
      <c r="K214" s="47"/>
      <c r="L214" s="47"/>
      <c r="M214" s="47"/>
      <c r="N214" s="47"/>
      <c r="O214" s="10"/>
      <c r="P214" s="47"/>
      <c r="Q214" s="47"/>
      <c r="R214" s="48" t="str">
        <f aca="false">IF(Q214="","",IF(Q214=0,"below 5:00",IF(Q214&gt;=66,"16:00 or above",INT((60+2*Q214)/12)&amp;":"&amp;TEXT(MOD(60+2*Q214,12),"00"))))</f>
        <v/>
      </c>
      <c r="S214" s="47"/>
      <c r="T214" s="47"/>
      <c r="U214" s="47"/>
      <c r="V214" s="47"/>
      <c r="W214" s="47"/>
      <c r="X214" s="47"/>
      <c r="Y214" s="47"/>
      <c r="Z214" s="47"/>
      <c r="AA214" s="10"/>
      <c r="AB214" s="10"/>
      <c r="AC214" s="47"/>
      <c r="AD214" s="47"/>
      <c r="AE214" s="47"/>
      <c r="AF214" s="47"/>
      <c r="AG214" s="47"/>
      <c r="AH214" s="47"/>
      <c r="AI214" s="46"/>
      <c r="AJ214" s="46"/>
      <c r="AK214" s="46"/>
      <c r="AL214" s="7"/>
      <c r="AM214" s="49" t="str">
        <f aca="false">IF(OR(C214="",G214=""),"",IFERROR(DATEDIF(C214,G214,"m"),""))</f>
        <v/>
      </c>
      <c r="AN214" s="49" t="str">
        <f aca="false">IF(OR(Q214="",AM214=""),"",60+2*Q214-AM214)</f>
        <v/>
      </c>
      <c r="AO214" s="49" t="str">
        <f aca="false">IF(OR(G214="",AJ214=""),"",AJ214-G214)</f>
        <v/>
      </c>
      <c r="AP214" s="50" t="str">
        <f aca="false">IF(AND(A214="",B214=""),"",IF(J214="","Status needed",IF(OR(J214="Applied",J214="Visit booked",J214="Withdrawn"),"OK",IF(G214="","Date assessed needed",IF(C214="","Date of birth needed",IF(COUNTA(L214,M214,P214,U214,V214,X214)&lt;6,"Band missing",IF(AND(OR(J214="Decision confirmed",J214="Family told",J214="Enrolled"),AG214=""),"Recommendation needed",IF(AND(OR(J214="Family told",J214="Enrolled"),AJ214=""),"Date family told needed","OK"))))))))</f>
        <v/>
      </c>
    </row>
    <row r="215" customFormat="false" ht="15" hidden="false" customHeight="false" outlineLevel="0" collapsed="false">
      <c r="A215" s="7"/>
      <c r="B215" s="7"/>
      <c r="C215" s="46"/>
      <c r="D215" s="7"/>
      <c r="E215" s="47"/>
      <c r="F215" s="46"/>
      <c r="G215" s="46"/>
      <c r="H215" s="7"/>
      <c r="I215" s="7"/>
      <c r="J215" s="47"/>
      <c r="K215" s="47"/>
      <c r="L215" s="47"/>
      <c r="M215" s="47"/>
      <c r="N215" s="47"/>
      <c r="O215" s="10"/>
      <c r="P215" s="47"/>
      <c r="Q215" s="47"/>
      <c r="R215" s="48" t="str">
        <f aca="false">IF(Q215="","",IF(Q215=0,"below 5:00",IF(Q215&gt;=66,"16:00 or above",INT((60+2*Q215)/12)&amp;":"&amp;TEXT(MOD(60+2*Q215,12),"00"))))</f>
        <v/>
      </c>
      <c r="S215" s="47"/>
      <c r="T215" s="47"/>
      <c r="U215" s="47"/>
      <c r="V215" s="47"/>
      <c r="W215" s="47"/>
      <c r="X215" s="47"/>
      <c r="Y215" s="47"/>
      <c r="Z215" s="47"/>
      <c r="AA215" s="10"/>
      <c r="AB215" s="10"/>
      <c r="AC215" s="47"/>
      <c r="AD215" s="47"/>
      <c r="AE215" s="47"/>
      <c r="AF215" s="47"/>
      <c r="AG215" s="47"/>
      <c r="AH215" s="47"/>
      <c r="AI215" s="46"/>
      <c r="AJ215" s="46"/>
      <c r="AK215" s="46"/>
      <c r="AL215" s="7"/>
      <c r="AM215" s="49" t="str">
        <f aca="false">IF(OR(C215="",G215=""),"",IFERROR(DATEDIF(C215,G215,"m"),""))</f>
        <v/>
      </c>
      <c r="AN215" s="49" t="str">
        <f aca="false">IF(OR(Q215="",AM215=""),"",60+2*Q215-AM215)</f>
        <v/>
      </c>
      <c r="AO215" s="49" t="str">
        <f aca="false">IF(OR(G215="",AJ215=""),"",AJ215-G215)</f>
        <v/>
      </c>
      <c r="AP215" s="50" t="str">
        <f aca="false">IF(AND(A215="",B215=""),"",IF(J215="","Status needed",IF(OR(J215="Applied",J215="Visit booked",J215="Withdrawn"),"OK",IF(G215="","Date assessed needed",IF(C215="","Date of birth needed",IF(COUNTA(L215,M215,P215,U215,V215,X215)&lt;6,"Band missing",IF(AND(OR(J215="Decision confirmed",J215="Family told",J215="Enrolled"),AG215=""),"Recommendation needed",IF(AND(OR(J215="Family told",J215="Enrolled"),AJ215=""),"Date family told needed","OK"))))))))</f>
        <v/>
      </c>
    </row>
    <row r="216" customFormat="false" ht="15" hidden="false" customHeight="false" outlineLevel="0" collapsed="false">
      <c r="A216" s="7"/>
      <c r="B216" s="7"/>
      <c r="C216" s="46"/>
      <c r="D216" s="7"/>
      <c r="E216" s="47"/>
      <c r="F216" s="46"/>
      <c r="G216" s="46"/>
      <c r="H216" s="7"/>
      <c r="I216" s="7"/>
      <c r="J216" s="47"/>
      <c r="K216" s="47"/>
      <c r="L216" s="47"/>
      <c r="M216" s="47"/>
      <c r="N216" s="47"/>
      <c r="O216" s="10"/>
      <c r="P216" s="47"/>
      <c r="Q216" s="47"/>
      <c r="R216" s="48" t="str">
        <f aca="false">IF(Q216="","",IF(Q216=0,"below 5:00",IF(Q216&gt;=66,"16:00 or above",INT((60+2*Q216)/12)&amp;":"&amp;TEXT(MOD(60+2*Q216,12),"00"))))</f>
        <v/>
      </c>
      <c r="S216" s="47"/>
      <c r="T216" s="47"/>
      <c r="U216" s="47"/>
      <c r="V216" s="47"/>
      <c r="W216" s="47"/>
      <c r="X216" s="47"/>
      <c r="Y216" s="47"/>
      <c r="Z216" s="47"/>
      <c r="AA216" s="10"/>
      <c r="AB216" s="10"/>
      <c r="AC216" s="47"/>
      <c r="AD216" s="47"/>
      <c r="AE216" s="47"/>
      <c r="AF216" s="47"/>
      <c r="AG216" s="47"/>
      <c r="AH216" s="47"/>
      <c r="AI216" s="46"/>
      <c r="AJ216" s="46"/>
      <c r="AK216" s="46"/>
      <c r="AL216" s="7"/>
      <c r="AM216" s="49" t="str">
        <f aca="false">IF(OR(C216="",G216=""),"",IFERROR(DATEDIF(C216,G216,"m"),""))</f>
        <v/>
      </c>
      <c r="AN216" s="49" t="str">
        <f aca="false">IF(OR(Q216="",AM216=""),"",60+2*Q216-AM216)</f>
        <v/>
      </c>
      <c r="AO216" s="49" t="str">
        <f aca="false">IF(OR(G216="",AJ216=""),"",AJ216-G216)</f>
        <v/>
      </c>
      <c r="AP216" s="50" t="str">
        <f aca="false">IF(AND(A216="",B216=""),"",IF(J216="","Status needed",IF(OR(J216="Applied",J216="Visit booked",J216="Withdrawn"),"OK",IF(G216="","Date assessed needed",IF(C216="","Date of birth needed",IF(COUNTA(L216,M216,P216,U216,V216,X216)&lt;6,"Band missing",IF(AND(OR(J216="Decision confirmed",J216="Family told",J216="Enrolled"),AG216=""),"Recommendation needed",IF(AND(OR(J216="Family told",J216="Enrolled"),AJ216=""),"Date family told needed","OK"))))))))</f>
        <v/>
      </c>
    </row>
    <row r="217" customFormat="false" ht="15" hidden="false" customHeight="false" outlineLevel="0" collapsed="false">
      <c r="A217" s="7"/>
      <c r="B217" s="7"/>
      <c r="C217" s="46"/>
      <c r="D217" s="7"/>
      <c r="E217" s="47"/>
      <c r="F217" s="46"/>
      <c r="G217" s="46"/>
      <c r="H217" s="7"/>
      <c r="I217" s="7"/>
      <c r="J217" s="47"/>
      <c r="K217" s="47"/>
      <c r="L217" s="47"/>
      <c r="M217" s="47"/>
      <c r="N217" s="47"/>
      <c r="O217" s="10"/>
      <c r="P217" s="47"/>
      <c r="Q217" s="47"/>
      <c r="R217" s="48" t="str">
        <f aca="false">IF(Q217="","",IF(Q217=0,"below 5:00",IF(Q217&gt;=66,"16:00 or above",INT((60+2*Q217)/12)&amp;":"&amp;TEXT(MOD(60+2*Q217,12),"00"))))</f>
        <v/>
      </c>
      <c r="S217" s="47"/>
      <c r="T217" s="47"/>
      <c r="U217" s="47"/>
      <c r="V217" s="47"/>
      <c r="W217" s="47"/>
      <c r="X217" s="47"/>
      <c r="Y217" s="47"/>
      <c r="Z217" s="47"/>
      <c r="AA217" s="10"/>
      <c r="AB217" s="10"/>
      <c r="AC217" s="47"/>
      <c r="AD217" s="47"/>
      <c r="AE217" s="47"/>
      <c r="AF217" s="47"/>
      <c r="AG217" s="47"/>
      <c r="AH217" s="47"/>
      <c r="AI217" s="46"/>
      <c r="AJ217" s="46"/>
      <c r="AK217" s="46"/>
      <c r="AL217" s="7"/>
      <c r="AM217" s="49" t="str">
        <f aca="false">IF(OR(C217="",G217=""),"",IFERROR(DATEDIF(C217,G217,"m"),""))</f>
        <v/>
      </c>
      <c r="AN217" s="49" t="str">
        <f aca="false">IF(OR(Q217="",AM217=""),"",60+2*Q217-AM217)</f>
        <v/>
      </c>
      <c r="AO217" s="49" t="str">
        <f aca="false">IF(OR(G217="",AJ217=""),"",AJ217-G217)</f>
        <v/>
      </c>
      <c r="AP217" s="50" t="str">
        <f aca="false">IF(AND(A217="",B217=""),"",IF(J217="","Status needed",IF(OR(J217="Applied",J217="Visit booked",J217="Withdrawn"),"OK",IF(G217="","Date assessed needed",IF(C217="","Date of birth needed",IF(COUNTA(L217,M217,P217,U217,V217,X217)&lt;6,"Band missing",IF(AND(OR(J217="Decision confirmed",J217="Family told",J217="Enrolled"),AG217=""),"Recommendation needed",IF(AND(OR(J217="Family told",J217="Enrolled"),AJ217=""),"Date family told needed","OK"))))))))</f>
        <v/>
      </c>
    </row>
    <row r="218" customFormat="false" ht="15" hidden="false" customHeight="false" outlineLevel="0" collapsed="false">
      <c r="A218" s="7"/>
      <c r="B218" s="7"/>
      <c r="C218" s="46"/>
      <c r="D218" s="7"/>
      <c r="E218" s="47"/>
      <c r="F218" s="46"/>
      <c r="G218" s="46"/>
      <c r="H218" s="7"/>
      <c r="I218" s="7"/>
      <c r="J218" s="47"/>
      <c r="K218" s="47"/>
      <c r="L218" s="47"/>
      <c r="M218" s="47"/>
      <c r="N218" s="47"/>
      <c r="O218" s="10"/>
      <c r="P218" s="47"/>
      <c r="Q218" s="47"/>
      <c r="R218" s="48" t="str">
        <f aca="false">IF(Q218="","",IF(Q218=0,"below 5:00",IF(Q218&gt;=66,"16:00 or above",INT((60+2*Q218)/12)&amp;":"&amp;TEXT(MOD(60+2*Q218,12),"00"))))</f>
        <v/>
      </c>
      <c r="S218" s="47"/>
      <c r="T218" s="47"/>
      <c r="U218" s="47"/>
      <c r="V218" s="47"/>
      <c r="W218" s="47"/>
      <c r="X218" s="47"/>
      <c r="Y218" s="47"/>
      <c r="Z218" s="47"/>
      <c r="AA218" s="10"/>
      <c r="AB218" s="10"/>
      <c r="AC218" s="47"/>
      <c r="AD218" s="47"/>
      <c r="AE218" s="47"/>
      <c r="AF218" s="47"/>
      <c r="AG218" s="47"/>
      <c r="AH218" s="47"/>
      <c r="AI218" s="46"/>
      <c r="AJ218" s="46"/>
      <c r="AK218" s="46"/>
      <c r="AL218" s="7"/>
      <c r="AM218" s="49" t="str">
        <f aca="false">IF(OR(C218="",G218=""),"",IFERROR(DATEDIF(C218,G218,"m"),""))</f>
        <v/>
      </c>
      <c r="AN218" s="49" t="str">
        <f aca="false">IF(OR(Q218="",AM218=""),"",60+2*Q218-AM218)</f>
        <v/>
      </c>
      <c r="AO218" s="49" t="str">
        <f aca="false">IF(OR(G218="",AJ218=""),"",AJ218-G218)</f>
        <v/>
      </c>
      <c r="AP218" s="50" t="str">
        <f aca="false">IF(AND(A218="",B218=""),"",IF(J218="","Status needed",IF(OR(J218="Applied",J218="Visit booked",J218="Withdrawn"),"OK",IF(G218="","Date assessed needed",IF(C218="","Date of birth needed",IF(COUNTA(L218,M218,P218,U218,V218,X218)&lt;6,"Band missing",IF(AND(OR(J218="Decision confirmed",J218="Family told",J218="Enrolled"),AG218=""),"Recommendation needed",IF(AND(OR(J218="Family told",J218="Enrolled"),AJ218=""),"Date family told needed","OK"))))))))</f>
        <v/>
      </c>
    </row>
    <row r="219" customFormat="false" ht="15" hidden="false" customHeight="false" outlineLevel="0" collapsed="false">
      <c r="A219" s="7"/>
      <c r="B219" s="7"/>
      <c r="C219" s="46"/>
      <c r="D219" s="7"/>
      <c r="E219" s="47"/>
      <c r="F219" s="46"/>
      <c r="G219" s="46"/>
      <c r="H219" s="7"/>
      <c r="I219" s="7"/>
      <c r="J219" s="47"/>
      <c r="K219" s="47"/>
      <c r="L219" s="47"/>
      <c r="M219" s="47"/>
      <c r="N219" s="47"/>
      <c r="O219" s="10"/>
      <c r="P219" s="47"/>
      <c r="Q219" s="47"/>
      <c r="R219" s="48" t="str">
        <f aca="false">IF(Q219="","",IF(Q219=0,"below 5:00",IF(Q219&gt;=66,"16:00 or above",INT((60+2*Q219)/12)&amp;":"&amp;TEXT(MOD(60+2*Q219,12),"00"))))</f>
        <v/>
      </c>
      <c r="S219" s="47"/>
      <c r="T219" s="47"/>
      <c r="U219" s="47"/>
      <c r="V219" s="47"/>
      <c r="W219" s="47"/>
      <c r="X219" s="47"/>
      <c r="Y219" s="47"/>
      <c r="Z219" s="47"/>
      <c r="AA219" s="10"/>
      <c r="AB219" s="10"/>
      <c r="AC219" s="47"/>
      <c r="AD219" s="47"/>
      <c r="AE219" s="47"/>
      <c r="AF219" s="47"/>
      <c r="AG219" s="47"/>
      <c r="AH219" s="47"/>
      <c r="AI219" s="46"/>
      <c r="AJ219" s="46"/>
      <c r="AK219" s="46"/>
      <c r="AL219" s="7"/>
      <c r="AM219" s="49" t="str">
        <f aca="false">IF(OR(C219="",G219=""),"",IFERROR(DATEDIF(C219,G219,"m"),""))</f>
        <v/>
      </c>
      <c r="AN219" s="49" t="str">
        <f aca="false">IF(OR(Q219="",AM219=""),"",60+2*Q219-AM219)</f>
        <v/>
      </c>
      <c r="AO219" s="49" t="str">
        <f aca="false">IF(OR(G219="",AJ219=""),"",AJ219-G219)</f>
        <v/>
      </c>
      <c r="AP219" s="50" t="str">
        <f aca="false">IF(AND(A219="",B219=""),"",IF(J219="","Status needed",IF(OR(J219="Applied",J219="Visit booked",J219="Withdrawn"),"OK",IF(G219="","Date assessed needed",IF(C219="","Date of birth needed",IF(COUNTA(L219,M219,P219,U219,V219,X219)&lt;6,"Band missing",IF(AND(OR(J219="Decision confirmed",J219="Family told",J219="Enrolled"),AG219=""),"Recommendation needed",IF(AND(OR(J219="Family told",J219="Enrolled"),AJ219=""),"Date family told needed","OK"))))))))</f>
        <v/>
      </c>
    </row>
    <row r="220" customFormat="false" ht="15" hidden="false" customHeight="false" outlineLevel="0" collapsed="false">
      <c r="A220" s="7"/>
      <c r="B220" s="7"/>
      <c r="C220" s="46"/>
      <c r="D220" s="7"/>
      <c r="E220" s="47"/>
      <c r="F220" s="46"/>
      <c r="G220" s="46"/>
      <c r="H220" s="7"/>
      <c r="I220" s="7"/>
      <c r="J220" s="47"/>
      <c r="K220" s="47"/>
      <c r="L220" s="47"/>
      <c r="M220" s="47"/>
      <c r="N220" s="47"/>
      <c r="O220" s="10"/>
      <c r="P220" s="47"/>
      <c r="Q220" s="47"/>
      <c r="R220" s="48" t="str">
        <f aca="false">IF(Q220="","",IF(Q220=0,"below 5:00",IF(Q220&gt;=66,"16:00 or above",INT((60+2*Q220)/12)&amp;":"&amp;TEXT(MOD(60+2*Q220,12),"00"))))</f>
        <v/>
      </c>
      <c r="S220" s="47"/>
      <c r="T220" s="47"/>
      <c r="U220" s="47"/>
      <c r="V220" s="47"/>
      <c r="W220" s="47"/>
      <c r="X220" s="47"/>
      <c r="Y220" s="47"/>
      <c r="Z220" s="47"/>
      <c r="AA220" s="10"/>
      <c r="AB220" s="10"/>
      <c r="AC220" s="47"/>
      <c r="AD220" s="47"/>
      <c r="AE220" s="47"/>
      <c r="AF220" s="47"/>
      <c r="AG220" s="47"/>
      <c r="AH220" s="47"/>
      <c r="AI220" s="46"/>
      <c r="AJ220" s="46"/>
      <c r="AK220" s="46"/>
      <c r="AL220" s="7"/>
      <c r="AM220" s="49" t="str">
        <f aca="false">IF(OR(C220="",G220=""),"",IFERROR(DATEDIF(C220,G220,"m"),""))</f>
        <v/>
      </c>
      <c r="AN220" s="49" t="str">
        <f aca="false">IF(OR(Q220="",AM220=""),"",60+2*Q220-AM220)</f>
        <v/>
      </c>
      <c r="AO220" s="49" t="str">
        <f aca="false">IF(OR(G220="",AJ220=""),"",AJ220-G220)</f>
        <v/>
      </c>
      <c r="AP220" s="50" t="str">
        <f aca="false">IF(AND(A220="",B220=""),"",IF(J220="","Status needed",IF(OR(J220="Applied",J220="Visit booked",J220="Withdrawn"),"OK",IF(G220="","Date assessed needed",IF(C220="","Date of birth needed",IF(COUNTA(L220,M220,P220,U220,V220,X220)&lt;6,"Band missing",IF(AND(OR(J220="Decision confirmed",J220="Family told",J220="Enrolled"),AG220=""),"Recommendation needed",IF(AND(OR(J220="Family told",J220="Enrolled"),AJ220=""),"Date family told needed","OK"))))))))</f>
        <v/>
      </c>
    </row>
    <row r="221" customFormat="false" ht="15" hidden="false" customHeight="false" outlineLevel="0" collapsed="false">
      <c r="A221" s="7"/>
      <c r="B221" s="7"/>
      <c r="C221" s="46"/>
      <c r="D221" s="7"/>
      <c r="E221" s="47"/>
      <c r="F221" s="46"/>
      <c r="G221" s="46"/>
      <c r="H221" s="7"/>
      <c r="I221" s="7"/>
      <c r="J221" s="47"/>
      <c r="K221" s="47"/>
      <c r="L221" s="47"/>
      <c r="M221" s="47"/>
      <c r="N221" s="47"/>
      <c r="O221" s="10"/>
      <c r="P221" s="47"/>
      <c r="Q221" s="47"/>
      <c r="R221" s="48" t="str">
        <f aca="false">IF(Q221="","",IF(Q221=0,"below 5:00",IF(Q221&gt;=66,"16:00 or above",INT((60+2*Q221)/12)&amp;":"&amp;TEXT(MOD(60+2*Q221,12),"00"))))</f>
        <v/>
      </c>
      <c r="S221" s="47"/>
      <c r="T221" s="47"/>
      <c r="U221" s="47"/>
      <c r="V221" s="47"/>
      <c r="W221" s="47"/>
      <c r="X221" s="47"/>
      <c r="Y221" s="47"/>
      <c r="Z221" s="47"/>
      <c r="AA221" s="10"/>
      <c r="AB221" s="10"/>
      <c r="AC221" s="47"/>
      <c r="AD221" s="47"/>
      <c r="AE221" s="47"/>
      <c r="AF221" s="47"/>
      <c r="AG221" s="47"/>
      <c r="AH221" s="47"/>
      <c r="AI221" s="46"/>
      <c r="AJ221" s="46"/>
      <c r="AK221" s="46"/>
      <c r="AL221" s="7"/>
      <c r="AM221" s="49" t="str">
        <f aca="false">IF(OR(C221="",G221=""),"",IFERROR(DATEDIF(C221,G221,"m"),""))</f>
        <v/>
      </c>
      <c r="AN221" s="49" t="str">
        <f aca="false">IF(OR(Q221="",AM221=""),"",60+2*Q221-AM221)</f>
        <v/>
      </c>
      <c r="AO221" s="49" t="str">
        <f aca="false">IF(OR(G221="",AJ221=""),"",AJ221-G221)</f>
        <v/>
      </c>
      <c r="AP221" s="50" t="str">
        <f aca="false">IF(AND(A221="",B221=""),"",IF(J221="","Status needed",IF(OR(J221="Applied",J221="Visit booked",J221="Withdrawn"),"OK",IF(G221="","Date assessed needed",IF(C221="","Date of birth needed",IF(COUNTA(L221,M221,P221,U221,V221,X221)&lt;6,"Band missing",IF(AND(OR(J221="Decision confirmed",J221="Family told",J221="Enrolled"),AG221=""),"Recommendation needed",IF(AND(OR(J221="Family told",J221="Enrolled"),AJ221=""),"Date family told needed","OK"))))))))</f>
        <v/>
      </c>
    </row>
    <row r="222" customFormat="false" ht="15" hidden="false" customHeight="false" outlineLevel="0" collapsed="false">
      <c r="A222" s="7"/>
      <c r="B222" s="7"/>
      <c r="C222" s="46"/>
      <c r="D222" s="7"/>
      <c r="E222" s="47"/>
      <c r="F222" s="46"/>
      <c r="G222" s="46"/>
      <c r="H222" s="7"/>
      <c r="I222" s="7"/>
      <c r="J222" s="47"/>
      <c r="K222" s="47"/>
      <c r="L222" s="47"/>
      <c r="M222" s="47"/>
      <c r="N222" s="47"/>
      <c r="O222" s="10"/>
      <c r="P222" s="47"/>
      <c r="Q222" s="47"/>
      <c r="R222" s="48" t="str">
        <f aca="false">IF(Q222="","",IF(Q222=0,"below 5:00",IF(Q222&gt;=66,"16:00 or above",INT((60+2*Q222)/12)&amp;":"&amp;TEXT(MOD(60+2*Q222,12),"00"))))</f>
        <v/>
      </c>
      <c r="S222" s="47"/>
      <c r="T222" s="47"/>
      <c r="U222" s="47"/>
      <c r="V222" s="47"/>
      <c r="W222" s="47"/>
      <c r="X222" s="47"/>
      <c r="Y222" s="47"/>
      <c r="Z222" s="47"/>
      <c r="AA222" s="10"/>
      <c r="AB222" s="10"/>
      <c r="AC222" s="47"/>
      <c r="AD222" s="47"/>
      <c r="AE222" s="47"/>
      <c r="AF222" s="47"/>
      <c r="AG222" s="47"/>
      <c r="AH222" s="47"/>
      <c r="AI222" s="46"/>
      <c r="AJ222" s="46"/>
      <c r="AK222" s="46"/>
      <c r="AL222" s="7"/>
      <c r="AM222" s="49" t="str">
        <f aca="false">IF(OR(C222="",G222=""),"",IFERROR(DATEDIF(C222,G222,"m"),""))</f>
        <v/>
      </c>
      <c r="AN222" s="49" t="str">
        <f aca="false">IF(OR(Q222="",AM222=""),"",60+2*Q222-AM222)</f>
        <v/>
      </c>
      <c r="AO222" s="49" t="str">
        <f aca="false">IF(OR(G222="",AJ222=""),"",AJ222-G222)</f>
        <v/>
      </c>
      <c r="AP222" s="50" t="str">
        <f aca="false">IF(AND(A222="",B222=""),"",IF(J222="","Status needed",IF(OR(J222="Applied",J222="Visit booked",J222="Withdrawn"),"OK",IF(G222="","Date assessed needed",IF(C222="","Date of birth needed",IF(COUNTA(L222,M222,P222,U222,V222,X222)&lt;6,"Band missing",IF(AND(OR(J222="Decision confirmed",J222="Family told",J222="Enrolled"),AG222=""),"Recommendation needed",IF(AND(OR(J222="Family told",J222="Enrolled"),AJ222=""),"Date family told needed","OK"))))))))</f>
        <v/>
      </c>
    </row>
    <row r="223" customFormat="false" ht="15" hidden="false" customHeight="false" outlineLevel="0" collapsed="false">
      <c r="A223" s="7"/>
      <c r="B223" s="7"/>
      <c r="C223" s="46"/>
      <c r="D223" s="7"/>
      <c r="E223" s="47"/>
      <c r="F223" s="46"/>
      <c r="G223" s="46"/>
      <c r="H223" s="7"/>
      <c r="I223" s="7"/>
      <c r="J223" s="47"/>
      <c r="K223" s="47"/>
      <c r="L223" s="47"/>
      <c r="M223" s="47"/>
      <c r="N223" s="47"/>
      <c r="O223" s="10"/>
      <c r="P223" s="47"/>
      <c r="Q223" s="47"/>
      <c r="R223" s="48" t="str">
        <f aca="false">IF(Q223="","",IF(Q223=0,"below 5:00",IF(Q223&gt;=66,"16:00 or above",INT((60+2*Q223)/12)&amp;":"&amp;TEXT(MOD(60+2*Q223,12),"00"))))</f>
        <v/>
      </c>
      <c r="S223" s="47"/>
      <c r="T223" s="47"/>
      <c r="U223" s="47"/>
      <c r="V223" s="47"/>
      <c r="W223" s="47"/>
      <c r="X223" s="47"/>
      <c r="Y223" s="47"/>
      <c r="Z223" s="47"/>
      <c r="AA223" s="10"/>
      <c r="AB223" s="10"/>
      <c r="AC223" s="47"/>
      <c r="AD223" s="47"/>
      <c r="AE223" s="47"/>
      <c r="AF223" s="47"/>
      <c r="AG223" s="47"/>
      <c r="AH223" s="47"/>
      <c r="AI223" s="46"/>
      <c r="AJ223" s="46"/>
      <c r="AK223" s="46"/>
      <c r="AL223" s="7"/>
      <c r="AM223" s="49" t="str">
        <f aca="false">IF(OR(C223="",G223=""),"",IFERROR(DATEDIF(C223,G223,"m"),""))</f>
        <v/>
      </c>
      <c r="AN223" s="49" t="str">
        <f aca="false">IF(OR(Q223="",AM223=""),"",60+2*Q223-AM223)</f>
        <v/>
      </c>
      <c r="AO223" s="49" t="str">
        <f aca="false">IF(OR(G223="",AJ223=""),"",AJ223-G223)</f>
        <v/>
      </c>
      <c r="AP223" s="50" t="str">
        <f aca="false">IF(AND(A223="",B223=""),"",IF(J223="","Status needed",IF(OR(J223="Applied",J223="Visit booked",J223="Withdrawn"),"OK",IF(G223="","Date assessed needed",IF(C223="","Date of birth needed",IF(COUNTA(L223,M223,P223,U223,V223,X223)&lt;6,"Band missing",IF(AND(OR(J223="Decision confirmed",J223="Family told",J223="Enrolled"),AG223=""),"Recommendation needed",IF(AND(OR(J223="Family told",J223="Enrolled"),AJ223=""),"Date family told needed","OK"))))))))</f>
        <v/>
      </c>
    </row>
    <row r="224" customFormat="false" ht="15" hidden="false" customHeight="false" outlineLevel="0" collapsed="false">
      <c r="A224" s="7"/>
      <c r="B224" s="7"/>
      <c r="C224" s="46"/>
      <c r="D224" s="7"/>
      <c r="E224" s="47"/>
      <c r="F224" s="46"/>
      <c r="G224" s="46"/>
      <c r="H224" s="7"/>
      <c r="I224" s="7"/>
      <c r="J224" s="47"/>
      <c r="K224" s="47"/>
      <c r="L224" s="47"/>
      <c r="M224" s="47"/>
      <c r="N224" s="47"/>
      <c r="O224" s="10"/>
      <c r="P224" s="47"/>
      <c r="Q224" s="47"/>
      <c r="R224" s="48" t="str">
        <f aca="false">IF(Q224="","",IF(Q224=0,"below 5:00",IF(Q224&gt;=66,"16:00 or above",INT((60+2*Q224)/12)&amp;":"&amp;TEXT(MOD(60+2*Q224,12),"00"))))</f>
        <v/>
      </c>
      <c r="S224" s="47"/>
      <c r="T224" s="47"/>
      <c r="U224" s="47"/>
      <c r="V224" s="47"/>
      <c r="W224" s="47"/>
      <c r="X224" s="47"/>
      <c r="Y224" s="47"/>
      <c r="Z224" s="47"/>
      <c r="AA224" s="10"/>
      <c r="AB224" s="10"/>
      <c r="AC224" s="47"/>
      <c r="AD224" s="47"/>
      <c r="AE224" s="47"/>
      <c r="AF224" s="47"/>
      <c r="AG224" s="47"/>
      <c r="AH224" s="47"/>
      <c r="AI224" s="46"/>
      <c r="AJ224" s="46"/>
      <c r="AK224" s="46"/>
      <c r="AL224" s="7"/>
      <c r="AM224" s="49" t="str">
        <f aca="false">IF(OR(C224="",G224=""),"",IFERROR(DATEDIF(C224,G224,"m"),""))</f>
        <v/>
      </c>
      <c r="AN224" s="49" t="str">
        <f aca="false">IF(OR(Q224="",AM224=""),"",60+2*Q224-AM224)</f>
        <v/>
      </c>
      <c r="AO224" s="49" t="str">
        <f aca="false">IF(OR(G224="",AJ224=""),"",AJ224-G224)</f>
        <v/>
      </c>
      <c r="AP224" s="50" t="str">
        <f aca="false">IF(AND(A224="",B224=""),"",IF(J224="","Status needed",IF(OR(J224="Applied",J224="Visit booked",J224="Withdrawn"),"OK",IF(G224="","Date assessed needed",IF(C224="","Date of birth needed",IF(COUNTA(L224,M224,P224,U224,V224,X224)&lt;6,"Band missing",IF(AND(OR(J224="Decision confirmed",J224="Family told",J224="Enrolled"),AG224=""),"Recommendation needed",IF(AND(OR(J224="Family told",J224="Enrolled"),AJ224=""),"Date family told needed","OK"))))))))</f>
        <v/>
      </c>
    </row>
    <row r="225" customFormat="false" ht="15" hidden="false" customHeight="false" outlineLevel="0" collapsed="false">
      <c r="A225" s="7"/>
      <c r="B225" s="7"/>
      <c r="C225" s="46"/>
      <c r="D225" s="7"/>
      <c r="E225" s="47"/>
      <c r="F225" s="46"/>
      <c r="G225" s="46"/>
      <c r="H225" s="7"/>
      <c r="I225" s="7"/>
      <c r="J225" s="47"/>
      <c r="K225" s="47"/>
      <c r="L225" s="47"/>
      <c r="M225" s="47"/>
      <c r="N225" s="47"/>
      <c r="O225" s="10"/>
      <c r="P225" s="47"/>
      <c r="Q225" s="47"/>
      <c r="R225" s="48" t="str">
        <f aca="false">IF(Q225="","",IF(Q225=0,"below 5:00",IF(Q225&gt;=66,"16:00 or above",INT((60+2*Q225)/12)&amp;":"&amp;TEXT(MOD(60+2*Q225,12),"00"))))</f>
        <v/>
      </c>
      <c r="S225" s="47"/>
      <c r="T225" s="47"/>
      <c r="U225" s="47"/>
      <c r="V225" s="47"/>
      <c r="W225" s="47"/>
      <c r="X225" s="47"/>
      <c r="Y225" s="47"/>
      <c r="Z225" s="47"/>
      <c r="AA225" s="10"/>
      <c r="AB225" s="10"/>
      <c r="AC225" s="47"/>
      <c r="AD225" s="47"/>
      <c r="AE225" s="47"/>
      <c r="AF225" s="47"/>
      <c r="AG225" s="47"/>
      <c r="AH225" s="47"/>
      <c r="AI225" s="46"/>
      <c r="AJ225" s="46"/>
      <c r="AK225" s="46"/>
      <c r="AL225" s="7"/>
      <c r="AM225" s="49" t="str">
        <f aca="false">IF(OR(C225="",G225=""),"",IFERROR(DATEDIF(C225,G225,"m"),""))</f>
        <v/>
      </c>
      <c r="AN225" s="49" t="str">
        <f aca="false">IF(OR(Q225="",AM225=""),"",60+2*Q225-AM225)</f>
        <v/>
      </c>
      <c r="AO225" s="49" t="str">
        <f aca="false">IF(OR(G225="",AJ225=""),"",AJ225-G225)</f>
        <v/>
      </c>
      <c r="AP225" s="50" t="str">
        <f aca="false">IF(AND(A225="",B225=""),"",IF(J225="","Status needed",IF(OR(J225="Applied",J225="Visit booked",J225="Withdrawn"),"OK",IF(G225="","Date assessed needed",IF(C225="","Date of birth needed",IF(COUNTA(L225,M225,P225,U225,V225,X225)&lt;6,"Band missing",IF(AND(OR(J225="Decision confirmed",J225="Family told",J225="Enrolled"),AG225=""),"Recommendation needed",IF(AND(OR(J225="Family told",J225="Enrolled"),AJ225=""),"Date family told needed","OK"))))))))</f>
        <v/>
      </c>
    </row>
    <row r="226" customFormat="false" ht="15" hidden="false" customHeight="false" outlineLevel="0" collapsed="false">
      <c r="A226" s="7"/>
      <c r="B226" s="7"/>
      <c r="C226" s="46"/>
      <c r="D226" s="7"/>
      <c r="E226" s="47"/>
      <c r="F226" s="46"/>
      <c r="G226" s="46"/>
      <c r="H226" s="7"/>
      <c r="I226" s="7"/>
      <c r="J226" s="47"/>
      <c r="K226" s="47"/>
      <c r="L226" s="47"/>
      <c r="M226" s="47"/>
      <c r="N226" s="47"/>
      <c r="O226" s="10"/>
      <c r="P226" s="47"/>
      <c r="Q226" s="47"/>
      <c r="R226" s="48" t="str">
        <f aca="false">IF(Q226="","",IF(Q226=0,"below 5:00",IF(Q226&gt;=66,"16:00 or above",INT((60+2*Q226)/12)&amp;":"&amp;TEXT(MOD(60+2*Q226,12),"00"))))</f>
        <v/>
      </c>
      <c r="S226" s="47"/>
      <c r="T226" s="47"/>
      <c r="U226" s="47"/>
      <c r="V226" s="47"/>
      <c r="W226" s="47"/>
      <c r="X226" s="47"/>
      <c r="Y226" s="47"/>
      <c r="Z226" s="47"/>
      <c r="AA226" s="10"/>
      <c r="AB226" s="10"/>
      <c r="AC226" s="47"/>
      <c r="AD226" s="47"/>
      <c r="AE226" s="47"/>
      <c r="AF226" s="47"/>
      <c r="AG226" s="47"/>
      <c r="AH226" s="47"/>
      <c r="AI226" s="46"/>
      <c r="AJ226" s="46"/>
      <c r="AK226" s="46"/>
      <c r="AL226" s="7"/>
      <c r="AM226" s="49" t="str">
        <f aca="false">IF(OR(C226="",G226=""),"",IFERROR(DATEDIF(C226,G226,"m"),""))</f>
        <v/>
      </c>
      <c r="AN226" s="49" t="str">
        <f aca="false">IF(OR(Q226="",AM226=""),"",60+2*Q226-AM226)</f>
        <v/>
      </c>
      <c r="AO226" s="49" t="str">
        <f aca="false">IF(OR(G226="",AJ226=""),"",AJ226-G226)</f>
        <v/>
      </c>
      <c r="AP226" s="50" t="str">
        <f aca="false">IF(AND(A226="",B226=""),"",IF(J226="","Status needed",IF(OR(J226="Applied",J226="Visit booked",J226="Withdrawn"),"OK",IF(G226="","Date assessed needed",IF(C226="","Date of birth needed",IF(COUNTA(L226,M226,P226,U226,V226,X226)&lt;6,"Band missing",IF(AND(OR(J226="Decision confirmed",J226="Family told",J226="Enrolled"),AG226=""),"Recommendation needed",IF(AND(OR(J226="Family told",J226="Enrolled"),AJ226=""),"Date family told needed","OK"))))))))</f>
        <v/>
      </c>
    </row>
    <row r="227" customFormat="false" ht="15" hidden="false" customHeight="false" outlineLevel="0" collapsed="false">
      <c r="A227" s="7"/>
      <c r="B227" s="7"/>
      <c r="C227" s="46"/>
      <c r="D227" s="7"/>
      <c r="E227" s="47"/>
      <c r="F227" s="46"/>
      <c r="G227" s="46"/>
      <c r="H227" s="7"/>
      <c r="I227" s="7"/>
      <c r="J227" s="47"/>
      <c r="K227" s="47"/>
      <c r="L227" s="47"/>
      <c r="M227" s="47"/>
      <c r="N227" s="47"/>
      <c r="O227" s="10"/>
      <c r="P227" s="47"/>
      <c r="Q227" s="47"/>
      <c r="R227" s="48" t="str">
        <f aca="false">IF(Q227="","",IF(Q227=0,"below 5:00",IF(Q227&gt;=66,"16:00 or above",INT((60+2*Q227)/12)&amp;":"&amp;TEXT(MOD(60+2*Q227,12),"00"))))</f>
        <v/>
      </c>
      <c r="S227" s="47"/>
      <c r="T227" s="47"/>
      <c r="U227" s="47"/>
      <c r="V227" s="47"/>
      <c r="W227" s="47"/>
      <c r="X227" s="47"/>
      <c r="Y227" s="47"/>
      <c r="Z227" s="47"/>
      <c r="AA227" s="10"/>
      <c r="AB227" s="10"/>
      <c r="AC227" s="47"/>
      <c r="AD227" s="47"/>
      <c r="AE227" s="47"/>
      <c r="AF227" s="47"/>
      <c r="AG227" s="47"/>
      <c r="AH227" s="47"/>
      <c r="AI227" s="46"/>
      <c r="AJ227" s="46"/>
      <c r="AK227" s="46"/>
      <c r="AL227" s="7"/>
      <c r="AM227" s="49" t="str">
        <f aca="false">IF(OR(C227="",G227=""),"",IFERROR(DATEDIF(C227,G227,"m"),""))</f>
        <v/>
      </c>
      <c r="AN227" s="49" t="str">
        <f aca="false">IF(OR(Q227="",AM227=""),"",60+2*Q227-AM227)</f>
        <v/>
      </c>
      <c r="AO227" s="49" t="str">
        <f aca="false">IF(OR(G227="",AJ227=""),"",AJ227-G227)</f>
        <v/>
      </c>
      <c r="AP227" s="50" t="str">
        <f aca="false">IF(AND(A227="",B227=""),"",IF(J227="","Status needed",IF(OR(J227="Applied",J227="Visit booked",J227="Withdrawn"),"OK",IF(G227="","Date assessed needed",IF(C227="","Date of birth needed",IF(COUNTA(L227,M227,P227,U227,V227,X227)&lt;6,"Band missing",IF(AND(OR(J227="Decision confirmed",J227="Family told",J227="Enrolled"),AG227=""),"Recommendation needed",IF(AND(OR(J227="Family told",J227="Enrolled"),AJ227=""),"Date family told needed","OK"))))))))</f>
        <v/>
      </c>
    </row>
    <row r="228" customFormat="false" ht="15" hidden="false" customHeight="false" outlineLevel="0" collapsed="false">
      <c r="A228" s="7"/>
      <c r="B228" s="7"/>
      <c r="C228" s="46"/>
      <c r="D228" s="7"/>
      <c r="E228" s="47"/>
      <c r="F228" s="46"/>
      <c r="G228" s="46"/>
      <c r="H228" s="7"/>
      <c r="I228" s="7"/>
      <c r="J228" s="47"/>
      <c r="K228" s="47"/>
      <c r="L228" s="47"/>
      <c r="M228" s="47"/>
      <c r="N228" s="47"/>
      <c r="O228" s="10"/>
      <c r="P228" s="47"/>
      <c r="Q228" s="47"/>
      <c r="R228" s="48" t="str">
        <f aca="false">IF(Q228="","",IF(Q228=0,"below 5:00",IF(Q228&gt;=66,"16:00 or above",INT((60+2*Q228)/12)&amp;":"&amp;TEXT(MOD(60+2*Q228,12),"00"))))</f>
        <v/>
      </c>
      <c r="S228" s="47"/>
      <c r="T228" s="47"/>
      <c r="U228" s="47"/>
      <c r="V228" s="47"/>
      <c r="W228" s="47"/>
      <c r="X228" s="47"/>
      <c r="Y228" s="47"/>
      <c r="Z228" s="47"/>
      <c r="AA228" s="10"/>
      <c r="AB228" s="10"/>
      <c r="AC228" s="47"/>
      <c r="AD228" s="47"/>
      <c r="AE228" s="47"/>
      <c r="AF228" s="47"/>
      <c r="AG228" s="47"/>
      <c r="AH228" s="47"/>
      <c r="AI228" s="46"/>
      <c r="AJ228" s="46"/>
      <c r="AK228" s="46"/>
      <c r="AL228" s="7"/>
      <c r="AM228" s="49" t="str">
        <f aca="false">IF(OR(C228="",G228=""),"",IFERROR(DATEDIF(C228,G228,"m"),""))</f>
        <v/>
      </c>
      <c r="AN228" s="49" t="str">
        <f aca="false">IF(OR(Q228="",AM228=""),"",60+2*Q228-AM228)</f>
        <v/>
      </c>
      <c r="AO228" s="49" t="str">
        <f aca="false">IF(OR(G228="",AJ228=""),"",AJ228-G228)</f>
        <v/>
      </c>
      <c r="AP228" s="50" t="str">
        <f aca="false">IF(AND(A228="",B228=""),"",IF(J228="","Status needed",IF(OR(J228="Applied",J228="Visit booked",J228="Withdrawn"),"OK",IF(G228="","Date assessed needed",IF(C228="","Date of birth needed",IF(COUNTA(L228,M228,P228,U228,V228,X228)&lt;6,"Band missing",IF(AND(OR(J228="Decision confirmed",J228="Family told",J228="Enrolled"),AG228=""),"Recommendation needed",IF(AND(OR(J228="Family told",J228="Enrolled"),AJ228=""),"Date family told needed","OK"))))))))</f>
        <v/>
      </c>
    </row>
    <row r="229" customFormat="false" ht="15" hidden="false" customHeight="false" outlineLevel="0" collapsed="false">
      <c r="A229" s="7"/>
      <c r="B229" s="7"/>
      <c r="C229" s="46"/>
      <c r="D229" s="7"/>
      <c r="E229" s="47"/>
      <c r="F229" s="46"/>
      <c r="G229" s="46"/>
      <c r="H229" s="7"/>
      <c r="I229" s="7"/>
      <c r="J229" s="47"/>
      <c r="K229" s="47"/>
      <c r="L229" s="47"/>
      <c r="M229" s="47"/>
      <c r="N229" s="47"/>
      <c r="O229" s="10"/>
      <c r="P229" s="47"/>
      <c r="Q229" s="47"/>
      <c r="R229" s="48" t="str">
        <f aca="false">IF(Q229="","",IF(Q229=0,"below 5:00",IF(Q229&gt;=66,"16:00 or above",INT((60+2*Q229)/12)&amp;":"&amp;TEXT(MOD(60+2*Q229,12),"00"))))</f>
        <v/>
      </c>
      <c r="S229" s="47"/>
      <c r="T229" s="47"/>
      <c r="U229" s="47"/>
      <c r="V229" s="47"/>
      <c r="W229" s="47"/>
      <c r="X229" s="47"/>
      <c r="Y229" s="47"/>
      <c r="Z229" s="47"/>
      <c r="AA229" s="10"/>
      <c r="AB229" s="10"/>
      <c r="AC229" s="47"/>
      <c r="AD229" s="47"/>
      <c r="AE229" s="47"/>
      <c r="AF229" s="47"/>
      <c r="AG229" s="47"/>
      <c r="AH229" s="47"/>
      <c r="AI229" s="46"/>
      <c r="AJ229" s="46"/>
      <c r="AK229" s="46"/>
      <c r="AL229" s="7"/>
      <c r="AM229" s="49" t="str">
        <f aca="false">IF(OR(C229="",G229=""),"",IFERROR(DATEDIF(C229,G229,"m"),""))</f>
        <v/>
      </c>
      <c r="AN229" s="49" t="str">
        <f aca="false">IF(OR(Q229="",AM229=""),"",60+2*Q229-AM229)</f>
        <v/>
      </c>
      <c r="AO229" s="49" t="str">
        <f aca="false">IF(OR(G229="",AJ229=""),"",AJ229-G229)</f>
        <v/>
      </c>
      <c r="AP229" s="50" t="str">
        <f aca="false">IF(AND(A229="",B229=""),"",IF(J229="","Status needed",IF(OR(J229="Applied",J229="Visit booked",J229="Withdrawn"),"OK",IF(G229="","Date assessed needed",IF(C229="","Date of birth needed",IF(COUNTA(L229,M229,P229,U229,V229,X229)&lt;6,"Band missing",IF(AND(OR(J229="Decision confirmed",J229="Family told",J229="Enrolled"),AG229=""),"Recommendation needed",IF(AND(OR(J229="Family told",J229="Enrolled"),AJ229=""),"Date family told needed","OK"))))))))</f>
        <v/>
      </c>
    </row>
    <row r="230" customFormat="false" ht="15" hidden="false" customHeight="false" outlineLevel="0" collapsed="false">
      <c r="A230" s="7"/>
      <c r="B230" s="7"/>
      <c r="C230" s="46"/>
      <c r="D230" s="7"/>
      <c r="E230" s="47"/>
      <c r="F230" s="46"/>
      <c r="G230" s="46"/>
      <c r="H230" s="7"/>
      <c r="I230" s="7"/>
      <c r="J230" s="47"/>
      <c r="K230" s="47"/>
      <c r="L230" s="47"/>
      <c r="M230" s="47"/>
      <c r="N230" s="47"/>
      <c r="O230" s="10"/>
      <c r="P230" s="47"/>
      <c r="Q230" s="47"/>
      <c r="R230" s="48" t="str">
        <f aca="false">IF(Q230="","",IF(Q230=0,"below 5:00",IF(Q230&gt;=66,"16:00 or above",INT((60+2*Q230)/12)&amp;":"&amp;TEXT(MOD(60+2*Q230,12),"00"))))</f>
        <v/>
      </c>
      <c r="S230" s="47"/>
      <c r="T230" s="47"/>
      <c r="U230" s="47"/>
      <c r="V230" s="47"/>
      <c r="W230" s="47"/>
      <c r="X230" s="47"/>
      <c r="Y230" s="47"/>
      <c r="Z230" s="47"/>
      <c r="AA230" s="10"/>
      <c r="AB230" s="10"/>
      <c r="AC230" s="47"/>
      <c r="AD230" s="47"/>
      <c r="AE230" s="47"/>
      <c r="AF230" s="47"/>
      <c r="AG230" s="47"/>
      <c r="AH230" s="47"/>
      <c r="AI230" s="46"/>
      <c r="AJ230" s="46"/>
      <c r="AK230" s="46"/>
      <c r="AL230" s="7"/>
      <c r="AM230" s="49" t="str">
        <f aca="false">IF(OR(C230="",G230=""),"",IFERROR(DATEDIF(C230,G230,"m"),""))</f>
        <v/>
      </c>
      <c r="AN230" s="49" t="str">
        <f aca="false">IF(OR(Q230="",AM230=""),"",60+2*Q230-AM230)</f>
        <v/>
      </c>
      <c r="AO230" s="49" t="str">
        <f aca="false">IF(OR(G230="",AJ230=""),"",AJ230-G230)</f>
        <v/>
      </c>
      <c r="AP230" s="50" t="str">
        <f aca="false">IF(AND(A230="",B230=""),"",IF(J230="","Status needed",IF(OR(J230="Applied",J230="Visit booked",J230="Withdrawn"),"OK",IF(G230="","Date assessed needed",IF(C230="","Date of birth needed",IF(COUNTA(L230,M230,P230,U230,V230,X230)&lt;6,"Band missing",IF(AND(OR(J230="Decision confirmed",J230="Family told",J230="Enrolled"),AG230=""),"Recommendation needed",IF(AND(OR(J230="Family told",J230="Enrolled"),AJ230=""),"Date family told needed","OK"))))))))</f>
        <v/>
      </c>
    </row>
    <row r="231" customFormat="false" ht="15" hidden="false" customHeight="false" outlineLevel="0" collapsed="false">
      <c r="A231" s="7"/>
      <c r="B231" s="7"/>
      <c r="C231" s="46"/>
      <c r="D231" s="7"/>
      <c r="E231" s="47"/>
      <c r="F231" s="46"/>
      <c r="G231" s="46"/>
      <c r="H231" s="7"/>
      <c r="I231" s="7"/>
      <c r="J231" s="47"/>
      <c r="K231" s="47"/>
      <c r="L231" s="47"/>
      <c r="M231" s="47"/>
      <c r="N231" s="47"/>
      <c r="O231" s="10"/>
      <c r="P231" s="47"/>
      <c r="Q231" s="47"/>
      <c r="R231" s="48" t="str">
        <f aca="false">IF(Q231="","",IF(Q231=0,"below 5:00",IF(Q231&gt;=66,"16:00 or above",INT((60+2*Q231)/12)&amp;":"&amp;TEXT(MOD(60+2*Q231,12),"00"))))</f>
        <v/>
      </c>
      <c r="S231" s="47"/>
      <c r="T231" s="47"/>
      <c r="U231" s="47"/>
      <c r="V231" s="47"/>
      <c r="W231" s="47"/>
      <c r="X231" s="47"/>
      <c r="Y231" s="47"/>
      <c r="Z231" s="47"/>
      <c r="AA231" s="10"/>
      <c r="AB231" s="10"/>
      <c r="AC231" s="47"/>
      <c r="AD231" s="47"/>
      <c r="AE231" s="47"/>
      <c r="AF231" s="47"/>
      <c r="AG231" s="47"/>
      <c r="AH231" s="47"/>
      <c r="AI231" s="46"/>
      <c r="AJ231" s="46"/>
      <c r="AK231" s="46"/>
      <c r="AL231" s="7"/>
      <c r="AM231" s="49" t="str">
        <f aca="false">IF(OR(C231="",G231=""),"",IFERROR(DATEDIF(C231,G231,"m"),""))</f>
        <v/>
      </c>
      <c r="AN231" s="49" t="str">
        <f aca="false">IF(OR(Q231="",AM231=""),"",60+2*Q231-AM231)</f>
        <v/>
      </c>
      <c r="AO231" s="49" t="str">
        <f aca="false">IF(OR(G231="",AJ231=""),"",AJ231-G231)</f>
        <v/>
      </c>
      <c r="AP231" s="50" t="str">
        <f aca="false">IF(AND(A231="",B231=""),"",IF(J231="","Status needed",IF(OR(J231="Applied",J231="Visit booked",J231="Withdrawn"),"OK",IF(G231="","Date assessed needed",IF(C231="","Date of birth needed",IF(COUNTA(L231,M231,P231,U231,V231,X231)&lt;6,"Band missing",IF(AND(OR(J231="Decision confirmed",J231="Family told",J231="Enrolled"),AG231=""),"Recommendation needed",IF(AND(OR(J231="Family told",J231="Enrolled"),AJ231=""),"Date family told needed","OK"))))))))</f>
        <v/>
      </c>
    </row>
    <row r="232" customFormat="false" ht="15" hidden="false" customHeight="false" outlineLevel="0" collapsed="false">
      <c r="A232" s="7"/>
      <c r="B232" s="7"/>
      <c r="C232" s="46"/>
      <c r="D232" s="7"/>
      <c r="E232" s="47"/>
      <c r="F232" s="46"/>
      <c r="G232" s="46"/>
      <c r="H232" s="7"/>
      <c r="I232" s="7"/>
      <c r="J232" s="47"/>
      <c r="K232" s="47"/>
      <c r="L232" s="47"/>
      <c r="M232" s="47"/>
      <c r="N232" s="47"/>
      <c r="O232" s="10"/>
      <c r="P232" s="47"/>
      <c r="Q232" s="47"/>
      <c r="R232" s="48" t="str">
        <f aca="false">IF(Q232="","",IF(Q232=0,"below 5:00",IF(Q232&gt;=66,"16:00 or above",INT((60+2*Q232)/12)&amp;":"&amp;TEXT(MOD(60+2*Q232,12),"00"))))</f>
        <v/>
      </c>
      <c r="S232" s="47"/>
      <c r="T232" s="47"/>
      <c r="U232" s="47"/>
      <c r="V232" s="47"/>
      <c r="W232" s="47"/>
      <c r="X232" s="47"/>
      <c r="Y232" s="47"/>
      <c r="Z232" s="47"/>
      <c r="AA232" s="10"/>
      <c r="AB232" s="10"/>
      <c r="AC232" s="47"/>
      <c r="AD232" s="47"/>
      <c r="AE232" s="47"/>
      <c r="AF232" s="47"/>
      <c r="AG232" s="47"/>
      <c r="AH232" s="47"/>
      <c r="AI232" s="46"/>
      <c r="AJ232" s="46"/>
      <c r="AK232" s="46"/>
      <c r="AL232" s="7"/>
      <c r="AM232" s="49" t="str">
        <f aca="false">IF(OR(C232="",G232=""),"",IFERROR(DATEDIF(C232,G232,"m"),""))</f>
        <v/>
      </c>
      <c r="AN232" s="49" t="str">
        <f aca="false">IF(OR(Q232="",AM232=""),"",60+2*Q232-AM232)</f>
        <v/>
      </c>
      <c r="AO232" s="49" t="str">
        <f aca="false">IF(OR(G232="",AJ232=""),"",AJ232-G232)</f>
        <v/>
      </c>
      <c r="AP232" s="50" t="str">
        <f aca="false">IF(AND(A232="",B232=""),"",IF(J232="","Status needed",IF(OR(J232="Applied",J232="Visit booked",J232="Withdrawn"),"OK",IF(G232="","Date assessed needed",IF(C232="","Date of birth needed",IF(COUNTA(L232,M232,P232,U232,V232,X232)&lt;6,"Band missing",IF(AND(OR(J232="Decision confirmed",J232="Family told",J232="Enrolled"),AG232=""),"Recommendation needed",IF(AND(OR(J232="Family told",J232="Enrolled"),AJ232=""),"Date family told needed","OK"))))))))</f>
        <v/>
      </c>
    </row>
    <row r="233" customFormat="false" ht="15" hidden="false" customHeight="false" outlineLevel="0" collapsed="false">
      <c r="A233" s="7"/>
      <c r="B233" s="7"/>
      <c r="C233" s="46"/>
      <c r="D233" s="7"/>
      <c r="E233" s="47"/>
      <c r="F233" s="46"/>
      <c r="G233" s="46"/>
      <c r="H233" s="7"/>
      <c r="I233" s="7"/>
      <c r="J233" s="47"/>
      <c r="K233" s="47"/>
      <c r="L233" s="47"/>
      <c r="M233" s="47"/>
      <c r="N233" s="47"/>
      <c r="O233" s="10"/>
      <c r="P233" s="47"/>
      <c r="Q233" s="47"/>
      <c r="R233" s="48" t="str">
        <f aca="false">IF(Q233="","",IF(Q233=0,"below 5:00",IF(Q233&gt;=66,"16:00 or above",INT((60+2*Q233)/12)&amp;":"&amp;TEXT(MOD(60+2*Q233,12),"00"))))</f>
        <v/>
      </c>
      <c r="S233" s="47"/>
      <c r="T233" s="47"/>
      <c r="U233" s="47"/>
      <c r="V233" s="47"/>
      <c r="W233" s="47"/>
      <c r="X233" s="47"/>
      <c r="Y233" s="47"/>
      <c r="Z233" s="47"/>
      <c r="AA233" s="10"/>
      <c r="AB233" s="10"/>
      <c r="AC233" s="47"/>
      <c r="AD233" s="47"/>
      <c r="AE233" s="47"/>
      <c r="AF233" s="47"/>
      <c r="AG233" s="47"/>
      <c r="AH233" s="47"/>
      <c r="AI233" s="46"/>
      <c r="AJ233" s="46"/>
      <c r="AK233" s="46"/>
      <c r="AL233" s="7"/>
      <c r="AM233" s="49" t="str">
        <f aca="false">IF(OR(C233="",G233=""),"",IFERROR(DATEDIF(C233,G233,"m"),""))</f>
        <v/>
      </c>
      <c r="AN233" s="49" t="str">
        <f aca="false">IF(OR(Q233="",AM233=""),"",60+2*Q233-AM233)</f>
        <v/>
      </c>
      <c r="AO233" s="49" t="str">
        <f aca="false">IF(OR(G233="",AJ233=""),"",AJ233-G233)</f>
        <v/>
      </c>
      <c r="AP233" s="50" t="str">
        <f aca="false">IF(AND(A233="",B233=""),"",IF(J233="","Status needed",IF(OR(J233="Applied",J233="Visit booked",J233="Withdrawn"),"OK",IF(G233="","Date assessed needed",IF(C233="","Date of birth needed",IF(COUNTA(L233,M233,P233,U233,V233,X233)&lt;6,"Band missing",IF(AND(OR(J233="Decision confirmed",J233="Family told",J233="Enrolled"),AG233=""),"Recommendation needed",IF(AND(OR(J233="Family told",J233="Enrolled"),AJ233=""),"Date family told needed","OK"))))))))</f>
        <v/>
      </c>
    </row>
    <row r="234" customFormat="false" ht="15" hidden="false" customHeight="false" outlineLevel="0" collapsed="false">
      <c r="A234" s="7"/>
      <c r="B234" s="7"/>
      <c r="C234" s="46"/>
      <c r="D234" s="7"/>
      <c r="E234" s="47"/>
      <c r="F234" s="46"/>
      <c r="G234" s="46"/>
      <c r="H234" s="7"/>
      <c r="I234" s="7"/>
      <c r="J234" s="47"/>
      <c r="K234" s="47"/>
      <c r="L234" s="47"/>
      <c r="M234" s="47"/>
      <c r="N234" s="47"/>
      <c r="O234" s="10"/>
      <c r="P234" s="47"/>
      <c r="Q234" s="47"/>
      <c r="R234" s="48" t="str">
        <f aca="false">IF(Q234="","",IF(Q234=0,"below 5:00",IF(Q234&gt;=66,"16:00 or above",INT((60+2*Q234)/12)&amp;":"&amp;TEXT(MOD(60+2*Q234,12),"00"))))</f>
        <v/>
      </c>
      <c r="S234" s="47"/>
      <c r="T234" s="47"/>
      <c r="U234" s="47"/>
      <c r="V234" s="47"/>
      <c r="W234" s="47"/>
      <c r="X234" s="47"/>
      <c r="Y234" s="47"/>
      <c r="Z234" s="47"/>
      <c r="AA234" s="10"/>
      <c r="AB234" s="10"/>
      <c r="AC234" s="47"/>
      <c r="AD234" s="47"/>
      <c r="AE234" s="47"/>
      <c r="AF234" s="47"/>
      <c r="AG234" s="47"/>
      <c r="AH234" s="47"/>
      <c r="AI234" s="46"/>
      <c r="AJ234" s="46"/>
      <c r="AK234" s="46"/>
      <c r="AL234" s="7"/>
      <c r="AM234" s="49" t="str">
        <f aca="false">IF(OR(C234="",G234=""),"",IFERROR(DATEDIF(C234,G234,"m"),""))</f>
        <v/>
      </c>
      <c r="AN234" s="49" t="str">
        <f aca="false">IF(OR(Q234="",AM234=""),"",60+2*Q234-AM234)</f>
        <v/>
      </c>
      <c r="AO234" s="49" t="str">
        <f aca="false">IF(OR(G234="",AJ234=""),"",AJ234-G234)</f>
        <v/>
      </c>
      <c r="AP234" s="50" t="str">
        <f aca="false">IF(AND(A234="",B234=""),"",IF(J234="","Status needed",IF(OR(J234="Applied",J234="Visit booked",J234="Withdrawn"),"OK",IF(G234="","Date assessed needed",IF(C234="","Date of birth needed",IF(COUNTA(L234,M234,P234,U234,V234,X234)&lt;6,"Band missing",IF(AND(OR(J234="Decision confirmed",J234="Family told",J234="Enrolled"),AG234=""),"Recommendation needed",IF(AND(OR(J234="Family told",J234="Enrolled"),AJ234=""),"Date family told needed","OK"))))))))</f>
        <v/>
      </c>
    </row>
    <row r="235" customFormat="false" ht="15" hidden="false" customHeight="false" outlineLevel="0" collapsed="false">
      <c r="A235" s="7"/>
      <c r="B235" s="7"/>
      <c r="C235" s="46"/>
      <c r="D235" s="7"/>
      <c r="E235" s="47"/>
      <c r="F235" s="46"/>
      <c r="G235" s="46"/>
      <c r="H235" s="7"/>
      <c r="I235" s="7"/>
      <c r="J235" s="47"/>
      <c r="K235" s="47"/>
      <c r="L235" s="47"/>
      <c r="M235" s="47"/>
      <c r="N235" s="47"/>
      <c r="O235" s="10"/>
      <c r="P235" s="47"/>
      <c r="Q235" s="47"/>
      <c r="R235" s="48" t="str">
        <f aca="false">IF(Q235="","",IF(Q235=0,"below 5:00",IF(Q235&gt;=66,"16:00 or above",INT((60+2*Q235)/12)&amp;":"&amp;TEXT(MOD(60+2*Q235,12),"00"))))</f>
        <v/>
      </c>
      <c r="S235" s="47"/>
      <c r="T235" s="47"/>
      <c r="U235" s="47"/>
      <c r="V235" s="47"/>
      <c r="W235" s="47"/>
      <c r="X235" s="47"/>
      <c r="Y235" s="47"/>
      <c r="Z235" s="47"/>
      <c r="AA235" s="10"/>
      <c r="AB235" s="10"/>
      <c r="AC235" s="47"/>
      <c r="AD235" s="47"/>
      <c r="AE235" s="47"/>
      <c r="AF235" s="47"/>
      <c r="AG235" s="47"/>
      <c r="AH235" s="47"/>
      <c r="AI235" s="46"/>
      <c r="AJ235" s="46"/>
      <c r="AK235" s="46"/>
      <c r="AL235" s="7"/>
      <c r="AM235" s="49" t="str">
        <f aca="false">IF(OR(C235="",G235=""),"",IFERROR(DATEDIF(C235,G235,"m"),""))</f>
        <v/>
      </c>
      <c r="AN235" s="49" t="str">
        <f aca="false">IF(OR(Q235="",AM235=""),"",60+2*Q235-AM235)</f>
        <v/>
      </c>
      <c r="AO235" s="49" t="str">
        <f aca="false">IF(OR(G235="",AJ235=""),"",AJ235-G235)</f>
        <v/>
      </c>
      <c r="AP235" s="50" t="str">
        <f aca="false">IF(AND(A235="",B235=""),"",IF(J235="","Status needed",IF(OR(J235="Applied",J235="Visit booked",J235="Withdrawn"),"OK",IF(G235="","Date assessed needed",IF(C235="","Date of birth needed",IF(COUNTA(L235,M235,P235,U235,V235,X235)&lt;6,"Band missing",IF(AND(OR(J235="Decision confirmed",J235="Family told",J235="Enrolled"),AG235=""),"Recommendation needed",IF(AND(OR(J235="Family told",J235="Enrolled"),AJ235=""),"Date family told needed","OK"))))))))</f>
        <v/>
      </c>
    </row>
    <row r="236" customFormat="false" ht="15" hidden="false" customHeight="false" outlineLevel="0" collapsed="false">
      <c r="A236" s="7"/>
      <c r="B236" s="7"/>
      <c r="C236" s="46"/>
      <c r="D236" s="7"/>
      <c r="E236" s="47"/>
      <c r="F236" s="46"/>
      <c r="G236" s="46"/>
      <c r="H236" s="7"/>
      <c r="I236" s="7"/>
      <c r="J236" s="47"/>
      <c r="K236" s="47"/>
      <c r="L236" s="47"/>
      <c r="M236" s="47"/>
      <c r="N236" s="47"/>
      <c r="O236" s="10"/>
      <c r="P236" s="47"/>
      <c r="Q236" s="47"/>
      <c r="R236" s="48" t="str">
        <f aca="false">IF(Q236="","",IF(Q236=0,"below 5:00",IF(Q236&gt;=66,"16:00 or above",INT((60+2*Q236)/12)&amp;":"&amp;TEXT(MOD(60+2*Q236,12),"00"))))</f>
        <v/>
      </c>
      <c r="S236" s="47"/>
      <c r="T236" s="47"/>
      <c r="U236" s="47"/>
      <c r="V236" s="47"/>
      <c r="W236" s="47"/>
      <c r="X236" s="47"/>
      <c r="Y236" s="47"/>
      <c r="Z236" s="47"/>
      <c r="AA236" s="10"/>
      <c r="AB236" s="10"/>
      <c r="AC236" s="47"/>
      <c r="AD236" s="47"/>
      <c r="AE236" s="47"/>
      <c r="AF236" s="47"/>
      <c r="AG236" s="47"/>
      <c r="AH236" s="47"/>
      <c r="AI236" s="46"/>
      <c r="AJ236" s="46"/>
      <c r="AK236" s="46"/>
      <c r="AL236" s="7"/>
      <c r="AM236" s="49" t="str">
        <f aca="false">IF(OR(C236="",G236=""),"",IFERROR(DATEDIF(C236,G236,"m"),""))</f>
        <v/>
      </c>
      <c r="AN236" s="49" t="str">
        <f aca="false">IF(OR(Q236="",AM236=""),"",60+2*Q236-AM236)</f>
        <v/>
      </c>
      <c r="AO236" s="49" t="str">
        <f aca="false">IF(OR(G236="",AJ236=""),"",AJ236-G236)</f>
        <v/>
      </c>
      <c r="AP236" s="50" t="str">
        <f aca="false">IF(AND(A236="",B236=""),"",IF(J236="","Status needed",IF(OR(J236="Applied",J236="Visit booked",J236="Withdrawn"),"OK",IF(G236="","Date assessed needed",IF(C236="","Date of birth needed",IF(COUNTA(L236,M236,P236,U236,V236,X236)&lt;6,"Band missing",IF(AND(OR(J236="Decision confirmed",J236="Family told",J236="Enrolled"),AG236=""),"Recommendation needed",IF(AND(OR(J236="Family told",J236="Enrolled"),AJ236=""),"Date family told needed","OK"))))))))</f>
        <v/>
      </c>
    </row>
    <row r="237" customFormat="false" ht="15" hidden="false" customHeight="false" outlineLevel="0" collapsed="false">
      <c r="A237" s="7"/>
      <c r="B237" s="7"/>
      <c r="C237" s="46"/>
      <c r="D237" s="7"/>
      <c r="E237" s="47"/>
      <c r="F237" s="46"/>
      <c r="G237" s="46"/>
      <c r="H237" s="7"/>
      <c r="I237" s="7"/>
      <c r="J237" s="47"/>
      <c r="K237" s="47"/>
      <c r="L237" s="47"/>
      <c r="M237" s="47"/>
      <c r="N237" s="47"/>
      <c r="O237" s="10"/>
      <c r="P237" s="47"/>
      <c r="Q237" s="47"/>
      <c r="R237" s="48" t="str">
        <f aca="false">IF(Q237="","",IF(Q237=0,"below 5:00",IF(Q237&gt;=66,"16:00 or above",INT((60+2*Q237)/12)&amp;":"&amp;TEXT(MOD(60+2*Q237,12),"00"))))</f>
        <v/>
      </c>
      <c r="S237" s="47"/>
      <c r="T237" s="47"/>
      <c r="U237" s="47"/>
      <c r="V237" s="47"/>
      <c r="W237" s="47"/>
      <c r="X237" s="47"/>
      <c r="Y237" s="47"/>
      <c r="Z237" s="47"/>
      <c r="AA237" s="10"/>
      <c r="AB237" s="10"/>
      <c r="AC237" s="47"/>
      <c r="AD237" s="47"/>
      <c r="AE237" s="47"/>
      <c r="AF237" s="47"/>
      <c r="AG237" s="47"/>
      <c r="AH237" s="47"/>
      <c r="AI237" s="46"/>
      <c r="AJ237" s="46"/>
      <c r="AK237" s="46"/>
      <c r="AL237" s="7"/>
      <c r="AM237" s="49" t="str">
        <f aca="false">IF(OR(C237="",G237=""),"",IFERROR(DATEDIF(C237,G237,"m"),""))</f>
        <v/>
      </c>
      <c r="AN237" s="49" t="str">
        <f aca="false">IF(OR(Q237="",AM237=""),"",60+2*Q237-AM237)</f>
        <v/>
      </c>
      <c r="AO237" s="49" t="str">
        <f aca="false">IF(OR(G237="",AJ237=""),"",AJ237-G237)</f>
        <v/>
      </c>
      <c r="AP237" s="50" t="str">
        <f aca="false">IF(AND(A237="",B237=""),"",IF(J237="","Status needed",IF(OR(J237="Applied",J237="Visit booked",J237="Withdrawn"),"OK",IF(G237="","Date assessed needed",IF(C237="","Date of birth needed",IF(COUNTA(L237,M237,P237,U237,V237,X237)&lt;6,"Band missing",IF(AND(OR(J237="Decision confirmed",J237="Family told",J237="Enrolled"),AG237=""),"Recommendation needed",IF(AND(OR(J237="Family told",J237="Enrolled"),AJ237=""),"Date family told needed","OK"))))))))</f>
        <v/>
      </c>
    </row>
    <row r="238" customFormat="false" ht="15" hidden="false" customHeight="false" outlineLevel="0" collapsed="false">
      <c r="A238" s="7"/>
      <c r="B238" s="7"/>
      <c r="C238" s="46"/>
      <c r="D238" s="7"/>
      <c r="E238" s="47"/>
      <c r="F238" s="46"/>
      <c r="G238" s="46"/>
      <c r="H238" s="7"/>
      <c r="I238" s="7"/>
      <c r="J238" s="47"/>
      <c r="K238" s="47"/>
      <c r="L238" s="47"/>
      <c r="M238" s="47"/>
      <c r="N238" s="47"/>
      <c r="O238" s="10"/>
      <c r="P238" s="47"/>
      <c r="Q238" s="47"/>
      <c r="R238" s="48" t="str">
        <f aca="false">IF(Q238="","",IF(Q238=0,"below 5:00",IF(Q238&gt;=66,"16:00 or above",INT((60+2*Q238)/12)&amp;":"&amp;TEXT(MOD(60+2*Q238,12),"00"))))</f>
        <v/>
      </c>
      <c r="S238" s="47"/>
      <c r="T238" s="47"/>
      <c r="U238" s="47"/>
      <c r="V238" s="47"/>
      <c r="W238" s="47"/>
      <c r="X238" s="47"/>
      <c r="Y238" s="47"/>
      <c r="Z238" s="47"/>
      <c r="AA238" s="10"/>
      <c r="AB238" s="10"/>
      <c r="AC238" s="47"/>
      <c r="AD238" s="47"/>
      <c r="AE238" s="47"/>
      <c r="AF238" s="47"/>
      <c r="AG238" s="47"/>
      <c r="AH238" s="47"/>
      <c r="AI238" s="46"/>
      <c r="AJ238" s="46"/>
      <c r="AK238" s="46"/>
      <c r="AL238" s="7"/>
      <c r="AM238" s="49" t="str">
        <f aca="false">IF(OR(C238="",G238=""),"",IFERROR(DATEDIF(C238,G238,"m"),""))</f>
        <v/>
      </c>
      <c r="AN238" s="49" t="str">
        <f aca="false">IF(OR(Q238="",AM238=""),"",60+2*Q238-AM238)</f>
        <v/>
      </c>
      <c r="AO238" s="49" t="str">
        <f aca="false">IF(OR(G238="",AJ238=""),"",AJ238-G238)</f>
        <v/>
      </c>
      <c r="AP238" s="50" t="str">
        <f aca="false">IF(AND(A238="",B238=""),"",IF(J238="","Status needed",IF(OR(J238="Applied",J238="Visit booked",J238="Withdrawn"),"OK",IF(G238="","Date assessed needed",IF(C238="","Date of birth needed",IF(COUNTA(L238,M238,P238,U238,V238,X238)&lt;6,"Band missing",IF(AND(OR(J238="Decision confirmed",J238="Family told",J238="Enrolled"),AG238=""),"Recommendation needed",IF(AND(OR(J238="Family told",J238="Enrolled"),AJ238=""),"Date family told needed","OK"))))))))</f>
        <v/>
      </c>
    </row>
    <row r="239" customFormat="false" ht="15" hidden="false" customHeight="false" outlineLevel="0" collapsed="false">
      <c r="A239" s="7"/>
      <c r="B239" s="7"/>
      <c r="C239" s="46"/>
      <c r="D239" s="7"/>
      <c r="E239" s="47"/>
      <c r="F239" s="46"/>
      <c r="G239" s="46"/>
      <c r="H239" s="7"/>
      <c r="I239" s="7"/>
      <c r="J239" s="47"/>
      <c r="K239" s="47"/>
      <c r="L239" s="47"/>
      <c r="M239" s="47"/>
      <c r="N239" s="47"/>
      <c r="O239" s="10"/>
      <c r="P239" s="47"/>
      <c r="Q239" s="47"/>
      <c r="R239" s="48" t="str">
        <f aca="false">IF(Q239="","",IF(Q239=0,"below 5:00",IF(Q239&gt;=66,"16:00 or above",INT((60+2*Q239)/12)&amp;":"&amp;TEXT(MOD(60+2*Q239,12),"00"))))</f>
        <v/>
      </c>
      <c r="S239" s="47"/>
      <c r="T239" s="47"/>
      <c r="U239" s="47"/>
      <c r="V239" s="47"/>
      <c r="W239" s="47"/>
      <c r="X239" s="47"/>
      <c r="Y239" s="47"/>
      <c r="Z239" s="47"/>
      <c r="AA239" s="10"/>
      <c r="AB239" s="10"/>
      <c r="AC239" s="47"/>
      <c r="AD239" s="47"/>
      <c r="AE239" s="47"/>
      <c r="AF239" s="47"/>
      <c r="AG239" s="47"/>
      <c r="AH239" s="47"/>
      <c r="AI239" s="46"/>
      <c r="AJ239" s="46"/>
      <c r="AK239" s="46"/>
      <c r="AL239" s="7"/>
      <c r="AM239" s="49" t="str">
        <f aca="false">IF(OR(C239="",G239=""),"",IFERROR(DATEDIF(C239,G239,"m"),""))</f>
        <v/>
      </c>
      <c r="AN239" s="49" t="str">
        <f aca="false">IF(OR(Q239="",AM239=""),"",60+2*Q239-AM239)</f>
        <v/>
      </c>
      <c r="AO239" s="49" t="str">
        <f aca="false">IF(OR(G239="",AJ239=""),"",AJ239-G239)</f>
        <v/>
      </c>
      <c r="AP239" s="50" t="str">
        <f aca="false">IF(AND(A239="",B239=""),"",IF(J239="","Status needed",IF(OR(J239="Applied",J239="Visit booked",J239="Withdrawn"),"OK",IF(G239="","Date assessed needed",IF(C239="","Date of birth needed",IF(COUNTA(L239,M239,P239,U239,V239,X239)&lt;6,"Band missing",IF(AND(OR(J239="Decision confirmed",J239="Family told",J239="Enrolled"),AG239=""),"Recommendation needed",IF(AND(OR(J239="Family told",J239="Enrolled"),AJ239=""),"Date family told needed","OK"))))))))</f>
        <v/>
      </c>
    </row>
    <row r="240" customFormat="false" ht="15" hidden="false" customHeight="false" outlineLevel="0" collapsed="false">
      <c r="A240" s="7"/>
      <c r="B240" s="7"/>
      <c r="C240" s="46"/>
      <c r="D240" s="7"/>
      <c r="E240" s="47"/>
      <c r="F240" s="46"/>
      <c r="G240" s="46"/>
      <c r="H240" s="7"/>
      <c r="I240" s="7"/>
      <c r="J240" s="47"/>
      <c r="K240" s="47"/>
      <c r="L240" s="47"/>
      <c r="M240" s="47"/>
      <c r="N240" s="47"/>
      <c r="O240" s="10"/>
      <c r="P240" s="47"/>
      <c r="Q240" s="47"/>
      <c r="R240" s="48" t="str">
        <f aca="false">IF(Q240="","",IF(Q240=0,"below 5:00",IF(Q240&gt;=66,"16:00 or above",INT((60+2*Q240)/12)&amp;":"&amp;TEXT(MOD(60+2*Q240,12),"00"))))</f>
        <v/>
      </c>
      <c r="S240" s="47"/>
      <c r="T240" s="47"/>
      <c r="U240" s="47"/>
      <c r="V240" s="47"/>
      <c r="W240" s="47"/>
      <c r="X240" s="47"/>
      <c r="Y240" s="47"/>
      <c r="Z240" s="47"/>
      <c r="AA240" s="10"/>
      <c r="AB240" s="10"/>
      <c r="AC240" s="47"/>
      <c r="AD240" s="47"/>
      <c r="AE240" s="47"/>
      <c r="AF240" s="47"/>
      <c r="AG240" s="47"/>
      <c r="AH240" s="47"/>
      <c r="AI240" s="46"/>
      <c r="AJ240" s="46"/>
      <c r="AK240" s="46"/>
      <c r="AL240" s="7"/>
      <c r="AM240" s="49" t="str">
        <f aca="false">IF(OR(C240="",G240=""),"",IFERROR(DATEDIF(C240,G240,"m"),""))</f>
        <v/>
      </c>
      <c r="AN240" s="49" t="str">
        <f aca="false">IF(OR(Q240="",AM240=""),"",60+2*Q240-AM240)</f>
        <v/>
      </c>
      <c r="AO240" s="49" t="str">
        <f aca="false">IF(OR(G240="",AJ240=""),"",AJ240-G240)</f>
        <v/>
      </c>
      <c r="AP240" s="50" t="str">
        <f aca="false">IF(AND(A240="",B240=""),"",IF(J240="","Status needed",IF(OR(J240="Applied",J240="Visit booked",J240="Withdrawn"),"OK",IF(G240="","Date assessed needed",IF(C240="","Date of birth needed",IF(COUNTA(L240,M240,P240,U240,V240,X240)&lt;6,"Band missing",IF(AND(OR(J240="Decision confirmed",J240="Family told",J240="Enrolled"),AG240=""),"Recommendation needed",IF(AND(OR(J240="Family told",J240="Enrolled"),AJ240=""),"Date family told needed","OK"))))))))</f>
        <v/>
      </c>
    </row>
    <row r="241" customFormat="false" ht="15" hidden="false" customHeight="false" outlineLevel="0" collapsed="false">
      <c r="A241" s="7"/>
      <c r="B241" s="7"/>
      <c r="C241" s="46"/>
      <c r="D241" s="7"/>
      <c r="E241" s="47"/>
      <c r="F241" s="46"/>
      <c r="G241" s="46"/>
      <c r="H241" s="7"/>
      <c r="I241" s="7"/>
      <c r="J241" s="47"/>
      <c r="K241" s="47"/>
      <c r="L241" s="47"/>
      <c r="M241" s="47"/>
      <c r="N241" s="47"/>
      <c r="O241" s="10"/>
      <c r="P241" s="47"/>
      <c r="Q241" s="47"/>
      <c r="R241" s="48" t="str">
        <f aca="false">IF(Q241="","",IF(Q241=0,"below 5:00",IF(Q241&gt;=66,"16:00 or above",INT((60+2*Q241)/12)&amp;":"&amp;TEXT(MOD(60+2*Q241,12),"00"))))</f>
        <v/>
      </c>
      <c r="S241" s="47"/>
      <c r="T241" s="47"/>
      <c r="U241" s="47"/>
      <c r="V241" s="47"/>
      <c r="W241" s="47"/>
      <c r="X241" s="47"/>
      <c r="Y241" s="47"/>
      <c r="Z241" s="47"/>
      <c r="AA241" s="10"/>
      <c r="AB241" s="10"/>
      <c r="AC241" s="47"/>
      <c r="AD241" s="47"/>
      <c r="AE241" s="47"/>
      <c r="AF241" s="47"/>
      <c r="AG241" s="47"/>
      <c r="AH241" s="47"/>
      <c r="AI241" s="46"/>
      <c r="AJ241" s="46"/>
      <c r="AK241" s="46"/>
      <c r="AL241" s="7"/>
      <c r="AM241" s="49" t="str">
        <f aca="false">IF(OR(C241="",G241=""),"",IFERROR(DATEDIF(C241,G241,"m"),""))</f>
        <v/>
      </c>
      <c r="AN241" s="49" t="str">
        <f aca="false">IF(OR(Q241="",AM241=""),"",60+2*Q241-AM241)</f>
        <v/>
      </c>
      <c r="AO241" s="49" t="str">
        <f aca="false">IF(OR(G241="",AJ241=""),"",AJ241-G241)</f>
        <v/>
      </c>
      <c r="AP241" s="50" t="str">
        <f aca="false">IF(AND(A241="",B241=""),"",IF(J241="","Status needed",IF(OR(J241="Applied",J241="Visit booked",J241="Withdrawn"),"OK",IF(G241="","Date assessed needed",IF(C241="","Date of birth needed",IF(COUNTA(L241,M241,P241,U241,V241,X241)&lt;6,"Band missing",IF(AND(OR(J241="Decision confirmed",J241="Family told",J241="Enrolled"),AG241=""),"Recommendation needed",IF(AND(OR(J241="Family told",J241="Enrolled"),AJ241=""),"Date family told needed","OK"))))))))</f>
        <v/>
      </c>
    </row>
    <row r="242" customFormat="false" ht="15" hidden="false" customHeight="false" outlineLevel="0" collapsed="false">
      <c r="A242" s="7"/>
      <c r="B242" s="7"/>
      <c r="C242" s="46"/>
      <c r="D242" s="7"/>
      <c r="E242" s="47"/>
      <c r="F242" s="46"/>
      <c r="G242" s="46"/>
      <c r="H242" s="7"/>
      <c r="I242" s="7"/>
      <c r="J242" s="47"/>
      <c r="K242" s="47"/>
      <c r="L242" s="47"/>
      <c r="M242" s="47"/>
      <c r="N242" s="47"/>
      <c r="O242" s="10"/>
      <c r="P242" s="47"/>
      <c r="Q242" s="47"/>
      <c r="R242" s="48" t="str">
        <f aca="false">IF(Q242="","",IF(Q242=0,"below 5:00",IF(Q242&gt;=66,"16:00 or above",INT((60+2*Q242)/12)&amp;":"&amp;TEXT(MOD(60+2*Q242,12),"00"))))</f>
        <v/>
      </c>
      <c r="S242" s="47"/>
      <c r="T242" s="47"/>
      <c r="U242" s="47"/>
      <c r="V242" s="47"/>
      <c r="W242" s="47"/>
      <c r="X242" s="47"/>
      <c r="Y242" s="47"/>
      <c r="Z242" s="47"/>
      <c r="AA242" s="10"/>
      <c r="AB242" s="10"/>
      <c r="AC242" s="47"/>
      <c r="AD242" s="47"/>
      <c r="AE242" s="47"/>
      <c r="AF242" s="47"/>
      <c r="AG242" s="47"/>
      <c r="AH242" s="47"/>
      <c r="AI242" s="46"/>
      <c r="AJ242" s="46"/>
      <c r="AK242" s="46"/>
      <c r="AL242" s="7"/>
      <c r="AM242" s="49" t="str">
        <f aca="false">IF(OR(C242="",G242=""),"",IFERROR(DATEDIF(C242,G242,"m"),""))</f>
        <v/>
      </c>
      <c r="AN242" s="49" t="str">
        <f aca="false">IF(OR(Q242="",AM242=""),"",60+2*Q242-AM242)</f>
        <v/>
      </c>
      <c r="AO242" s="49" t="str">
        <f aca="false">IF(OR(G242="",AJ242=""),"",AJ242-G242)</f>
        <v/>
      </c>
      <c r="AP242" s="50" t="str">
        <f aca="false">IF(AND(A242="",B242=""),"",IF(J242="","Status needed",IF(OR(J242="Applied",J242="Visit booked",J242="Withdrawn"),"OK",IF(G242="","Date assessed needed",IF(C242="","Date of birth needed",IF(COUNTA(L242,M242,P242,U242,V242,X242)&lt;6,"Band missing",IF(AND(OR(J242="Decision confirmed",J242="Family told",J242="Enrolled"),AG242=""),"Recommendation needed",IF(AND(OR(J242="Family told",J242="Enrolled"),AJ242=""),"Date family told needed","OK"))))))))</f>
        <v/>
      </c>
    </row>
    <row r="243" customFormat="false" ht="15" hidden="false" customHeight="false" outlineLevel="0" collapsed="false">
      <c r="A243" s="7"/>
      <c r="B243" s="7"/>
      <c r="C243" s="46"/>
      <c r="D243" s="7"/>
      <c r="E243" s="47"/>
      <c r="F243" s="46"/>
      <c r="G243" s="46"/>
      <c r="H243" s="7"/>
      <c r="I243" s="7"/>
      <c r="J243" s="47"/>
      <c r="K243" s="47"/>
      <c r="L243" s="47"/>
      <c r="M243" s="47"/>
      <c r="N243" s="47"/>
      <c r="O243" s="10"/>
      <c r="P243" s="47"/>
      <c r="Q243" s="47"/>
      <c r="R243" s="48" t="str">
        <f aca="false">IF(Q243="","",IF(Q243=0,"below 5:00",IF(Q243&gt;=66,"16:00 or above",INT((60+2*Q243)/12)&amp;":"&amp;TEXT(MOD(60+2*Q243,12),"00"))))</f>
        <v/>
      </c>
      <c r="S243" s="47"/>
      <c r="T243" s="47"/>
      <c r="U243" s="47"/>
      <c r="V243" s="47"/>
      <c r="W243" s="47"/>
      <c r="X243" s="47"/>
      <c r="Y243" s="47"/>
      <c r="Z243" s="47"/>
      <c r="AA243" s="10"/>
      <c r="AB243" s="10"/>
      <c r="AC243" s="47"/>
      <c r="AD243" s="47"/>
      <c r="AE243" s="47"/>
      <c r="AF243" s="47"/>
      <c r="AG243" s="47"/>
      <c r="AH243" s="47"/>
      <c r="AI243" s="46"/>
      <c r="AJ243" s="46"/>
      <c r="AK243" s="46"/>
      <c r="AL243" s="7"/>
      <c r="AM243" s="49" t="str">
        <f aca="false">IF(OR(C243="",G243=""),"",IFERROR(DATEDIF(C243,G243,"m"),""))</f>
        <v/>
      </c>
      <c r="AN243" s="49" t="str">
        <f aca="false">IF(OR(Q243="",AM243=""),"",60+2*Q243-AM243)</f>
        <v/>
      </c>
      <c r="AO243" s="49" t="str">
        <f aca="false">IF(OR(G243="",AJ243=""),"",AJ243-G243)</f>
        <v/>
      </c>
      <c r="AP243" s="50" t="str">
        <f aca="false">IF(AND(A243="",B243=""),"",IF(J243="","Status needed",IF(OR(J243="Applied",J243="Visit booked",J243="Withdrawn"),"OK",IF(G243="","Date assessed needed",IF(C243="","Date of birth needed",IF(COUNTA(L243,M243,P243,U243,V243,X243)&lt;6,"Band missing",IF(AND(OR(J243="Decision confirmed",J243="Family told",J243="Enrolled"),AG243=""),"Recommendation needed",IF(AND(OR(J243="Family told",J243="Enrolled"),AJ243=""),"Date family told needed","OK"))))))))</f>
        <v/>
      </c>
    </row>
    <row r="244" customFormat="false" ht="15" hidden="false" customHeight="false" outlineLevel="0" collapsed="false">
      <c r="A244" s="7"/>
      <c r="B244" s="7"/>
      <c r="C244" s="46"/>
      <c r="D244" s="7"/>
      <c r="E244" s="47"/>
      <c r="F244" s="46"/>
      <c r="G244" s="46"/>
      <c r="H244" s="7"/>
      <c r="I244" s="7"/>
      <c r="J244" s="47"/>
      <c r="K244" s="47"/>
      <c r="L244" s="47"/>
      <c r="M244" s="47"/>
      <c r="N244" s="47"/>
      <c r="O244" s="10"/>
      <c r="P244" s="47"/>
      <c r="Q244" s="47"/>
      <c r="R244" s="48" t="str">
        <f aca="false">IF(Q244="","",IF(Q244=0,"below 5:00",IF(Q244&gt;=66,"16:00 or above",INT((60+2*Q244)/12)&amp;":"&amp;TEXT(MOD(60+2*Q244,12),"00"))))</f>
        <v/>
      </c>
      <c r="S244" s="47"/>
      <c r="T244" s="47"/>
      <c r="U244" s="47"/>
      <c r="V244" s="47"/>
      <c r="W244" s="47"/>
      <c r="X244" s="47"/>
      <c r="Y244" s="47"/>
      <c r="Z244" s="47"/>
      <c r="AA244" s="10"/>
      <c r="AB244" s="10"/>
      <c r="AC244" s="47"/>
      <c r="AD244" s="47"/>
      <c r="AE244" s="47"/>
      <c r="AF244" s="47"/>
      <c r="AG244" s="47"/>
      <c r="AH244" s="47"/>
      <c r="AI244" s="46"/>
      <c r="AJ244" s="46"/>
      <c r="AK244" s="46"/>
      <c r="AL244" s="7"/>
      <c r="AM244" s="49" t="str">
        <f aca="false">IF(OR(C244="",G244=""),"",IFERROR(DATEDIF(C244,G244,"m"),""))</f>
        <v/>
      </c>
      <c r="AN244" s="49" t="str">
        <f aca="false">IF(OR(Q244="",AM244=""),"",60+2*Q244-AM244)</f>
        <v/>
      </c>
      <c r="AO244" s="49" t="str">
        <f aca="false">IF(OR(G244="",AJ244=""),"",AJ244-G244)</f>
        <v/>
      </c>
      <c r="AP244" s="50" t="str">
        <f aca="false">IF(AND(A244="",B244=""),"",IF(J244="","Status needed",IF(OR(J244="Applied",J244="Visit booked",J244="Withdrawn"),"OK",IF(G244="","Date assessed needed",IF(C244="","Date of birth needed",IF(COUNTA(L244,M244,P244,U244,V244,X244)&lt;6,"Band missing",IF(AND(OR(J244="Decision confirmed",J244="Family told",J244="Enrolled"),AG244=""),"Recommendation needed",IF(AND(OR(J244="Family told",J244="Enrolled"),AJ244=""),"Date family told needed","OK"))))))))</f>
        <v/>
      </c>
    </row>
    <row r="245" customFormat="false" ht="15" hidden="false" customHeight="false" outlineLevel="0" collapsed="false">
      <c r="A245" s="7"/>
      <c r="B245" s="7"/>
      <c r="C245" s="46"/>
      <c r="D245" s="7"/>
      <c r="E245" s="47"/>
      <c r="F245" s="46"/>
      <c r="G245" s="46"/>
      <c r="H245" s="7"/>
      <c r="I245" s="7"/>
      <c r="J245" s="47"/>
      <c r="K245" s="47"/>
      <c r="L245" s="47"/>
      <c r="M245" s="47"/>
      <c r="N245" s="47"/>
      <c r="O245" s="10"/>
      <c r="P245" s="47"/>
      <c r="Q245" s="47"/>
      <c r="R245" s="48" t="str">
        <f aca="false">IF(Q245="","",IF(Q245=0,"below 5:00",IF(Q245&gt;=66,"16:00 or above",INT((60+2*Q245)/12)&amp;":"&amp;TEXT(MOD(60+2*Q245,12),"00"))))</f>
        <v/>
      </c>
      <c r="S245" s="47"/>
      <c r="T245" s="47"/>
      <c r="U245" s="47"/>
      <c r="V245" s="47"/>
      <c r="W245" s="47"/>
      <c r="X245" s="47"/>
      <c r="Y245" s="47"/>
      <c r="Z245" s="47"/>
      <c r="AA245" s="10"/>
      <c r="AB245" s="10"/>
      <c r="AC245" s="47"/>
      <c r="AD245" s="47"/>
      <c r="AE245" s="47"/>
      <c r="AF245" s="47"/>
      <c r="AG245" s="47"/>
      <c r="AH245" s="47"/>
      <c r="AI245" s="46"/>
      <c r="AJ245" s="46"/>
      <c r="AK245" s="46"/>
      <c r="AL245" s="7"/>
      <c r="AM245" s="49" t="str">
        <f aca="false">IF(OR(C245="",G245=""),"",IFERROR(DATEDIF(C245,G245,"m"),""))</f>
        <v/>
      </c>
      <c r="AN245" s="49" t="str">
        <f aca="false">IF(OR(Q245="",AM245=""),"",60+2*Q245-AM245)</f>
        <v/>
      </c>
      <c r="AO245" s="49" t="str">
        <f aca="false">IF(OR(G245="",AJ245=""),"",AJ245-G245)</f>
        <v/>
      </c>
      <c r="AP245" s="50" t="str">
        <f aca="false">IF(AND(A245="",B245=""),"",IF(J245="","Status needed",IF(OR(J245="Applied",J245="Visit booked",J245="Withdrawn"),"OK",IF(G245="","Date assessed needed",IF(C245="","Date of birth needed",IF(COUNTA(L245,M245,P245,U245,V245,X245)&lt;6,"Band missing",IF(AND(OR(J245="Decision confirmed",J245="Family told",J245="Enrolled"),AG245=""),"Recommendation needed",IF(AND(OR(J245="Family told",J245="Enrolled"),AJ245=""),"Date family told needed","OK"))))))))</f>
        <v/>
      </c>
    </row>
    <row r="246" customFormat="false" ht="15" hidden="false" customHeight="false" outlineLevel="0" collapsed="false">
      <c r="A246" s="7"/>
      <c r="B246" s="7"/>
      <c r="C246" s="46"/>
      <c r="D246" s="7"/>
      <c r="E246" s="47"/>
      <c r="F246" s="46"/>
      <c r="G246" s="46"/>
      <c r="H246" s="7"/>
      <c r="I246" s="7"/>
      <c r="J246" s="47"/>
      <c r="K246" s="47"/>
      <c r="L246" s="47"/>
      <c r="M246" s="47"/>
      <c r="N246" s="47"/>
      <c r="O246" s="10"/>
      <c r="P246" s="47"/>
      <c r="Q246" s="47"/>
      <c r="R246" s="48" t="str">
        <f aca="false">IF(Q246="","",IF(Q246=0,"below 5:00",IF(Q246&gt;=66,"16:00 or above",INT((60+2*Q246)/12)&amp;":"&amp;TEXT(MOD(60+2*Q246,12),"00"))))</f>
        <v/>
      </c>
      <c r="S246" s="47"/>
      <c r="T246" s="47"/>
      <c r="U246" s="47"/>
      <c r="V246" s="47"/>
      <c r="W246" s="47"/>
      <c r="X246" s="47"/>
      <c r="Y246" s="47"/>
      <c r="Z246" s="47"/>
      <c r="AA246" s="10"/>
      <c r="AB246" s="10"/>
      <c r="AC246" s="47"/>
      <c r="AD246" s="47"/>
      <c r="AE246" s="47"/>
      <c r="AF246" s="47"/>
      <c r="AG246" s="47"/>
      <c r="AH246" s="47"/>
      <c r="AI246" s="46"/>
      <c r="AJ246" s="46"/>
      <c r="AK246" s="46"/>
      <c r="AL246" s="7"/>
      <c r="AM246" s="49" t="str">
        <f aca="false">IF(OR(C246="",G246=""),"",IFERROR(DATEDIF(C246,G246,"m"),""))</f>
        <v/>
      </c>
      <c r="AN246" s="49" t="str">
        <f aca="false">IF(OR(Q246="",AM246=""),"",60+2*Q246-AM246)</f>
        <v/>
      </c>
      <c r="AO246" s="49" t="str">
        <f aca="false">IF(OR(G246="",AJ246=""),"",AJ246-G246)</f>
        <v/>
      </c>
      <c r="AP246" s="50" t="str">
        <f aca="false">IF(AND(A246="",B246=""),"",IF(J246="","Status needed",IF(OR(J246="Applied",J246="Visit booked",J246="Withdrawn"),"OK",IF(G246="","Date assessed needed",IF(C246="","Date of birth needed",IF(COUNTA(L246,M246,P246,U246,V246,X246)&lt;6,"Band missing",IF(AND(OR(J246="Decision confirmed",J246="Family told",J246="Enrolled"),AG246=""),"Recommendation needed",IF(AND(OR(J246="Family told",J246="Enrolled"),AJ246=""),"Date family told needed","OK"))))))))</f>
        <v/>
      </c>
    </row>
    <row r="247" customFormat="false" ht="15" hidden="false" customHeight="false" outlineLevel="0" collapsed="false">
      <c r="A247" s="7"/>
      <c r="B247" s="7"/>
      <c r="C247" s="46"/>
      <c r="D247" s="7"/>
      <c r="E247" s="47"/>
      <c r="F247" s="46"/>
      <c r="G247" s="46"/>
      <c r="H247" s="7"/>
      <c r="I247" s="7"/>
      <c r="J247" s="47"/>
      <c r="K247" s="47"/>
      <c r="L247" s="47"/>
      <c r="M247" s="47"/>
      <c r="N247" s="47"/>
      <c r="O247" s="10"/>
      <c r="P247" s="47"/>
      <c r="Q247" s="47"/>
      <c r="R247" s="48" t="str">
        <f aca="false">IF(Q247="","",IF(Q247=0,"below 5:00",IF(Q247&gt;=66,"16:00 or above",INT((60+2*Q247)/12)&amp;":"&amp;TEXT(MOD(60+2*Q247,12),"00"))))</f>
        <v/>
      </c>
      <c r="S247" s="47"/>
      <c r="T247" s="47"/>
      <c r="U247" s="47"/>
      <c r="V247" s="47"/>
      <c r="W247" s="47"/>
      <c r="X247" s="47"/>
      <c r="Y247" s="47"/>
      <c r="Z247" s="47"/>
      <c r="AA247" s="10"/>
      <c r="AB247" s="10"/>
      <c r="AC247" s="47"/>
      <c r="AD247" s="47"/>
      <c r="AE247" s="47"/>
      <c r="AF247" s="47"/>
      <c r="AG247" s="47"/>
      <c r="AH247" s="47"/>
      <c r="AI247" s="46"/>
      <c r="AJ247" s="46"/>
      <c r="AK247" s="46"/>
      <c r="AL247" s="7"/>
      <c r="AM247" s="49" t="str">
        <f aca="false">IF(OR(C247="",G247=""),"",IFERROR(DATEDIF(C247,G247,"m"),""))</f>
        <v/>
      </c>
      <c r="AN247" s="49" t="str">
        <f aca="false">IF(OR(Q247="",AM247=""),"",60+2*Q247-AM247)</f>
        <v/>
      </c>
      <c r="AO247" s="49" t="str">
        <f aca="false">IF(OR(G247="",AJ247=""),"",AJ247-G247)</f>
        <v/>
      </c>
      <c r="AP247" s="50" t="str">
        <f aca="false">IF(AND(A247="",B247=""),"",IF(J247="","Status needed",IF(OR(J247="Applied",J247="Visit booked",J247="Withdrawn"),"OK",IF(G247="","Date assessed needed",IF(C247="","Date of birth needed",IF(COUNTA(L247,M247,P247,U247,V247,X247)&lt;6,"Band missing",IF(AND(OR(J247="Decision confirmed",J247="Family told",J247="Enrolled"),AG247=""),"Recommendation needed",IF(AND(OR(J247="Family told",J247="Enrolled"),AJ247=""),"Date family told needed","OK"))))))))</f>
        <v/>
      </c>
    </row>
    <row r="248" customFormat="false" ht="15" hidden="false" customHeight="false" outlineLevel="0" collapsed="false">
      <c r="A248" s="7"/>
      <c r="B248" s="7"/>
      <c r="C248" s="46"/>
      <c r="D248" s="7"/>
      <c r="E248" s="47"/>
      <c r="F248" s="46"/>
      <c r="G248" s="46"/>
      <c r="H248" s="7"/>
      <c r="I248" s="7"/>
      <c r="J248" s="47"/>
      <c r="K248" s="47"/>
      <c r="L248" s="47"/>
      <c r="M248" s="47"/>
      <c r="N248" s="47"/>
      <c r="O248" s="10"/>
      <c r="P248" s="47"/>
      <c r="Q248" s="47"/>
      <c r="R248" s="48" t="str">
        <f aca="false">IF(Q248="","",IF(Q248=0,"below 5:00",IF(Q248&gt;=66,"16:00 or above",INT((60+2*Q248)/12)&amp;":"&amp;TEXT(MOD(60+2*Q248,12),"00"))))</f>
        <v/>
      </c>
      <c r="S248" s="47"/>
      <c r="T248" s="47"/>
      <c r="U248" s="47"/>
      <c r="V248" s="47"/>
      <c r="W248" s="47"/>
      <c r="X248" s="47"/>
      <c r="Y248" s="47"/>
      <c r="Z248" s="47"/>
      <c r="AA248" s="10"/>
      <c r="AB248" s="10"/>
      <c r="AC248" s="47"/>
      <c r="AD248" s="47"/>
      <c r="AE248" s="47"/>
      <c r="AF248" s="47"/>
      <c r="AG248" s="47"/>
      <c r="AH248" s="47"/>
      <c r="AI248" s="46"/>
      <c r="AJ248" s="46"/>
      <c r="AK248" s="46"/>
      <c r="AL248" s="7"/>
      <c r="AM248" s="49" t="str">
        <f aca="false">IF(OR(C248="",G248=""),"",IFERROR(DATEDIF(C248,G248,"m"),""))</f>
        <v/>
      </c>
      <c r="AN248" s="49" t="str">
        <f aca="false">IF(OR(Q248="",AM248=""),"",60+2*Q248-AM248)</f>
        <v/>
      </c>
      <c r="AO248" s="49" t="str">
        <f aca="false">IF(OR(G248="",AJ248=""),"",AJ248-G248)</f>
        <v/>
      </c>
      <c r="AP248" s="50" t="str">
        <f aca="false">IF(AND(A248="",B248=""),"",IF(J248="","Status needed",IF(OR(J248="Applied",J248="Visit booked",J248="Withdrawn"),"OK",IF(G248="","Date assessed needed",IF(C248="","Date of birth needed",IF(COUNTA(L248,M248,P248,U248,V248,X248)&lt;6,"Band missing",IF(AND(OR(J248="Decision confirmed",J248="Family told",J248="Enrolled"),AG248=""),"Recommendation needed",IF(AND(OR(J248="Family told",J248="Enrolled"),AJ248=""),"Date family told needed","OK"))))))))</f>
        <v/>
      </c>
    </row>
    <row r="249" customFormat="false" ht="15" hidden="false" customHeight="false" outlineLevel="0" collapsed="false">
      <c r="A249" s="7"/>
      <c r="B249" s="7"/>
      <c r="C249" s="46"/>
      <c r="D249" s="7"/>
      <c r="E249" s="47"/>
      <c r="F249" s="46"/>
      <c r="G249" s="46"/>
      <c r="H249" s="7"/>
      <c r="I249" s="7"/>
      <c r="J249" s="47"/>
      <c r="K249" s="47"/>
      <c r="L249" s="47"/>
      <c r="M249" s="47"/>
      <c r="N249" s="47"/>
      <c r="O249" s="10"/>
      <c r="P249" s="47"/>
      <c r="Q249" s="47"/>
      <c r="R249" s="48" t="str">
        <f aca="false">IF(Q249="","",IF(Q249=0,"below 5:00",IF(Q249&gt;=66,"16:00 or above",INT((60+2*Q249)/12)&amp;":"&amp;TEXT(MOD(60+2*Q249,12),"00"))))</f>
        <v/>
      </c>
      <c r="S249" s="47"/>
      <c r="T249" s="47"/>
      <c r="U249" s="47"/>
      <c r="V249" s="47"/>
      <c r="W249" s="47"/>
      <c r="X249" s="47"/>
      <c r="Y249" s="47"/>
      <c r="Z249" s="47"/>
      <c r="AA249" s="10"/>
      <c r="AB249" s="10"/>
      <c r="AC249" s="47"/>
      <c r="AD249" s="47"/>
      <c r="AE249" s="47"/>
      <c r="AF249" s="47"/>
      <c r="AG249" s="47"/>
      <c r="AH249" s="47"/>
      <c r="AI249" s="46"/>
      <c r="AJ249" s="46"/>
      <c r="AK249" s="46"/>
      <c r="AL249" s="7"/>
      <c r="AM249" s="49" t="str">
        <f aca="false">IF(OR(C249="",G249=""),"",IFERROR(DATEDIF(C249,G249,"m"),""))</f>
        <v/>
      </c>
      <c r="AN249" s="49" t="str">
        <f aca="false">IF(OR(Q249="",AM249=""),"",60+2*Q249-AM249)</f>
        <v/>
      </c>
      <c r="AO249" s="49" t="str">
        <f aca="false">IF(OR(G249="",AJ249=""),"",AJ249-G249)</f>
        <v/>
      </c>
      <c r="AP249" s="50" t="str">
        <f aca="false">IF(AND(A249="",B249=""),"",IF(J249="","Status needed",IF(OR(J249="Applied",J249="Visit booked",J249="Withdrawn"),"OK",IF(G249="","Date assessed needed",IF(C249="","Date of birth needed",IF(COUNTA(L249,M249,P249,U249,V249,X249)&lt;6,"Band missing",IF(AND(OR(J249="Decision confirmed",J249="Family told",J249="Enrolled"),AG249=""),"Recommendation needed",IF(AND(OR(J249="Family told",J249="Enrolled"),AJ249=""),"Date family told needed","OK"))))))))</f>
        <v/>
      </c>
    </row>
    <row r="250" customFormat="false" ht="15" hidden="false" customHeight="false" outlineLevel="0" collapsed="false">
      <c r="A250" s="7"/>
      <c r="B250" s="7"/>
      <c r="C250" s="46"/>
      <c r="D250" s="7"/>
      <c r="E250" s="47"/>
      <c r="F250" s="46"/>
      <c r="G250" s="46"/>
      <c r="H250" s="7"/>
      <c r="I250" s="7"/>
      <c r="J250" s="47"/>
      <c r="K250" s="47"/>
      <c r="L250" s="47"/>
      <c r="M250" s="47"/>
      <c r="N250" s="47"/>
      <c r="O250" s="10"/>
      <c r="P250" s="47"/>
      <c r="Q250" s="47"/>
      <c r="R250" s="48" t="str">
        <f aca="false">IF(Q250="","",IF(Q250=0,"below 5:00",IF(Q250&gt;=66,"16:00 or above",INT((60+2*Q250)/12)&amp;":"&amp;TEXT(MOD(60+2*Q250,12),"00"))))</f>
        <v/>
      </c>
      <c r="S250" s="47"/>
      <c r="T250" s="47"/>
      <c r="U250" s="47"/>
      <c r="V250" s="47"/>
      <c r="W250" s="47"/>
      <c r="X250" s="47"/>
      <c r="Y250" s="47"/>
      <c r="Z250" s="47"/>
      <c r="AA250" s="10"/>
      <c r="AB250" s="10"/>
      <c r="AC250" s="47"/>
      <c r="AD250" s="47"/>
      <c r="AE250" s="47"/>
      <c r="AF250" s="47"/>
      <c r="AG250" s="47"/>
      <c r="AH250" s="47"/>
      <c r="AI250" s="46"/>
      <c r="AJ250" s="46"/>
      <c r="AK250" s="46"/>
      <c r="AL250" s="7"/>
      <c r="AM250" s="49" t="str">
        <f aca="false">IF(OR(C250="",G250=""),"",IFERROR(DATEDIF(C250,G250,"m"),""))</f>
        <v/>
      </c>
      <c r="AN250" s="49" t="str">
        <f aca="false">IF(OR(Q250="",AM250=""),"",60+2*Q250-AM250)</f>
        <v/>
      </c>
      <c r="AO250" s="49" t="str">
        <f aca="false">IF(OR(G250="",AJ250=""),"",AJ250-G250)</f>
        <v/>
      </c>
      <c r="AP250" s="50" t="str">
        <f aca="false">IF(AND(A250="",B250=""),"",IF(J250="","Status needed",IF(OR(J250="Applied",J250="Visit booked",J250="Withdrawn"),"OK",IF(G250="","Date assessed needed",IF(C250="","Date of birth needed",IF(COUNTA(L250,M250,P250,U250,V250,X250)&lt;6,"Band missing",IF(AND(OR(J250="Decision confirmed",J250="Family told",J250="Enrolled"),AG250=""),"Recommendation needed",IF(AND(OR(J250="Family told",J250="Enrolled"),AJ250=""),"Date family told needed","OK"))))))))</f>
        <v/>
      </c>
    </row>
    <row r="251" customFormat="false" ht="15" hidden="false" customHeight="false" outlineLevel="0" collapsed="false">
      <c r="A251" s="7"/>
      <c r="B251" s="7"/>
      <c r="C251" s="46"/>
      <c r="D251" s="7"/>
      <c r="E251" s="47"/>
      <c r="F251" s="46"/>
      <c r="G251" s="46"/>
      <c r="H251" s="7"/>
      <c r="I251" s="7"/>
      <c r="J251" s="47"/>
      <c r="K251" s="47"/>
      <c r="L251" s="47"/>
      <c r="M251" s="47"/>
      <c r="N251" s="47"/>
      <c r="O251" s="10"/>
      <c r="P251" s="47"/>
      <c r="Q251" s="47"/>
      <c r="R251" s="48" t="str">
        <f aca="false">IF(Q251="","",IF(Q251=0,"below 5:00",IF(Q251&gt;=66,"16:00 or above",INT((60+2*Q251)/12)&amp;":"&amp;TEXT(MOD(60+2*Q251,12),"00"))))</f>
        <v/>
      </c>
      <c r="S251" s="47"/>
      <c r="T251" s="47"/>
      <c r="U251" s="47"/>
      <c r="V251" s="47"/>
      <c r="W251" s="47"/>
      <c r="X251" s="47"/>
      <c r="Y251" s="47"/>
      <c r="Z251" s="47"/>
      <c r="AA251" s="10"/>
      <c r="AB251" s="10"/>
      <c r="AC251" s="47"/>
      <c r="AD251" s="47"/>
      <c r="AE251" s="47"/>
      <c r="AF251" s="47"/>
      <c r="AG251" s="47"/>
      <c r="AH251" s="47"/>
      <c r="AI251" s="46"/>
      <c r="AJ251" s="46"/>
      <c r="AK251" s="46"/>
      <c r="AL251" s="7"/>
      <c r="AM251" s="49" t="str">
        <f aca="false">IF(OR(C251="",G251=""),"",IFERROR(DATEDIF(C251,G251,"m"),""))</f>
        <v/>
      </c>
      <c r="AN251" s="49" t="str">
        <f aca="false">IF(OR(Q251="",AM251=""),"",60+2*Q251-AM251)</f>
        <v/>
      </c>
      <c r="AO251" s="49" t="str">
        <f aca="false">IF(OR(G251="",AJ251=""),"",AJ251-G251)</f>
        <v/>
      </c>
      <c r="AP251" s="50" t="str">
        <f aca="false">IF(AND(A251="",B251=""),"",IF(J251="","Status needed",IF(OR(J251="Applied",J251="Visit booked",J251="Withdrawn"),"OK",IF(G251="","Date assessed needed",IF(C251="","Date of birth needed",IF(COUNTA(L251,M251,P251,U251,V251,X251)&lt;6,"Band missing",IF(AND(OR(J251="Decision confirmed",J251="Family told",J251="Enrolled"),AG251=""),"Recommendation needed",IF(AND(OR(J251="Family told",J251="Enrolled"),AJ251=""),"Date family told needed","OK"))))))))</f>
        <v/>
      </c>
    </row>
    <row r="252" customFormat="false" ht="15" hidden="false" customHeight="false" outlineLevel="0" collapsed="false">
      <c r="A252" s="7"/>
      <c r="B252" s="7"/>
      <c r="C252" s="46"/>
      <c r="D252" s="7"/>
      <c r="E252" s="47"/>
      <c r="F252" s="46"/>
      <c r="G252" s="46"/>
      <c r="H252" s="7"/>
      <c r="I252" s="7"/>
      <c r="J252" s="47"/>
      <c r="K252" s="47"/>
      <c r="L252" s="47"/>
      <c r="M252" s="47"/>
      <c r="N252" s="47"/>
      <c r="O252" s="10"/>
      <c r="P252" s="47"/>
      <c r="Q252" s="47"/>
      <c r="R252" s="48" t="str">
        <f aca="false">IF(Q252="","",IF(Q252=0,"below 5:00",IF(Q252&gt;=66,"16:00 or above",INT((60+2*Q252)/12)&amp;":"&amp;TEXT(MOD(60+2*Q252,12),"00"))))</f>
        <v/>
      </c>
      <c r="S252" s="47"/>
      <c r="T252" s="47"/>
      <c r="U252" s="47"/>
      <c r="V252" s="47"/>
      <c r="W252" s="47"/>
      <c r="X252" s="47"/>
      <c r="Y252" s="47"/>
      <c r="Z252" s="47"/>
      <c r="AA252" s="10"/>
      <c r="AB252" s="10"/>
      <c r="AC252" s="47"/>
      <c r="AD252" s="47"/>
      <c r="AE252" s="47"/>
      <c r="AF252" s="47"/>
      <c r="AG252" s="47"/>
      <c r="AH252" s="47"/>
      <c r="AI252" s="46"/>
      <c r="AJ252" s="46"/>
      <c r="AK252" s="46"/>
      <c r="AL252" s="7"/>
      <c r="AM252" s="49" t="str">
        <f aca="false">IF(OR(C252="",G252=""),"",IFERROR(DATEDIF(C252,G252,"m"),""))</f>
        <v/>
      </c>
      <c r="AN252" s="49" t="str">
        <f aca="false">IF(OR(Q252="",AM252=""),"",60+2*Q252-AM252)</f>
        <v/>
      </c>
      <c r="AO252" s="49" t="str">
        <f aca="false">IF(OR(G252="",AJ252=""),"",AJ252-G252)</f>
        <v/>
      </c>
      <c r="AP252" s="50" t="str">
        <f aca="false">IF(AND(A252="",B252=""),"",IF(J252="","Status needed",IF(OR(J252="Applied",J252="Visit booked",J252="Withdrawn"),"OK",IF(G252="","Date assessed needed",IF(C252="","Date of birth needed",IF(COUNTA(L252,M252,P252,U252,V252,X252)&lt;6,"Band missing",IF(AND(OR(J252="Decision confirmed",J252="Family told",J252="Enrolled"),AG252=""),"Recommendation needed",IF(AND(OR(J252="Family told",J252="Enrolled"),AJ252=""),"Date family told needed","OK"))))))))</f>
        <v/>
      </c>
    </row>
    <row r="253" customFormat="false" ht="15" hidden="false" customHeight="false" outlineLevel="0" collapsed="false">
      <c r="A253" s="7"/>
      <c r="B253" s="7"/>
      <c r="C253" s="46"/>
      <c r="D253" s="7"/>
      <c r="E253" s="47"/>
      <c r="F253" s="46"/>
      <c r="G253" s="46"/>
      <c r="H253" s="7"/>
      <c r="I253" s="7"/>
      <c r="J253" s="47"/>
      <c r="K253" s="47"/>
      <c r="L253" s="47"/>
      <c r="M253" s="47"/>
      <c r="N253" s="47"/>
      <c r="O253" s="10"/>
      <c r="P253" s="47"/>
      <c r="Q253" s="47"/>
      <c r="R253" s="48" t="str">
        <f aca="false">IF(Q253="","",IF(Q253=0,"below 5:00",IF(Q253&gt;=66,"16:00 or above",INT((60+2*Q253)/12)&amp;":"&amp;TEXT(MOD(60+2*Q253,12),"00"))))</f>
        <v/>
      </c>
      <c r="S253" s="47"/>
      <c r="T253" s="47"/>
      <c r="U253" s="47"/>
      <c r="V253" s="47"/>
      <c r="W253" s="47"/>
      <c r="X253" s="47"/>
      <c r="Y253" s="47"/>
      <c r="Z253" s="47"/>
      <c r="AA253" s="10"/>
      <c r="AB253" s="10"/>
      <c r="AC253" s="47"/>
      <c r="AD253" s="47"/>
      <c r="AE253" s="47"/>
      <c r="AF253" s="47"/>
      <c r="AG253" s="47"/>
      <c r="AH253" s="47"/>
      <c r="AI253" s="46"/>
      <c r="AJ253" s="46"/>
      <c r="AK253" s="46"/>
      <c r="AL253" s="7"/>
      <c r="AM253" s="49" t="str">
        <f aca="false">IF(OR(C253="",G253=""),"",IFERROR(DATEDIF(C253,G253,"m"),""))</f>
        <v/>
      </c>
      <c r="AN253" s="49" t="str">
        <f aca="false">IF(OR(Q253="",AM253=""),"",60+2*Q253-AM253)</f>
        <v/>
      </c>
      <c r="AO253" s="49" t="str">
        <f aca="false">IF(OR(G253="",AJ253=""),"",AJ253-G253)</f>
        <v/>
      </c>
      <c r="AP253" s="50" t="str">
        <f aca="false">IF(AND(A253="",B253=""),"",IF(J253="","Status needed",IF(OR(J253="Applied",J253="Visit booked",J253="Withdrawn"),"OK",IF(G253="","Date assessed needed",IF(C253="","Date of birth needed",IF(COUNTA(L253,M253,P253,U253,V253,X253)&lt;6,"Band missing",IF(AND(OR(J253="Decision confirmed",J253="Family told",J253="Enrolled"),AG253=""),"Recommendation needed",IF(AND(OR(J253="Family told",J253="Enrolled"),AJ253=""),"Date family told needed","OK"))))))))</f>
        <v/>
      </c>
    </row>
    <row r="254" customFormat="false" ht="15" hidden="false" customHeight="false" outlineLevel="0" collapsed="false">
      <c r="A254" s="7"/>
      <c r="B254" s="7"/>
      <c r="C254" s="46"/>
      <c r="D254" s="7"/>
      <c r="E254" s="47"/>
      <c r="F254" s="46"/>
      <c r="G254" s="46"/>
      <c r="H254" s="7"/>
      <c r="I254" s="7"/>
      <c r="J254" s="47"/>
      <c r="K254" s="47"/>
      <c r="L254" s="47"/>
      <c r="M254" s="47"/>
      <c r="N254" s="47"/>
      <c r="O254" s="10"/>
      <c r="P254" s="47"/>
      <c r="Q254" s="47"/>
      <c r="R254" s="48" t="str">
        <f aca="false">IF(Q254="","",IF(Q254=0,"below 5:00",IF(Q254&gt;=66,"16:00 or above",INT((60+2*Q254)/12)&amp;":"&amp;TEXT(MOD(60+2*Q254,12),"00"))))</f>
        <v/>
      </c>
      <c r="S254" s="47"/>
      <c r="T254" s="47"/>
      <c r="U254" s="47"/>
      <c r="V254" s="47"/>
      <c r="W254" s="47"/>
      <c r="X254" s="47"/>
      <c r="Y254" s="47"/>
      <c r="Z254" s="47"/>
      <c r="AA254" s="10"/>
      <c r="AB254" s="10"/>
      <c r="AC254" s="47"/>
      <c r="AD254" s="47"/>
      <c r="AE254" s="47"/>
      <c r="AF254" s="47"/>
      <c r="AG254" s="47"/>
      <c r="AH254" s="47"/>
      <c r="AI254" s="46"/>
      <c r="AJ254" s="46"/>
      <c r="AK254" s="46"/>
      <c r="AL254" s="7"/>
      <c r="AM254" s="49" t="str">
        <f aca="false">IF(OR(C254="",G254=""),"",IFERROR(DATEDIF(C254,G254,"m"),""))</f>
        <v/>
      </c>
      <c r="AN254" s="49" t="str">
        <f aca="false">IF(OR(Q254="",AM254=""),"",60+2*Q254-AM254)</f>
        <v/>
      </c>
      <c r="AO254" s="49" t="str">
        <f aca="false">IF(OR(G254="",AJ254=""),"",AJ254-G254)</f>
        <v/>
      </c>
      <c r="AP254" s="50" t="str">
        <f aca="false">IF(AND(A254="",B254=""),"",IF(J254="","Status needed",IF(OR(J254="Applied",J254="Visit booked",J254="Withdrawn"),"OK",IF(G254="","Date assessed needed",IF(C254="","Date of birth needed",IF(COUNTA(L254,M254,P254,U254,V254,X254)&lt;6,"Band missing",IF(AND(OR(J254="Decision confirmed",J254="Family told",J254="Enrolled"),AG254=""),"Recommendation needed",IF(AND(OR(J254="Family told",J254="Enrolled"),AJ254=""),"Date family told needed","OK"))))))))</f>
        <v/>
      </c>
    </row>
    <row r="255" customFormat="false" ht="15" hidden="false" customHeight="false" outlineLevel="0" collapsed="false">
      <c r="A255" s="7"/>
      <c r="B255" s="7"/>
      <c r="C255" s="46"/>
      <c r="D255" s="7"/>
      <c r="E255" s="47"/>
      <c r="F255" s="46"/>
      <c r="G255" s="46"/>
      <c r="H255" s="7"/>
      <c r="I255" s="7"/>
      <c r="J255" s="47"/>
      <c r="K255" s="47"/>
      <c r="L255" s="47"/>
      <c r="M255" s="47"/>
      <c r="N255" s="47"/>
      <c r="O255" s="10"/>
      <c r="P255" s="47"/>
      <c r="Q255" s="47"/>
      <c r="R255" s="48" t="str">
        <f aca="false">IF(Q255="","",IF(Q255=0,"below 5:00",IF(Q255&gt;=66,"16:00 or above",INT((60+2*Q255)/12)&amp;":"&amp;TEXT(MOD(60+2*Q255,12),"00"))))</f>
        <v/>
      </c>
      <c r="S255" s="47"/>
      <c r="T255" s="47"/>
      <c r="U255" s="47"/>
      <c r="V255" s="47"/>
      <c r="W255" s="47"/>
      <c r="X255" s="47"/>
      <c r="Y255" s="47"/>
      <c r="Z255" s="47"/>
      <c r="AA255" s="10"/>
      <c r="AB255" s="10"/>
      <c r="AC255" s="47"/>
      <c r="AD255" s="47"/>
      <c r="AE255" s="47"/>
      <c r="AF255" s="47"/>
      <c r="AG255" s="47"/>
      <c r="AH255" s="47"/>
      <c r="AI255" s="46"/>
      <c r="AJ255" s="46"/>
      <c r="AK255" s="46"/>
      <c r="AL255" s="7"/>
      <c r="AM255" s="49" t="str">
        <f aca="false">IF(OR(C255="",G255=""),"",IFERROR(DATEDIF(C255,G255,"m"),""))</f>
        <v/>
      </c>
      <c r="AN255" s="49" t="str">
        <f aca="false">IF(OR(Q255="",AM255=""),"",60+2*Q255-AM255)</f>
        <v/>
      </c>
      <c r="AO255" s="49" t="str">
        <f aca="false">IF(OR(G255="",AJ255=""),"",AJ255-G255)</f>
        <v/>
      </c>
      <c r="AP255" s="50" t="str">
        <f aca="false">IF(AND(A255="",B255=""),"",IF(J255="","Status needed",IF(OR(J255="Applied",J255="Visit booked",J255="Withdrawn"),"OK",IF(G255="","Date assessed needed",IF(C255="","Date of birth needed",IF(COUNTA(L255,M255,P255,U255,V255,X255)&lt;6,"Band missing",IF(AND(OR(J255="Decision confirmed",J255="Family told",J255="Enrolled"),AG255=""),"Recommendation needed",IF(AND(OR(J255="Family told",J255="Enrolled"),AJ255=""),"Date family told needed","OK"))))))))</f>
        <v/>
      </c>
    </row>
    <row r="256" customFormat="false" ht="15" hidden="false" customHeight="false" outlineLevel="0" collapsed="false">
      <c r="A256" s="7"/>
      <c r="B256" s="7"/>
      <c r="C256" s="46"/>
      <c r="D256" s="7"/>
      <c r="E256" s="47"/>
      <c r="F256" s="46"/>
      <c r="G256" s="46"/>
      <c r="H256" s="7"/>
      <c r="I256" s="7"/>
      <c r="J256" s="47"/>
      <c r="K256" s="47"/>
      <c r="L256" s="47"/>
      <c r="M256" s="47"/>
      <c r="N256" s="47"/>
      <c r="O256" s="10"/>
      <c r="P256" s="47"/>
      <c r="Q256" s="47"/>
      <c r="R256" s="48" t="str">
        <f aca="false">IF(Q256="","",IF(Q256=0,"below 5:00",IF(Q256&gt;=66,"16:00 or above",INT((60+2*Q256)/12)&amp;":"&amp;TEXT(MOD(60+2*Q256,12),"00"))))</f>
        <v/>
      </c>
      <c r="S256" s="47"/>
      <c r="T256" s="47"/>
      <c r="U256" s="47"/>
      <c r="V256" s="47"/>
      <c r="W256" s="47"/>
      <c r="X256" s="47"/>
      <c r="Y256" s="47"/>
      <c r="Z256" s="47"/>
      <c r="AA256" s="10"/>
      <c r="AB256" s="10"/>
      <c r="AC256" s="47"/>
      <c r="AD256" s="47"/>
      <c r="AE256" s="47"/>
      <c r="AF256" s="47"/>
      <c r="AG256" s="47"/>
      <c r="AH256" s="47"/>
      <c r="AI256" s="46"/>
      <c r="AJ256" s="46"/>
      <c r="AK256" s="46"/>
      <c r="AL256" s="7"/>
      <c r="AM256" s="49" t="str">
        <f aca="false">IF(OR(C256="",G256=""),"",IFERROR(DATEDIF(C256,G256,"m"),""))</f>
        <v/>
      </c>
      <c r="AN256" s="49" t="str">
        <f aca="false">IF(OR(Q256="",AM256=""),"",60+2*Q256-AM256)</f>
        <v/>
      </c>
      <c r="AO256" s="49" t="str">
        <f aca="false">IF(OR(G256="",AJ256=""),"",AJ256-G256)</f>
        <v/>
      </c>
      <c r="AP256" s="50" t="str">
        <f aca="false">IF(AND(A256="",B256=""),"",IF(J256="","Status needed",IF(OR(J256="Applied",J256="Visit booked",J256="Withdrawn"),"OK",IF(G256="","Date assessed needed",IF(C256="","Date of birth needed",IF(COUNTA(L256,M256,P256,U256,V256,X256)&lt;6,"Band missing",IF(AND(OR(J256="Decision confirmed",J256="Family told",J256="Enrolled"),AG256=""),"Recommendation needed",IF(AND(OR(J256="Family told",J256="Enrolled"),AJ256=""),"Date family told needed","OK"))))))))</f>
        <v/>
      </c>
    </row>
    <row r="257" customFormat="false" ht="15" hidden="false" customHeight="false" outlineLevel="0" collapsed="false">
      <c r="A257" s="7"/>
      <c r="B257" s="7"/>
      <c r="C257" s="46"/>
      <c r="D257" s="7"/>
      <c r="E257" s="47"/>
      <c r="F257" s="46"/>
      <c r="G257" s="46"/>
      <c r="H257" s="7"/>
      <c r="I257" s="7"/>
      <c r="J257" s="47"/>
      <c r="K257" s="47"/>
      <c r="L257" s="47"/>
      <c r="M257" s="47"/>
      <c r="N257" s="47"/>
      <c r="O257" s="10"/>
      <c r="P257" s="47"/>
      <c r="Q257" s="47"/>
      <c r="R257" s="48" t="str">
        <f aca="false">IF(Q257="","",IF(Q257=0,"below 5:00",IF(Q257&gt;=66,"16:00 or above",INT((60+2*Q257)/12)&amp;":"&amp;TEXT(MOD(60+2*Q257,12),"00"))))</f>
        <v/>
      </c>
      <c r="S257" s="47"/>
      <c r="T257" s="47"/>
      <c r="U257" s="47"/>
      <c r="V257" s="47"/>
      <c r="W257" s="47"/>
      <c r="X257" s="47"/>
      <c r="Y257" s="47"/>
      <c r="Z257" s="47"/>
      <c r="AA257" s="10"/>
      <c r="AB257" s="10"/>
      <c r="AC257" s="47"/>
      <c r="AD257" s="47"/>
      <c r="AE257" s="47"/>
      <c r="AF257" s="47"/>
      <c r="AG257" s="47"/>
      <c r="AH257" s="47"/>
      <c r="AI257" s="46"/>
      <c r="AJ257" s="46"/>
      <c r="AK257" s="46"/>
      <c r="AL257" s="7"/>
      <c r="AM257" s="49" t="str">
        <f aca="false">IF(OR(C257="",G257=""),"",IFERROR(DATEDIF(C257,G257,"m"),""))</f>
        <v/>
      </c>
      <c r="AN257" s="49" t="str">
        <f aca="false">IF(OR(Q257="",AM257=""),"",60+2*Q257-AM257)</f>
        <v/>
      </c>
      <c r="AO257" s="49" t="str">
        <f aca="false">IF(OR(G257="",AJ257=""),"",AJ257-G257)</f>
        <v/>
      </c>
      <c r="AP257" s="50" t="str">
        <f aca="false">IF(AND(A257="",B257=""),"",IF(J257="","Status needed",IF(OR(J257="Applied",J257="Visit booked",J257="Withdrawn"),"OK",IF(G257="","Date assessed needed",IF(C257="","Date of birth needed",IF(COUNTA(L257,M257,P257,U257,V257,X257)&lt;6,"Band missing",IF(AND(OR(J257="Decision confirmed",J257="Family told",J257="Enrolled"),AG257=""),"Recommendation needed",IF(AND(OR(J257="Family told",J257="Enrolled"),AJ257=""),"Date family told needed","OK"))))))))</f>
        <v/>
      </c>
    </row>
    <row r="258" customFormat="false" ht="15" hidden="false" customHeight="false" outlineLevel="0" collapsed="false">
      <c r="A258" s="7"/>
      <c r="B258" s="7"/>
      <c r="C258" s="46"/>
      <c r="D258" s="7"/>
      <c r="E258" s="47"/>
      <c r="F258" s="46"/>
      <c r="G258" s="46"/>
      <c r="H258" s="7"/>
      <c r="I258" s="7"/>
      <c r="J258" s="47"/>
      <c r="K258" s="47"/>
      <c r="L258" s="47"/>
      <c r="M258" s="47"/>
      <c r="N258" s="47"/>
      <c r="O258" s="10"/>
      <c r="P258" s="47"/>
      <c r="Q258" s="47"/>
      <c r="R258" s="48" t="str">
        <f aca="false">IF(Q258="","",IF(Q258=0,"below 5:00",IF(Q258&gt;=66,"16:00 or above",INT((60+2*Q258)/12)&amp;":"&amp;TEXT(MOD(60+2*Q258,12),"00"))))</f>
        <v/>
      </c>
      <c r="S258" s="47"/>
      <c r="T258" s="47"/>
      <c r="U258" s="47"/>
      <c r="V258" s="47"/>
      <c r="W258" s="47"/>
      <c r="X258" s="47"/>
      <c r="Y258" s="47"/>
      <c r="Z258" s="47"/>
      <c r="AA258" s="10"/>
      <c r="AB258" s="10"/>
      <c r="AC258" s="47"/>
      <c r="AD258" s="47"/>
      <c r="AE258" s="47"/>
      <c r="AF258" s="47"/>
      <c r="AG258" s="47"/>
      <c r="AH258" s="47"/>
      <c r="AI258" s="46"/>
      <c r="AJ258" s="46"/>
      <c r="AK258" s="46"/>
      <c r="AL258" s="7"/>
      <c r="AM258" s="49" t="str">
        <f aca="false">IF(OR(C258="",G258=""),"",IFERROR(DATEDIF(C258,G258,"m"),""))</f>
        <v/>
      </c>
      <c r="AN258" s="49" t="str">
        <f aca="false">IF(OR(Q258="",AM258=""),"",60+2*Q258-AM258)</f>
        <v/>
      </c>
      <c r="AO258" s="49" t="str">
        <f aca="false">IF(OR(G258="",AJ258=""),"",AJ258-G258)</f>
        <v/>
      </c>
      <c r="AP258" s="50" t="str">
        <f aca="false">IF(AND(A258="",B258=""),"",IF(J258="","Status needed",IF(OR(J258="Applied",J258="Visit booked",J258="Withdrawn"),"OK",IF(G258="","Date assessed needed",IF(C258="","Date of birth needed",IF(COUNTA(L258,M258,P258,U258,V258,X258)&lt;6,"Band missing",IF(AND(OR(J258="Decision confirmed",J258="Family told",J258="Enrolled"),AG258=""),"Recommendation needed",IF(AND(OR(J258="Family told",J258="Enrolled"),AJ258=""),"Date family told needed","OK"))))))))</f>
        <v/>
      </c>
    </row>
    <row r="259" customFormat="false" ht="15" hidden="false" customHeight="false" outlineLevel="0" collapsed="false">
      <c r="A259" s="7"/>
      <c r="B259" s="7"/>
      <c r="C259" s="46"/>
      <c r="D259" s="7"/>
      <c r="E259" s="47"/>
      <c r="F259" s="46"/>
      <c r="G259" s="46"/>
      <c r="H259" s="7"/>
      <c r="I259" s="7"/>
      <c r="J259" s="47"/>
      <c r="K259" s="47"/>
      <c r="L259" s="47"/>
      <c r="M259" s="47"/>
      <c r="N259" s="47"/>
      <c r="O259" s="10"/>
      <c r="P259" s="47"/>
      <c r="Q259" s="47"/>
      <c r="R259" s="48" t="str">
        <f aca="false">IF(Q259="","",IF(Q259=0,"below 5:00",IF(Q259&gt;=66,"16:00 or above",INT((60+2*Q259)/12)&amp;":"&amp;TEXT(MOD(60+2*Q259,12),"00"))))</f>
        <v/>
      </c>
      <c r="S259" s="47"/>
      <c r="T259" s="47"/>
      <c r="U259" s="47"/>
      <c r="V259" s="47"/>
      <c r="W259" s="47"/>
      <c r="X259" s="47"/>
      <c r="Y259" s="47"/>
      <c r="Z259" s="47"/>
      <c r="AA259" s="10"/>
      <c r="AB259" s="10"/>
      <c r="AC259" s="47"/>
      <c r="AD259" s="47"/>
      <c r="AE259" s="47"/>
      <c r="AF259" s="47"/>
      <c r="AG259" s="47"/>
      <c r="AH259" s="47"/>
      <c r="AI259" s="46"/>
      <c r="AJ259" s="46"/>
      <c r="AK259" s="46"/>
      <c r="AL259" s="7"/>
      <c r="AM259" s="49" t="str">
        <f aca="false">IF(OR(C259="",G259=""),"",IFERROR(DATEDIF(C259,G259,"m"),""))</f>
        <v/>
      </c>
      <c r="AN259" s="49" t="str">
        <f aca="false">IF(OR(Q259="",AM259=""),"",60+2*Q259-AM259)</f>
        <v/>
      </c>
      <c r="AO259" s="49" t="str">
        <f aca="false">IF(OR(G259="",AJ259=""),"",AJ259-G259)</f>
        <v/>
      </c>
      <c r="AP259" s="50" t="str">
        <f aca="false">IF(AND(A259="",B259=""),"",IF(J259="","Status needed",IF(OR(J259="Applied",J259="Visit booked",J259="Withdrawn"),"OK",IF(G259="","Date assessed needed",IF(C259="","Date of birth needed",IF(COUNTA(L259,M259,P259,U259,V259,X259)&lt;6,"Band missing",IF(AND(OR(J259="Decision confirmed",J259="Family told",J259="Enrolled"),AG259=""),"Recommendation needed",IF(AND(OR(J259="Family told",J259="Enrolled"),AJ259=""),"Date family told needed","OK"))))))))</f>
        <v/>
      </c>
    </row>
    <row r="260" customFormat="false" ht="15" hidden="false" customHeight="false" outlineLevel="0" collapsed="false">
      <c r="A260" s="7"/>
      <c r="B260" s="7"/>
      <c r="C260" s="46"/>
      <c r="D260" s="7"/>
      <c r="E260" s="47"/>
      <c r="F260" s="46"/>
      <c r="G260" s="46"/>
      <c r="H260" s="7"/>
      <c r="I260" s="7"/>
      <c r="J260" s="47"/>
      <c r="K260" s="47"/>
      <c r="L260" s="47"/>
      <c r="M260" s="47"/>
      <c r="N260" s="47"/>
      <c r="O260" s="10"/>
      <c r="P260" s="47"/>
      <c r="Q260" s="47"/>
      <c r="R260" s="48" t="str">
        <f aca="false">IF(Q260="","",IF(Q260=0,"below 5:00",IF(Q260&gt;=66,"16:00 or above",INT((60+2*Q260)/12)&amp;":"&amp;TEXT(MOD(60+2*Q260,12),"00"))))</f>
        <v/>
      </c>
      <c r="S260" s="47"/>
      <c r="T260" s="47"/>
      <c r="U260" s="47"/>
      <c r="V260" s="47"/>
      <c r="W260" s="47"/>
      <c r="X260" s="47"/>
      <c r="Y260" s="47"/>
      <c r="Z260" s="47"/>
      <c r="AA260" s="10"/>
      <c r="AB260" s="10"/>
      <c r="AC260" s="47"/>
      <c r="AD260" s="47"/>
      <c r="AE260" s="47"/>
      <c r="AF260" s="47"/>
      <c r="AG260" s="47"/>
      <c r="AH260" s="47"/>
      <c r="AI260" s="46"/>
      <c r="AJ260" s="46"/>
      <c r="AK260" s="46"/>
      <c r="AL260" s="7"/>
      <c r="AM260" s="49" t="str">
        <f aca="false">IF(OR(C260="",G260=""),"",IFERROR(DATEDIF(C260,G260,"m"),""))</f>
        <v/>
      </c>
      <c r="AN260" s="49" t="str">
        <f aca="false">IF(OR(Q260="",AM260=""),"",60+2*Q260-AM260)</f>
        <v/>
      </c>
      <c r="AO260" s="49" t="str">
        <f aca="false">IF(OR(G260="",AJ260=""),"",AJ260-G260)</f>
        <v/>
      </c>
      <c r="AP260" s="50" t="str">
        <f aca="false">IF(AND(A260="",B260=""),"",IF(J260="","Status needed",IF(OR(J260="Applied",J260="Visit booked",J260="Withdrawn"),"OK",IF(G260="","Date assessed needed",IF(C260="","Date of birth needed",IF(COUNTA(L260,M260,P260,U260,V260,X260)&lt;6,"Band missing",IF(AND(OR(J260="Decision confirmed",J260="Family told",J260="Enrolled"),AG260=""),"Recommendation needed",IF(AND(OR(J260="Family told",J260="Enrolled"),AJ260=""),"Date family told needed","OK"))))))))</f>
        <v/>
      </c>
    </row>
    <row r="261" customFormat="false" ht="15" hidden="false" customHeight="false" outlineLevel="0" collapsed="false">
      <c r="A261" s="7"/>
      <c r="B261" s="7"/>
      <c r="C261" s="46"/>
      <c r="D261" s="7"/>
      <c r="E261" s="47"/>
      <c r="F261" s="46"/>
      <c r="G261" s="46"/>
      <c r="H261" s="7"/>
      <c r="I261" s="7"/>
      <c r="J261" s="47"/>
      <c r="K261" s="47"/>
      <c r="L261" s="47"/>
      <c r="M261" s="47"/>
      <c r="N261" s="47"/>
      <c r="O261" s="10"/>
      <c r="P261" s="47"/>
      <c r="Q261" s="47"/>
      <c r="R261" s="48" t="str">
        <f aca="false">IF(Q261="","",IF(Q261=0,"below 5:00",IF(Q261&gt;=66,"16:00 or above",INT((60+2*Q261)/12)&amp;":"&amp;TEXT(MOD(60+2*Q261,12),"00"))))</f>
        <v/>
      </c>
      <c r="S261" s="47"/>
      <c r="T261" s="47"/>
      <c r="U261" s="47"/>
      <c r="V261" s="47"/>
      <c r="W261" s="47"/>
      <c r="X261" s="47"/>
      <c r="Y261" s="47"/>
      <c r="Z261" s="47"/>
      <c r="AA261" s="10"/>
      <c r="AB261" s="10"/>
      <c r="AC261" s="47"/>
      <c r="AD261" s="47"/>
      <c r="AE261" s="47"/>
      <c r="AF261" s="47"/>
      <c r="AG261" s="47"/>
      <c r="AH261" s="47"/>
      <c r="AI261" s="46"/>
      <c r="AJ261" s="46"/>
      <c r="AK261" s="46"/>
      <c r="AL261" s="7"/>
      <c r="AM261" s="49" t="str">
        <f aca="false">IF(OR(C261="",G261=""),"",IFERROR(DATEDIF(C261,G261,"m"),""))</f>
        <v/>
      </c>
      <c r="AN261" s="49" t="str">
        <f aca="false">IF(OR(Q261="",AM261=""),"",60+2*Q261-AM261)</f>
        <v/>
      </c>
      <c r="AO261" s="49" t="str">
        <f aca="false">IF(OR(G261="",AJ261=""),"",AJ261-G261)</f>
        <v/>
      </c>
      <c r="AP261" s="50" t="str">
        <f aca="false">IF(AND(A261="",B261=""),"",IF(J261="","Status needed",IF(OR(J261="Applied",J261="Visit booked",J261="Withdrawn"),"OK",IF(G261="","Date assessed needed",IF(C261="","Date of birth needed",IF(COUNTA(L261,M261,P261,U261,V261,X261)&lt;6,"Band missing",IF(AND(OR(J261="Decision confirmed",J261="Family told",J261="Enrolled"),AG261=""),"Recommendation needed",IF(AND(OR(J261="Family told",J261="Enrolled"),AJ261=""),"Date family told needed","OK"))))))))</f>
        <v/>
      </c>
    </row>
    <row r="262" customFormat="false" ht="15" hidden="false" customHeight="false" outlineLevel="0" collapsed="false">
      <c r="A262" s="7"/>
      <c r="B262" s="7"/>
      <c r="C262" s="46"/>
      <c r="D262" s="7"/>
      <c r="E262" s="47"/>
      <c r="F262" s="46"/>
      <c r="G262" s="46"/>
      <c r="H262" s="7"/>
      <c r="I262" s="7"/>
      <c r="J262" s="47"/>
      <c r="K262" s="47"/>
      <c r="L262" s="47"/>
      <c r="M262" s="47"/>
      <c r="N262" s="47"/>
      <c r="O262" s="10"/>
      <c r="P262" s="47"/>
      <c r="Q262" s="47"/>
      <c r="R262" s="48" t="str">
        <f aca="false">IF(Q262="","",IF(Q262=0,"below 5:00",IF(Q262&gt;=66,"16:00 or above",INT((60+2*Q262)/12)&amp;":"&amp;TEXT(MOD(60+2*Q262,12),"00"))))</f>
        <v/>
      </c>
      <c r="S262" s="47"/>
      <c r="T262" s="47"/>
      <c r="U262" s="47"/>
      <c r="V262" s="47"/>
      <c r="W262" s="47"/>
      <c r="X262" s="47"/>
      <c r="Y262" s="47"/>
      <c r="Z262" s="47"/>
      <c r="AA262" s="10"/>
      <c r="AB262" s="10"/>
      <c r="AC262" s="47"/>
      <c r="AD262" s="47"/>
      <c r="AE262" s="47"/>
      <c r="AF262" s="47"/>
      <c r="AG262" s="47"/>
      <c r="AH262" s="47"/>
      <c r="AI262" s="46"/>
      <c r="AJ262" s="46"/>
      <c r="AK262" s="46"/>
      <c r="AL262" s="7"/>
      <c r="AM262" s="49" t="str">
        <f aca="false">IF(OR(C262="",G262=""),"",IFERROR(DATEDIF(C262,G262,"m"),""))</f>
        <v/>
      </c>
      <c r="AN262" s="49" t="str">
        <f aca="false">IF(OR(Q262="",AM262=""),"",60+2*Q262-AM262)</f>
        <v/>
      </c>
      <c r="AO262" s="49" t="str">
        <f aca="false">IF(OR(G262="",AJ262=""),"",AJ262-G262)</f>
        <v/>
      </c>
      <c r="AP262" s="50" t="str">
        <f aca="false">IF(AND(A262="",B262=""),"",IF(J262="","Status needed",IF(OR(J262="Applied",J262="Visit booked",J262="Withdrawn"),"OK",IF(G262="","Date assessed needed",IF(C262="","Date of birth needed",IF(COUNTA(L262,M262,P262,U262,V262,X262)&lt;6,"Band missing",IF(AND(OR(J262="Decision confirmed",J262="Family told",J262="Enrolled"),AG262=""),"Recommendation needed",IF(AND(OR(J262="Family told",J262="Enrolled"),AJ262=""),"Date family told needed","OK"))))))))</f>
        <v/>
      </c>
    </row>
    <row r="263" customFormat="false" ht="15" hidden="false" customHeight="false" outlineLevel="0" collapsed="false">
      <c r="A263" s="7"/>
      <c r="B263" s="7"/>
      <c r="C263" s="46"/>
      <c r="D263" s="7"/>
      <c r="E263" s="47"/>
      <c r="F263" s="46"/>
      <c r="G263" s="46"/>
      <c r="H263" s="7"/>
      <c r="I263" s="7"/>
      <c r="J263" s="47"/>
      <c r="K263" s="47"/>
      <c r="L263" s="47"/>
      <c r="M263" s="47"/>
      <c r="N263" s="47"/>
      <c r="O263" s="10"/>
      <c r="P263" s="47"/>
      <c r="Q263" s="47"/>
      <c r="R263" s="48" t="str">
        <f aca="false">IF(Q263="","",IF(Q263=0,"below 5:00",IF(Q263&gt;=66,"16:00 or above",INT((60+2*Q263)/12)&amp;":"&amp;TEXT(MOD(60+2*Q263,12),"00"))))</f>
        <v/>
      </c>
      <c r="S263" s="47"/>
      <c r="T263" s="47"/>
      <c r="U263" s="47"/>
      <c r="V263" s="47"/>
      <c r="W263" s="47"/>
      <c r="X263" s="47"/>
      <c r="Y263" s="47"/>
      <c r="Z263" s="47"/>
      <c r="AA263" s="10"/>
      <c r="AB263" s="10"/>
      <c r="AC263" s="47"/>
      <c r="AD263" s="47"/>
      <c r="AE263" s="47"/>
      <c r="AF263" s="47"/>
      <c r="AG263" s="47"/>
      <c r="AH263" s="47"/>
      <c r="AI263" s="46"/>
      <c r="AJ263" s="46"/>
      <c r="AK263" s="46"/>
      <c r="AL263" s="7"/>
      <c r="AM263" s="49" t="str">
        <f aca="false">IF(OR(C263="",G263=""),"",IFERROR(DATEDIF(C263,G263,"m"),""))</f>
        <v/>
      </c>
      <c r="AN263" s="49" t="str">
        <f aca="false">IF(OR(Q263="",AM263=""),"",60+2*Q263-AM263)</f>
        <v/>
      </c>
      <c r="AO263" s="49" t="str">
        <f aca="false">IF(OR(G263="",AJ263=""),"",AJ263-G263)</f>
        <v/>
      </c>
      <c r="AP263" s="50" t="str">
        <f aca="false">IF(AND(A263="",B263=""),"",IF(J263="","Status needed",IF(OR(J263="Applied",J263="Visit booked",J263="Withdrawn"),"OK",IF(G263="","Date assessed needed",IF(C263="","Date of birth needed",IF(COUNTA(L263,M263,P263,U263,V263,X263)&lt;6,"Band missing",IF(AND(OR(J263="Decision confirmed",J263="Family told",J263="Enrolled"),AG263=""),"Recommendation needed",IF(AND(OR(J263="Family told",J263="Enrolled"),AJ263=""),"Date family told needed","OK"))))))))</f>
        <v/>
      </c>
    </row>
    <row r="264" customFormat="false" ht="15" hidden="false" customHeight="false" outlineLevel="0" collapsed="false">
      <c r="A264" s="7"/>
      <c r="B264" s="7"/>
      <c r="C264" s="46"/>
      <c r="D264" s="7"/>
      <c r="E264" s="47"/>
      <c r="F264" s="46"/>
      <c r="G264" s="46"/>
      <c r="H264" s="7"/>
      <c r="I264" s="7"/>
      <c r="J264" s="47"/>
      <c r="K264" s="47"/>
      <c r="L264" s="47"/>
      <c r="M264" s="47"/>
      <c r="N264" s="47"/>
      <c r="O264" s="10"/>
      <c r="P264" s="47"/>
      <c r="Q264" s="47"/>
      <c r="R264" s="48" t="str">
        <f aca="false">IF(Q264="","",IF(Q264=0,"below 5:00",IF(Q264&gt;=66,"16:00 or above",INT((60+2*Q264)/12)&amp;":"&amp;TEXT(MOD(60+2*Q264,12),"00"))))</f>
        <v/>
      </c>
      <c r="S264" s="47"/>
      <c r="T264" s="47"/>
      <c r="U264" s="47"/>
      <c r="V264" s="47"/>
      <c r="W264" s="47"/>
      <c r="X264" s="47"/>
      <c r="Y264" s="47"/>
      <c r="Z264" s="47"/>
      <c r="AA264" s="10"/>
      <c r="AB264" s="10"/>
      <c r="AC264" s="47"/>
      <c r="AD264" s="47"/>
      <c r="AE264" s="47"/>
      <c r="AF264" s="47"/>
      <c r="AG264" s="47"/>
      <c r="AH264" s="47"/>
      <c r="AI264" s="46"/>
      <c r="AJ264" s="46"/>
      <c r="AK264" s="46"/>
      <c r="AL264" s="7"/>
      <c r="AM264" s="49" t="str">
        <f aca="false">IF(OR(C264="",G264=""),"",IFERROR(DATEDIF(C264,G264,"m"),""))</f>
        <v/>
      </c>
      <c r="AN264" s="49" t="str">
        <f aca="false">IF(OR(Q264="",AM264=""),"",60+2*Q264-AM264)</f>
        <v/>
      </c>
      <c r="AO264" s="49" t="str">
        <f aca="false">IF(OR(G264="",AJ264=""),"",AJ264-G264)</f>
        <v/>
      </c>
      <c r="AP264" s="50" t="str">
        <f aca="false">IF(AND(A264="",B264=""),"",IF(J264="","Status needed",IF(OR(J264="Applied",J264="Visit booked",J264="Withdrawn"),"OK",IF(G264="","Date assessed needed",IF(C264="","Date of birth needed",IF(COUNTA(L264,M264,P264,U264,V264,X264)&lt;6,"Band missing",IF(AND(OR(J264="Decision confirmed",J264="Family told",J264="Enrolled"),AG264=""),"Recommendation needed",IF(AND(OR(J264="Family told",J264="Enrolled"),AJ264=""),"Date family told needed","OK"))))))))</f>
        <v/>
      </c>
    </row>
    <row r="265" customFormat="false" ht="15" hidden="false" customHeight="false" outlineLevel="0" collapsed="false">
      <c r="A265" s="7"/>
      <c r="B265" s="7"/>
      <c r="C265" s="46"/>
      <c r="D265" s="7"/>
      <c r="E265" s="47"/>
      <c r="F265" s="46"/>
      <c r="G265" s="46"/>
      <c r="H265" s="7"/>
      <c r="I265" s="7"/>
      <c r="J265" s="47"/>
      <c r="K265" s="47"/>
      <c r="L265" s="47"/>
      <c r="M265" s="47"/>
      <c r="N265" s="47"/>
      <c r="O265" s="10"/>
      <c r="P265" s="47"/>
      <c r="Q265" s="47"/>
      <c r="R265" s="48" t="str">
        <f aca="false">IF(Q265="","",IF(Q265=0,"below 5:00",IF(Q265&gt;=66,"16:00 or above",INT((60+2*Q265)/12)&amp;":"&amp;TEXT(MOD(60+2*Q265,12),"00"))))</f>
        <v/>
      </c>
      <c r="S265" s="47"/>
      <c r="T265" s="47"/>
      <c r="U265" s="47"/>
      <c r="V265" s="47"/>
      <c r="W265" s="47"/>
      <c r="X265" s="47"/>
      <c r="Y265" s="47"/>
      <c r="Z265" s="47"/>
      <c r="AA265" s="10"/>
      <c r="AB265" s="10"/>
      <c r="AC265" s="47"/>
      <c r="AD265" s="47"/>
      <c r="AE265" s="47"/>
      <c r="AF265" s="47"/>
      <c r="AG265" s="47"/>
      <c r="AH265" s="47"/>
      <c r="AI265" s="46"/>
      <c r="AJ265" s="46"/>
      <c r="AK265" s="46"/>
      <c r="AL265" s="7"/>
      <c r="AM265" s="49" t="str">
        <f aca="false">IF(OR(C265="",G265=""),"",IFERROR(DATEDIF(C265,G265,"m"),""))</f>
        <v/>
      </c>
      <c r="AN265" s="49" t="str">
        <f aca="false">IF(OR(Q265="",AM265=""),"",60+2*Q265-AM265)</f>
        <v/>
      </c>
      <c r="AO265" s="49" t="str">
        <f aca="false">IF(OR(G265="",AJ265=""),"",AJ265-G265)</f>
        <v/>
      </c>
      <c r="AP265" s="50" t="str">
        <f aca="false">IF(AND(A265="",B265=""),"",IF(J265="","Status needed",IF(OR(J265="Applied",J265="Visit booked",J265="Withdrawn"),"OK",IF(G265="","Date assessed needed",IF(C265="","Date of birth needed",IF(COUNTA(L265,M265,P265,U265,V265,X265)&lt;6,"Band missing",IF(AND(OR(J265="Decision confirmed",J265="Family told",J265="Enrolled"),AG265=""),"Recommendation needed",IF(AND(OR(J265="Family told",J265="Enrolled"),AJ265=""),"Date family told needed","OK"))))))))</f>
        <v/>
      </c>
    </row>
    <row r="266" customFormat="false" ht="15" hidden="false" customHeight="false" outlineLevel="0" collapsed="false">
      <c r="A266" s="7"/>
      <c r="B266" s="7"/>
      <c r="C266" s="46"/>
      <c r="D266" s="7"/>
      <c r="E266" s="47"/>
      <c r="F266" s="46"/>
      <c r="G266" s="46"/>
      <c r="H266" s="7"/>
      <c r="I266" s="7"/>
      <c r="J266" s="47"/>
      <c r="K266" s="47"/>
      <c r="L266" s="47"/>
      <c r="M266" s="47"/>
      <c r="N266" s="47"/>
      <c r="O266" s="10"/>
      <c r="P266" s="47"/>
      <c r="Q266" s="47"/>
      <c r="R266" s="48" t="str">
        <f aca="false">IF(Q266="","",IF(Q266=0,"below 5:00",IF(Q266&gt;=66,"16:00 or above",INT((60+2*Q266)/12)&amp;":"&amp;TEXT(MOD(60+2*Q266,12),"00"))))</f>
        <v/>
      </c>
      <c r="S266" s="47"/>
      <c r="T266" s="47"/>
      <c r="U266" s="47"/>
      <c r="V266" s="47"/>
      <c r="W266" s="47"/>
      <c r="X266" s="47"/>
      <c r="Y266" s="47"/>
      <c r="Z266" s="47"/>
      <c r="AA266" s="10"/>
      <c r="AB266" s="10"/>
      <c r="AC266" s="47"/>
      <c r="AD266" s="47"/>
      <c r="AE266" s="47"/>
      <c r="AF266" s="47"/>
      <c r="AG266" s="47"/>
      <c r="AH266" s="47"/>
      <c r="AI266" s="46"/>
      <c r="AJ266" s="46"/>
      <c r="AK266" s="46"/>
      <c r="AL266" s="7"/>
      <c r="AM266" s="49" t="str">
        <f aca="false">IF(OR(C266="",G266=""),"",IFERROR(DATEDIF(C266,G266,"m"),""))</f>
        <v/>
      </c>
      <c r="AN266" s="49" t="str">
        <f aca="false">IF(OR(Q266="",AM266=""),"",60+2*Q266-AM266)</f>
        <v/>
      </c>
      <c r="AO266" s="49" t="str">
        <f aca="false">IF(OR(G266="",AJ266=""),"",AJ266-G266)</f>
        <v/>
      </c>
      <c r="AP266" s="50" t="str">
        <f aca="false">IF(AND(A266="",B266=""),"",IF(J266="","Status needed",IF(OR(J266="Applied",J266="Visit booked",J266="Withdrawn"),"OK",IF(G266="","Date assessed needed",IF(C266="","Date of birth needed",IF(COUNTA(L266,M266,P266,U266,V266,X266)&lt;6,"Band missing",IF(AND(OR(J266="Decision confirmed",J266="Family told",J266="Enrolled"),AG266=""),"Recommendation needed",IF(AND(OR(J266="Family told",J266="Enrolled"),AJ266=""),"Date family told needed","OK"))))))))</f>
        <v/>
      </c>
    </row>
    <row r="267" customFormat="false" ht="15" hidden="false" customHeight="false" outlineLevel="0" collapsed="false">
      <c r="A267" s="7"/>
      <c r="B267" s="7"/>
      <c r="C267" s="46"/>
      <c r="D267" s="7"/>
      <c r="E267" s="47"/>
      <c r="F267" s="46"/>
      <c r="G267" s="46"/>
      <c r="H267" s="7"/>
      <c r="I267" s="7"/>
      <c r="J267" s="47"/>
      <c r="K267" s="47"/>
      <c r="L267" s="47"/>
      <c r="M267" s="47"/>
      <c r="N267" s="47"/>
      <c r="O267" s="10"/>
      <c r="P267" s="47"/>
      <c r="Q267" s="47"/>
      <c r="R267" s="48" t="str">
        <f aca="false">IF(Q267="","",IF(Q267=0,"below 5:00",IF(Q267&gt;=66,"16:00 or above",INT((60+2*Q267)/12)&amp;":"&amp;TEXT(MOD(60+2*Q267,12),"00"))))</f>
        <v/>
      </c>
      <c r="S267" s="47"/>
      <c r="T267" s="47"/>
      <c r="U267" s="47"/>
      <c r="V267" s="47"/>
      <c r="W267" s="47"/>
      <c r="X267" s="47"/>
      <c r="Y267" s="47"/>
      <c r="Z267" s="47"/>
      <c r="AA267" s="10"/>
      <c r="AB267" s="10"/>
      <c r="AC267" s="47"/>
      <c r="AD267" s="47"/>
      <c r="AE267" s="47"/>
      <c r="AF267" s="47"/>
      <c r="AG267" s="47"/>
      <c r="AH267" s="47"/>
      <c r="AI267" s="46"/>
      <c r="AJ267" s="46"/>
      <c r="AK267" s="46"/>
      <c r="AL267" s="7"/>
      <c r="AM267" s="49" t="str">
        <f aca="false">IF(OR(C267="",G267=""),"",IFERROR(DATEDIF(C267,G267,"m"),""))</f>
        <v/>
      </c>
      <c r="AN267" s="49" t="str">
        <f aca="false">IF(OR(Q267="",AM267=""),"",60+2*Q267-AM267)</f>
        <v/>
      </c>
      <c r="AO267" s="49" t="str">
        <f aca="false">IF(OR(G267="",AJ267=""),"",AJ267-G267)</f>
        <v/>
      </c>
      <c r="AP267" s="50" t="str">
        <f aca="false">IF(AND(A267="",B267=""),"",IF(J267="","Status needed",IF(OR(J267="Applied",J267="Visit booked",J267="Withdrawn"),"OK",IF(G267="","Date assessed needed",IF(C267="","Date of birth needed",IF(COUNTA(L267,M267,P267,U267,V267,X267)&lt;6,"Band missing",IF(AND(OR(J267="Decision confirmed",J267="Family told",J267="Enrolled"),AG267=""),"Recommendation needed",IF(AND(OR(J267="Family told",J267="Enrolled"),AJ267=""),"Date family told needed","OK"))))))))</f>
        <v/>
      </c>
    </row>
    <row r="268" customFormat="false" ht="15" hidden="false" customHeight="false" outlineLevel="0" collapsed="false">
      <c r="A268" s="7"/>
      <c r="B268" s="7"/>
      <c r="C268" s="46"/>
      <c r="D268" s="7"/>
      <c r="E268" s="47"/>
      <c r="F268" s="46"/>
      <c r="G268" s="46"/>
      <c r="H268" s="7"/>
      <c r="I268" s="7"/>
      <c r="J268" s="47"/>
      <c r="K268" s="47"/>
      <c r="L268" s="47"/>
      <c r="M268" s="47"/>
      <c r="N268" s="47"/>
      <c r="O268" s="10"/>
      <c r="P268" s="47"/>
      <c r="Q268" s="47"/>
      <c r="R268" s="48" t="str">
        <f aca="false">IF(Q268="","",IF(Q268=0,"below 5:00",IF(Q268&gt;=66,"16:00 or above",INT((60+2*Q268)/12)&amp;":"&amp;TEXT(MOD(60+2*Q268,12),"00"))))</f>
        <v/>
      </c>
      <c r="S268" s="47"/>
      <c r="T268" s="47"/>
      <c r="U268" s="47"/>
      <c r="V268" s="47"/>
      <c r="W268" s="47"/>
      <c r="X268" s="47"/>
      <c r="Y268" s="47"/>
      <c r="Z268" s="47"/>
      <c r="AA268" s="10"/>
      <c r="AB268" s="10"/>
      <c r="AC268" s="47"/>
      <c r="AD268" s="47"/>
      <c r="AE268" s="47"/>
      <c r="AF268" s="47"/>
      <c r="AG268" s="47"/>
      <c r="AH268" s="47"/>
      <c r="AI268" s="46"/>
      <c r="AJ268" s="46"/>
      <c r="AK268" s="46"/>
      <c r="AL268" s="7"/>
      <c r="AM268" s="49" t="str">
        <f aca="false">IF(OR(C268="",G268=""),"",IFERROR(DATEDIF(C268,G268,"m"),""))</f>
        <v/>
      </c>
      <c r="AN268" s="49" t="str">
        <f aca="false">IF(OR(Q268="",AM268=""),"",60+2*Q268-AM268)</f>
        <v/>
      </c>
      <c r="AO268" s="49" t="str">
        <f aca="false">IF(OR(G268="",AJ268=""),"",AJ268-G268)</f>
        <v/>
      </c>
      <c r="AP268" s="50" t="str">
        <f aca="false">IF(AND(A268="",B268=""),"",IF(J268="","Status needed",IF(OR(J268="Applied",J268="Visit booked",J268="Withdrawn"),"OK",IF(G268="","Date assessed needed",IF(C268="","Date of birth needed",IF(COUNTA(L268,M268,P268,U268,V268,X268)&lt;6,"Band missing",IF(AND(OR(J268="Decision confirmed",J268="Family told",J268="Enrolled"),AG268=""),"Recommendation needed",IF(AND(OR(J268="Family told",J268="Enrolled"),AJ268=""),"Date family told needed","OK"))))))))</f>
        <v/>
      </c>
    </row>
    <row r="269" customFormat="false" ht="15" hidden="false" customHeight="false" outlineLevel="0" collapsed="false">
      <c r="A269" s="7"/>
      <c r="B269" s="7"/>
      <c r="C269" s="46"/>
      <c r="D269" s="7"/>
      <c r="E269" s="47"/>
      <c r="F269" s="46"/>
      <c r="G269" s="46"/>
      <c r="H269" s="7"/>
      <c r="I269" s="7"/>
      <c r="J269" s="47"/>
      <c r="K269" s="47"/>
      <c r="L269" s="47"/>
      <c r="M269" s="47"/>
      <c r="N269" s="47"/>
      <c r="O269" s="10"/>
      <c r="P269" s="47"/>
      <c r="Q269" s="47"/>
      <c r="R269" s="48" t="str">
        <f aca="false">IF(Q269="","",IF(Q269=0,"below 5:00",IF(Q269&gt;=66,"16:00 or above",INT((60+2*Q269)/12)&amp;":"&amp;TEXT(MOD(60+2*Q269,12),"00"))))</f>
        <v/>
      </c>
      <c r="S269" s="47"/>
      <c r="T269" s="47"/>
      <c r="U269" s="47"/>
      <c r="V269" s="47"/>
      <c r="W269" s="47"/>
      <c r="X269" s="47"/>
      <c r="Y269" s="47"/>
      <c r="Z269" s="47"/>
      <c r="AA269" s="10"/>
      <c r="AB269" s="10"/>
      <c r="AC269" s="47"/>
      <c r="AD269" s="47"/>
      <c r="AE269" s="47"/>
      <c r="AF269" s="47"/>
      <c r="AG269" s="47"/>
      <c r="AH269" s="47"/>
      <c r="AI269" s="46"/>
      <c r="AJ269" s="46"/>
      <c r="AK269" s="46"/>
      <c r="AL269" s="7"/>
      <c r="AM269" s="49" t="str">
        <f aca="false">IF(OR(C269="",G269=""),"",IFERROR(DATEDIF(C269,G269,"m"),""))</f>
        <v/>
      </c>
      <c r="AN269" s="49" t="str">
        <f aca="false">IF(OR(Q269="",AM269=""),"",60+2*Q269-AM269)</f>
        <v/>
      </c>
      <c r="AO269" s="49" t="str">
        <f aca="false">IF(OR(G269="",AJ269=""),"",AJ269-G269)</f>
        <v/>
      </c>
      <c r="AP269" s="50" t="str">
        <f aca="false">IF(AND(A269="",B269=""),"",IF(J269="","Status needed",IF(OR(J269="Applied",J269="Visit booked",J269="Withdrawn"),"OK",IF(G269="","Date assessed needed",IF(C269="","Date of birth needed",IF(COUNTA(L269,M269,P269,U269,V269,X269)&lt;6,"Band missing",IF(AND(OR(J269="Decision confirmed",J269="Family told",J269="Enrolled"),AG269=""),"Recommendation needed",IF(AND(OR(J269="Family told",J269="Enrolled"),AJ269=""),"Date family told needed","OK"))))))))</f>
        <v/>
      </c>
    </row>
    <row r="270" customFormat="false" ht="15" hidden="false" customHeight="false" outlineLevel="0" collapsed="false">
      <c r="A270" s="7"/>
      <c r="B270" s="7"/>
      <c r="C270" s="46"/>
      <c r="D270" s="7"/>
      <c r="E270" s="47"/>
      <c r="F270" s="46"/>
      <c r="G270" s="46"/>
      <c r="H270" s="7"/>
      <c r="I270" s="7"/>
      <c r="J270" s="47"/>
      <c r="K270" s="47"/>
      <c r="L270" s="47"/>
      <c r="M270" s="47"/>
      <c r="N270" s="47"/>
      <c r="O270" s="10"/>
      <c r="P270" s="47"/>
      <c r="Q270" s="47"/>
      <c r="R270" s="48" t="str">
        <f aca="false">IF(Q270="","",IF(Q270=0,"below 5:00",IF(Q270&gt;=66,"16:00 or above",INT((60+2*Q270)/12)&amp;":"&amp;TEXT(MOD(60+2*Q270,12),"00"))))</f>
        <v/>
      </c>
      <c r="S270" s="47"/>
      <c r="T270" s="47"/>
      <c r="U270" s="47"/>
      <c r="V270" s="47"/>
      <c r="W270" s="47"/>
      <c r="X270" s="47"/>
      <c r="Y270" s="47"/>
      <c r="Z270" s="47"/>
      <c r="AA270" s="10"/>
      <c r="AB270" s="10"/>
      <c r="AC270" s="47"/>
      <c r="AD270" s="47"/>
      <c r="AE270" s="47"/>
      <c r="AF270" s="47"/>
      <c r="AG270" s="47"/>
      <c r="AH270" s="47"/>
      <c r="AI270" s="46"/>
      <c r="AJ270" s="46"/>
      <c r="AK270" s="46"/>
      <c r="AL270" s="7"/>
      <c r="AM270" s="49" t="str">
        <f aca="false">IF(OR(C270="",G270=""),"",IFERROR(DATEDIF(C270,G270,"m"),""))</f>
        <v/>
      </c>
      <c r="AN270" s="49" t="str">
        <f aca="false">IF(OR(Q270="",AM270=""),"",60+2*Q270-AM270)</f>
        <v/>
      </c>
      <c r="AO270" s="49" t="str">
        <f aca="false">IF(OR(G270="",AJ270=""),"",AJ270-G270)</f>
        <v/>
      </c>
      <c r="AP270" s="50" t="str">
        <f aca="false">IF(AND(A270="",B270=""),"",IF(J270="","Status needed",IF(OR(J270="Applied",J270="Visit booked",J270="Withdrawn"),"OK",IF(G270="","Date assessed needed",IF(C270="","Date of birth needed",IF(COUNTA(L270,M270,P270,U270,V270,X270)&lt;6,"Band missing",IF(AND(OR(J270="Decision confirmed",J270="Family told",J270="Enrolled"),AG270=""),"Recommendation needed",IF(AND(OR(J270="Family told",J270="Enrolled"),AJ270=""),"Date family told needed","OK"))))))))</f>
        <v/>
      </c>
    </row>
    <row r="271" customFormat="false" ht="15" hidden="false" customHeight="false" outlineLevel="0" collapsed="false">
      <c r="A271" s="7"/>
      <c r="B271" s="7"/>
      <c r="C271" s="46"/>
      <c r="D271" s="7"/>
      <c r="E271" s="47"/>
      <c r="F271" s="46"/>
      <c r="G271" s="46"/>
      <c r="H271" s="7"/>
      <c r="I271" s="7"/>
      <c r="J271" s="47"/>
      <c r="K271" s="47"/>
      <c r="L271" s="47"/>
      <c r="M271" s="47"/>
      <c r="N271" s="47"/>
      <c r="O271" s="10"/>
      <c r="P271" s="47"/>
      <c r="Q271" s="47"/>
      <c r="R271" s="48" t="str">
        <f aca="false">IF(Q271="","",IF(Q271=0,"below 5:00",IF(Q271&gt;=66,"16:00 or above",INT((60+2*Q271)/12)&amp;":"&amp;TEXT(MOD(60+2*Q271,12),"00"))))</f>
        <v/>
      </c>
      <c r="S271" s="47"/>
      <c r="T271" s="47"/>
      <c r="U271" s="47"/>
      <c r="V271" s="47"/>
      <c r="W271" s="47"/>
      <c r="X271" s="47"/>
      <c r="Y271" s="47"/>
      <c r="Z271" s="47"/>
      <c r="AA271" s="10"/>
      <c r="AB271" s="10"/>
      <c r="AC271" s="47"/>
      <c r="AD271" s="47"/>
      <c r="AE271" s="47"/>
      <c r="AF271" s="47"/>
      <c r="AG271" s="47"/>
      <c r="AH271" s="47"/>
      <c r="AI271" s="46"/>
      <c r="AJ271" s="46"/>
      <c r="AK271" s="46"/>
      <c r="AL271" s="7"/>
      <c r="AM271" s="49" t="str">
        <f aca="false">IF(OR(C271="",G271=""),"",IFERROR(DATEDIF(C271,G271,"m"),""))</f>
        <v/>
      </c>
      <c r="AN271" s="49" t="str">
        <f aca="false">IF(OR(Q271="",AM271=""),"",60+2*Q271-AM271)</f>
        <v/>
      </c>
      <c r="AO271" s="49" t="str">
        <f aca="false">IF(OR(G271="",AJ271=""),"",AJ271-G271)</f>
        <v/>
      </c>
      <c r="AP271" s="50" t="str">
        <f aca="false">IF(AND(A271="",B271=""),"",IF(J271="","Status needed",IF(OR(J271="Applied",J271="Visit booked",J271="Withdrawn"),"OK",IF(G271="","Date assessed needed",IF(C271="","Date of birth needed",IF(COUNTA(L271,M271,P271,U271,V271,X271)&lt;6,"Band missing",IF(AND(OR(J271="Decision confirmed",J271="Family told",J271="Enrolled"),AG271=""),"Recommendation needed",IF(AND(OR(J271="Family told",J271="Enrolled"),AJ271=""),"Date family told needed","OK"))))))))</f>
        <v/>
      </c>
    </row>
    <row r="272" customFormat="false" ht="15" hidden="false" customHeight="false" outlineLevel="0" collapsed="false">
      <c r="A272" s="7"/>
      <c r="B272" s="7"/>
      <c r="C272" s="46"/>
      <c r="D272" s="7"/>
      <c r="E272" s="47"/>
      <c r="F272" s="46"/>
      <c r="G272" s="46"/>
      <c r="H272" s="7"/>
      <c r="I272" s="7"/>
      <c r="J272" s="47"/>
      <c r="K272" s="47"/>
      <c r="L272" s="47"/>
      <c r="M272" s="47"/>
      <c r="N272" s="47"/>
      <c r="O272" s="10"/>
      <c r="P272" s="47"/>
      <c r="Q272" s="47"/>
      <c r="R272" s="48" t="str">
        <f aca="false">IF(Q272="","",IF(Q272=0,"below 5:00",IF(Q272&gt;=66,"16:00 or above",INT((60+2*Q272)/12)&amp;":"&amp;TEXT(MOD(60+2*Q272,12),"00"))))</f>
        <v/>
      </c>
      <c r="S272" s="47"/>
      <c r="T272" s="47"/>
      <c r="U272" s="47"/>
      <c r="V272" s="47"/>
      <c r="W272" s="47"/>
      <c r="X272" s="47"/>
      <c r="Y272" s="47"/>
      <c r="Z272" s="47"/>
      <c r="AA272" s="10"/>
      <c r="AB272" s="10"/>
      <c r="AC272" s="47"/>
      <c r="AD272" s="47"/>
      <c r="AE272" s="47"/>
      <c r="AF272" s="47"/>
      <c r="AG272" s="47"/>
      <c r="AH272" s="47"/>
      <c r="AI272" s="46"/>
      <c r="AJ272" s="46"/>
      <c r="AK272" s="46"/>
      <c r="AL272" s="7"/>
      <c r="AM272" s="49" t="str">
        <f aca="false">IF(OR(C272="",G272=""),"",IFERROR(DATEDIF(C272,G272,"m"),""))</f>
        <v/>
      </c>
      <c r="AN272" s="49" t="str">
        <f aca="false">IF(OR(Q272="",AM272=""),"",60+2*Q272-AM272)</f>
        <v/>
      </c>
      <c r="AO272" s="49" t="str">
        <f aca="false">IF(OR(G272="",AJ272=""),"",AJ272-G272)</f>
        <v/>
      </c>
      <c r="AP272" s="50" t="str">
        <f aca="false">IF(AND(A272="",B272=""),"",IF(J272="","Status needed",IF(OR(J272="Applied",J272="Visit booked",J272="Withdrawn"),"OK",IF(G272="","Date assessed needed",IF(C272="","Date of birth needed",IF(COUNTA(L272,M272,P272,U272,V272,X272)&lt;6,"Band missing",IF(AND(OR(J272="Decision confirmed",J272="Family told",J272="Enrolled"),AG272=""),"Recommendation needed",IF(AND(OR(J272="Family told",J272="Enrolled"),AJ272=""),"Date family told needed","OK"))))))))</f>
        <v/>
      </c>
    </row>
    <row r="273" customFormat="false" ht="15" hidden="false" customHeight="false" outlineLevel="0" collapsed="false">
      <c r="A273" s="7"/>
      <c r="B273" s="7"/>
      <c r="C273" s="46"/>
      <c r="D273" s="7"/>
      <c r="E273" s="47"/>
      <c r="F273" s="46"/>
      <c r="G273" s="46"/>
      <c r="H273" s="7"/>
      <c r="I273" s="7"/>
      <c r="J273" s="47"/>
      <c r="K273" s="47"/>
      <c r="L273" s="47"/>
      <c r="M273" s="47"/>
      <c r="N273" s="47"/>
      <c r="O273" s="10"/>
      <c r="P273" s="47"/>
      <c r="Q273" s="47"/>
      <c r="R273" s="48" t="str">
        <f aca="false">IF(Q273="","",IF(Q273=0,"below 5:00",IF(Q273&gt;=66,"16:00 or above",INT((60+2*Q273)/12)&amp;":"&amp;TEXT(MOD(60+2*Q273,12),"00"))))</f>
        <v/>
      </c>
      <c r="S273" s="47"/>
      <c r="T273" s="47"/>
      <c r="U273" s="47"/>
      <c r="V273" s="47"/>
      <c r="W273" s="47"/>
      <c r="X273" s="47"/>
      <c r="Y273" s="47"/>
      <c r="Z273" s="47"/>
      <c r="AA273" s="10"/>
      <c r="AB273" s="10"/>
      <c r="AC273" s="47"/>
      <c r="AD273" s="47"/>
      <c r="AE273" s="47"/>
      <c r="AF273" s="47"/>
      <c r="AG273" s="47"/>
      <c r="AH273" s="47"/>
      <c r="AI273" s="46"/>
      <c r="AJ273" s="46"/>
      <c r="AK273" s="46"/>
      <c r="AL273" s="7"/>
      <c r="AM273" s="49" t="str">
        <f aca="false">IF(OR(C273="",G273=""),"",IFERROR(DATEDIF(C273,G273,"m"),""))</f>
        <v/>
      </c>
      <c r="AN273" s="49" t="str">
        <f aca="false">IF(OR(Q273="",AM273=""),"",60+2*Q273-AM273)</f>
        <v/>
      </c>
      <c r="AO273" s="49" t="str">
        <f aca="false">IF(OR(G273="",AJ273=""),"",AJ273-G273)</f>
        <v/>
      </c>
      <c r="AP273" s="50" t="str">
        <f aca="false">IF(AND(A273="",B273=""),"",IF(J273="","Status needed",IF(OR(J273="Applied",J273="Visit booked",J273="Withdrawn"),"OK",IF(G273="","Date assessed needed",IF(C273="","Date of birth needed",IF(COUNTA(L273,M273,P273,U273,V273,X273)&lt;6,"Band missing",IF(AND(OR(J273="Decision confirmed",J273="Family told",J273="Enrolled"),AG273=""),"Recommendation needed",IF(AND(OR(J273="Family told",J273="Enrolled"),AJ273=""),"Date family told needed","OK"))))))))</f>
        <v/>
      </c>
    </row>
    <row r="274" customFormat="false" ht="15" hidden="false" customHeight="false" outlineLevel="0" collapsed="false">
      <c r="A274" s="7"/>
      <c r="B274" s="7"/>
      <c r="C274" s="46"/>
      <c r="D274" s="7"/>
      <c r="E274" s="47"/>
      <c r="F274" s="46"/>
      <c r="G274" s="46"/>
      <c r="H274" s="7"/>
      <c r="I274" s="7"/>
      <c r="J274" s="47"/>
      <c r="K274" s="47"/>
      <c r="L274" s="47"/>
      <c r="M274" s="47"/>
      <c r="N274" s="47"/>
      <c r="O274" s="10"/>
      <c r="P274" s="47"/>
      <c r="Q274" s="47"/>
      <c r="R274" s="48" t="str">
        <f aca="false">IF(Q274="","",IF(Q274=0,"below 5:00",IF(Q274&gt;=66,"16:00 or above",INT((60+2*Q274)/12)&amp;":"&amp;TEXT(MOD(60+2*Q274,12),"00"))))</f>
        <v/>
      </c>
      <c r="S274" s="47"/>
      <c r="T274" s="47"/>
      <c r="U274" s="47"/>
      <c r="V274" s="47"/>
      <c r="W274" s="47"/>
      <c r="X274" s="47"/>
      <c r="Y274" s="47"/>
      <c r="Z274" s="47"/>
      <c r="AA274" s="10"/>
      <c r="AB274" s="10"/>
      <c r="AC274" s="47"/>
      <c r="AD274" s="47"/>
      <c r="AE274" s="47"/>
      <c r="AF274" s="47"/>
      <c r="AG274" s="47"/>
      <c r="AH274" s="47"/>
      <c r="AI274" s="46"/>
      <c r="AJ274" s="46"/>
      <c r="AK274" s="46"/>
      <c r="AL274" s="7"/>
      <c r="AM274" s="49" t="str">
        <f aca="false">IF(OR(C274="",G274=""),"",IFERROR(DATEDIF(C274,G274,"m"),""))</f>
        <v/>
      </c>
      <c r="AN274" s="49" t="str">
        <f aca="false">IF(OR(Q274="",AM274=""),"",60+2*Q274-AM274)</f>
        <v/>
      </c>
      <c r="AO274" s="49" t="str">
        <f aca="false">IF(OR(G274="",AJ274=""),"",AJ274-G274)</f>
        <v/>
      </c>
      <c r="AP274" s="50" t="str">
        <f aca="false">IF(AND(A274="",B274=""),"",IF(J274="","Status needed",IF(OR(J274="Applied",J274="Visit booked",J274="Withdrawn"),"OK",IF(G274="","Date assessed needed",IF(C274="","Date of birth needed",IF(COUNTA(L274,M274,P274,U274,V274,X274)&lt;6,"Band missing",IF(AND(OR(J274="Decision confirmed",J274="Family told",J274="Enrolled"),AG274=""),"Recommendation needed",IF(AND(OR(J274="Family told",J274="Enrolled"),AJ274=""),"Date family told needed","OK"))))))))</f>
        <v/>
      </c>
    </row>
    <row r="275" customFormat="false" ht="15" hidden="false" customHeight="false" outlineLevel="0" collapsed="false">
      <c r="A275" s="7"/>
      <c r="B275" s="7"/>
      <c r="C275" s="46"/>
      <c r="D275" s="7"/>
      <c r="E275" s="47"/>
      <c r="F275" s="46"/>
      <c r="G275" s="46"/>
      <c r="H275" s="7"/>
      <c r="I275" s="7"/>
      <c r="J275" s="47"/>
      <c r="K275" s="47"/>
      <c r="L275" s="47"/>
      <c r="M275" s="47"/>
      <c r="N275" s="47"/>
      <c r="O275" s="10"/>
      <c r="P275" s="47"/>
      <c r="Q275" s="47"/>
      <c r="R275" s="48" t="str">
        <f aca="false">IF(Q275="","",IF(Q275=0,"below 5:00",IF(Q275&gt;=66,"16:00 or above",INT((60+2*Q275)/12)&amp;":"&amp;TEXT(MOD(60+2*Q275,12),"00"))))</f>
        <v/>
      </c>
      <c r="S275" s="47"/>
      <c r="T275" s="47"/>
      <c r="U275" s="47"/>
      <c r="V275" s="47"/>
      <c r="W275" s="47"/>
      <c r="X275" s="47"/>
      <c r="Y275" s="47"/>
      <c r="Z275" s="47"/>
      <c r="AA275" s="10"/>
      <c r="AB275" s="10"/>
      <c r="AC275" s="47"/>
      <c r="AD275" s="47"/>
      <c r="AE275" s="47"/>
      <c r="AF275" s="47"/>
      <c r="AG275" s="47"/>
      <c r="AH275" s="47"/>
      <c r="AI275" s="46"/>
      <c r="AJ275" s="46"/>
      <c r="AK275" s="46"/>
      <c r="AL275" s="7"/>
      <c r="AM275" s="49" t="str">
        <f aca="false">IF(OR(C275="",G275=""),"",IFERROR(DATEDIF(C275,G275,"m"),""))</f>
        <v/>
      </c>
      <c r="AN275" s="49" t="str">
        <f aca="false">IF(OR(Q275="",AM275=""),"",60+2*Q275-AM275)</f>
        <v/>
      </c>
      <c r="AO275" s="49" t="str">
        <f aca="false">IF(OR(G275="",AJ275=""),"",AJ275-G275)</f>
        <v/>
      </c>
      <c r="AP275" s="50" t="str">
        <f aca="false">IF(AND(A275="",B275=""),"",IF(J275="","Status needed",IF(OR(J275="Applied",J275="Visit booked",J275="Withdrawn"),"OK",IF(G275="","Date assessed needed",IF(C275="","Date of birth needed",IF(COUNTA(L275,M275,P275,U275,V275,X275)&lt;6,"Band missing",IF(AND(OR(J275="Decision confirmed",J275="Family told",J275="Enrolled"),AG275=""),"Recommendation needed",IF(AND(OR(J275="Family told",J275="Enrolled"),AJ275=""),"Date family told needed","OK"))))))))</f>
        <v/>
      </c>
    </row>
    <row r="276" customFormat="false" ht="15" hidden="false" customHeight="false" outlineLevel="0" collapsed="false">
      <c r="A276" s="7"/>
      <c r="B276" s="7"/>
      <c r="C276" s="46"/>
      <c r="D276" s="7"/>
      <c r="E276" s="47"/>
      <c r="F276" s="46"/>
      <c r="G276" s="46"/>
      <c r="H276" s="7"/>
      <c r="I276" s="7"/>
      <c r="J276" s="47"/>
      <c r="K276" s="47"/>
      <c r="L276" s="47"/>
      <c r="M276" s="47"/>
      <c r="N276" s="47"/>
      <c r="O276" s="10"/>
      <c r="P276" s="47"/>
      <c r="Q276" s="47"/>
      <c r="R276" s="48" t="str">
        <f aca="false">IF(Q276="","",IF(Q276=0,"below 5:00",IF(Q276&gt;=66,"16:00 or above",INT((60+2*Q276)/12)&amp;":"&amp;TEXT(MOD(60+2*Q276,12),"00"))))</f>
        <v/>
      </c>
      <c r="S276" s="47"/>
      <c r="T276" s="47"/>
      <c r="U276" s="47"/>
      <c r="V276" s="47"/>
      <c r="W276" s="47"/>
      <c r="X276" s="47"/>
      <c r="Y276" s="47"/>
      <c r="Z276" s="47"/>
      <c r="AA276" s="10"/>
      <c r="AB276" s="10"/>
      <c r="AC276" s="47"/>
      <c r="AD276" s="47"/>
      <c r="AE276" s="47"/>
      <c r="AF276" s="47"/>
      <c r="AG276" s="47"/>
      <c r="AH276" s="47"/>
      <c r="AI276" s="46"/>
      <c r="AJ276" s="46"/>
      <c r="AK276" s="46"/>
      <c r="AL276" s="7"/>
      <c r="AM276" s="49" t="str">
        <f aca="false">IF(OR(C276="",G276=""),"",IFERROR(DATEDIF(C276,G276,"m"),""))</f>
        <v/>
      </c>
      <c r="AN276" s="49" t="str">
        <f aca="false">IF(OR(Q276="",AM276=""),"",60+2*Q276-AM276)</f>
        <v/>
      </c>
      <c r="AO276" s="49" t="str">
        <f aca="false">IF(OR(G276="",AJ276=""),"",AJ276-G276)</f>
        <v/>
      </c>
      <c r="AP276" s="50" t="str">
        <f aca="false">IF(AND(A276="",B276=""),"",IF(J276="","Status needed",IF(OR(J276="Applied",J276="Visit booked",J276="Withdrawn"),"OK",IF(G276="","Date assessed needed",IF(C276="","Date of birth needed",IF(COUNTA(L276,M276,P276,U276,V276,X276)&lt;6,"Band missing",IF(AND(OR(J276="Decision confirmed",J276="Family told",J276="Enrolled"),AG276=""),"Recommendation needed",IF(AND(OR(J276="Family told",J276="Enrolled"),AJ276=""),"Date family told needed","OK"))))))))</f>
        <v/>
      </c>
    </row>
    <row r="277" customFormat="false" ht="15" hidden="false" customHeight="false" outlineLevel="0" collapsed="false">
      <c r="A277" s="7"/>
      <c r="B277" s="7"/>
      <c r="C277" s="46"/>
      <c r="D277" s="7"/>
      <c r="E277" s="47"/>
      <c r="F277" s="46"/>
      <c r="G277" s="46"/>
      <c r="H277" s="7"/>
      <c r="I277" s="7"/>
      <c r="J277" s="47"/>
      <c r="K277" s="47"/>
      <c r="L277" s="47"/>
      <c r="M277" s="47"/>
      <c r="N277" s="47"/>
      <c r="O277" s="10"/>
      <c r="P277" s="47"/>
      <c r="Q277" s="47"/>
      <c r="R277" s="48" t="str">
        <f aca="false">IF(Q277="","",IF(Q277=0,"below 5:00",IF(Q277&gt;=66,"16:00 or above",INT((60+2*Q277)/12)&amp;":"&amp;TEXT(MOD(60+2*Q277,12),"00"))))</f>
        <v/>
      </c>
      <c r="S277" s="47"/>
      <c r="T277" s="47"/>
      <c r="U277" s="47"/>
      <c r="V277" s="47"/>
      <c r="W277" s="47"/>
      <c r="X277" s="47"/>
      <c r="Y277" s="47"/>
      <c r="Z277" s="47"/>
      <c r="AA277" s="10"/>
      <c r="AB277" s="10"/>
      <c r="AC277" s="47"/>
      <c r="AD277" s="47"/>
      <c r="AE277" s="47"/>
      <c r="AF277" s="47"/>
      <c r="AG277" s="47"/>
      <c r="AH277" s="47"/>
      <c r="AI277" s="46"/>
      <c r="AJ277" s="46"/>
      <c r="AK277" s="46"/>
      <c r="AL277" s="7"/>
      <c r="AM277" s="49" t="str">
        <f aca="false">IF(OR(C277="",G277=""),"",IFERROR(DATEDIF(C277,G277,"m"),""))</f>
        <v/>
      </c>
      <c r="AN277" s="49" t="str">
        <f aca="false">IF(OR(Q277="",AM277=""),"",60+2*Q277-AM277)</f>
        <v/>
      </c>
      <c r="AO277" s="49" t="str">
        <f aca="false">IF(OR(G277="",AJ277=""),"",AJ277-G277)</f>
        <v/>
      </c>
      <c r="AP277" s="50" t="str">
        <f aca="false">IF(AND(A277="",B277=""),"",IF(J277="","Status needed",IF(OR(J277="Applied",J277="Visit booked",J277="Withdrawn"),"OK",IF(G277="","Date assessed needed",IF(C277="","Date of birth needed",IF(COUNTA(L277,M277,P277,U277,V277,X277)&lt;6,"Band missing",IF(AND(OR(J277="Decision confirmed",J277="Family told",J277="Enrolled"),AG277=""),"Recommendation needed",IF(AND(OR(J277="Family told",J277="Enrolled"),AJ277=""),"Date family told needed","OK"))))))))</f>
        <v/>
      </c>
    </row>
    <row r="278" customFormat="false" ht="15" hidden="false" customHeight="false" outlineLevel="0" collapsed="false">
      <c r="A278" s="7"/>
      <c r="B278" s="7"/>
      <c r="C278" s="46"/>
      <c r="D278" s="7"/>
      <c r="E278" s="47"/>
      <c r="F278" s="46"/>
      <c r="G278" s="46"/>
      <c r="H278" s="7"/>
      <c r="I278" s="7"/>
      <c r="J278" s="47"/>
      <c r="K278" s="47"/>
      <c r="L278" s="47"/>
      <c r="M278" s="47"/>
      <c r="N278" s="47"/>
      <c r="O278" s="10"/>
      <c r="P278" s="47"/>
      <c r="Q278" s="47"/>
      <c r="R278" s="48" t="str">
        <f aca="false">IF(Q278="","",IF(Q278=0,"below 5:00",IF(Q278&gt;=66,"16:00 or above",INT((60+2*Q278)/12)&amp;":"&amp;TEXT(MOD(60+2*Q278,12),"00"))))</f>
        <v/>
      </c>
      <c r="S278" s="47"/>
      <c r="T278" s="47"/>
      <c r="U278" s="47"/>
      <c r="V278" s="47"/>
      <c r="W278" s="47"/>
      <c r="X278" s="47"/>
      <c r="Y278" s="47"/>
      <c r="Z278" s="47"/>
      <c r="AA278" s="10"/>
      <c r="AB278" s="10"/>
      <c r="AC278" s="47"/>
      <c r="AD278" s="47"/>
      <c r="AE278" s="47"/>
      <c r="AF278" s="47"/>
      <c r="AG278" s="47"/>
      <c r="AH278" s="47"/>
      <c r="AI278" s="46"/>
      <c r="AJ278" s="46"/>
      <c r="AK278" s="46"/>
      <c r="AL278" s="7"/>
      <c r="AM278" s="49" t="str">
        <f aca="false">IF(OR(C278="",G278=""),"",IFERROR(DATEDIF(C278,G278,"m"),""))</f>
        <v/>
      </c>
      <c r="AN278" s="49" t="str">
        <f aca="false">IF(OR(Q278="",AM278=""),"",60+2*Q278-AM278)</f>
        <v/>
      </c>
      <c r="AO278" s="49" t="str">
        <f aca="false">IF(OR(G278="",AJ278=""),"",AJ278-G278)</f>
        <v/>
      </c>
      <c r="AP278" s="50" t="str">
        <f aca="false">IF(AND(A278="",B278=""),"",IF(J278="","Status needed",IF(OR(J278="Applied",J278="Visit booked",J278="Withdrawn"),"OK",IF(G278="","Date assessed needed",IF(C278="","Date of birth needed",IF(COUNTA(L278,M278,P278,U278,V278,X278)&lt;6,"Band missing",IF(AND(OR(J278="Decision confirmed",J278="Family told",J278="Enrolled"),AG278=""),"Recommendation needed",IF(AND(OR(J278="Family told",J278="Enrolled"),AJ278=""),"Date family told needed","OK"))))))))</f>
        <v/>
      </c>
    </row>
    <row r="279" customFormat="false" ht="15" hidden="false" customHeight="false" outlineLevel="0" collapsed="false">
      <c r="A279" s="7"/>
      <c r="B279" s="7"/>
      <c r="C279" s="46"/>
      <c r="D279" s="7"/>
      <c r="E279" s="47"/>
      <c r="F279" s="46"/>
      <c r="G279" s="46"/>
      <c r="H279" s="7"/>
      <c r="I279" s="7"/>
      <c r="J279" s="47"/>
      <c r="K279" s="47"/>
      <c r="L279" s="47"/>
      <c r="M279" s="47"/>
      <c r="N279" s="47"/>
      <c r="O279" s="10"/>
      <c r="P279" s="47"/>
      <c r="Q279" s="47"/>
      <c r="R279" s="48" t="str">
        <f aca="false">IF(Q279="","",IF(Q279=0,"below 5:00",IF(Q279&gt;=66,"16:00 or above",INT((60+2*Q279)/12)&amp;":"&amp;TEXT(MOD(60+2*Q279,12),"00"))))</f>
        <v/>
      </c>
      <c r="S279" s="47"/>
      <c r="T279" s="47"/>
      <c r="U279" s="47"/>
      <c r="V279" s="47"/>
      <c r="W279" s="47"/>
      <c r="X279" s="47"/>
      <c r="Y279" s="47"/>
      <c r="Z279" s="47"/>
      <c r="AA279" s="10"/>
      <c r="AB279" s="10"/>
      <c r="AC279" s="47"/>
      <c r="AD279" s="47"/>
      <c r="AE279" s="47"/>
      <c r="AF279" s="47"/>
      <c r="AG279" s="47"/>
      <c r="AH279" s="47"/>
      <c r="AI279" s="46"/>
      <c r="AJ279" s="46"/>
      <c r="AK279" s="46"/>
      <c r="AL279" s="7"/>
      <c r="AM279" s="49" t="str">
        <f aca="false">IF(OR(C279="",G279=""),"",IFERROR(DATEDIF(C279,G279,"m"),""))</f>
        <v/>
      </c>
      <c r="AN279" s="49" t="str">
        <f aca="false">IF(OR(Q279="",AM279=""),"",60+2*Q279-AM279)</f>
        <v/>
      </c>
      <c r="AO279" s="49" t="str">
        <f aca="false">IF(OR(G279="",AJ279=""),"",AJ279-G279)</f>
        <v/>
      </c>
      <c r="AP279" s="50" t="str">
        <f aca="false">IF(AND(A279="",B279=""),"",IF(J279="","Status needed",IF(OR(J279="Applied",J279="Visit booked",J279="Withdrawn"),"OK",IF(G279="","Date assessed needed",IF(C279="","Date of birth needed",IF(COUNTA(L279,M279,P279,U279,V279,X279)&lt;6,"Band missing",IF(AND(OR(J279="Decision confirmed",J279="Family told",J279="Enrolled"),AG279=""),"Recommendation needed",IF(AND(OR(J279="Family told",J279="Enrolled"),AJ279=""),"Date family told needed","OK"))))))))</f>
        <v/>
      </c>
    </row>
    <row r="280" customFormat="false" ht="15" hidden="false" customHeight="false" outlineLevel="0" collapsed="false">
      <c r="A280" s="7"/>
      <c r="B280" s="7"/>
      <c r="C280" s="46"/>
      <c r="D280" s="7"/>
      <c r="E280" s="47"/>
      <c r="F280" s="46"/>
      <c r="G280" s="46"/>
      <c r="H280" s="7"/>
      <c r="I280" s="7"/>
      <c r="J280" s="47"/>
      <c r="K280" s="47"/>
      <c r="L280" s="47"/>
      <c r="M280" s="47"/>
      <c r="N280" s="47"/>
      <c r="O280" s="10"/>
      <c r="P280" s="47"/>
      <c r="Q280" s="47"/>
      <c r="R280" s="48" t="str">
        <f aca="false">IF(Q280="","",IF(Q280=0,"below 5:00",IF(Q280&gt;=66,"16:00 or above",INT((60+2*Q280)/12)&amp;":"&amp;TEXT(MOD(60+2*Q280,12),"00"))))</f>
        <v/>
      </c>
      <c r="S280" s="47"/>
      <c r="T280" s="47"/>
      <c r="U280" s="47"/>
      <c r="V280" s="47"/>
      <c r="W280" s="47"/>
      <c r="X280" s="47"/>
      <c r="Y280" s="47"/>
      <c r="Z280" s="47"/>
      <c r="AA280" s="10"/>
      <c r="AB280" s="10"/>
      <c r="AC280" s="47"/>
      <c r="AD280" s="47"/>
      <c r="AE280" s="47"/>
      <c r="AF280" s="47"/>
      <c r="AG280" s="47"/>
      <c r="AH280" s="47"/>
      <c r="AI280" s="46"/>
      <c r="AJ280" s="46"/>
      <c r="AK280" s="46"/>
      <c r="AL280" s="7"/>
      <c r="AM280" s="49" t="str">
        <f aca="false">IF(OR(C280="",G280=""),"",IFERROR(DATEDIF(C280,G280,"m"),""))</f>
        <v/>
      </c>
      <c r="AN280" s="49" t="str">
        <f aca="false">IF(OR(Q280="",AM280=""),"",60+2*Q280-AM280)</f>
        <v/>
      </c>
      <c r="AO280" s="49" t="str">
        <f aca="false">IF(OR(G280="",AJ280=""),"",AJ280-G280)</f>
        <v/>
      </c>
      <c r="AP280" s="50" t="str">
        <f aca="false">IF(AND(A280="",B280=""),"",IF(J280="","Status needed",IF(OR(J280="Applied",J280="Visit booked",J280="Withdrawn"),"OK",IF(G280="","Date assessed needed",IF(C280="","Date of birth needed",IF(COUNTA(L280,M280,P280,U280,V280,X280)&lt;6,"Band missing",IF(AND(OR(J280="Decision confirmed",J280="Family told",J280="Enrolled"),AG280=""),"Recommendation needed",IF(AND(OR(J280="Family told",J280="Enrolled"),AJ280=""),"Date family told needed","OK"))))))))</f>
        <v/>
      </c>
    </row>
    <row r="281" customFormat="false" ht="15" hidden="false" customHeight="false" outlineLevel="0" collapsed="false">
      <c r="A281" s="7"/>
      <c r="B281" s="7"/>
      <c r="C281" s="46"/>
      <c r="D281" s="7"/>
      <c r="E281" s="47"/>
      <c r="F281" s="46"/>
      <c r="G281" s="46"/>
      <c r="H281" s="7"/>
      <c r="I281" s="7"/>
      <c r="J281" s="47"/>
      <c r="K281" s="47"/>
      <c r="L281" s="47"/>
      <c r="M281" s="47"/>
      <c r="N281" s="47"/>
      <c r="O281" s="10"/>
      <c r="P281" s="47"/>
      <c r="Q281" s="47"/>
      <c r="R281" s="48" t="str">
        <f aca="false">IF(Q281="","",IF(Q281=0,"below 5:00",IF(Q281&gt;=66,"16:00 or above",INT((60+2*Q281)/12)&amp;":"&amp;TEXT(MOD(60+2*Q281,12),"00"))))</f>
        <v/>
      </c>
      <c r="S281" s="47"/>
      <c r="T281" s="47"/>
      <c r="U281" s="47"/>
      <c r="V281" s="47"/>
      <c r="W281" s="47"/>
      <c r="X281" s="47"/>
      <c r="Y281" s="47"/>
      <c r="Z281" s="47"/>
      <c r="AA281" s="10"/>
      <c r="AB281" s="10"/>
      <c r="AC281" s="47"/>
      <c r="AD281" s="47"/>
      <c r="AE281" s="47"/>
      <c r="AF281" s="47"/>
      <c r="AG281" s="47"/>
      <c r="AH281" s="47"/>
      <c r="AI281" s="46"/>
      <c r="AJ281" s="46"/>
      <c r="AK281" s="46"/>
      <c r="AL281" s="7"/>
      <c r="AM281" s="49" t="str">
        <f aca="false">IF(OR(C281="",G281=""),"",IFERROR(DATEDIF(C281,G281,"m"),""))</f>
        <v/>
      </c>
      <c r="AN281" s="49" t="str">
        <f aca="false">IF(OR(Q281="",AM281=""),"",60+2*Q281-AM281)</f>
        <v/>
      </c>
      <c r="AO281" s="49" t="str">
        <f aca="false">IF(OR(G281="",AJ281=""),"",AJ281-G281)</f>
        <v/>
      </c>
      <c r="AP281" s="50" t="str">
        <f aca="false">IF(AND(A281="",B281=""),"",IF(J281="","Status needed",IF(OR(J281="Applied",J281="Visit booked",J281="Withdrawn"),"OK",IF(G281="","Date assessed needed",IF(C281="","Date of birth needed",IF(COUNTA(L281,M281,P281,U281,V281,X281)&lt;6,"Band missing",IF(AND(OR(J281="Decision confirmed",J281="Family told",J281="Enrolled"),AG281=""),"Recommendation needed",IF(AND(OR(J281="Family told",J281="Enrolled"),AJ281=""),"Date family told needed","OK"))))))))</f>
        <v/>
      </c>
    </row>
    <row r="282" customFormat="false" ht="15" hidden="false" customHeight="false" outlineLevel="0" collapsed="false">
      <c r="A282" s="7"/>
      <c r="B282" s="7"/>
      <c r="C282" s="46"/>
      <c r="D282" s="7"/>
      <c r="E282" s="47"/>
      <c r="F282" s="46"/>
      <c r="G282" s="46"/>
      <c r="H282" s="7"/>
      <c r="I282" s="7"/>
      <c r="J282" s="47"/>
      <c r="K282" s="47"/>
      <c r="L282" s="47"/>
      <c r="M282" s="47"/>
      <c r="N282" s="47"/>
      <c r="O282" s="10"/>
      <c r="P282" s="47"/>
      <c r="Q282" s="47"/>
      <c r="R282" s="48" t="str">
        <f aca="false">IF(Q282="","",IF(Q282=0,"below 5:00",IF(Q282&gt;=66,"16:00 or above",INT((60+2*Q282)/12)&amp;":"&amp;TEXT(MOD(60+2*Q282,12),"00"))))</f>
        <v/>
      </c>
      <c r="S282" s="47"/>
      <c r="T282" s="47"/>
      <c r="U282" s="47"/>
      <c r="V282" s="47"/>
      <c r="W282" s="47"/>
      <c r="X282" s="47"/>
      <c r="Y282" s="47"/>
      <c r="Z282" s="47"/>
      <c r="AA282" s="10"/>
      <c r="AB282" s="10"/>
      <c r="AC282" s="47"/>
      <c r="AD282" s="47"/>
      <c r="AE282" s="47"/>
      <c r="AF282" s="47"/>
      <c r="AG282" s="47"/>
      <c r="AH282" s="47"/>
      <c r="AI282" s="46"/>
      <c r="AJ282" s="46"/>
      <c r="AK282" s="46"/>
      <c r="AL282" s="7"/>
      <c r="AM282" s="49" t="str">
        <f aca="false">IF(OR(C282="",G282=""),"",IFERROR(DATEDIF(C282,G282,"m"),""))</f>
        <v/>
      </c>
      <c r="AN282" s="49" t="str">
        <f aca="false">IF(OR(Q282="",AM282=""),"",60+2*Q282-AM282)</f>
        <v/>
      </c>
      <c r="AO282" s="49" t="str">
        <f aca="false">IF(OR(G282="",AJ282=""),"",AJ282-G282)</f>
        <v/>
      </c>
      <c r="AP282" s="50" t="str">
        <f aca="false">IF(AND(A282="",B282=""),"",IF(J282="","Status needed",IF(OR(J282="Applied",J282="Visit booked",J282="Withdrawn"),"OK",IF(G282="","Date assessed needed",IF(C282="","Date of birth needed",IF(COUNTA(L282,M282,P282,U282,V282,X282)&lt;6,"Band missing",IF(AND(OR(J282="Decision confirmed",J282="Family told",J282="Enrolled"),AG282=""),"Recommendation needed",IF(AND(OR(J282="Family told",J282="Enrolled"),AJ282=""),"Date family told needed","OK"))))))))</f>
        <v/>
      </c>
    </row>
    <row r="283" customFormat="false" ht="15" hidden="false" customHeight="false" outlineLevel="0" collapsed="false">
      <c r="A283" s="7"/>
      <c r="B283" s="7"/>
      <c r="C283" s="46"/>
      <c r="D283" s="7"/>
      <c r="E283" s="47"/>
      <c r="F283" s="46"/>
      <c r="G283" s="46"/>
      <c r="H283" s="7"/>
      <c r="I283" s="7"/>
      <c r="J283" s="47"/>
      <c r="K283" s="47"/>
      <c r="L283" s="47"/>
      <c r="M283" s="47"/>
      <c r="N283" s="47"/>
      <c r="O283" s="10"/>
      <c r="P283" s="47"/>
      <c r="Q283" s="47"/>
      <c r="R283" s="48" t="str">
        <f aca="false">IF(Q283="","",IF(Q283=0,"below 5:00",IF(Q283&gt;=66,"16:00 or above",INT((60+2*Q283)/12)&amp;":"&amp;TEXT(MOD(60+2*Q283,12),"00"))))</f>
        <v/>
      </c>
      <c r="S283" s="47"/>
      <c r="T283" s="47"/>
      <c r="U283" s="47"/>
      <c r="V283" s="47"/>
      <c r="W283" s="47"/>
      <c r="X283" s="47"/>
      <c r="Y283" s="47"/>
      <c r="Z283" s="47"/>
      <c r="AA283" s="10"/>
      <c r="AB283" s="10"/>
      <c r="AC283" s="47"/>
      <c r="AD283" s="47"/>
      <c r="AE283" s="47"/>
      <c r="AF283" s="47"/>
      <c r="AG283" s="47"/>
      <c r="AH283" s="47"/>
      <c r="AI283" s="46"/>
      <c r="AJ283" s="46"/>
      <c r="AK283" s="46"/>
      <c r="AL283" s="7"/>
      <c r="AM283" s="49" t="str">
        <f aca="false">IF(OR(C283="",G283=""),"",IFERROR(DATEDIF(C283,G283,"m"),""))</f>
        <v/>
      </c>
      <c r="AN283" s="49" t="str">
        <f aca="false">IF(OR(Q283="",AM283=""),"",60+2*Q283-AM283)</f>
        <v/>
      </c>
      <c r="AO283" s="49" t="str">
        <f aca="false">IF(OR(G283="",AJ283=""),"",AJ283-G283)</f>
        <v/>
      </c>
      <c r="AP283" s="50" t="str">
        <f aca="false">IF(AND(A283="",B283=""),"",IF(J283="","Status needed",IF(OR(J283="Applied",J283="Visit booked",J283="Withdrawn"),"OK",IF(G283="","Date assessed needed",IF(C283="","Date of birth needed",IF(COUNTA(L283,M283,P283,U283,V283,X283)&lt;6,"Band missing",IF(AND(OR(J283="Decision confirmed",J283="Family told",J283="Enrolled"),AG283=""),"Recommendation needed",IF(AND(OR(J283="Family told",J283="Enrolled"),AJ283=""),"Date family told needed","OK"))))))))</f>
        <v/>
      </c>
    </row>
    <row r="284" customFormat="false" ht="15" hidden="false" customHeight="false" outlineLevel="0" collapsed="false">
      <c r="A284" s="7"/>
      <c r="B284" s="7"/>
      <c r="C284" s="46"/>
      <c r="D284" s="7"/>
      <c r="E284" s="47"/>
      <c r="F284" s="46"/>
      <c r="G284" s="46"/>
      <c r="H284" s="7"/>
      <c r="I284" s="7"/>
      <c r="J284" s="47"/>
      <c r="K284" s="47"/>
      <c r="L284" s="47"/>
      <c r="M284" s="47"/>
      <c r="N284" s="47"/>
      <c r="O284" s="10"/>
      <c r="P284" s="47"/>
      <c r="Q284" s="47"/>
      <c r="R284" s="48" t="str">
        <f aca="false">IF(Q284="","",IF(Q284=0,"below 5:00",IF(Q284&gt;=66,"16:00 or above",INT((60+2*Q284)/12)&amp;":"&amp;TEXT(MOD(60+2*Q284,12),"00"))))</f>
        <v/>
      </c>
      <c r="S284" s="47"/>
      <c r="T284" s="47"/>
      <c r="U284" s="47"/>
      <c r="V284" s="47"/>
      <c r="W284" s="47"/>
      <c r="X284" s="47"/>
      <c r="Y284" s="47"/>
      <c r="Z284" s="47"/>
      <c r="AA284" s="10"/>
      <c r="AB284" s="10"/>
      <c r="AC284" s="47"/>
      <c r="AD284" s="47"/>
      <c r="AE284" s="47"/>
      <c r="AF284" s="47"/>
      <c r="AG284" s="47"/>
      <c r="AH284" s="47"/>
      <c r="AI284" s="46"/>
      <c r="AJ284" s="46"/>
      <c r="AK284" s="46"/>
      <c r="AL284" s="7"/>
      <c r="AM284" s="49" t="str">
        <f aca="false">IF(OR(C284="",G284=""),"",IFERROR(DATEDIF(C284,G284,"m"),""))</f>
        <v/>
      </c>
      <c r="AN284" s="49" t="str">
        <f aca="false">IF(OR(Q284="",AM284=""),"",60+2*Q284-AM284)</f>
        <v/>
      </c>
      <c r="AO284" s="49" t="str">
        <f aca="false">IF(OR(G284="",AJ284=""),"",AJ284-G284)</f>
        <v/>
      </c>
      <c r="AP284" s="50" t="str">
        <f aca="false">IF(AND(A284="",B284=""),"",IF(J284="","Status needed",IF(OR(J284="Applied",J284="Visit booked",J284="Withdrawn"),"OK",IF(G284="","Date assessed needed",IF(C284="","Date of birth needed",IF(COUNTA(L284,M284,P284,U284,V284,X284)&lt;6,"Band missing",IF(AND(OR(J284="Decision confirmed",J284="Family told",J284="Enrolled"),AG284=""),"Recommendation needed",IF(AND(OR(J284="Family told",J284="Enrolled"),AJ284=""),"Date family told needed","OK"))))))))</f>
        <v/>
      </c>
    </row>
    <row r="285" customFormat="false" ht="15" hidden="false" customHeight="false" outlineLevel="0" collapsed="false">
      <c r="A285" s="7"/>
      <c r="B285" s="7"/>
      <c r="C285" s="46"/>
      <c r="D285" s="7"/>
      <c r="E285" s="47"/>
      <c r="F285" s="46"/>
      <c r="G285" s="46"/>
      <c r="H285" s="7"/>
      <c r="I285" s="7"/>
      <c r="J285" s="47"/>
      <c r="K285" s="47"/>
      <c r="L285" s="47"/>
      <c r="M285" s="47"/>
      <c r="N285" s="47"/>
      <c r="O285" s="10"/>
      <c r="P285" s="47"/>
      <c r="Q285" s="47"/>
      <c r="R285" s="48" t="str">
        <f aca="false">IF(Q285="","",IF(Q285=0,"below 5:00",IF(Q285&gt;=66,"16:00 or above",INT((60+2*Q285)/12)&amp;":"&amp;TEXT(MOD(60+2*Q285,12),"00"))))</f>
        <v/>
      </c>
      <c r="S285" s="47"/>
      <c r="T285" s="47"/>
      <c r="U285" s="47"/>
      <c r="V285" s="47"/>
      <c r="W285" s="47"/>
      <c r="X285" s="47"/>
      <c r="Y285" s="47"/>
      <c r="Z285" s="47"/>
      <c r="AA285" s="10"/>
      <c r="AB285" s="10"/>
      <c r="AC285" s="47"/>
      <c r="AD285" s="47"/>
      <c r="AE285" s="47"/>
      <c r="AF285" s="47"/>
      <c r="AG285" s="47"/>
      <c r="AH285" s="47"/>
      <c r="AI285" s="46"/>
      <c r="AJ285" s="46"/>
      <c r="AK285" s="46"/>
      <c r="AL285" s="7"/>
      <c r="AM285" s="49" t="str">
        <f aca="false">IF(OR(C285="",G285=""),"",IFERROR(DATEDIF(C285,G285,"m"),""))</f>
        <v/>
      </c>
      <c r="AN285" s="49" t="str">
        <f aca="false">IF(OR(Q285="",AM285=""),"",60+2*Q285-AM285)</f>
        <v/>
      </c>
      <c r="AO285" s="49" t="str">
        <f aca="false">IF(OR(G285="",AJ285=""),"",AJ285-G285)</f>
        <v/>
      </c>
      <c r="AP285" s="50" t="str">
        <f aca="false">IF(AND(A285="",B285=""),"",IF(J285="","Status needed",IF(OR(J285="Applied",J285="Visit booked",J285="Withdrawn"),"OK",IF(G285="","Date assessed needed",IF(C285="","Date of birth needed",IF(COUNTA(L285,M285,P285,U285,V285,X285)&lt;6,"Band missing",IF(AND(OR(J285="Decision confirmed",J285="Family told",J285="Enrolled"),AG285=""),"Recommendation needed",IF(AND(OR(J285="Family told",J285="Enrolled"),AJ285=""),"Date family told needed","OK"))))))))</f>
        <v/>
      </c>
    </row>
    <row r="286" customFormat="false" ht="15" hidden="false" customHeight="false" outlineLevel="0" collapsed="false">
      <c r="A286" s="7"/>
      <c r="B286" s="7"/>
      <c r="C286" s="46"/>
      <c r="D286" s="7"/>
      <c r="E286" s="47"/>
      <c r="F286" s="46"/>
      <c r="G286" s="46"/>
      <c r="H286" s="7"/>
      <c r="I286" s="7"/>
      <c r="J286" s="47"/>
      <c r="K286" s="47"/>
      <c r="L286" s="47"/>
      <c r="M286" s="47"/>
      <c r="N286" s="47"/>
      <c r="O286" s="10"/>
      <c r="P286" s="47"/>
      <c r="Q286" s="47"/>
      <c r="R286" s="48" t="str">
        <f aca="false">IF(Q286="","",IF(Q286=0,"below 5:00",IF(Q286&gt;=66,"16:00 or above",INT((60+2*Q286)/12)&amp;":"&amp;TEXT(MOD(60+2*Q286,12),"00"))))</f>
        <v/>
      </c>
      <c r="S286" s="47"/>
      <c r="T286" s="47"/>
      <c r="U286" s="47"/>
      <c r="V286" s="47"/>
      <c r="W286" s="47"/>
      <c r="X286" s="47"/>
      <c r="Y286" s="47"/>
      <c r="Z286" s="47"/>
      <c r="AA286" s="10"/>
      <c r="AB286" s="10"/>
      <c r="AC286" s="47"/>
      <c r="AD286" s="47"/>
      <c r="AE286" s="47"/>
      <c r="AF286" s="47"/>
      <c r="AG286" s="47"/>
      <c r="AH286" s="47"/>
      <c r="AI286" s="46"/>
      <c r="AJ286" s="46"/>
      <c r="AK286" s="46"/>
      <c r="AL286" s="7"/>
      <c r="AM286" s="49" t="str">
        <f aca="false">IF(OR(C286="",G286=""),"",IFERROR(DATEDIF(C286,G286,"m"),""))</f>
        <v/>
      </c>
      <c r="AN286" s="49" t="str">
        <f aca="false">IF(OR(Q286="",AM286=""),"",60+2*Q286-AM286)</f>
        <v/>
      </c>
      <c r="AO286" s="49" t="str">
        <f aca="false">IF(OR(G286="",AJ286=""),"",AJ286-G286)</f>
        <v/>
      </c>
      <c r="AP286" s="50" t="str">
        <f aca="false">IF(AND(A286="",B286=""),"",IF(J286="","Status needed",IF(OR(J286="Applied",J286="Visit booked",J286="Withdrawn"),"OK",IF(G286="","Date assessed needed",IF(C286="","Date of birth needed",IF(COUNTA(L286,M286,P286,U286,V286,X286)&lt;6,"Band missing",IF(AND(OR(J286="Decision confirmed",J286="Family told",J286="Enrolled"),AG286=""),"Recommendation needed",IF(AND(OR(J286="Family told",J286="Enrolled"),AJ286=""),"Date family told needed","OK"))))))))</f>
        <v/>
      </c>
    </row>
    <row r="287" customFormat="false" ht="15" hidden="false" customHeight="false" outlineLevel="0" collapsed="false">
      <c r="A287" s="7"/>
      <c r="B287" s="7"/>
      <c r="C287" s="46"/>
      <c r="D287" s="7"/>
      <c r="E287" s="47"/>
      <c r="F287" s="46"/>
      <c r="G287" s="46"/>
      <c r="H287" s="7"/>
      <c r="I287" s="7"/>
      <c r="J287" s="47"/>
      <c r="K287" s="47"/>
      <c r="L287" s="47"/>
      <c r="M287" s="47"/>
      <c r="N287" s="47"/>
      <c r="O287" s="10"/>
      <c r="P287" s="47"/>
      <c r="Q287" s="47"/>
      <c r="R287" s="48" t="str">
        <f aca="false">IF(Q287="","",IF(Q287=0,"below 5:00",IF(Q287&gt;=66,"16:00 or above",INT((60+2*Q287)/12)&amp;":"&amp;TEXT(MOD(60+2*Q287,12),"00"))))</f>
        <v/>
      </c>
      <c r="S287" s="47"/>
      <c r="T287" s="47"/>
      <c r="U287" s="47"/>
      <c r="V287" s="47"/>
      <c r="W287" s="47"/>
      <c r="X287" s="47"/>
      <c r="Y287" s="47"/>
      <c r="Z287" s="47"/>
      <c r="AA287" s="10"/>
      <c r="AB287" s="10"/>
      <c r="AC287" s="47"/>
      <c r="AD287" s="47"/>
      <c r="AE287" s="47"/>
      <c r="AF287" s="47"/>
      <c r="AG287" s="47"/>
      <c r="AH287" s="47"/>
      <c r="AI287" s="46"/>
      <c r="AJ287" s="46"/>
      <c r="AK287" s="46"/>
      <c r="AL287" s="7"/>
      <c r="AM287" s="49" t="str">
        <f aca="false">IF(OR(C287="",G287=""),"",IFERROR(DATEDIF(C287,G287,"m"),""))</f>
        <v/>
      </c>
      <c r="AN287" s="49" t="str">
        <f aca="false">IF(OR(Q287="",AM287=""),"",60+2*Q287-AM287)</f>
        <v/>
      </c>
      <c r="AO287" s="49" t="str">
        <f aca="false">IF(OR(G287="",AJ287=""),"",AJ287-G287)</f>
        <v/>
      </c>
      <c r="AP287" s="50" t="str">
        <f aca="false">IF(AND(A287="",B287=""),"",IF(J287="","Status needed",IF(OR(J287="Applied",J287="Visit booked",J287="Withdrawn"),"OK",IF(G287="","Date assessed needed",IF(C287="","Date of birth needed",IF(COUNTA(L287,M287,P287,U287,V287,X287)&lt;6,"Band missing",IF(AND(OR(J287="Decision confirmed",J287="Family told",J287="Enrolled"),AG287=""),"Recommendation needed",IF(AND(OR(J287="Family told",J287="Enrolled"),AJ287=""),"Date family told needed","OK"))))))))</f>
        <v/>
      </c>
    </row>
    <row r="288" customFormat="false" ht="15" hidden="false" customHeight="false" outlineLevel="0" collapsed="false">
      <c r="A288" s="7"/>
      <c r="B288" s="7"/>
      <c r="C288" s="46"/>
      <c r="D288" s="7"/>
      <c r="E288" s="47"/>
      <c r="F288" s="46"/>
      <c r="G288" s="46"/>
      <c r="H288" s="7"/>
      <c r="I288" s="7"/>
      <c r="J288" s="47"/>
      <c r="K288" s="47"/>
      <c r="L288" s="47"/>
      <c r="M288" s="47"/>
      <c r="N288" s="47"/>
      <c r="O288" s="10"/>
      <c r="P288" s="47"/>
      <c r="Q288" s="47"/>
      <c r="R288" s="48" t="str">
        <f aca="false">IF(Q288="","",IF(Q288=0,"below 5:00",IF(Q288&gt;=66,"16:00 or above",INT((60+2*Q288)/12)&amp;":"&amp;TEXT(MOD(60+2*Q288,12),"00"))))</f>
        <v/>
      </c>
      <c r="S288" s="47"/>
      <c r="T288" s="47"/>
      <c r="U288" s="47"/>
      <c r="V288" s="47"/>
      <c r="W288" s="47"/>
      <c r="X288" s="47"/>
      <c r="Y288" s="47"/>
      <c r="Z288" s="47"/>
      <c r="AA288" s="10"/>
      <c r="AB288" s="10"/>
      <c r="AC288" s="47"/>
      <c r="AD288" s="47"/>
      <c r="AE288" s="47"/>
      <c r="AF288" s="47"/>
      <c r="AG288" s="47"/>
      <c r="AH288" s="47"/>
      <c r="AI288" s="46"/>
      <c r="AJ288" s="46"/>
      <c r="AK288" s="46"/>
      <c r="AL288" s="7"/>
      <c r="AM288" s="49" t="str">
        <f aca="false">IF(OR(C288="",G288=""),"",IFERROR(DATEDIF(C288,G288,"m"),""))</f>
        <v/>
      </c>
      <c r="AN288" s="49" t="str">
        <f aca="false">IF(OR(Q288="",AM288=""),"",60+2*Q288-AM288)</f>
        <v/>
      </c>
      <c r="AO288" s="49" t="str">
        <f aca="false">IF(OR(G288="",AJ288=""),"",AJ288-G288)</f>
        <v/>
      </c>
      <c r="AP288" s="50" t="str">
        <f aca="false">IF(AND(A288="",B288=""),"",IF(J288="","Status needed",IF(OR(J288="Applied",J288="Visit booked",J288="Withdrawn"),"OK",IF(G288="","Date assessed needed",IF(C288="","Date of birth needed",IF(COUNTA(L288,M288,P288,U288,V288,X288)&lt;6,"Band missing",IF(AND(OR(J288="Decision confirmed",J288="Family told",J288="Enrolled"),AG288=""),"Recommendation needed",IF(AND(OR(J288="Family told",J288="Enrolled"),AJ288=""),"Date family told needed","OK"))))))))</f>
        <v/>
      </c>
    </row>
    <row r="289" customFormat="false" ht="15" hidden="false" customHeight="false" outlineLevel="0" collapsed="false">
      <c r="A289" s="7"/>
      <c r="B289" s="7"/>
      <c r="C289" s="46"/>
      <c r="D289" s="7"/>
      <c r="E289" s="47"/>
      <c r="F289" s="46"/>
      <c r="G289" s="46"/>
      <c r="H289" s="7"/>
      <c r="I289" s="7"/>
      <c r="J289" s="47"/>
      <c r="K289" s="47"/>
      <c r="L289" s="47"/>
      <c r="M289" s="47"/>
      <c r="N289" s="47"/>
      <c r="O289" s="10"/>
      <c r="P289" s="47"/>
      <c r="Q289" s="47"/>
      <c r="R289" s="48" t="str">
        <f aca="false">IF(Q289="","",IF(Q289=0,"below 5:00",IF(Q289&gt;=66,"16:00 or above",INT((60+2*Q289)/12)&amp;":"&amp;TEXT(MOD(60+2*Q289,12),"00"))))</f>
        <v/>
      </c>
      <c r="S289" s="47"/>
      <c r="T289" s="47"/>
      <c r="U289" s="47"/>
      <c r="V289" s="47"/>
      <c r="W289" s="47"/>
      <c r="X289" s="47"/>
      <c r="Y289" s="47"/>
      <c r="Z289" s="47"/>
      <c r="AA289" s="10"/>
      <c r="AB289" s="10"/>
      <c r="AC289" s="47"/>
      <c r="AD289" s="47"/>
      <c r="AE289" s="47"/>
      <c r="AF289" s="47"/>
      <c r="AG289" s="47"/>
      <c r="AH289" s="47"/>
      <c r="AI289" s="46"/>
      <c r="AJ289" s="46"/>
      <c r="AK289" s="46"/>
      <c r="AL289" s="7"/>
      <c r="AM289" s="49" t="str">
        <f aca="false">IF(OR(C289="",G289=""),"",IFERROR(DATEDIF(C289,G289,"m"),""))</f>
        <v/>
      </c>
      <c r="AN289" s="49" t="str">
        <f aca="false">IF(OR(Q289="",AM289=""),"",60+2*Q289-AM289)</f>
        <v/>
      </c>
      <c r="AO289" s="49" t="str">
        <f aca="false">IF(OR(G289="",AJ289=""),"",AJ289-G289)</f>
        <v/>
      </c>
      <c r="AP289" s="50" t="str">
        <f aca="false">IF(AND(A289="",B289=""),"",IF(J289="","Status needed",IF(OR(J289="Applied",J289="Visit booked",J289="Withdrawn"),"OK",IF(G289="","Date assessed needed",IF(C289="","Date of birth needed",IF(COUNTA(L289,M289,P289,U289,V289,X289)&lt;6,"Band missing",IF(AND(OR(J289="Decision confirmed",J289="Family told",J289="Enrolled"),AG289=""),"Recommendation needed",IF(AND(OR(J289="Family told",J289="Enrolled"),AJ289=""),"Date family told needed","OK"))))))))</f>
        <v/>
      </c>
    </row>
    <row r="290" customFormat="false" ht="15" hidden="false" customHeight="false" outlineLevel="0" collapsed="false">
      <c r="A290" s="7"/>
      <c r="B290" s="7"/>
      <c r="C290" s="46"/>
      <c r="D290" s="7"/>
      <c r="E290" s="47"/>
      <c r="F290" s="46"/>
      <c r="G290" s="46"/>
      <c r="H290" s="7"/>
      <c r="I290" s="7"/>
      <c r="J290" s="47"/>
      <c r="K290" s="47"/>
      <c r="L290" s="47"/>
      <c r="M290" s="47"/>
      <c r="N290" s="47"/>
      <c r="O290" s="10"/>
      <c r="P290" s="47"/>
      <c r="Q290" s="47"/>
      <c r="R290" s="48" t="str">
        <f aca="false">IF(Q290="","",IF(Q290=0,"below 5:00",IF(Q290&gt;=66,"16:00 or above",INT((60+2*Q290)/12)&amp;":"&amp;TEXT(MOD(60+2*Q290,12),"00"))))</f>
        <v/>
      </c>
      <c r="S290" s="47"/>
      <c r="T290" s="47"/>
      <c r="U290" s="47"/>
      <c r="V290" s="47"/>
      <c r="W290" s="47"/>
      <c r="X290" s="47"/>
      <c r="Y290" s="47"/>
      <c r="Z290" s="47"/>
      <c r="AA290" s="10"/>
      <c r="AB290" s="10"/>
      <c r="AC290" s="47"/>
      <c r="AD290" s="47"/>
      <c r="AE290" s="47"/>
      <c r="AF290" s="47"/>
      <c r="AG290" s="47"/>
      <c r="AH290" s="47"/>
      <c r="AI290" s="46"/>
      <c r="AJ290" s="46"/>
      <c r="AK290" s="46"/>
      <c r="AL290" s="7"/>
      <c r="AM290" s="49" t="str">
        <f aca="false">IF(OR(C290="",G290=""),"",IFERROR(DATEDIF(C290,G290,"m"),""))</f>
        <v/>
      </c>
      <c r="AN290" s="49" t="str">
        <f aca="false">IF(OR(Q290="",AM290=""),"",60+2*Q290-AM290)</f>
        <v/>
      </c>
      <c r="AO290" s="49" t="str">
        <f aca="false">IF(OR(G290="",AJ290=""),"",AJ290-G290)</f>
        <v/>
      </c>
      <c r="AP290" s="50" t="str">
        <f aca="false">IF(AND(A290="",B290=""),"",IF(J290="","Status needed",IF(OR(J290="Applied",J290="Visit booked",J290="Withdrawn"),"OK",IF(G290="","Date assessed needed",IF(C290="","Date of birth needed",IF(COUNTA(L290,M290,P290,U290,V290,X290)&lt;6,"Band missing",IF(AND(OR(J290="Decision confirmed",J290="Family told",J290="Enrolled"),AG290=""),"Recommendation needed",IF(AND(OR(J290="Family told",J290="Enrolled"),AJ290=""),"Date family told needed","OK"))))))))</f>
        <v/>
      </c>
    </row>
    <row r="291" customFormat="false" ht="15" hidden="false" customHeight="false" outlineLevel="0" collapsed="false">
      <c r="A291" s="7"/>
      <c r="B291" s="7"/>
      <c r="C291" s="46"/>
      <c r="D291" s="7"/>
      <c r="E291" s="47"/>
      <c r="F291" s="46"/>
      <c r="G291" s="46"/>
      <c r="H291" s="7"/>
      <c r="I291" s="7"/>
      <c r="J291" s="47"/>
      <c r="K291" s="47"/>
      <c r="L291" s="47"/>
      <c r="M291" s="47"/>
      <c r="N291" s="47"/>
      <c r="O291" s="10"/>
      <c r="P291" s="47"/>
      <c r="Q291" s="47"/>
      <c r="R291" s="48" t="str">
        <f aca="false">IF(Q291="","",IF(Q291=0,"below 5:00",IF(Q291&gt;=66,"16:00 or above",INT((60+2*Q291)/12)&amp;":"&amp;TEXT(MOD(60+2*Q291,12),"00"))))</f>
        <v/>
      </c>
      <c r="S291" s="47"/>
      <c r="T291" s="47"/>
      <c r="U291" s="47"/>
      <c r="V291" s="47"/>
      <c r="W291" s="47"/>
      <c r="X291" s="47"/>
      <c r="Y291" s="47"/>
      <c r="Z291" s="47"/>
      <c r="AA291" s="10"/>
      <c r="AB291" s="10"/>
      <c r="AC291" s="47"/>
      <c r="AD291" s="47"/>
      <c r="AE291" s="47"/>
      <c r="AF291" s="47"/>
      <c r="AG291" s="47"/>
      <c r="AH291" s="47"/>
      <c r="AI291" s="46"/>
      <c r="AJ291" s="46"/>
      <c r="AK291" s="46"/>
      <c r="AL291" s="7"/>
      <c r="AM291" s="49" t="str">
        <f aca="false">IF(OR(C291="",G291=""),"",IFERROR(DATEDIF(C291,G291,"m"),""))</f>
        <v/>
      </c>
      <c r="AN291" s="49" t="str">
        <f aca="false">IF(OR(Q291="",AM291=""),"",60+2*Q291-AM291)</f>
        <v/>
      </c>
      <c r="AO291" s="49" t="str">
        <f aca="false">IF(OR(G291="",AJ291=""),"",AJ291-G291)</f>
        <v/>
      </c>
      <c r="AP291" s="50" t="str">
        <f aca="false">IF(AND(A291="",B291=""),"",IF(J291="","Status needed",IF(OR(J291="Applied",J291="Visit booked",J291="Withdrawn"),"OK",IF(G291="","Date assessed needed",IF(C291="","Date of birth needed",IF(COUNTA(L291,M291,P291,U291,V291,X291)&lt;6,"Band missing",IF(AND(OR(J291="Decision confirmed",J291="Family told",J291="Enrolled"),AG291=""),"Recommendation needed",IF(AND(OR(J291="Family told",J291="Enrolled"),AJ291=""),"Date family told needed","OK"))))))))</f>
        <v/>
      </c>
    </row>
    <row r="292" customFormat="false" ht="15" hidden="false" customHeight="false" outlineLevel="0" collapsed="false">
      <c r="A292" s="7"/>
      <c r="B292" s="7"/>
      <c r="C292" s="46"/>
      <c r="D292" s="7"/>
      <c r="E292" s="47"/>
      <c r="F292" s="46"/>
      <c r="G292" s="46"/>
      <c r="H292" s="7"/>
      <c r="I292" s="7"/>
      <c r="J292" s="47"/>
      <c r="K292" s="47"/>
      <c r="L292" s="47"/>
      <c r="M292" s="47"/>
      <c r="N292" s="47"/>
      <c r="O292" s="10"/>
      <c r="P292" s="47"/>
      <c r="Q292" s="47"/>
      <c r="R292" s="48" t="str">
        <f aca="false">IF(Q292="","",IF(Q292=0,"below 5:00",IF(Q292&gt;=66,"16:00 or above",INT((60+2*Q292)/12)&amp;":"&amp;TEXT(MOD(60+2*Q292,12),"00"))))</f>
        <v/>
      </c>
      <c r="S292" s="47"/>
      <c r="T292" s="47"/>
      <c r="U292" s="47"/>
      <c r="V292" s="47"/>
      <c r="W292" s="47"/>
      <c r="X292" s="47"/>
      <c r="Y292" s="47"/>
      <c r="Z292" s="47"/>
      <c r="AA292" s="10"/>
      <c r="AB292" s="10"/>
      <c r="AC292" s="47"/>
      <c r="AD292" s="47"/>
      <c r="AE292" s="47"/>
      <c r="AF292" s="47"/>
      <c r="AG292" s="47"/>
      <c r="AH292" s="47"/>
      <c r="AI292" s="46"/>
      <c r="AJ292" s="46"/>
      <c r="AK292" s="46"/>
      <c r="AL292" s="7"/>
      <c r="AM292" s="49" t="str">
        <f aca="false">IF(OR(C292="",G292=""),"",IFERROR(DATEDIF(C292,G292,"m"),""))</f>
        <v/>
      </c>
      <c r="AN292" s="49" t="str">
        <f aca="false">IF(OR(Q292="",AM292=""),"",60+2*Q292-AM292)</f>
        <v/>
      </c>
      <c r="AO292" s="49" t="str">
        <f aca="false">IF(OR(G292="",AJ292=""),"",AJ292-G292)</f>
        <v/>
      </c>
      <c r="AP292" s="50" t="str">
        <f aca="false">IF(AND(A292="",B292=""),"",IF(J292="","Status needed",IF(OR(J292="Applied",J292="Visit booked",J292="Withdrawn"),"OK",IF(G292="","Date assessed needed",IF(C292="","Date of birth needed",IF(COUNTA(L292,M292,P292,U292,V292,X292)&lt;6,"Band missing",IF(AND(OR(J292="Decision confirmed",J292="Family told",J292="Enrolled"),AG292=""),"Recommendation needed",IF(AND(OR(J292="Family told",J292="Enrolled"),AJ292=""),"Date family told needed","OK"))))))))</f>
        <v/>
      </c>
    </row>
    <row r="293" customFormat="false" ht="15" hidden="false" customHeight="false" outlineLevel="0" collapsed="false">
      <c r="A293" s="7"/>
      <c r="B293" s="7"/>
      <c r="C293" s="46"/>
      <c r="D293" s="7"/>
      <c r="E293" s="47"/>
      <c r="F293" s="46"/>
      <c r="G293" s="46"/>
      <c r="H293" s="7"/>
      <c r="I293" s="7"/>
      <c r="J293" s="47"/>
      <c r="K293" s="47"/>
      <c r="L293" s="47"/>
      <c r="M293" s="47"/>
      <c r="N293" s="47"/>
      <c r="O293" s="10"/>
      <c r="P293" s="47"/>
      <c r="Q293" s="47"/>
      <c r="R293" s="48" t="str">
        <f aca="false">IF(Q293="","",IF(Q293=0,"below 5:00",IF(Q293&gt;=66,"16:00 or above",INT((60+2*Q293)/12)&amp;":"&amp;TEXT(MOD(60+2*Q293,12),"00"))))</f>
        <v/>
      </c>
      <c r="S293" s="47"/>
      <c r="T293" s="47"/>
      <c r="U293" s="47"/>
      <c r="V293" s="47"/>
      <c r="W293" s="47"/>
      <c r="X293" s="47"/>
      <c r="Y293" s="47"/>
      <c r="Z293" s="47"/>
      <c r="AA293" s="10"/>
      <c r="AB293" s="10"/>
      <c r="AC293" s="47"/>
      <c r="AD293" s="47"/>
      <c r="AE293" s="47"/>
      <c r="AF293" s="47"/>
      <c r="AG293" s="47"/>
      <c r="AH293" s="47"/>
      <c r="AI293" s="46"/>
      <c r="AJ293" s="46"/>
      <c r="AK293" s="46"/>
      <c r="AL293" s="7"/>
      <c r="AM293" s="49" t="str">
        <f aca="false">IF(OR(C293="",G293=""),"",IFERROR(DATEDIF(C293,G293,"m"),""))</f>
        <v/>
      </c>
      <c r="AN293" s="49" t="str">
        <f aca="false">IF(OR(Q293="",AM293=""),"",60+2*Q293-AM293)</f>
        <v/>
      </c>
      <c r="AO293" s="49" t="str">
        <f aca="false">IF(OR(G293="",AJ293=""),"",AJ293-G293)</f>
        <v/>
      </c>
      <c r="AP293" s="50" t="str">
        <f aca="false">IF(AND(A293="",B293=""),"",IF(J293="","Status needed",IF(OR(J293="Applied",J293="Visit booked",J293="Withdrawn"),"OK",IF(G293="","Date assessed needed",IF(C293="","Date of birth needed",IF(COUNTA(L293,M293,P293,U293,V293,X293)&lt;6,"Band missing",IF(AND(OR(J293="Decision confirmed",J293="Family told",J293="Enrolled"),AG293=""),"Recommendation needed",IF(AND(OR(J293="Family told",J293="Enrolled"),AJ293=""),"Date family told needed","OK"))))))))</f>
        <v/>
      </c>
    </row>
    <row r="294" customFormat="false" ht="15" hidden="false" customHeight="false" outlineLevel="0" collapsed="false">
      <c r="A294" s="7"/>
      <c r="B294" s="7"/>
      <c r="C294" s="46"/>
      <c r="D294" s="7"/>
      <c r="E294" s="47"/>
      <c r="F294" s="46"/>
      <c r="G294" s="46"/>
      <c r="H294" s="7"/>
      <c r="I294" s="7"/>
      <c r="J294" s="47"/>
      <c r="K294" s="47"/>
      <c r="L294" s="47"/>
      <c r="M294" s="47"/>
      <c r="N294" s="47"/>
      <c r="O294" s="10"/>
      <c r="P294" s="47"/>
      <c r="Q294" s="47"/>
      <c r="R294" s="48" t="str">
        <f aca="false">IF(Q294="","",IF(Q294=0,"below 5:00",IF(Q294&gt;=66,"16:00 or above",INT((60+2*Q294)/12)&amp;":"&amp;TEXT(MOD(60+2*Q294,12),"00"))))</f>
        <v/>
      </c>
      <c r="S294" s="47"/>
      <c r="T294" s="47"/>
      <c r="U294" s="47"/>
      <c r="V294" s="47"/>
      <c r="W294" s="47"/>
      <c r="X294" s="47"/>
      <c r="Y294" s="47"/>
      <c r="Z294" s="47"/>
      <c r="AA294" s="10"/>
      <c r="AB294" s="10"/>
      <c r="AC294" s="47"/>
      <c r="AD294" s="47"/>
      <c r="AE294" s="47"/>
      <c r="AF294" s="47"/>
      <c r="AG294" s="47"/>
      <c r="AH294" s="47"/>
      <c r="AI294" s="46"/>
      <c r="AJ294" s="46"/>
      <c r="AK294" s="46"/>
      <c r="AL294" s="7"/>
      <c r="AM294" s="49" t="str">
        <f aca="false">IF(OR(C294="",G294=""),"",IFERROR(DATEDIF(C294,G294,"m"),""))</f>
        <v/>
      </c>
      <c r="AN294" s="49" t="str">
        <f aca="false">IF(OR(Q294="",AM294=""),"",60+2*Q294-AM294)</f>
        <v/>
      </c>
      <c r="AO294" s="49" t="str">
        <f aca="false">IF(OR(G294="",AJ294=""),"",AJ294-G294)</f>
        <v/>
      </c>
      <c r="AP294" s="50" t="str">
        <f aca="false">IF(AND(A294="",B294=""),"",IF(J294="","Status needed",IF(OR(J294="Applied",J294="Visit booked",J294="Withdrawn"),"OK",IF(G294="","Date assessed needed",IF(C294="","Date of birth needed",IF(COUNTA(L294,M294,P294,U294,V294,X294)&lt;6,"Band missing",IF(AND(OR(J294="Decision confirmed",J294="Family told",J294="Enrolled"),AG294=""),"Recommendation needed",IF(AND(OR(J294="Family told",J294="Enrolled"),AJ294=""),"Date family told needed","OK"))))))))</f>
        <v/>
      </c>
    </row>
    <row r="295" customFormat="false" ht="15" hidden="false" customHeight="false" outlineLevel="0" collapsed="false">
      <c r="A295" s="7"/>
      <c r="B295" s="7"/>
      <c r="C295" s="46"/>
      <c r="D295" s="7"/>
      <c r="E295" s="47"/>
      <c r="F295" s="46"/>
      <c r="G295" s="46"/>
      <c r="H295" s="7"/>
      <c r="I295" s="7"/>
      <c r="J295" s="47"/>
      <c r="K295" s="47"/>
      <c r="L295" s="47"/>
      <c r="M295" s="47"/>
      <c r="N295" s="47"/>
      <c r="O295" s="10"/>
      <c r="P295" s="47"/>
      <c r="Q295" s="47"/>
      <c r="R295" s="48" t="str">
        <f aca="false">IF(Q295="","",IF(Q295=0,"below 5:00",IF(Q295&gt;=66,"16:00 or above",INT((60+2*Q295)/12)&amp;":"&amp;TEXT(MOD(60+2*Q295,12),"00"))))</f>
        <v/>
      </c>
      <c r="S295" s="47"/>
      <c r="T295" s="47"/>
      <c r="U295" s="47"/>
      <c r="V295" s="47"/>
      <c r="W295" s="47"/>
      <c r="X295" s="47"/>
      <c r="Y295" s="47"/>
      <c r="Z295" s="47"/>
      <c r="AA295" s="10"/>
      <c r="AB295" s="10"/>
      <c r="AC295" s="47"/>
      <c r="AD295" s="47"/>
      <c r="AE295" s="47"/>
      <c r="AF295" s="47"/>
      <c r="AG295" s="47"/>
      <c r="AH295" s="47"/>
      <c r="AI295" s="46"/>
      <c r="AJ295" s="46"/>
      <c r="AK295" s="46"/>
      <c r="AL295" s="7"/>
      <c r="AM295" s="49" t="str">
        <f aca="false">IF(OR(C295="",G295=""),"",IFERROR(DATEDIF(C295,G295,"m"),""))</f>
        <v/>
      </c>
      <c r="AN295" s="49" t="str">
        <f aca="false">IF(OR(Q295="",AM295=""),"",60+2*Q295-AM295)</f>
        <v/>
      </c>
      <c r="AO295" s="49" t="str">
        <f aca="false">IF(OR(G295="",AJ295=""),"",AJ295-G295)</f>
        <v/>
      </c>
      <c r="AP295" s="50" t="str">
        <f aca="false">IF(AND(A295="",B295=""),"",IF(J295="","Status needed",IF(OR(J295="Applied",J295="Visit booked",J295="Withdrawn"),"OK",IF(G295="","Date assessed needed",IF(C295="","Date of birth needed",IF(COUNTA(L295,M295,P295,U295,V295,X295)&lt;6,"Band missing",IF(AND(OR(J295="Decision confirmed",J295="Family told",J295="Enrolled"),AG295=""),"Recommendation needed",IF(AND(OR(J295="Family told",J295="Enrolled"),AJ295=""),"Date family told needed","OK"))))))))</f>
        <v/>
      </c>
    </row>
    <row r="296" customFormat="false" ht="15" hidden="false" customHeight="false" outlineLevel="0" collapsed="false">
      <c r="A296" s="7"/>
      <c r="B296" s="7"/>
      <c r="C296" s="46"/>
      <c r="D296" s="7"/>
      <c r="E296" s="47"/>
      <c r="F296" s="46"/>
      <c r="G296" s="46"/>
      <c r="H296" s="7"/>
      <c r="I296" s="7"/>
      <c r="J296" s="47"/>
      <c r="K296" s="47"/>
      <c r="L296" s="47"/>
      <c r="M296" s="47"/>
      <c r="N296" s="47"/>
      <c r="O296" s="10"/>
      <c r="P296" s="47"/>
      <c r="Q296" s="47"/>
      <c r="R296" s="48" t="str">
        <f aca="false">IF(Q296="","",IF(Q296=0,"below 5:00",IF(Q296&gt;=66,"16:00 or above",INT((60+2*Q296)/12)&amp;":"&amp;TEXT(MOD(60+2*Q296,12),"00"))))</f>
        <v/>
      </c>
      <c r="S296" s="47"/>
      <c r="T296" s="47"/>
      <c r="U296" s="47"/>
      <c r="V296" s="47"/>
      <c r="W296" s="47"/>
      <c r="X296" s="47"/>
      <c r="Y296" s="47"/>
      <c r="Z296" s="47"/>
      <c r="AA296" s="10"/>
      <c r="AB296" s="10"/>
      <c r="AC296" s="47"/>
      <c r="AD296" s="47"/>
      <c r="AE296" s="47"/>
      <c r="AF296" s="47"/>
      <c r="AG296" s="47"/>
      <c r="AH296" s="47"/>
      <c r="AI296" s="46"/>
      <c r="AJ296" s="46"/>
      <c r="AK296" s="46"/>
      <c r="AL296" s="7"/>
      <c r="AM296" s="49" t="str">
        <f aca="false">IF(OR(C296="",G296=""),"",IFERROR(DATEDIF(C296,G296,"m"),""))</f>
        <v/>
      </c>
      <c r="AN296" s="49" t="str">
        <f aca="false">IF(OR(Q296="",AM296=""),"",60+2*Q296-AM296)</f>
        <v/>
      </c>
      <c r="AO296" s="49" t="str">
        <f aca="false">IF(OR(G296="",AJ296=""),"",AJ296-G296)</f>
        <v/>
      </c>
      <c r="AP296" s="50" t="str">
        <f aca="false">IF(AND(A296="",B296=""),"",IF(J296="","Status needed",IF(OR(J296="Applied",J296="Visit booked",J296="Withdrawn"),"OK",IF(G296="","Date assessed needed",IF(C296="","Date of birth needed",IF(COUNTA(L296,M296,P296,U296,V296,X296)&lt;6,"Band missing",IF(AND(OR(J296="Decision confirmed",J296="Family told",J296="Enrolled"),AG296=""),"Recommendation needed",IF(AND(OR(J296="Family told",J296="Enrolled"),AJ296=""),"Date family told needed","OK"))))))))</f>
        <v/>
      </c>
    </row>
    <row r="297" customFormat="false" ht="15" hidden="false" customHeight="false" outlineLevel="0" collapsed="false">
      <c r="A297" s="7"/>
      <c r="B297" s="7"/>
      <c r="C297" s="46"/>
      <c r="D297" s="7"/>
      <c r="E297" s="47"/>
      <c r="F297" s="46"/>
      <c r="G297" s="46"/>
      <c r="H297" s="7"/>
      <c r="I297" s="7"/>
      <c r="J297" s="47"/>
      <c r="K297" s="47"/>
      <c r="L297" s="47"/>
      <c r="M297" s="47"/>
      <c r="N297" s="47"/>
      <c r="O297" s="10"/>
      <c r="P297" s="47"/>
      <c r="Q297" s="47"/>
      <c r="R297" s="48" t="str">
        <f aca="false">IF(Q297="","",IF(Q297=0,"below 5:00",IF(Q297&gt;=66,"16:00 or above",INT((60+2*Q297)/12)&amp;":"&amp;TEXT(MOD(60+2*Q297,12),"00"))))</f>
        <v/>
      </c>
      <c r="S297" s="47"/>
      <c r="T297" s="47"/>
      <c r="U297" s="47"/>
      <c r="V297" s="47"/>
      <c r="W297" s="47"/>
      <c r="X297" s="47"/>
      <c r="Y297" s="47"/>
      <c r="Z297" s="47"/>
      <c r="AA297" s="10"/>
      <c r="AB297" s="10"/>
      <c r="AC297" s="47"/>
      <c r="AD297" s="47"/>
      <c r="AE297" s="47"/>
      <c r="AF297" s="47"/>
      <c r="AG297" s="47"/>
      <c r="AH297" s="47"/>
      <c r="AI297" s="46"/>
      <c r="AJ297" s="46"/>
      <c r="AK297" s="46"/>
      <c r="AL297" s="7"/>
      <c r="AM297" s="49" t="str">
        <f aca="false">IF(OR(C297="",G297=""),"",IFERROR(DATEDIF(C297,G297,"m"),""))</f>
        <v/>
      </c>
      <c r="AN297" s="49" t="str">
        <f aca="false">IF(OR(Q297="",AM297=""),"",60+2*Q297-AM297)</f>
        <v/>
      </c>
      <c r="AO297" s="49" t="str">
        <f aca="false">IF(OR(G297="",AJ297=""),"",AJ297-G297)</f>
        <v/>
      </c>
      <c r="AP297" s="50" t="str">
        <f aca="false">IF(AND(A297="",B297=""),"",IF(J297="","Status needed",IF(OR(J297="Applied",J297="Visit booked",J297="Withdrawn"),"OK",IF(G297="","Date assessed needed",IF(C297="","Date of birth needed",IF(COUNTA(L297,M297,P297,U297,V297,X297)&lt;6,"Band missing",IF(AND(OR(J297="Decision confirmed",J297="Family told",J297="Enrolled"),AG297=""),"Recommendation needed",IF(AND(OR(J297="Family told",J297="Enrolled"),AJ297=""),"Date family told needed","OK"))))))))</f>
        <v/>
      </c>
    </row>
    <row r="298" customFormat="false" ht="15" hidden="false" customHeight="false" outlineLevel="0" collapsed="false">
      <c r="A298" s="7"/>
      <c r="B298" s="7"/>
      <c r="C298" s="46"/>
      <c r="D298" s="7"/>
      <c r="E298" s="47"/>
      <c r="F298" s="46"/>
      <c r="G298" s="46"/>
      <c r="H298" s="7"/>
      <c r="I298" s="7"/>
      <c r="J298" s="47"/>
      <c r="K298" s="47"/>
      <c r="L298" s="47"/>
      <c r="M298" s="47"/>
      <c r="N298" s="47"/>
      <c r="O298" s="10"/>
      <c r="P298" s="47"/>
      <c r="Q298" s="47"/>
      <c r="R298" s="48" t="str">
        <f aca="false">IF(Q298="","",IF(Q298=0,"below 5:00",IF(Q298&gt;=66,"16:00 or above",INT((60+2*Q298)/12)&amp;":"&amp;TEXT(MOD(60+2*Q298,12),"00"))))</f>
        <v/>
      </c>
      <c r="S298" s="47"/>
      <c r="T298" s="47"/>
      <c r="U298" s="47"/>
      <c r="V298" s="47"/>
      <c r="W298" s="47"/>
      <c r="X298" s="47"/>
      <c r="Y298" s="47"/>
      <c r="Z298" s="47"/>
      <c r="AA298" s="10"/>
      <c r="AB298" s="10"/>
      <c r="AC298" s="47"/>
      <c r="AD298" s="47"/>
      <c r="AE298" s="47"/>
      <c r="AF298" s="47"/>
      <c r="AG298" s="47"/>
      <c r="AH298" s="47"/>
      <c r="AI298" s="46"/>
      <c r="AJ298" s="46"/>
      <c r="AK298" s="46"/>
      <c r="AL298" s="7"/>
      <c r="AM298" s="49" t="str">
        <f aca="false">IF(OR(C298="",G298=""),"",IFERROR(DATEDIF(C298,G298,"m"),""))</f>
        <v/>
      </c>
      <c r="AN298" s="49" t="str">
        <f aca="false">IF(OR(Q298="",AM298=""),"",60+2*Q298-AM298)</f>
        <v/>
      </c>
      <c r="AO298" s="49" t="str">
        <f aca="false">IF(OR(G298="",AJ298=""),"",AJ298-G298)</f>
        <v/>
      </c>
      <c r="AP298" s="50" t="str">
        <f aca="false">IF(AND(A298="",B298=""),"",IF(J298="","Status needed",IF(OR(J298="Applied",J298="Visit booked",J298="Withdrawn"),"OK",IF(G298="","Date assessed needed",IF(C298="","Date of birth needed",IF(COUNTA(L298,M298,P298,U298,V298,X298)&lt;6,"Band missing",IF(AND(OR(J298="Decision confirmed",J298="Family told",J298="Enrolled"),AG298=""),"Recommendation needed",IF(AND(OR(J298="Family told",J298="Enrolled"),AJ298=""),"Date family told needed","OK"))))))))</f>
        <v/>
      </c>
    </row>
    <row r="299" customFormat="false" ht="15" hidden="false" customHeight="false" outlineLevel="0" collapsed="false">
      <c r="A299" s="7"/>
      <c r="B299" s="7"/>
      <c r="C299" s="46"/>
      <c r="D299" s="7"/>
      <c r="E299" s="47"/>
      <c r="F299" s="46"/>
      <c r="G299" s="46"/>
      <c r="H299" s="7"/>
      <c r="I299" s="7"/>
      <c r="J299" s="47"/>
      <c r="K299" s="47"/>
      <c r="L299" s="47"/>
      <c r="M299" s="47"/>
      <c r="N299" s="47"/>
      <c r="O299" s="10"/>
      <c r="P299" s="47"/>
      <c r="Q299" s="47"/>
      <c r="R299" s="48" t="str">
        <f aca="false">IF(Q299="","",IF(Q299=0,"below 5:00",IF(Q299&gt;=66,"16:00 or above",INT((60+2*Q299)/12)&amp;":"&amp;TEXT(MOD(60+2*Q299,12),"00"))))</f>
        <v/>
      </c>
      <c r="S299" s="47"/>
      <c r="T299" s="47"/>
      <c r="U299" s="47"/>
      <c r="V299" s="47"/>
      <c r="W299" s="47"/>
      <c r="X299" s="47"/>
      <c r="Y299" s="47"/>
      <c r="Z299" s="47"/>
      <c r="AA299" s="10"/>
      <c r="AB299" s="10"/>
      <c r="AC299" s="47"/>
      <c r="AD299" s="47"/>
      <c r="AE299" s="47"/>
      <c r="AF299" s="47"/>
      <c r="AG299" s="47"/>
      <c r="AH299" s="47"/>
      <c r="AI299" s="46"/>
      <c r="AJ299" s="46"/>
      <c r="AK299" s="46"/>
      <c r="AL299" s="7"/>
      <c r="AM299" s="49" t="str">
        <f aca="false">IF(OR(C299="",G299=""),"",IFERROR(DATEDIF(C299,G299,"m"),""))</f>
        <v/>
      </c>
      <c r="AN299" s="49" t="str">
        <f aca="false">IF(OR(Q299="",AM299=""),"",60+2*Q299-AM299)</f>
        <v/>
      </c>
      <c r="AO299" s="49" t="str">
        <f aca="false">IF(OR(G299="",AJ299=""),"",AJ299-G299)</f>
        <v/>
      </c>
      <c r="AP299" s="50" t="str">
        <f aca="false">IF(AND(A299="",B299=""),"",IF(J299="","Status needed",IF(OR(J299="Applied",J299="Visit booked",J299="Withdrawn"),"OK",IF(G299="","Date assessed needed",IF(C299="","Date of birth needed",IF(COUNTA(L299,M299,P299,U299,V299,X299)&lt;6,"Band missing",IF(AND(OR(J299="Decision confirmed",J299="Family told",J299="Enrolled"),AG299=""),"Recommendation needed",IF(AND(OR(J299="Family told",J299="Enrolled"),AJ299=""),"Date family told needed","OK"))))))))</f>
        <v/>
      </c>
    </row>
    <row r="300" customFormat="false" ht="15" hidden="false" customHeight="false" outlineLevel="0" collapsed="false">
      <c r="A300" s="7"/>
      <c r="B300" s="7"/>
      <c r="C300" s="46"/>
      <c r="D300" s="7"/>
      <c r="E300" s="47"/>
      <c r="F300" s="46"/>
      <c r="G300" s="46"/>
      <c r="H300" s="7"/>
      <c r="I300" s="7"/>
      <c r="J300" s="47"/>
      <c r="K300" s="47"/>
      <c r="L300" s="47"/>
      <c r="M300" s="47"/>
      <c r="N300" s="47"/>
      <c r="O300" s="10"/>
      <c r="P300" s="47"/>
      <c r="Q300" s="47"/>
      <c r="R300" s="48" t="str">
        <f aca="false">IF(Q300="","",IF(Q300=0,"below 5:00",IF(Q300&gt;=66,"16:00 or above",INT((60+2*Q300)/12)&amp;":"&amp;TEXT(MOD(60+2*Q300,12),"00"))))</f>
        <v/>
      </c>
      <c r="S300" s="47"/>
      <c r="T300" s="47"/>
      <c r="U300" s="47"/>
      <c r="V300" s="47"/>
      <c r="W300" s="47"/>
      <c r="X300" s="47"/>
      <c r="Y300" s="47"/>
      <c r="Z300" s="47"/>
      <c r="AA300" s="10"/>
      <c r="AB300" s="10"/>
      <c r="AC300" s="47"/>
      <c r="AD300" s="47"/>
      <c r="AE300" s="47"/>
      <c r="AF300" s="47"/>
      <c r="AG300" s="47"/>
      <c r="AH300" s="47"/>
      <c r="AI300" s="46"/>
      <c r="AJ300" s="46"/>
      <c r="AK300" s="46"/>
      <c r="AL300" s="7"/>
      <c r="AM300" s="49" t="str">
        <f aca="false">IF(OR(C300="",G300=""),"",IFERROR(DATEDIF(C300,G300,"m"),""))</f>
        <v/>
      </c>
      <c r="AN300" s="49" t="str">
        <f aca="false">IF(OR(Q300="",AM300=""),"",60+2*Q300-AM300)</f>
        <v/>
      </c>
      <c r="AO300" s="49" t="str">
        <f aca="false">IF(OR(G300="",AJ300=""),"",AJ300-G300)</f>
        <v/>
      </c>
      <c r="AP300" s="50" t="str">
        <f aca="false">IF(AND(A300="",B300=""),"",IF(J300="","Status needed",IF(OR(J300="Applied",J300="Visit booked",J300="Withdrawn"),"OK",IF(G300="","Date assessed needed",IF(C300="","Date of birth needed",IF(COUNTA(L300,M300,P300,U300,V300,X300)&lt;6,"Band missing",IF(AND(OR(J300="Decision confirmed",J300="Family told",J300="Enrolled"),AG300=""),"Recommendation needed",IF(AND(OR(J300="Family told",J300="Enrolled"),AJ300=""),"Date family told needed","OK"))))))))</f>
        <v/>
      </c>
    </row>
    <row r="301" customFormat="false" ht="15" hidden="false" customHeight="false" outlineLevel="0" collapsed="false">
      <c r="A301" s="7"/>
      <c r="B301" s="7"/>
      <c r="C301" s="46"/>
      <c r="D301" s="7"/>
      <c r="E301" s="47"/>
      <c r="F301" s="46"/>
      <c r="G301" s="46"/>
      <c r="H301" s="7"/>
      <c r="I301" s="7"/>
      <c r="J301" s="47"/>
      <c r="K301" s="47"/>
      <c r="L301" s="47"/>
      <c r="M301" s="47"/>
      <c r="N301" s="47"/>
      <c r="O301" s="10"/>
      <c r="P301" s="47"/>
      <c r="Q301" s="47"/>
      <c r="R301" s="48" t="str">
        <f aca="false">IF(Q301="","",IF(Q301=0,"below 5:00",IF(Q301&gt;=66,"16:00 or above",INT((60+2*Q301)/12)&amp;":"&amp;TEXT(MOD(60+2*Q301,12),"00"))))</f>
        <v/>
      </c>
      <c r="S301" s="47"/>
      <c r="T301" s="47"/>
      <c r="U301" s="47"/>
      <c r="V301" s="47"/>
      <c r="W301" s="47"/>
      <c r="X301" s="47"/>
      <c r="Y301" s="47"/>
      <c r="Z301" s="47"/>
      <c r="AA301" s="10"/>
      <c r="AB301" s="10"/>
      <c r="AC301" s="47"/>
      <c r="AD301" s="47"/>
      <c r="AE301" s="47"/>
      <c r="AF301" s="47"/>
      <c r="AG301" s="47"/>
      <c r="AH301" s="47"/>
      <c r="AI301" s="46"/>
      <c r="AJ301" s="46"/>
      <c r="AK301" s="46"/>
      <c r="AL301" s="7"/>
      <c r="AM301" s="49" t="str">
        <f aca="false">IF(OR(C301="",G301=""),"",IFERROR(DATEDIF(C301,G301,"m"),""))</f>
        <v/>
      </c>
      <c r="AN301" s="49" t="str">
        <f aca="false">IF(OR(Q301="",AM301=""),"",60+2*Q301-AM301)</f>
        <v/>
      </c>
      <c r="AO301" s="49" t="str">
        <f aca="false">IF(OR(G301="",AJ301=""),"",AJ301-G301)</f>
        <v/>
      </c>
      <c r="AP301" s="50" t="str">
        <f aca="false">IF(AND(A301="",B301=""),"",IF(J301="","Status needed",IF(OR(J301="Applied",J301="Visit booked",J301="Withdrawn"),"OK",IF(G301="","Date assessed needed",IF(C301="","Date of birth needed",IF(COUNTA(L301,M301,P301,U301,V301,X301)&lt;6,"Band missing",IF(AND(OR(J301="Decision confirmed",J301="Family told",J301="Enrolled"),AG301=""),"Recommendation needed",IF(AND(OR(J301="Family told",J301="Enrolled"),AJ301=""),"Date family told needed","OK"))))))))</f>
        <v/>
      </c>
    </row>
    <row r="302" customFormat="false" ht="15" hidden="false" customHeight="false" outlineLevel="0" collapsed="false">
      <c r="A302" s="7"/>
      <c r="B302" s="7"/>
      <c r="C302" s="46"/>
      <c r="D302" s="7"/>
      <c r="E302" s="47"/>
      <c r="F302" s="46"/>
      <c r="G302" s="46"/>
      <c r="H302" s="7"/>
      <c r="I302" s="7"/>
      <c r="J302" s="47"/>
      <c r="K302" s="47"/>
      <c r="L302" s="47"/>
      <c r="M302" s="47"/>
      <c r="N302" s="47"/>
      <c r="O302" s="10"/>
      <c r="P302" s="47"/>
      <c r="Q302" s="47"/>
      <c r="R302" s="48" t="str">
        <f aca="false">IF(Q302="","",IF(Q302=0,"below 5:00",IF(Q302&gt;=66,"16:00 or above",INT((60+2*Q302)/12)&amp;":"&amp;TEXT(MOD(60+2*Q302,12),"00"))))</f>
        <v/>
      </c>
      <c r="S302" s="47"/>
      <c r="T302" s="47"/>
      <c r="U302" s="47"/>
      <c r="V302" s="47"/>
      <c r="W302" s="47"/>
      <c r="X302" s="47"/>
      <c r="Y302" s="47"/>
      <c r="Z302" s="47"/>
      <c r="AA302" s="10"/>
      <c r="AB302" s="10"/>
      <c r="AC302" s="47"/>
      <c r="AD302" s="47"/>
      <c r="AE302" s="47"/>
      <c r="AF302" s="47"/>
      <c r="AG302" s="47"/>
      <c r="AH302" s="47"/>
      <c r="AI302" s="46"/>
      <c r="AJ302" s="46"/>
      <c r="AK302" s="46"/>
      <c r="AL302" s="7"/>
      <c r="AM302" s="49" t="str">
        <f aca="false">IF(OR(C302="",G302=""),"",IFERROR(DATEDIF(C302,G302,"m"),""))</f>
        <v/>
      </c>
      <c r="AN302" s="49" t="str">
        <f aca="false">IF(OR(Q302="",AM302=""),"",60+2*Q302-AM302)</f>
        <v/>
      </c>
      <c r="AO302" s="49" t="str">
        <f aca="false">IF(OR(G302="",AJ302=""),"",AJ302-G302)</f>
        <v/>
      </c>
      <c r="AP302" s="50" t="str">
        <f aca="false">IF(AND(A302="",B302=""),"",IF(J302="","Status needed",IF(OR(J302="Applied",J302="Visit booked",J302="Withdrawn"),"OK",IF(G302="","Date assessed needed",IF(C302="","Date of birth needed",IF(COUNTA(L302,M302,P302,U302,V302,X302)&lt;6,"Band missing",IF(AND(OR(J302="Decision confirmed",J302="Family told",J302="Enrolled"),AG302=""),"Recommendation needed",IF(AND(OR(J302="Family told",J302="Enrolled"),AJ302=""),"Date family told needed","OK"))))))))</f>
        <v/>
      </c>
    </row>
    <row r="303" customFormat="false" ht="15" hidden="false" customHeight="false" outlineLevel="0" collapsed="false">
      <c r="A303" s="7"/>
      <c r="B303" s="7"/>
      <c r="C303" s="46"/>
      <c r="D303" s="7"/>
      <c r="E303" s="47"/>
      <c r="F303" s="46"/>
      <c r="G303" s="46"/>
      <c r="H303" s="7"/>
      <c r="I303" s="7"/>
      <c r="J303" s="47"/>
      <c r="K303" s="47"/>
      <c r="L303" s="47"/>
      <c r="M303" s="47"/>
      <c r="N303" s="47"/>
      <c r="O303" s="10"/>
      <c r="P303" s="47"/>
      <c r="Q303" s="47"/>
      <c r="R303" s="48" t="str">
        <f aca="false">IF(Q303="","",IF(Q303=0,"below 5:00",IF(Q303&gt;=66,"16:00 or above",INT((60+2*Q303)/12)&amp;":"&amp;TEXT(MOD(60+2*Q303,12),"00"))))</f>
        <v/>
      </c>
      <c r="S303" s="47"/>
      <c r="T303" s="47"/>
      <c r="U303" s="47"/>
      <c r="V303" s="47"/>
      <c r="W303" s="47"/>
      <c r="X303" s="47"/>
      <c r="Y303" s="47"/>
      <c r="Z303" s="47"/>
      <c r="AA303" s="10"/>
      <c r="AB303" s="10"/>
      <c r="AC303" s="47"/>
      <c r="AD303" s="47"/>
      <c r="AE303" s="47"/>
      <c r="AF303" s="47"/>
      <c r="AG303" s="47"/>
      <c r="AH303" s="47"/>
      <c r="AI303" s="46"/>
      <c r="AJ303" s="46"/>
      <c r="AK303" s="46"/>
      <c r="AL303" s="7"/>
      <c r="AM303" s="49" t="str">
        <f aca="false">IF(OR(C303="",G303=""),"",IFERROR(DATEDIF(C303,G303,"m"),""))</f>
        <v/>
      </c>
      <c r="AN303" s="49" t="str">
        <f aca="false">IF(OR(Q303="",AM303=""),"",60+2*Q303-AM303)</f>
        <v/>
      </c>
      <c r="AO303" s="49" t="str">
        <f aca="false">IF(OR(G303="",AJ303=""),"",AJ303-G303)</f>
        <v/>
      </c>
      <c r="AP303" s="50" t="str">
        <f aca="false">IF(AND(A303="",B303=""),"",IF(J303="","Status needed",IF(OR(J303="Applied",J303="Visit booked",J303="Withdrawn"),"OK",IF(G303="","Date assessed needed",IF(C303="","Date of birth needed",IF(COUNTA(L303,M303,P303,U303,V303,X303)&lt;6,"Band missing",IF(AND(OR(J303="Decision confirmed",J303="Family told",J303="Enrolled"),AG303=""),"Recommendation needed",IF(AND(OR(J303="Family told",J303="Enrolled"),AJ303=""),"Date family told needed","OK"))))))))</f>
        <v/>
      </c>
    </row>
    <row r="304" customFormat="false" ht="15" hidden="false" customHeight="false" outlineLevel="0" collapsed="false">
      <c r="A304" s="7"/>
      <c r="B304" s="7"/>
      <c r="C304" s="46"/>
      <c r="D304" s="7"/>
      <c r="E304" s="47"/>
      <c r="F304" s="46"/>
      <c r="G304" s="46"/>
      <c r="H304" s="7"/>
      <c r="I304" s="7"/>
      <c r="J304" s="47"/>
      <c r="K304" s="47"/>
      <c r="L304" s="47"/>
      <c r="M304" s="47"/>
      <c r="N304" s="47"/>
      <c r="O304" s="10"/>
      <c r="P304" s="47"/>
      <c r="Q304" s="47"/>
      <c r="R304" s="48" t="str">
        <f aca="false">IF(Q304="","",IF(Q304=0,"below 5:00",IF(Q304&gt;=66,"16:00 or above",INT((60+2*Q304)/12)&amp;":"&amp;TEXT(MOD(60+2*Q304,12),"00"))))</f>
        <v/>
      </c>
      <c r="S304" s="47"/>
      <c r="T304" s="47"/>
      <c r="U304" s="47"/>
      <c r="V304" s="47"/>
      <c r="W304" s="47"/>
      <c r="X304" s="47"/>
      <c r="Y304" s="47"/>
      <c r="Z304" s="47"/>
      <c r="AA304" s="10"/>
      <c r="AB304" s="10"/>
      <c r="AC304" s="47"/>
      <c r="AD304" s="47"/>
      <c r="AE304" s="47"/>
      <c r="AF304" s="47"/>
      <c r="AG304" s="47"/>
      <c r="AH304" s="47"/>
      <c r="AI304" s="46"/>
      <c r="AJ304" s="46"/>
      <c r="AK304" s="46"/>
      <c r="AL304" s="7"/>
      <c r="AM304" s="49" t="str">
        <f aca="false">IF(OR(C304="",G304=""),"",IFERROR(DATEDIF(C304,G304,"m"),""))</f>
        <v/>
      </c>
      <c r="AN304" s="49" t="str">
        <f aca="false">IF(OR(Q304="",AM304=""),"",60+2*Q304-AM304)</f>
        <v/>
      </c>
      <c r="AO304" s="49" t="str">
        <f aca="false">IF(OR(G304="",AJ304=""),"",AJ304-G304)</f>
        <v/>
      </c>
      <c r="AP304" s="50" t="str">
        <f aca="false">IF(AND(A304="",B304=""),"",IF(J304="","Status needed",IF(OR(J304="Applied",J304="Visit booked",J304="Withdrawn"),"OK",IF(G304="","Date assessed needed",IF(C304="","Date of birth needed",IF(COUNTA(L304,M304,P304,U304,V304,X304)&lt;6,"Band missing",IF(AND(OR(J304="Decision confirmed",J304="Family told",J304="Enrolled"),AG304=""),"Recommendation needed",IF(AND(OR(J304="Family told",J304="Enrolled"),AJ304=""),"Date family told needed","OK"))))))))</f>
        <v/>
      </c>
    </row>
    <row r="305" customFormat="false" ht="15" hidden="false" customHeight="false" outlineLevel="0" collapsed="false">
      <c r="A305" s="7"/>
      <c r="B305" s="7"/>
      <c r="C305" s="46"/>
      <c r="D305" s="7"/>
      <c r="E305" s="47"/>
      <c r="F305" s="46"/>
      <c r="G305" s="46"/>
      <c r="H305" s="7"/>
      <c r="I305" s="7"/>
      <c r="J305" s="47"/>
      <c r="K305" s="47"/>
      <c r="L305" s="47"/>
      <c r="M305" s="47"/>
      <c r="N305" s="47"/>
      <c r="O305" s="10"/>
      <c r="P305" s="47"/>
      <c r="Q305" s="47"/>
      <c r="R305" s="48" t="str">
        <f aca="false">IF(Q305="","",IF(Q305=0,"below 5:00",IF(Q305&gt;=66,"16:00 or above",INT((60+2*Q305)/12)&amp;":"&amp;TEXT(MOD(60+2*Q305,12),"00"))))</f>
        <v/>
      </c>
      <c r="S305" s="47"/>
      <c r="T305" s="47"/>
      <c r="U305" s="47"/>
      <c r="V305" s="47"/>
      <c r="W305" s="47"/>
      <c r="X305" s="47"/>
      <c r="Y305" s="47"/>
      <c r="Z305" s="47"/>
      <c r="AA305" s="10"/>
      <c r="AB305" s="10"/>
      <c r="AC305" s="47"/>
      <c r="AD305" s="47"/>
      <c r="AE305" s="47"/>
      <c r="AF305" s="47"/>
      <c r="AG305" s="47"/>
      <c r="AH305" s="47"/>
      <c r="AI305" s="46"/>
      <c r="AJ305" s="46"/>
      <c r="AK305" s="46"/>
      <c r="AL305" s="7"/>
      <c r="AM305" s="49" t="str">
        <f aca="false">IF(OR(C305="",G305=""),"",IFERROR(DATEDIF(C305,G305,"m"),""))</f>
        <v/>
      </c>
      <c r="AN305" s="49" t="str">
        <f aca="false">IF(OR(Q305="",AM305=""),"",60+2*Q305-AM305)</f>
        <v/>
      </c>
      <c r="AO305" s="49" t="str">
        <f aca="false">IF(OR(G305="",AJ305=""),"",AJ305-G305)</f>
        <v/>
      </c>
      <c r="AP305" s="50" t="str">
        <f aca="false">IF(AND(A305="",B305=""),"",IF(J305="","Status needed",IF(OR(J305="Applied",J305="Visit booked",J305="Withdrawn"),"OK",IF(G305="","Date assessed needed",IF(C305="","Date of birth needed",IF(COUNTA(L305,M305,P305,U305,V305,X305)&lt;6,"Band missing",IF(AND(OR(J305="Decision confirmed",J305="Family told",J305="Enrolled"),AG305=""),"Recommendation needed",IF(AND(OR(J305="Family told",J305="Enrolled"),AJ305=""),"Date family told needed","OK"))))))))</f>
        <v/>
      </c>
    </row>
  </sheetData>
  <autoFilter ref="A5:AP305"/>
  <mergeCells count="7">
    <mergeCell ref="A4:E4"/>
    <mergeCell ref="F4:J4"/>
    <mergeCell ref="K4:V4"/>
    <mergeCell ref="W4:AB4"/>
    <mergeCell ref="AC4:AF4"/>
    <mergeCell ref="AG4:AL4"/>
    <mergeCell ref="AM4:AP4"/>
  </mergeCells>
  <conditionalFormatting sqref="L6:L305">
    <cfRule type="cellIs" priority="2" operator="equal" aboveAverage="0" equalAverage="0" bottom="0" percent="0" rank="0" text="" dxfId="13">
      <formula>"A"</formula>
    </cfRule>
    <cfRule type="cellIs" priority="3" operator="equal" aboveAverage="0" equalAverage="0" bottom="0" percent="0" rank="0" text="" dxfId="14">
      <formula>"B"</formula>
    </cfRule>
    <cfRule type="cellIs" priority="4" operator="equal" aboveAverage="0" equalAverage="0" bottom="0" percent="0" rank="0" text="" dxfId="15">
      <formula>"C"</formula>
    </cfRule>
    <cfRule type="cellIs" priority="5" operator="equal" aboveAverage="0" equalAverage="0" bottom="0" percent="0" rank="0" text="" dxfId="16">
      <formula>"D"</formula>
    </cfRule>
    <cfRule type="cellIs" priority="6" operator="equal" aboveAverage="0" equalAverage="0" bottom="0" percent="0" rank="0" text="" dxfId="17">
      <formula>"E"</formula>
    </cfRule>
  </conditionalFormatting>
  <conditionalFormatting sqref="M6:M305">
    <cfRule type="cellIs" priority="7" operator="equal" aboveAverage="0" equalAverage="0" bottom="0" percent="0" rank="0" text="" dxfId="13">
      <formula>"A"</formula>
    </cfRule>
    <cfRule type="cellIs" priority="8" operator="equal" aboveAverage="0" equalAverage="0" bottom="0" percent="0" rank="0" text="" dxfId="14">
      <formula>"B"</formula>
    </cfRule>
    <cfRule type="cellIs" priority="9" operator="equal" aboveAverage="0" equalAverage="0" bottom="0" percent="0" rank="0" text="" dxfId="15">
      <formula>"C"</formula>
    </cfRule>
    <cfRule type="cellIs" priority="10" operator="equal" aboveAverage="0" equalAverage="0" bottom="0" percent="0" rank="0" text="" dxfId="16">
      <formula>"D"</formula>
    </cfRule>
    <cfRule type="cellIs" priority="11" operator="equal" aboveAverage="0" equalAverage="0" bottom="0" percent="0" rank="0" text="" dxfId="17">
      <formula>"E"</formula>
    </cfRule>
  </conditionalFormatting>
  <conditionalFormatting sqref="P6:P305">
    <cfRule type="cellIs" priority="12" operator="equal" aboveAverage="0" equalAverage="0" bottom="0" percent="0" rank="0" text="" dxfId="13">
      <formula>"A"</formula>
    </cfRule>
    <cfRule type="cellIs" priority="13" operator="equal" aboveAverage="0" equalAverage="0" bottom="0" percent="0" rank="0" text="" dxfId="14">
      <formula>"B"</formula>
    </cfRule>
    <cfRule type="cellIs" priority="14" operator="equal" aboveAverage="0" equalAverage="0" bottom="0" percent="0" rank="0" text="" dxfId="15">
      <formula>"C"</formula>
    </cfRule>
    <cfRule type="cellIs" priority="15" operator="equal" aboveAverage="0" equalAverage="0" bottom="0" percent="0" rank="0" text="" dxfId="16">
      <formula>"D"</formula>
    </cfRule>
    <cfRule type="cellIs" priority="16" operator="equal" aboveAverage="0" equalAverage="0" bottom="0" percent="0" rank="0" text="" dxfId="17">
      <formula>"E"</formula>
    </cfRule>
  </conditionalFormatting>
  <conditionalFormatting sqref="S6:S305">
    <cfRule type="cellIs" priority="17" operator="equal" aboveAverage="0" equalAverage="0" bottom="0" percent="0" rank="0" text="" dxfId="13">
      <formula>"A"</formula>
    </cfRule>
    <cfRule type="cellIs" priority="18" operator="equal" aboveAverage="0" equalAverage="0" bottom="0" percent="0" rank="0" text="" dxfId="14">
      <formula>"B"</formula>
    </cfRule>
    <cfRule type="cellIs" priority="19" operator="equal" aboveAverage="0" equalAverage="0" bottom="0" percent="0" rank="0" text="" dxfId="15">
      <formula>"C"</formula>
    </cfRule>
    <cfRule type="cellIs" priority="20" operator="equal" aboveAverage="0" equalAverage="0" bottom="0" percent="0" rank="0" text="" dxfId="16">
      <formula>"D"</formula>
    </cfRule>
    <cfRule type="cellIs" priority="21" operator="equal" aboveAverage="0" equalAverage="0" bottom="0" percent="0" rank="0" text="" dxfId="17">
      <formula>"E"</formula>
    </cfRule>
  </conditionalFormatting>
  <conditionalFormatting sqref="U6:U305">
    <cfRule type="cellIs" priority="22" operator="equal" aboveAverage="0" equalAverage="0" bottom="0" percent="0" rank="0" text="" dxfId="13">
      <formula>"A"</formula>
    </cfRule>
    <cfRule type="cellIs" priority="23" operator="equal" aboveAverage="0" equalAverage="0" bottom="0" percent="0" rank="0" text="" dxfId="14">
      <formula>"B"</formula>
    </cfRule>
    <cfRule type="cellIs" priority="24" operator="equal" aboveAverage="0" equalAverage="0" bottom="0" percent="0" rank="0" text="" dxfId="15">
      <formula>"C"</formula>
    </cfRule>
    <cfRule type="cellIs" priority="25" operator="equal" aboveAverage="0" equalAverage="0" bottom="0" percent="0" rank="0" text="" dxfId="16">
      <formula>"D"</formula>
    </cfRule>
    <cfRule type="cellIs" priority="26" operator="equal" aboveAverage="0" equalAverage="0" bottom="0" percent="0" rank="0" text="" dxfId="17">
      <formula>"E"</formula>
    </cfRule>
  </conditionalFormatting>
  <conditionalFormatting sqref="V6:V305">
    <cfRule type="cellIs" priority="27" operator="equal" aboveAverage="0" equalAverage="0" bottom="0" percent="0" rank="0" text="" dxfId="13">
      <formula>"A"</formula>
    </cfRule>
    <cfRule type="cellIs" priority="28" operator="equal" aboveAverage="0" equalAverage="0" bottom="0" percent="0" rank="0" text="" dxfId="14">
      <formula>"B"</formula>
    </cfRule>
    <cfRule type="cellIs" priority="29" operator="equal" aboveAverage="0" equalAverage="0" bottom="0" percent="0" rank="0" text="" dxfId="15">
      <formula>"C"</formula>
    </cfRule>
    <cfRule type="cellIs" priority="30" operator="equal" aboveAverage="0" equalAverage="0" bottom="0" percent="0" rank="0" text="" dxfId="16">
      <formula>"D"</formula>
    </cfRule>
    <cfRule type="cellIs" priority="31" operator="equal" aboveAverage="0" equalAverage="0" bottom="0" percent="0" rank="0" text="" dxfId="17">
      <formula>"E"</formula>
    </cfRule>
  </conditionalFormatting>
  <conditionalFormatting sqref="X6:X305">
    <cfRule type="cellIs" priority="32" operator="equal" aboveAverage="0" equalAverage="0" bottom="0" percent="0" rank="0" text="" dxfId="13">
      <formula>1</formula>
    </cfRule>
    <cfRule type="cellIs" priority="33" operator="equal" aboveAverage="0" equalAverage="0" bottom="0" percent="0" rank="0" text="" dxfId="14">
      <formula>2</formula>
    </cfRule>
    <cfRule type="cellIs" priority="34" operator="equal" aboveAverage="0" equalAverage="0" bottom="0" percent="0" rank="0" text="" dxfId="16">
      <formula>3</formula>
    </cfRule>
    <cfRule type="cellIs" priority="35" operator="equal" aboveAverage="0" equalAverage="0" bottom="0" percent="0" rank="0" text="" dxfId="17">
      <formula>4</formula>
    </cfRule>
  </conditionalFormatting>
  <conditionalFormatting sqref="AC6:AC305">
    <cfRule type="cellIs" priority="36" operator="equal" aboveAverage="0" equalAverage="0" bottom="0" percent="0" rank="0" text="" dxfId="13">
      <formula>1</formula>
    </cfRule>
    <cfRule type="cellIs" priority="37" operator="equal" aboveAverage="0" equalAverage="0" bottom="0" percent="0" rank="0" text="" dxfId="14">
      <formula>2</formula>
    </cfRule>
  </conditionalFormatting>
  <conditionalFormatting sqref="AD6:AD305">
    <cfRule type="cellIs" priority="38" operator="equal" aboveAverage="0" equalAverage="0" bottom="0" percent="0" rank="0" text="" dxfId="14">
      <formula>"Y"</formula>
    </cfRule>
  </conditionalFormatting>
  <conditionalFormatting sqref="AE6:AE305">
    <cfRule type="cellIs" priority="39" operator="equal" aboveAverage="0" equalAverage="0" bottom="0" percent="0" rank="0" text="" dxfId="14">
      <formula>"Y"</formula>
    </cfRule>
  </conditionalFormatting>
  <conditionalFormatting sqref="AF6:AF305">
    <cfRule type="cellIs" priority="40" operator="equal" aboveAverage="0" equalAverage="0" bottom="0" percent="0" rank="0" text="" dxfId="14">
      <formula>"Y"</formula>
    </cfRule>
  </conditionalFormatting>
  <conditionalFormatting sqref="Z6:Z305">
    <cfRule type="cellIs" priority="41" operator="equal" aboveAverage="0" equalAverage="0" bottom="0" percent="0" rank="0" text="" dxfId="14">
      <formula>"Yes"</formula>
    </cfRule>
  </conditionalFormatting>
  <conditionalFormatting sqref="AN6:AN305">
    <cfRule type="cellIs" priority="42" operator="lessThanOrEqual" aboveAverage="0" equalAverage="0" bottom="0" percent="0" rank="0" text="" dxfId="14">
      <formula>-12</formula>
    </cfRule>
  </conditionalFormatting>
  <conditionalFormatting sqref="J6:J305">
    <cfRule type="cellIs" priority="43" operator="equal" aboveAverage="0" equalAverage="0" bottom="0" percent="0" rank="0" text="" dxfId="18">
      <formula>"Withdrawn"</formula>
    </cfRule>
  </conditionalFormatting>
  <conditionalFormatting sqref="AP6:AP305">
    <cfRule type="expression" priority="44" aboveAverage="0" equalAverage="0" bottom="0" percent="0" rank="0" text="" dxfId="19">
      <formula>AND(AP6&lt;&gt;"",AP6&lt;&gt;"OK")</formula>
    </cfRule>
    <cfRule type="expression" priority="45" aboveAverage="0" equalAverage="0" bottom="0" percent="0" rank="0" text="" dxfId="20">
      <formula>AP6="OK"</formula>
    </cfRule>
  </conditionalFormatting>
  <dataValidations count="23">
    <dataValidation allowBlank="true" error="Enter a date, day first, for example 14/10/2026." errorStyle="stop" errorTitle="Date" operator="between" showDropDown="false" showErrorMessage="true" showInputMessage="false" sqref="C6:C305 F6:G305 AI6:AK305" type="date">
      <formula1>36526</formula1>
      <formula2>73050</formula2>
    </dataValidation>
    <dataValidation allowBlank="true" error="Enter the lowest strand rating on the Interview sheet: 1, 2, 3 or 4." errorStyle="stop" errorTitle="Rating" operator="between" showDropDown="false" showErrorMessage="true" showInputMessage="false" sqref="AC6:AC305" type="whole">
      <formula1>1</formula1>
      <formula2>4</formula2>
    </dataValidation>
    <dataValidation allowBlank="true" error="Enter Y or N, or leave blank." errorStyle="stop" errorTitle="Y or N" operator="between" showDropDown="false" showErrorMessage="true" showInputMessage="false" sqref="E6:E305" type="list">
      <formula1>"Y,N"</formula1>
      <formula2>0</formula2>
    </dataValidation>
    <dataValidation allowBlank="true" error="Choose a status from the list." errorStyle="stop" errorTitle="Status" operator="between" showDropDown="false" showErrorMessage="true" showInputMessage="false" sqref="J6:J305" type="list">
      <formula1>Lists!$A$2:$A$8</formula1>
      <formula2>0</formula2>
    </dataValidation>
    <dataValidation allowBlank="true" error="Enter a whole number from 0 to the maximum shown in row 3 of this column." errorStyle="stop" errorTitle="Score" operator="between" showDropDown="false" showErrorMessage="true" showInputMessage="false" sqref="K6:K305" type="whole">
      <formula1>0</formula1>
      <formula2>$K$3</formula2>
    </dataValidation>
    <dataValidation allowBlank="true" error="Enter a band from the list: A, B, C, D or E." errorStyle="stop" errorTitle="Band" operator="between" showDropDown="false" showErrorMessage="true" showInputMessage="false" sqref="L6:L305" type="list">
      <formula1>"A,B,C,D,E"</formula1>
      <formula2>0</formula2>
    </dataValidation>
    <dataValidation allowBlank="true" error="Enter a band from the list: A, B, C, D or E." errorStyle="stop" errorTitle="Band" operator="between" showDropDown="false" showErrorMessage="true" showInputMessage="false" sqref="M6:M305" type="list">
      <formula1>"A,B,C,D,E"</formula1>
      <formula2>0</formula2>
    </dataValidation>
    <dataValidation allowBlank="true" error="Choose the book band from the list." errorStyle="stop" errorTitle="Book band" operator="between" showDropDown="false" showErrorMessage="true" showInputMessage="false" sqref="N6:N305" type="list">
      <formula1>Lists!$D$2:$D$10</formula1>
      <formula2>0</formula2>
    </dataValidation>
    <dataValidation allowBlank="true" error="Enter a band from the list: A, B, C, D or E." errorStyle="stop" errorTitle="Band" operator="between" showDropDown="false" showErrorMessage="true" showInputMessage="false" sqref="P6:P305" type="list">
      <formula1>"A,B,C,D,E"</formula1>
      <formula2>0</formula2>
    </dataValidation>
    <dataValidation allowBlank="true" error="Enter a whole number from 0 to the maximum shown in row 3 of this column." errorStyle="stop" errorTitle="Score" operator="between" showDropDown="false" showErrorMessage="true" showInputMessage="false" sqref="Q6:Q305" type="whole">
      <formula1>0</formula1>
      <formula2>$Q$3</formula2>
    </dataValidation>
    <dataValidation allowBlank="true" error="Enter a band from the list: A, B, C, D or E." errorStyle="stop" errorTitle="Band" operator="between" showDropDown="false" showErrorMessage="true" showInputMessage="false" sqref="S6:S305" type="list">
      <formula1>"A,B,C,D,E"</formula1>
      <formula2>0</formula2>
    </dataValidation>
    <dataValidation allowBlank="true" error="Enter a whole number from 0 to the maximum shown in row 3 of this column." errorStyle="stop" errorTitle="Score" operator="between" showDropDown="false" showErrorMessage="true" showInputMessage="false" sqref="T6:T305" type="whole">
      <formula1>0</formula1>
      <formula2>$T$3</formula2>
    </dataValidation>
    <dataValidation allowBlank="true" error="Enter a band from the list: A, B, C, D or E." errorStyle="stop" errorTitle="Band" operator="between" showDropDown="false" showErrorMessage="true" showInputMessage="false" sqref="U6:U305" type="list">
      <formula1>"A,B,C,D,E"</formula1>
      <formula2>0</formula2>
    </dataValidation>
    <dataValidation allowBlank="true" error="Enter a band from the list: A, B, C, D or E." errorStyle="stop" errorTitle="Band" operator="between" showDropDown="false" showErrorMessage="true" showInputMessage="false" sqref="V6:V305" type="list">
      <formula1>"A,B,C,D,E"</formula1>
      <formula2>0</formula2>
    </dataValidation>
    <dataValidation allowBlank="true" error="Enter a whole number from 0 to the maximum shown in row 3 of this column." errorStyle="stop" errorTitle="Score" operator="between" showDropDown="false" showErrorMessage="true" showInputMessage="false" sqref="W6:W305" type="whole">
      <formula1>0</formula1>
      <formula2>$W$3</formula2>
    </dataValidation>
    <dataValidation allowBlank="true" error="Enter a band from the list: 1, 2, 3 or 4." errorStyle="stop" errorTitle="Band" operator="between" showDropDown="false" showErrorMessage="true" showInputMessage="false" sqref="X6:X305" type="list">
      <formula1>"1,2,3,4"</formula1>
      <formula2>0</formula2>
    </dataValidation>
    <dataValidation allowBlank="true" error="Enter a whole number from 0 to the maximum shown in row 3 of this column." errorStyle="stop" errorTitle="Score" operator="between" showDropDown="false" showErrorMessage="true" showInputMessage="false" sqref="Y6:Y305" type="whole">
      <formula1>0</formula1>
      <formula2>$Y$3</formula2>
    </dataValidation>
    <dataValidation allowBlank="true" error="Choose Yes, No or Unsure." errorStyle="stop" errorTitle="English barrier in maths" operator="between" showDropDown="false" showErrorMessage="true" showInputMessage="false" sqref="Z6:Z305" type="list">
      <formula1>Lists!$E$2:$E$4</formula1>
      <formula2>0</formula2>
    </dataValidation>
    <dataValidation allowBlank="true" error="Enter Y or N, or leave blank." errorStyle="stop" errorTitle="Y or N" operator="between" showDropDown="false" showErrorMessage="true" showInputMessage="false" sqref="AD6:AD305" type="list">
      <formula1>"Y,N"</formula1>
      <formula2>0</formula2>
    </dataValidation>
    <dataValidation allowBlank="true" error="Enter Y or N, or leave blank." errorStyle="stop" errorTitle="Y or N" operator="between" showDropDown="false" showErrorMessage="true" showInputMessage="false" sqref="AE6:AE305" type="list">
      <formula1>"Y,N"</formula1>
      <formula2>0</formula2>
    </dataValidation>
    <dataValidation allowBlank="true" error="Enter Y or N, or leave blank." errorStyle="stop" errorTitle="Y or N" operator="between" showDropDown="false" showErrorMessage="true" showInputMessage="false" sqref="AF6:AF305" type="list">
      <formula1>"Y,N"</formula1>
      <formula2>0</formula2>
    </dataValidation>
    <dataValidation allowBlank="true" error="Choose a recommendation from the list." errorStyle="stop" errorTitle="Recommendation" operator="between" showDropDown="false" showErrorMessage="true" showInputMessage="false" sqref="AG6:AG305" type="list">
      <formula1>Lists!$B$2:$B$6</formula1>
      <formula2>0</formula2>
    </dataValidation>
    <dataValidation allowBlank="true" error="Choose a support level from the list." errorStyle="stop" errorTitle="English support level" operator="between" showDropDown="false" showErrorMessage="true" showInputMessage="false" sqref="AH6:AH305" type="list">
      <formula1>Lists!$C$2:$C$5</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78D6"/>
    <pageSetUpPr fitToPage="true"/>
  </sheetPr>
  <dimension ref="A1:AP3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4"/>
    <col collapsed="false" customWidth="true" hidden="false" outlineLevel="0" max="3" min="3" style="0" width="12"/>
    <col collapsed="false" customWidth="true" hidden="false" outlineLevel="0" max="4" min="4" style="0" width="24"/>
    <col collapsed="false" customWidth="true" hidden="false" outlineLevel="0" max="5" min="5" style="0" width="9"/>
    <col collapsed="false" customWidth="true" hidden="false" outlineLevel="0" max="7" min="6" style="0" width="12"/>
    <col collapsed="false" customWidth="true" hidden="false" outlineLevel="0" max="8" min="8" style="0" width="10"/>
    <col collapsed="false" customWidth="true" hidden="false" outlineLevel="0" max="9" min="9" style="0" width="9"/>
    <col collapsed="false" customWidth="true" hidden="false" outlineLevel="0" max="10" min="10" style="0" width="18"/>
    <col collapsed="false" customWidth="true" hidden="false" outlineLevel="0" max="13" min="11" style="0" width="9"/>
    <col collapsed="false" customWidth="true" hidden="false" outlineLevel="0" max="14" min="14" style="0" width="17"/>
    <col collapsed="false" customWidth="true" hidden="false" outlineLevel="0" max="15" min="15" style="0" width="10"/>
    <col collapsed="false" customWidth="true" hidden="false" outlineLevel="0" max="16" min="16" style="0" width="9"/>
    <col collapsed="false" customWidth="true" hidden="false" outlineLevel="0" max="17" min="17" style="0" width="10"/>
    <col collapsed="false" customWidth="true" hidden="false" outlineLevel="0" max="18" min="18" style="0" width="11"/>
    <col collapsed="false" customWidth="true" hidden="false" outlineLevel="0" max="19" min="19" style="0" width="10"/>
    <col collapsed="false" customWidth="true" hidden="false" outlineLevel="0" max="24" min="20" style="0" width="9"/>
    <col collapsed="false" customWidth="true" hidden="false" outlineLevel="0" max="25" min="25" style="0" width="10"/>
    <col collapsed="false" customWidth="true" hidden="false" outlineLevel="0" max="26" min="26" style="0" width="11"/>
    <col collapsed="false" customWidth="true" hidden="false" outlineLevel="0" max="28" min="27" style="0" width="9"/>
    <col collapsed="false" customWidth="true" hidden="false" outlineLevel="0" max="29" min="29" style="0" width="11"/>
    <col collapsed="false" customWidth="true" hidden="false" outlineLevel="0" max="31" min="30" style="0" width="10"/>
    <col collapsed="false" customWidth="true" hidden="false" outlineLevel="0" max="32" min="32" style="0" width="11"/>
    <col collapsed="false" customWidth="true" hidden="false" outlineLevel="0" max="33" min="33" style="0" width="32"/>
    <col collapsed="false" customWidth="true" hidden="false" outlineLevel="0" max="34" min="34" style="0" width="28"/>
    <col collapsed="false" customWidth="true" hidden="false" outlineLevel="0" max="37" min="35" style="0" width="12"/>
    <col collapsed="false" customWidth="true" hidden="false" outlineLevel="0" max="38" min="38" style="0" width="36"/>
    <col collapsed="false" customWidth="true" hidden="false" outlineLevel="0" max="39" min="39" style="0" width="11"/>
    <col collapsed="false" customWidth="true" hidden="false" outlineLevel="0" max="41" min="40" style="0" width="12"/>
    <col collapsed="false" customWidth="true" hidden="false" outlineLevel="0" max="42" min="42" style="0" width="26"/>
  </cols>
  <sheetData>
    <row r="1" customFormat="false" ht="17.35" hidden="false" customHeight="false" outlineLevel="0" collapsed="false">
      <c r="A1" s="38" t="s">
        <v>355</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row>
    <row r="2" customFormat="false" ht="15" hidden="false" customHeight="false" outlineLevel="0" collapsed="false">
      <c r="A2" s="18" t="s">
        <v>286</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row>
    <row r="3" customFormat="false" ht="15" hidden="false" customHeight="false" outlineLevel="0" collapsed="false">
      <c r="A3" s="1"/>
      <c r="B3" s="39" t="s">
        <v>356</v>
      </c>
      <c r="C3" s="1"/>
      <c r="D3" s="1"/>
      <c r="E3" s="1"/>
      <c r="F3" s="1"/>
      <c r="G3" s="1"/>
      <c r="H3" s="1"/>
      <c r="I3" s="1"/>
      <c r="J3" s="1"/>
      <c r="K3" s="40" t="n">
        <v>8</v>
      </c>
      <c r="L3" s="1"/>
      <c r="M3" s="1"/>
      <c r="N3" s="41" t="s">
        <v>288</v>
      </c>
      <c r="O3" s="40" t="n">
        <v>24</v>
      </c>
      <c r="P3" s="1"/>
      <c r="Q3" s="40" t="n">
        <v>72</v>
      </c>
      <c r="R3" s="1"/>
      <c r="S3" s="1"/>
      <c r="T3" s="40" t="n">
        <v>16</v>
      </c>
      <c r="U3" s="1"/>
      <c r="V3" s="1"/>
      <c r="W3" s="40" t="n">
        <v>25</v>
      </c>
      <c r="X3" s="1"/>
      <c r="Y3" s="40" t="n">
        <v>5</v>
      </c>
      <c r="Z3" s="1"/>
      <c r="AA3" s="41" t="s">
        <v>288</v>
      </c>
      <c r="AB3" s="41" t="s">
        <v>288</v>
      </c>
      <c r="AC3" s="1"/>
      <c r="AD3" s="1"/>
      <c r="AE3" s="1"/>
      <c r="AF3" s="1"/>
      <c r="AG3" s="1"/>
      <c r="AH3" s="1"/>
      <c r="AI3" s="1"/>
      <c r="AJ3" s="1"/>
      <c r="AK3" s="1"/>
      <c r="AL3" s="1"/>
      <c r="AM3" s="1"/>
      <c r="AN3" s="1"/>
      <c r="AO3" s="1"/>
      <c r="AP3" s="1"/>
    </row>
    <row r="4" customFormat="false" ht="19.5" hidden="false" customHeight="true" outlineLevel="0" collapsed="false">
      <c r="A4" s="42" t="s">
        <v>289</v>
      </c>
      <c r="B4" s="42"/>
      <c r="C4" s="42"/>
      <c r="D4" s="42"/>
      <c r="E4" s="42"/>
      <c r="F4" s="42" t="s">
        <v>290</v>
      </c>
      <c r="G4" s="42"/>
      <c r="H4" s="42"/>
      <c r="I4" s="42"/>
      <c r="J4" s="42"/>
      <c r="K4" s="42" t="s">
        <v>291</v>
      </c>
      <c r="L4" s="42"/>
      <c r="M4" s="42"/>
      <c r="N4" s="42"/>
      <c r="O4" s="42"/>
      <c r="P4" s="42"/>
      <c r="Q4" s="42"/>
      <c r="R4" s="42"/>
      <c r="S4" s="42"/>
      <c r="T4" s="42"/>
      <c r="U4" s="42"/>
      <c r="V4" s="42"/>
      <c r="W4" s="42" t="s">
        <v>292</v>
      </c>
      <c r="X4" s="42"/>
      <c r="Y4" s="42"/>
      <c r="Z4" s="42"/>
      <c r="AA4" s="42"/>
      <c r="AB4" s="42"/>
      <c r="AC4" s="42" t="s">
        <v>293</v>
      </c>
      <c r="AD4" s="42"/>
      <c r="AE4" s="42"/>
      <c r="AF4" s="42"/>
      <c r="AG4" s="42" t="s">
        <v>294</v>
      </c>
      <c r="AH4" s="42"/>
      <c r="AI4" s="42"/>
      <c r="AJ4" s="42"/>
      <c r="AK4" s="42"/>
      <c r="AL4" s="42"/>
      <c r="AM4" s="43" t="s">
        <v>295</v>
      </c>
      <c r="AN4" s="43"/>
      <c r="AO4" s="43"/>
      <c r="AP4" s="43"/>
    </row>
    <row r="5" customFormat="false" ht="61.5" hidden="false" customHeight="true" outlineLevel="0" collapsed="false">
      <c r="A5" s="44" t="s">
        <v>55</v>
      </c>
      <c r="B5" s="44" t="s">
        <v>59</v>
      </c>
      <c r="C5" s="44" t="s">
        <v>62</v>
      </c>
      <c r="D5" s="44" t="s">
        <v>65</v>
      </c>
      <c r="E5" s="44" t="s">
        <v>68</v>
      </c>
      <c r="F5" s="44" t="s">
        <v>72</v>
      </c>
      <c r="G5" s="44" t="s">
        <v>76</v>
      </c>
      <c r="H5" s="44" t="s">
        <v>79</v>
      </c>
      <c r="I5" s="44" t="s">
        <v>83</v>
      </c>
      <c r="J5" s="44" t="s">
        <v>86</v>
      </c>
      <c r="K5" s="44" t="s">
        <v>88</v>
      </c>
      <c r="L5" s="44" t="s">
        <v>91</v>
      </c>
      <c r="M5" s="44" t="s">
        <v>95</v>
      </c>
      <c r="N5" s="45" t="s">
        <v>98</v>
      </c>
      <c r="O5" s="44" t="s">
        <v>102</v>
      </c>
      <c r="P5" s="44" t="s">
        <v>106</v>
      </c>
      <c r="Q5" s="44" t="s">
        <v>109</v>
      </c>
      <c r="R5" s="44" t="s">
        <v>113</v>
      </c>
      <c r="S5" s="44" t="s">
        <v>117</v>
      </c>
      <c r="T5" s="44" t="s">
        <v>120</v>
      </c>
      <c r="U5" s="44" t="s">
        <v>123</v>
      </c>
      <c r="V5" s="44" t="s">
        <v>125</v>
      </c>
      <c r="W5" s="44" t="s">
        <v>127</v>
      </c>
      <c r="X5" s="44" t="s">
        <v>130</v>
      </c>
      <c r="Y5" s="44" t="s">
        <v>134</v>
      </c>
      <c r="Z5" s="44" t="s">
        <v>136</v>
      </c>
      <c r="AA5" s="45" t="s">
        <v>139</v>
      </c>
      <c r="AB5" s="45" t="s">
        <v>141</v>
      </c>
      <c r="AC5" s="44" t="s">
        <v>143</v>
      </c>
      <c r="AD5" s="44" t="s">
        <v>146</v>
      </c>
      <c r="AE5" s="44" t="s">
        <v>149</v>
      </c>
      <c r="AF5" s="44" t="s">
        <v>151</v>
      </c>
      <c r="AG5" s="44" t="s">
        <v>48</v>
      </c>
      <c r="AH5" s="44" t="s">
        <v>156</v>
      </c>
      <c r="AI5" s="44" t="s">
        <v>160</v>
      </c>
      <c r="AJ5" s="44" t="s">
        <v>164</v>
      </c>
      <c r="AK5" s="44" t="s">
        <v>167</v>
      </c>
      <c r="AL5" s="44" t="s">
        <v>170</v>
      </c>
      <c r="AM5" s="44" t="s">
        <v>173</v>
      </c>
      <c r="AN5" s="44" t="s">
        <v>176</v>
      </c>
      <c r="AO5" s="44" t="s">
        <v>179</v>
      </c>
      <c r="AP5" s="44" t="s">
        <v>181</v>
      </c>
    </row>
    <row r="6" customFormat="false" ht="15" hidden="false" customHeight="false" outlineLevel="0" collapsed="false">
      <c r="A6" s="7" t="s">
        <v>357</v>
      </c>
      <c r="B6" s="7" t="s">
        <v>358</v>
      </c>
      <c r="C6" s="46" t="n">
        <v>43076</v>
      </c>
      <c r="D6" s="7" t="s">
        <v>298</v>
      </c>
      <c r="E6" s="47" t="s">
        <v>69</v>
      </c>
      <c r="F6" s="46" t="n">
        <v>46253</v>
      </c>
      <c r="G6" s="46"/>
      <c r="H6" s="7"/>
      <c r="I6" s="7" t="s">
        <v>84</v>
      </c>
      <c r="J6" s="47" t="s">
        <v>27</v>
      </c>
      <c r="K6" s="47"/>
      <c r="L6" s="47"/>
      <c r="M6" s="47"/>
      <c r="N6" s="10"/>
      <c r="O6" s="47"/>
      <c r="P6" s="47"/>
      <c r="Q6" s="47"/>
      <c r="R6" s="48" t="str">
        <f aca="false">IF(Q6="","",IF(Q6=0,"below 5:00",IF(Q6&gt;=66,"16:00 or above",INT((60+2*Q6)/12)&amp;":"&amp;TEXT(MOD(60+2*Q6,12),"00"))))</f>
        <v/>
      </c>
      <c r="S6" s="47"/>
      <c r="T6" s="47"/>
      <c r="U6" s="47"/>
      <c r="V6" s="47"/>
      <c r="W6" s="47"/>
      <c r="X6" s="47"/>
      <c r="Y6" s="47"/>
      <c r="Z6" s="47"/>
      <c r="AA6" s="10"/>
      <c r="AB6" s="10"/>
      <c r="AC6" s="47"/>
      <c r="AD6" s="47"/>
      <c r="AE6" s="47"/>
      <c r="AF6" s="47"/>
      <c r="AG6" s="47"/>
      <c r="AH6" s="47"/>
      <c r="AI6" s="46"/>
      <c r="AJ6" s="46"/>
      <c r="AK6" s="46"/>
      <c r="AL6" s="7"/>
      <c r="AM6" s="49" t="str">
        <f aca="false">IF(OR(C6="",G6=""),"",IFERROR(DATEDIF(C6,G6,"m"),""))</f>
        <v/>
      </c>
      <c r="AN6" s="49" t="str">
        <f aca="false">IF(OR(Q6="",AM6=""),"",60+2*Q6-AM6)</f>
        <v/>
      </c>
      <c r="AO6" s="49" t="str">
        <f aca="false">IF(OR(G6="",AJ6=""),"",AJ6-G6)</f>
        <v/>
      </c>
      <c r="AP6" s="50" t="str">
        <f aca="false">IF(AND(A6="",B6=""),"",IF(J6="","Status needed",IF(OR(J6="Applied",J6="Visit booked",J6="Withdrawn"),"OK",IF(G6="","Date assessed needed",IF(C6="","Date of birth needed",IF(COUNTA(L6,M6,P6,U6,V6,X6)&lt;6,"Band missing",IF(AND(OR(J6="Decision confirmed",J6="Family told",J6="Enrolled"),AG6=""),"Recommendation needed",IF(AND(OR(J6="Family told",J6="Enrolled"),AJ6=""),"Date family told needed","OK"))))))))</f>
        <v>OK</v>
      </c>
    </row>
    <row r="7" customFormat="false" ht="15" hidden="false" customHeight="false" outlineLevel="0" collapsed="false">
      <c r="A7" s="7" t="s">
        <v>359</v>
      </c>
      <c r="B7" s="7" t="s">
        <v>360</v>
      </c>
      <c r="C7" s="46" t="n">
        <v>42961</v>
      </c>
      <c r="D7" s="7" t="s">
        <v>361</v>
      </c>
      <c r="E7" s="47" t="s">
        <v>311</v>
      </c>
      <c r="F7" s="46" t="n">
        <v>46240</v>
      </c>
      <c r="G7" s="46" t="n">
        <v>46279</v>
      </c>
      <c r="H7" s="7" t="s">
        <v>80</v>
      </c>
      <c r="I7" s="7" t="s">
        <v>84</v>
      </c>
      <c r="J7" s="47" t="s">
        <v>31</v>
      </c>
      <c r="K7" s="47" t="n">
        <v>5</v>
      </c>
      <c r="L7" s="47" t="s">
        <v>118</v>
      </c>
      <c r="M7" s="47" t="s">
        <v>118</v>
      </c>
      <c r="N7" s="10"/>
      <c r="O7" s="47" t="n">
        <v>13</v>
      </c>
      <c r="P7" s="47" t="s">
        <v>92</v>
      </c>
      <c r="Q7" s="47" t="n">
        <v>41</v>
      </c>
      <c r="R7" s="48" t="str">
        <f aca="false">IF(Q7="","",IF(Q7=0,"below 5:00",IF(Q7&gt;=66,"16:00 or above",INT((60+2*Q7)/12)&amp;":"&amp;TEXT(MOD(60+2*Q7,12),"00"))))</f>
        <v>11:10</v>
      </c>
      <c r="S7" s="47" t="s">
        <v>222</v>
      </c>
      <c r="T7" s="47" t="n">
        <v>9</v>
      </c>
      <c r="U7" s="47" t="s">
        <v>92</v>
      </c>
      <c r="V7" s="47" t="s">
        <v>92</v>
      </c>
      <c r="W7" s="47" t="n">
        <v>12</v>
      </c>
      <c r="X7" s="47" t="n">
        <v>2</v>
      </c>
      <c r="Y7" s="47" t="n">
        <v>2</v>
      </c>
      <c r="Z7" s="47"/>
      <c r="AA7" s="10"/>
      <c r="AB7" s="10"/>
      <c r="AC7" s="47" t="n">
        <v>2</v>
      </c>
      <c r="AD7" s="47"/>
      <c r="AE7" s="47"/>
      <c r="AF7" s="47"/>
      <c r="AG7" s="47"/>
      <c r="AH7" s="47"/>
      <c r="AI7" s="46"/>
      <c r="AJ7" s="46"/>
      <c r="AK7" s="46"/>
      <c r="AL7" s="7"/>
      <c r="AM7" s="49" t="n">
        <f aca="false">IF(OR(C7="",G7=""),"",IFERROR(DATEDIF(C7,G7,"m"),""))</f>
        <v>109</v>
      </c>
      <c r="AN7" s="49" t="n">
        <f aca="false">IF(OR(Q7="",AM7=""),"",60+2*Q7-AM7)</f>
        <v>33</v>
      </c>
      <c r="AO7" s="49" t="str">
        <f aca="false">IF(OR(G7="",AJ7=""),"",AJ7-G7)</f>
        <v/>
      </c>
      <c r="AP7" s="50" t="str">
        <f aca="false">IF(AND(A7="",B7=""),"",IF(J7="","Status needed",IF(OR(J7="Applied",J7="Visit booked",J7="Withdrawn"),"OK",IF(G7="","Date assessed needed",IF(C7="","Date of birth needed",IF(COUNTA(L7,M7,P7,U7,V7,X7)&lt;6,"Band missing",IF(AND(OR(J7="Decision confirmed",J7="Family told",J7="Enrolled"),AG7=""),"Recommendation needed",IF(AND(OR(J7="Family told",J7="Enrolled"),AJ7=""),"Date family told needed","OK"))))))))</f>
        <v>OK</v>
      </c>
    </row>
    <row r="8" customFormat="false" ht="15" hidden="false" customHeight="false" outlineLevel="0" collapsed="false">
      <c r="A8" s="7" t="s">
        <v>362</v>
      </c>
      <c r="B8" s="7" t="s">
        <v>363</v>
      </c>
      <c r="C8" s="46" t="n">
        <v>43238</v>
      </c>
      <c r="D8" s="7" t="s">
        <v>298</v>
      </c>
      <c r="E8" s="47" t="s">
        <v>69</v>
      </c>
      <c r="F8" s="46" t="n">
        <v>46243</v>
      </c>
      <c r="G8" s="46"/>
      <c r="H8" s="7" t="s">
        <v>80</v>
      </c>
      <c r="I8" s="7" t="s">
        <v>84</v>
      </c>
      <c r="J8" s="47" t="s">
        <v>29</v>
      </c>
      <c r="K8" s="47"/>
      <c r="L8" s="47"/>
      <c r="M8" s="47"/>
      <c r="N8" s="10"/>
      <c r="O8" s="47"/>
      <c r="P8" s="47"/>
      <c r="Q8" s="47"/>
      <c r="R8" s="48" t="str">
        <f aca="false">IF(Q8="","",IF(Q8=0,"below 5:00",IF(Q8&gt;=66,"16:00 or above",INT((60+2*Q8)/12)&amp;":"&amp;TEXT(MOD(60+2*Q8,12),"00"))))</f>
        <v/>
      </c>
      <c r="S8" s="47"/>
      <c r="T8" s="47"/>
      <c r="U8" s="47"/>
      <c r="V8" s="47"/>
      <c r="W8" s="47"/>
      <c r="X8" s="47"/>
      <c r="Y8" s="47"/>
      <c r="Z8" s="47"/>
      <c r="AA8" s="10"/>
      <c r="AB8" s="10"/>
      <c r="AC8" s="47"/>
      <c r="AD8" s="47"/>
      <c r="AE8" s="47"/>
      <c r="AF8" s="47"/>
      <c r="AG8" s="47"/>
      <c r="AH8" s="47"/>
      <c r="AI8" s="46"/>
      <c r="AJ8" s="46"/>
      <c r="AK8" s="46"/>
      <c r="AL8" s="7"/>
      <c r="AM8" s="49" t="str">
        <f aca="false">IF(OR(C8="",G8=""),"",IFERROR(DATEDIF(C8,G8,"m"),""))</f>
        <v/>
      </c>
      <c r="AN8" s="49" t="str">
        <f aca="false">IF(OR(Q8="",AM8=""),"",60+2*Q8-AM8)</f>
        <v/>
      </c>
      <c r="AO8" s="49" t="str">
        <f aca="false">IF(OR(G8="",AJ8=""),"",AJ8-G8)</f>
        <v/>
      </c>
      <c r="AP8" s="50" t="str">
        <f aca="false">IF(AND(A8="",B8=""),"",IF(J8="","Status needed",IF(OR(J8="Applied",J8="Visit booked",J8="Withdrawn"),"OK",IF(G8="","Date assessed needed",IF(C8="","Date of birth needed",IF(COUNTA(L8,M8,P8,U8,V8,X8)&lt;6,"Band missing",IF(AND(OR(J8="Decision confirmed",J8="Family told",J8="Enrolled"),AG8=""),"Recommendation needed",IF(AND(OR(J8="Family told",J8="Enrolled"),AJ8=""),"Date family told needed","OK"))))))))</f>
        <v>OK</v>
      </c>
    </row>
    <row r="9" customFormat="false" ht="15" hidden="false" customHeight="false" outlineLevel="0" collapsed="false">
      <c r="A9" s="7" t="s">
        <v>364</v>
      </c>
      <c r="B9" s="7" t="s">
        <v>365</v>
      </c>
      <c r="C9" s="46" t="n">
        <v>43198</v>
      </c>
      <c r="D9" s="7" t="s">
        <v>361</v>
      </c>
      <c r="E9" s="47" t="s">
        <v>69</v>
      </c>
      <c r="F9" s="46" t="n">
        <v>46284</v>
      </c>
      <c r="G9" s="46" t="n">
        <v>46303</v>
      </c>
      <c r="H9" s="7" t="s">
        <v>80</v>
      </c>
      <c r="I9" s="7" t="s">
        <v>84</v>
      </c>
      <c r="J9" s="47" t="s">
        <v>33</v>
      </c>
      <c r="K9" s="47" t="n">
        <v>3</v>
      </c>
      <c r="L9" s="47" t="s">
        <v>221</v>
      </c>
      <c r="M9" s="47" t="s">
        <v>221</v>
      </c>
      <c r="N9" s="10"/>
      <c r="O9" s="47" t="n">
        <v>8</v>
      </c>
      <c r="P9" s="47" t="s">
        <v>221</v>
      </c>
      <c r="Q9" s="47" t="n">
        <v>12</v>
      </c>
      <c r="R9" s="48" t="str">
        <f aca="false">IF(Q9="","",IF(Q9=0,"below 5:00",IF(Q9&gt;=66,"16:00 or above",INT((60+2*Q9)/12)&amp;":"&amp;TEXT(MOD(60+2*Q9,12),"00"))))</f>
        <v>7:00</v>
      </c>
      <c r="S9" s="47" t="s">
        <v>92</v>
      </c>
      <c r="T9" s="47" t="n">
        <v>5</v>
      </c>
      <c r="U9" s="47" t="s">
        <v>221</v>
      </c>
      <c r="V9" s="47" t="s">
        <v>221</v>
      </c>
      <c r="W9" s="47" t="n">
        <v>13</v>
      </c>
      <c r="X9" s="47" t="n">
        <v>2</v>
      </c>
      <c r="Y9" s="47" t="n">
        <v>2</v>
      </c>
      <c r="Z9" s="47"/>
      <c r="AA9" s="10"/>
      <c r="AB9" s="10"/>
      <c r="AC9" s="47" t="n">
        <v>4</v>
      </c>
      <c r="AD9" s="47"/>
      <c r="AE9" s="47"/>
      <c r="AF9" s="47"/>
      <c r="AG9" s="47" t="s">
        <v>153</v>
      </c>
      <c r="AH9" s="47" t="s">
        <v>252</v>
      </c>
      <c r="AI9" s="46" t="n">
        <v>46307</v>
      </c>
      <c r="AJ9" s="46"/>
      <c r="AK9" s="46"/>
      <c r="AL9" s="7"/>
      <c r="AM9" s="49" t="n">
        <f aca="false">IF(OR(C9="",G9=""),"",IFERROR(DATEDIF(C9,G9,"m"),""))</f>
        <v>102</v>
      </c>
      <c r="AN9" s="49" t="n">
        <f aca="false">IF(OR(Q9="",AM9=""),"",60+2*Q9-AM9)</f>
        <v>-18</v>
      </c>
      <c r="AO9" s="49" t="str">
        <f aca="false">IF(OR(G9="",AJ9=""),"",AJ9-G9)</f>
        <v/>
      </c>
      <c r="AP9" s="50" t="str">
        <f aca="false">IF(AND(A9="",B9=""),"",IF(J9="","Status needed",IF(OR(J9="Applied",J9="Visit booked",J9="Withdrawn"),"OK",IF(G9="","Date assessed needed",IF(C9="","Date of birth needed",IF(COUNTA(L9,M9,P9,U9,V9,X9)&lt;6,"Band missing",IF(AND(OR(J9="Decision confirmed",J9="Family told",J9="Enrolled"),AG9=""),"Recommendation needed",IF(AND(OR(J9="Family told",J9="Enrolled"),AJ9=""),"Date family told needed","OK"))))))))</f>
        <v>OK</v>
      </c>
    </row>
    <row r="10" customFormat="false" ht="15" hidden="false" customHeight="false" outlineLevel="0" collapsed="false">
      <c r="A10" s="7" t="s">
        <v>366</v>
      </c>
      <c r="B10" s="7" t="s">
        <v>367</v>
      </c>
      <c r="C10" s="46" t="n">
        <v>43207</v>
      </c>
      <c r="D10" s="7" t="s">
        <v>361</v>
      </c>
      <c r="E10" s="47" t="s">
        <v>69</v>
      </c>
      <c r="F10" s="46" t="n">
        <v>46269</v>
      </c>
      <c r="G10" s="46" t="n">
        <v>46286</v>
      </c>
      <c r="H10" s="7" t="s">
        <v>299</v>
      </c>
      <c r="I10" s="7" t="s">
        <v>84</v>
      </c>
      <c r="J10" s="47" t="s">
        <v>31</v>
      </c>
      <c r="K10" s="47" t="n">
        <v>4</v>
      </c>
      <c r="L10" s="47" t="s">
        <v>92</v>
      </c>
      <c r="M10" s="47" t="s">
        <v>221</v>
      </c>
      <c r="N10" s="10"/>
      <c r="O10" s="47" t="n">
        <v>8</v>
      </c>
      <c r="P10" s="47" t="s">
        <v>221</v>
      </c>
      <c r="Q10" s="47" t="n">
        <v>10</v>
      </c>
      <c r="R10" s="48" t="str">
        <f aca="false">IF(Q10="","",IF(Q10=0,"below 5:00",IF(Q10&gt;=66,"16:00 or above",INT((60+2*Q10)/12)&amp;":"&amp;TEXT(MOD(60+2*Q10,12),"00"))))</f>
        <v>6:08</v>
      </c>
      <c r="S10" s="47" t="s">
        <v>92</v>
      </c>
      <c r="T10" s="47" t="n">
        <v>5</v>
      </c>
      <c r="U10" s="47" t="s">
        <v>221</v>
      </c>
      <c r="V10" s="47" t="s">
        <v>221</v>
      </c>
      <c r="W10" s="47" t="n">
        <v>10</v>
      </c>
      <c r="X10" s="47" t="n">
        <v>2</v>
      </c>
      <c r="Y10" s="47" t="n">
        <v>2</v>
      </c>
      <c r="Z10" s="47"/>
      <c r="AA10" s="10"/>
      <c r="AB10" s="10"/>
      <c r="AC10" s="47" t="n">
        <v>3</v>
      </c>
      <c r="AD10" s="47"/>
      <c r="AE10" s="47" t="s">
        <v>311</v>
      </c>
      <c r="AF10" s="47"/>
      <c r="AG10" s="47"/>
      <c r="AH10" s="47"/>
      <c r="AI10" s="46"/>
      <c r="AJ10" s="46"/>
      <c r="AK10" s="46"/>
      <c r="AL10" s="7"/>
      <c r="AM10" s="49" t="n">
        <f aca="false">IF(OR(C10="",G10=""),"",IFERROR(DATEDIF(C10,G10,"m"),""))</f>
        <v>101</v>
      </c>
      <c r="AN10" s="49" t="n">
        <f aca="false">IF(OR(Q10="",AM10=""),"",60+2*Q10-AM10)</f>
        <v>-21</v>
      </c>
      <c r="AO10" s="49" t="str">
        <f aca="false">IF(OR(G10="",AJ10=""),"",AJ10-G10)</f>
        <v/>
      </c>
      <c r="AP10" s="50" t="str">
        <f aca="false">IF(AND(A10="",B10=""),"",IF(J10="","Status needed",IF(OR(J10="Applied",J10="Visit booked",J10="Withdrawn"),"OK",IF(G10="","Date assessed needed",IF(C10="","Date of birth needed",IF(COUNTA(L10,M10,P10,U10,V10,X10)&lt;6,"Band missing",IF(AND(OR(J10="Decision confirmed",J10="Family told",J10="Enrolled"),AG10=""),"Recommendation needed",IF(AND(OR(J10="Family told",J10="Enrolled"),AJ10=""),"Date family told needed","OK"))))))))</f>
        <v>OK</v>
      </c>
    </row>
    <row r="11" customFormat="false" ht="15" hidden="false" customHeight="false" outlineLevel="0" collapsed="false">
      <c r="A11" s="7" t="s">
        <v>368</v>
      </c>
      <c r="B11" s="7" t="s">
        <v>369</v>
      </c>
      <c r="C11" s="46" t="n">
        <v>43213</v>
      </c>
      <c r="D11" s="7" t="s">
        <v>361</v>
      </c>
      <c r="E11" s="47" t="s">
        <v>69</v>
      </c>
      <c r="F11" s="46" t="n">
        <v>46271</v>
      </c>
      <c r="G11" s="46" t="n">
        <v>46300</v>
      </c>
      <c r="H11" s="7" t="s">
        <v>80</v>
      </c>
      <c r="I11" s="7" t="s">
        <v>84</v>
      </c>
      <c r="J11" s="47" t="s">
        <v>37</v>
      </c>
      <c r="K11" s="47" t="n">
        <v>4</v>
      </c>
      <c r="L11" s="47" t="s">
        <v>92</v>
      </c>
      <c r="M11" s="47" t="s">
        <v>221</v>
      </c>
      <c r="N11" s="10"/>
      <c r="O11" s="47" t="n">
        <v>14</v>
      </c>
      <c r="P11" s="47" t="s">
        <v>92</v>
      </c>
      <c r="Q11" s="47" t="n">
        <v>17</v>
      </c>
      <c r="R11" s="48" t="str">
        <f aca="false">IF(Q11="","",IF(Q11=0,"below 5:00",IF(Q11&gt;=66,"16:00 or above",INT((60+2*Q11)/12)&amp;":"&amp;TEXT(MOD(60+2*Q11,12),"00"))))</f>
        <v>7:10</v>
      </c>
      <c r="S11" s="47" t="s">
        <v>118</v>
      </c>
      <c r="T11" s="47" t="n">
        <v>8</v>
      </c>
      <c r="U11" s="47" t="s">
        <v>92</v>
      </c>
      <c r="V11" s="47" t="s">
        <v>92</v>
      </c>
      <c r="W11" s="47" t="n">
        <v>9</v>
      </c>
      <c r="X11" s="47" t="n">
        <v>2</v>
      </c>
      <c r="Y11" s="47" t="n">
        <v>1</v>
      </c>
      <c r="Z11" s="47"/>
      <c r="AA11" s="10"/>
      <c r="AB11" s="10"/>
      <c r="AC11" s="47" t="n">
        <v>3</v>
      </c>
      <c r="AD11" s="47"/>
      <c r="AE11" s="47"/>
      <c r="AF11" s="47"/>
      <c r="AG11" s="47" t="s">
        <v>153</v>
      </c>
      <c r="AH11" s="47" t="s">
        <v>157</v>
      </c>
      <c r="AI11" s="46" t="n">
        <v>46302</v>
      </c>
      <c r="AJ11" s="46" t="n">
        <v>46304</v>
      </c>
      <c r="AK11" s="46" t="n">
        <v>46304</v>
      </c>
      <c r="AL11" s="7"/>
      <c r="AM11" s="49" t="n">
        <f aca="false">IF(OR(C11="",G11=""),"",IFERROR(DATEDIF(C11,G11,"m"),""))</f>
        <v>101</v>
      </c>
      <c r="AN11" s="49" t="n">
        <f aca="false">IF(OR(Q11="",AM11=""),"",60+2*Q11-AM11)</f>
        <v>-7</v>
      </c>
      <c r="AO11" s="49" t="n">
        <f aca="false">IF(OR(G11="",AJ11=""),"",AJ11-G11)</f>
        <v>4</v>
      </c>
      <c r="AP11" s="50" t="str">
        <f aca="false">IF(AND(A11="",B11=""),"",IF(J11="","Status needed",IF(OR(J11="Applied",J11="Visit booked",J11="Withdrawn"),"OK",IF(G11="","Date assessed needed",IF(C11="","Date of birth needed",IF(COUNTA(L11,M11,P11,U11,V11,X11)&lt;6,"Band missing",IF(AND(OR(J11="Decision confirmed",J11="Family told",J11="Enrolled"),AG11=""),"Recommendation needed",IF(AND(OR(J11="Family told",J11="Enrolled"),AJ11=""),"Date family told needed","OK"))))))))</f>
        <v>OK</v>
      </c>
    </row>
    <row r="12" customFormat="false" ht="15" hidden="false" customHeight="false" outlineLevel="0" collapsed="false">
      <c r="A12" s="7" t="s">
        <v>370</v>
      </c>
      <c r="B12" s="7" t="s">
        <v>371</v>
      </c>
      <c r="C12" s="46" t="n">
        <v>43123</v>
      </c>
      <c r="D12" s="7" t="s">
        <v>307</v>
      </c>
      <c r="E12" s="47" t="s">
        <v>69</v>
      </c>
      <c r="F12" s="46" t="n">
        <v>46298</v>
      </c>
      <c r="G12" s="46" t="n">
        <v>46311</v>
      </c>
      <c r="H12" s="7" t="s">
        <v>299</v>
      </c>
      <c r="I12" s="7" t="s">
        <v>84</v>
      </c>
      <c r="J12" s="47" t="s">
        <v>35</v>
      </c>
      <c r="K12" s="47" t="n">
        <v>2</v>
      </c>
      <c r="L12" s="47" t="s">
        <v>221</v>
      </c>
      <c r="M12" s="47" t="s">
        <v>221</v>
      </c>
      <c r="N12" s="10"/>
      <c r="O12" s="47" t="n">
        <v>5</v>
      </c>
      <c r="P12" s="47" t="s">
        <v>220</v>
      </c>
      <c r="Q12" s="47" t="n">
        <v>6</v>
      </c>
      <c r="R12" s="48" t="str">
        <f aca="false">IF(Q12="","",IF(Q12=0,"below 5:00",IF(Q12&gt;=66,"16:00 or above",INT((60+2*Q12)/12)&amp;":"&amp;TEXT(MOD(60+2*Q12,12),"00"))))</f>
        <v>6:00</v>
      </c>
      <c r="S12" s="47" t="s">
        <v>221</v>
      </c>
      <c r="T12" s="47" t="n">
        <v>6</v>
      </c>
      <c r="U12" s="47" t="s">
        <v>221</v>
      </c>
      <c r="V12" s="47" t="s">
        <v>221</v>
      </c>
      <c r="W12" s="47" t="n">
        <v>15</v>
      </c>
      <c r="X12" s="47" t="n">
        <v>3</v>
      </c>
      <c r="Y12" s="47" t="n">
        <v>3</v>
      </c>
      <c r="Z12" s="47"/>
      <c r="AA12" s="10"/>
      <c r="AB12" s="10"/>
      <c r="AC12" s="47" t="n">
        <v>3</v>
      </c>
      <c r="AD12" s="47"/>
      <c r="AE12" s="47"/>
      <c r="AF12" s="47"/>
      <c r="AG12" s="47" t="s">
        <v>153</v>
      </c>
      <c r="AH12" s="47" t="s">
        <v>252</v>
      </c>
      <c r="AI12" s="46" t="n">
        <v>46317</v>
      </c>
      <c r="AJ12" s="46" t="n">
        <v>46321</v>
      </c>
      <c r="AK12" s="46" t="n">
        <v>46321</v>
      </c>
      <c r="AL12" s="7"/>
      <c r="AM12" s="49" t="n">
        <f aca="false">IF(OR(C12="",G12=""),"",IFERROR(DATEDIF(C12,G12,"m"),""))</f>
        <v>104</v>
      </c>
      <c r="AN12" s="49" t="n">
        <f aca="false">IF(OR(Q12="",AM12=""),"",60+2*Q12-AM12)</f>
        <v>-32</v>
      </c>
      <c r="AO12" s="49" t="n">
        <f aca="false">IF(OR(G12="",AJ12=""),"",AJ12-G12)</f>
        <v>10</v>
      </c>
      <c r="AP12" s="50" t="str">
        <f aca="false">IF(AND(A12="",B12=""),"",IF(J12="","Status needed",IF(OR(J12="Applied",J12="Visit booked",J12="Withdrawn"),"OK",IF(G12="","Date assessed needed",IF(C12="","Date of birth needed",IF(COUNTA(L12,M12,P12,U12,V12,X12)&lt;6,"Band missing",IF(AND(OR(J12="Decision confirmed",J12="Family told",J12="Enrolled"),AG12=""),"Recommendation needed",IF(AND(OR(J12="Family told",J12="Enrolled"),AJ12=""),"Date family told needed","OK"))))))))</f>
        <v>OK</v>
      </c>
    </row>
    <row r="13" customFormat="false" ht="15" hidden="false" customHeight="false" outlineLevel="0" collapsed="false">
      <c r="A13" s="7" t="s">
        <v>372</v>
      </c>
      <c r="B13" s="7" t="s">
        <v>373</v>
      </c>
      <c r="C13" s="46" t="n">
        <v>43081</v>
      </c>
      <c r="D13" s="7" t="s">
        <v>307</v>
      </c>
      <c r="E13" s="47" t="s">
        <v>311</v>
      </c>
      <c r="F13" s="46" t="n">
        <v>46285</v>
      </c>
      <c r="G13" s="46" t="n">
        <v>46307</v>
      </c>
      <c r="H13" s="7" t="s">
        <v>314</v>
      </c>
      <c r="I13" s="7" t="s">
        <v>84</v>
      </c>
      <c r="J13" s="47" t="s">
        <v>33</v>
      </c>
      <c r="K13" s="47" t="n">
        <v>3</v>
      </c>
      <c r="L13" s="47" t="s">
        <v>221</v>
      </c>
      <c r="M13" s="47" t="s">
        <v>221</v>
      </c>
      <c r="N13" s="10"/>
      <c r="O13" s="47" t="n">
        <v>7</v>
      </c>
      <c r="P13" s="47" t="s">
        <v>221</v>
      </c>
      <c r="Q13" s="47" t="n">
        <v>11</v>
      </c>
      <c r="R13" s="48" t="str">
        <f aca="false">IF(Q13="","",IF(Q13=0,"below 5:00",IF(Q13&gt;=66,"16:00 or above",INT((60+2*Q13)/12)&amp;":"&amp;TEXT(MOD(60+2*Q13,12),"00"))))</f>
        <v>6:10</v>
      </c>
      <c r="S13" s="47" t="s">
        <v>92</v>
      </c>
      <c r="T13" s="47" t="n">
        <v>7</v>
      </c>
      <c r="U13" s="47" t="s">
        <v>92</v>
      </c>
      <c r="V13" s="47" t="s">
        <v>221</v>
      </c>
      <c r="W13" s="47" t="n">
        <v>15</v>
      </c>
      <c r="X13" s="47" t="n">
        <v>3</v>
      </c>
      <c r="Y13" s="47" t="n">
        <v>2</v>
      </c>
      <c r="Z13" s="47"/>
      <c r="AA13" s="10"/>
      <c r="AB13" s="10"/>
      <c r="AC13" s="47" t="n">
        <v>3</v>
      </c>
      <c r="AD13" s="47" t="s">
        <v>311</v>
      </c>
      <c r="AE13" s="47"/>
      <c r="AF13" s="47"/>
      <c r="AG13" s="47" t="s">
        <v>153</v>
      </c>
      <c r="AH13" s="47" t="s">
        <v>252</v>
      </c>
      <c r="AI13" s="46" t="n">
        <v>46312</v>
      </c>
      <c r="AJ13" s="46"/>
      <c r="AK13" s="46"/>
      <c r="AL13" s="7"/>
      <c r="AM13" s="49" t="n">
        <f aca="false">IF(OR(C13="",G13=""),"",IFERROR(DATEDIF(C13,G13,"m"),""))</f>
        <v>106</v>
      </c>
      <c r="AN13" s="49" t="n">
        <f aca="false">IF(OR(Q13="",AM13=""),"",60+2*Q13-AM13)</f>
        <v>-24</v>
      </c>
      <c r="AO13" s="49" t="str">
        <f aca="false">IF(OR(G13="",AJ13=""),"",AJ13-G13)</f>
        <v/>
      </c>
      <c r="AP13" s="50" t="str">
        <f aca="false">IF(AND(A13="",B13=""),"",IF(J13="","Status needed",IF(OR(J13="Applied",J13="Visit booked",J13="Withdrawn"),"OK",IF(G13="","Date assessed needed",IF(C13="","Date of birth needed",IF(COUNTA(L13,M13,P13,U13,V13,X13)&lt;6,"Band missing",IF(AND(OR(J13="Decision confirmed",J13="Family told",J13="Enrolled"),AG13=""),"Recommendation needed",IF(AND(OR(J13="Family told",J13="Enrolled"),AJ13=""),"Date family told needed","OK"))))))))</f>
        <v>OK</v>
      </c>
    </row>
    <row r="14" customFormat="false" ht="15" hidden="false" customHeight="false" outlineLevel="0" collapsed="false">
      <c r="A14" s="7"/>
      <c r="B14" s="7"/>
      <c r="C14" s="46"/>
      <c r="D14" s="7"/>
      <c r="E14" s="47"/>
      <c r="F14" s="46"/>
      <c r="G14" s="46"/>
      <c r="H14" s="7"/>
      <c r="I14" s="7"/>
      <c r="J14" s="47"/>
      <c r="K14" s="47"/>
      <c r="L14" s="47"/>
      <c r="M14" s="47"/>
      <c r="N14" s="10"/>
      <c r="O14" s="47"/>
      <c r="P14" s="47"/>
      <c r="Q14" s="47"/>
      <c r="R14" s="48" t="str">
        <f aca="false">IF(Q14="","",IF(Q14=0,"below 5:00",IF(Q14&gt;=66,"16:00 or above",INT((60+2*Q14)/12)&amp;":"&amp;TEXT(MOD(60+2*Q14,12),"00"))))</f>
        <v/>
      </c>
      <c r="S14" s="47"/>
      <c r="T14" s="47"/>
      <c r="U14" s="47"/>
      <c r="V14" s="47"/>
      <c r="W14" s="47"/>
      <c r="X14" s="47"/>
      <c r="Y14" s="47"/>
      <c r="Z14" s="47"/>
      <c r="AA14" s="10"/>
      <c r="AB14" s="10"/>
      <c r="AC14" s="47"/>
      <c r="AD14" s="47"/>
      <c r="AE14" s="47"/>
      <c r="AF14" s="47"/>
      <c r="AG14" s="47"/>
      <c r="AH14" s="47"/>
      <c r="AI14" s="46"/>
      <c r="AJ14" s="46"/>
      <c r="AK14" s="46"/>
      <c r="AL14" s="7"/>
      <c r="AM14" s="49" t="str">
        <f aca="false">IF(OR(C14="",G14=""),"",IFERROR(DATEDIF(C14,G14,"m"),""))</f>
        <v/>
      </c>
      <c r="AN14" s="49" t="str">
        <f aca="false">IF(OR(Q14="",AM14=""),"",60+2*Q14-AM14)</f>
        <v/>
      </c>
      <c r="AO14" s="49" t="str">
        <f aca="false">IF(OR(G14="",AJ14=""),"",AJ14-G14)</f>
        <v/>
      </c>
      <c r="AP14" s="50" t="str">
        <f aca="false">IF(AND(A14="",B14=""),"",IF(J14="","Status needed",IF(OR(J14="Applied",J14="Visit booked",J14="Withdrawn"),"OK",IF(G14="","Date assessed needed",IF(C14="","Date of birth needed",IF(COUNTA(L14,M14,P14,U14,V14,X14)&lt;6,"Band missing",IF(AND(OR(J14="Decision confirmed",J14="Family told",J14="Enrolled"),AG14=""),"Recommendation needed",IF(AND(OR(J14="Family told",J14="Enrolled"),AJ14=""),"Date family told needed","OK"))))))))</f>
        <v/>
      </c>
    </row>
    <row r="15" customFormat="false" ht="15" hidden="false" customHeight="false" outlineLevel="0" collapsed="false">
      <c r="A15" s="7"/>
      <c r="B15" s="7"/>
      <c r="C15" s="46"/>
      <c r="D15" s="7"/>
      <c r="E15" s="47"/>
      <c r="F15" s="46"/>
      <c r="G15" s="46"/>
      <c r="H15" s="7"/>
      <c r="I15" s="7"/>
      <c r="J15" s="47"/>
      <c r="K15" s="47"/>
      <c r="L15" s="47"/>
      <c r="M15" s="47"/>
      <c r="N15" s="10"/>
      <c r="O15" s="47"/>
      <c r="P15" s="47"/>
      <c r="Q15" s="47"/>
      <c r="R15" s="48" t="str">
        <f aca="false">IF(Q15="","",IF(Q15=0,"below 5:00",IF(Q15&gt;=66,"16:00 or above",INT((60+2*Q15)/12)&amp;":"&amp;TEXT(MOD(60+2*Q15,12),"00"))))</f>
        <v/>
      </c>
      <c r="S15" s="47"/>
      <c r="T15" s="47"/>
      <c r="U15" s="47"/>
      <c r="V15" s="47"/>
      <c r="W15" s="47"/>
      <c r="X15" s="47"/>
      <c r="Y15" s="47"/>
      <c r="Z15" s="47"/>
      <c r="AA15" s="10"/>
      <c r="AB15" s="10"/>
      <c r="AC15" s="47"/>
      <c r="AD15" s="47"/>
      <c r="AE15" s="47"/>
      <c r="AF15" s="47"/>
      <c r="AG15" s="47"/>
      <c r="AH15" s="47"/>
      <c r="AI15" s="46"/>
      <c r="AJ15" s="46"/>
      <c r="AK15" s="46"/>
      <c r="AL15" s="7"/>
      <c r="AM15" s="49" t="str">
        <f aca="false">IF(OR(C15="",G15=""),"",IFERROR(DATEDIF(C15,G15,"m"),""))</f>
        <v/>
      </c>
      <c r="AN15" s="49" t="str">
        <f aca="false">IF(OR(Q15="",AM15=""),"",60+2*Q15-AM15)</f>
        <v/>
      </c>
      <c r="AO15" s="49" t="str">
        <f aca="false">IF(OR(G15="",AJ15=""),"",AJ15-G15)</f>
        <v/>
      </c>
      <c r="AP15" s="50" t="str">
        <f aca="false">IF(AND(A15="",B15=""),"",IF(J15="","Status needed",IF(OR(J15="Applied",J15="Visit booked",J15="Withdrawn"),"OK",IF(G15="","Date assessed needed",IF(C15="","Date of birth needed",IF(COUNTA(L15,M15,P15,U15,V15,X15)&lt;6,"Band missing",IF(AND(OR(J15="Decision confirmed",J15="Family told",J15="Enrolled"),AG15=""),"Recommendation needed",IF(AND(OR(J15="Family told",J15="Enrolled"),AJ15=""),"Date family told needed","OK"))))))))</f>
        <v/>
      </c>
    </row>
    <row r="16" customFormat="false" ht="15" hidden="false" customHeight="false" outlineLevel="0" collapsed="false">
      <c r="A16" s="7"/>
      <c r="B16" s="7"/>
      <c r="C16" s="46"/>
      <c r="D16" s="7"/>
      <c r="E16" s="47"/>
      <c r="F16" s="46"/>
      <c r="G16" s="46"/>
      <c r="H16" s="7"/>
      <c r="I16" s="7"/>
      <c r="J16" s="47"/>
      <c r="K16" s="47"/>
      <c r="L16" s="47"/>
      <c r="M16" s="47"/>
      <c r="N16" s="10"/>
      <c r="O16" s="47"/>
      <c r="P16" s="47"/>
      <c r="Q16" s="47"/>
      <c r="R16" s="48" t="str">
        <f aca="false">IF(Q16="","",IF(Q16=0,"below 5:00",IF(Q16&gt;=66,"16:00 or above",INT((60+2*Q16)/12)&amp;":"&amp;TEXT(MOD(60+2*Q16,12),"00"))))</f>
        <v/>
      </c>
      <c r="S16" s="47"/>
      <c r="T16" s="47"/>
      <c r="U16" s="47"/>
      <c r="V16" s="47"/>
      <c r="W16" s="47"/>
      <c r="X16" s="47"/>
      <c r="Y16" s="47"/>
      <c r="Z16" s="47"/>
      <c r="AA16" s="10"/>
      <c r="AB16" s="10"/>
      <c r="AC16" s="47"/>
      <c r="AD16" s="47"/>
      <c r="AE16" s="47"/>
      <c r="AF16" s="47"/>
      <c r="AG16" s="47"/>
      <c r="AH16" s="47"/>
      <c r="AI16" s="46"/>
      <c r="AJ16" s="46"/>
      <c r="AK16" s="46"/>
      <c r="AL16" s="7"/>
      <c r="AM16" s="49" t="str">
        <f aca="false">IF(OR(C16="",G16=""),"",IFERROR(DATEDIF(C16,G16,"m"),""))</f>
        <v/>
      </c>
      <c r="AN16" s="49" t="str">
        <f aca="false">IF(OR(Q16="",AM16=""),"",60+2*Q16-AM16)</f>
        <v/>
      </c>
      <c r="AO16" s="49" t="str">
        <f aca="false">IF(OR(G16="",AJ16=""),"",AJ16-G16)</f>
        <v/>
      </c>
      <c r="AP16" s="50" t="str">
        <f aca="false">IF(AND(A16="",B16=""),"",IF(J16="","Status needed",IF(OR(J16="Applied",J16="Visit booked",J16="Withdrawn"),"OK",IF(G16="","Date assessed needed",IF(C16="","Date of birth needed",IF(COUNTA(L16,M16,P16,U16,V16,X16)&lt;6,"Band missing",IF(AND(OR(J16="Decision confirmed",J16="Family told",J16="Enrolled"),AG16=""),"Recommendation needed",IF(AND(OR(J16="Family told",J16="Enrolled"),AJ16=""),"Date family told needed","OK"))))))))</f>
        <v/>
      </c>
    </row>
    <row r="17" customFormat="false" ht="15" hidden="false" customHeight="false" outlineLevel="0" collapsed="false">
      <c r="A17" s="7"/>
      <c r="B17" s="7"/>
      <c r="C17" s="46"/>
      <c r="D17" s="7"/>
      <c r="E17" s="47"/>
      <c r="F17" s="46"/>
      <c r="G17" s="46"/>
      <c r="H17" s="7"/>
      <c r="I17" s="7"/>
      <c r="J17" s="47"/>
      <c r="K17" s="47"/>
      <c r="L17" s="47"/>
      <c r="M17" s="47"/>
      <c r="N17" s="10"/>
      <c r="O17" s="47"/>
      <c r="P17" s="47"/>
      <c r="Q17" s="47"/>
      <c r="R17" s="48" t="str">
        <f aca="false">IF(Q17="","",IF(Q17=0,"below 5:00",IF(Q17&gt;=66,"16:00 or above",INT((60+2*Q17)/12)&amp;":"&amp;TEXT(MOD(60+2*Q17,12),"00"))))</f>
        <v/>
      </c>
      <c r="S17" s="47"/>
      <c r="T17" s="47"/>
      <c r="U17" s="47"/>
      <c r="V17" s="47"/>
      <c r="W17" s="47"/>
      <c r="X17" s="47"/>
      <c r="Y17" s="47"/>
      <c r="Z17" s="47"/>
      <c r="AA17" s="10"/>
      <c r="AB17" s="10"/>
      <c r="AC17" s="47"/>
      <c r="AD17" s="47"/>
      <c r="AE17" s="47"/>
      <c r="AF17" s="47"/>
      <c r="AG17" s="47"/>
      <c r="AH17" s="47"/>
      <c r="AI17" s="46"/>
      <c r="AJ17" s="46"/>
      <c r="AK17" s="46"/>
      <c r="AL17" s="7"/>
      <c r="AM17" s="49" t="str">
        <f aca="false">IF(OR(C17="",G17=""),"",IFERROR(DATEDIF(C17,G17,"m"),""))</f>
        <v/>
      </c>
      <c r="AN17" s="49" t="str">
        <f aca="false">IF(OR(Q17="",AM17=""),"",60+2*Q17-AM17)</f>
        <v/>
      </c>
      <c r="AO17" s="49" t="str">
        <f aca="false">IF(OR(G17="",AJ17=""),"",AJ17-G17)</f>
        <v/>
      </c>
      <c r="AP17" s="50" t="str">
        <f aca="false">IF(AND(A17="",B17=""),"",IF(J17="","Status needed",IF(OR(J17="Applied",J17="Visit booked",J17="Withdrawn"),"OK",IF(G17="","Date assessed needed",IF(C17="","Date of birth needed",IF(COUNTA(L17,M17,P17,U17,V17,X17)&lt;6,"Band missing",IF(AND(OR(J17="Decision confirmed",J17="Family told",J17="Enrolled"),AG17=""),"Recommendation needed",IF(AND(OR(J17="Family told",J17="Enrolled"),AJ17=""),"Date family told needed","OK"))))))))</f>
        <v/>
      </c>
    </row>
    <row r="18" customFormat="false" ht="15" hidden="false" customHeight="false" outlineLevel="0" collapsed="false">
      <c r="A18" s="7"/>
      <c r="B18" s="7"/>
      <c r="C18" s="46"/>
      <c r="D18" s="7"/>
      <c r="E18" s="47"/>
      <c r="F18" s="46"/>
      <c r="G18" s="46"/>
      <c r="H18" s="7"/>
      <c r="I18" s="7"/>
      <c r="J18" s="47"/>
      <c r="K18" s="47"/>
      <c r="L18" s="47"/>
      <c r="M18" s="47"/>
      <c r="N18" s="10"/>
      <c r="O18" s="47"/>
      <c r="P18" s="47"/>
      <c r="Q18" s="47"/>
      <c r="R18" s="48" t="str">
        <f aca="false">IF(Q18="","",IF(Q18=0,"below 5:00",IF(Q18&gt;=66,"16:00 or above",INT((60+2*Q18)/12)&amp;":"&amp;TEXT(MOD(60+2*Q18,12),"00"))))</f>
        <v/>
      </c>
      <c r="S18" s="47"/>
      <c r="T18" s="47"/>
      <c r="U18" s="47"/>
      <c r="V18" s="47"/>
      <c r="W18" s="47"/>
      <c r="X18" s="47"/>
      <c r="Y18" s="47"/>
      <c r="Z18" s="47"/>
      <c r="AA18" s="10"/>
      <c r="AB18" s="10"/>
      <c r="AC18" s="47"/>
      <c r="AD18" s="47"/>
      <c r="AE18" s="47"/>
      <c r="AF18" s="47"/>
      <c r="AG18" s="47"/>
      <c r="AH18" s="47"/>
      <c r="AI18" s="46"/>
      <c r="AJ18" s="46"/>
      <c r="AK18" s="46"/>
      <c r="AL18" s="7"/>
      <c r="AM18" s="49" t="str">
        <f aca="false">IF(OR(C18="",G18=""),"",IFERROR(DATEDIF(C18,G18,"m"),""))</f>
        <v/>
      </c>
      <c r="AN18" s="49" t="str">
        <f aca="false">IF(OR(Q18="",AM18=""),"",60+2*Q18-AM18)</f>
        <v/>
      </c>
      <c r="AO18" s="49" t="str">
        <f aca="false">IF(OR(G18="",AJ18=""),"",AJ18-G18)</f>
        <v/>
      </c>
      <c r="AP18" s="50" t="str">
        <f aca="false">IF(AND(A18="",B18=""),"",IF(J18="","Status needed",IF(OR(J18="Applied",J18="Visit booked",J18="Withdrawn"),"OK",IF(G18="","Date assessed needed",IF(C18="","Date of birth needed",IF(COUNTA(L18,M18,P18,U18,V18,X18)&lt;6,"Band missing",IF(AND(OR(J18="Decision confirmed",J18="Family told",J18="Enrolled"),AG18=""),"Recommendation needed",IF(AND(OR(J18="Family told",J18="Enrolled"),AJ18=""),"Date family told needed","OK"))))))))</f>
        <v/>
      </c>
    </row>
    <row r="19" customFormat="false" ht="15" hidden="false" customHeight="false" outlineLevel="0" collapsed="false">
      <c r="A19" s="7"/>
      <c r="B19" s="7"/>
      <c r="C19" s="46"/>
      <c r="D19" s="7"/>
      <c r="E19" s="47"/>
      <c r="F19" s="46"/>
      <c r="G19" s="46"/>
      <c r="H19" s="7"/>
      <c r="I19" s="7"/>
      <c r="J19" s="47"/>
      <c r="K19" s="47"/>
      <c r="L19" s="47"/>
      <c r="M19" s="47"/>
      <c r="N19" s="10"/>
      <c r="O19" s="47"/>
      <c r="P19" s="47"/>
      <c r="Q19" s="47"/>
      <c r="R19" s="48" t="str">
        <f aca="false">IF(Q19="","",IF(Q19=0,"below 5:00",IF(Q19&gt;=66,"16:00 or above",INT((60+2*Q19)/12)&amp;":"&amp;TEXT(MOD(60+2*Q19,12),"00"))))</f>
        <v/>
      </c>
      <c r="S19" s="47"/>
      <c r="T19" s="47"/>
      <c r="U19" s="47"/>
      <c r="V19" s="47"/>
      <c r="W19" s="47"/>
      <c r="X19" s="47"/>
      <c r="Y19" s="47"/>
      <c r="Z19" s="47"/>
      <c r="AA19" s="10"/>
      <c r="AB19" s="10"/>
      <c r="AC19" s="47"/>
      <c r="AD19" s="47"/>
      <c r="AE19" s="47"/>
      <c r="AF19" s="47"/>
      <c r="AG19" s="47"/>
      <c r="AH19" s="47"/>
      <c r="AI19" s="46"/>
      <c r="AJ19" s="46"/>
      <c r="AK19" s="46"/>
      <c r="AL19" s="7"/>
      <c r="AM19" s="49" t="str">
        <f aca="false">IF(OR(C19="",G19=""),"",IFERROR(DATEDIF(C19,G19,"m"),""))</f>
        <v/>
      </c>
      <c r="AN19" s="49" t="str">
        <f aca="false">IF(OR(Q19="",AM19=""),"",60+2*Q19-AM19)</f>
        <v/>
      </c>
      <c r="AO19" s="49" t="str">
        <f aca="false">IF(OR(G19="",AJ19=""),"",AJ19-G19)</f>
        <v/>
      </c>
      <c r="AP19" s="50" t="str">
        <f aca="false">IF(AND(A19="",B19=""),"",IF(J19="","Status needed",IF(OR(J19="Applied",J19="Visit booked",J19="Withdrawn"),"OK",IF(G19="","Date assessed needed",IF(C19="","Date of birth needed",IF(COUNTA(L19,M19,P19,U19,V19,X19)&lt;6,"Band missing",IF(AND(OR(J19="Decision confirmed",J19="Family told",J19="Enrolled"),AG19=""),"Recommendation needed",IF(AND(OR(J19="Family told",J19="Enrolled"),AJ19=""),"Date family told needed","OK"))))))))</f>
        <v/>
      </c>
    </row>
    <row r="20" customFormat="false" ht="15" hidden="false" customHeight="false" outlineLevel="0" collapsed="false">
      <c r="A20" s="7"/>
      <c r="B20" s="7"/>
      <c r="C20" s="46"/>
      <c r="D20" s="7"/>
      <c r="E20" s="47"/>
      <c r="F20" s="46"/>
      <c r="G20" s="46"/>
      <c r="H20" s="7"/>
      <c r="I20" s="7"/>
      <c r="J20" s="47"/>
      <c r="K20" s="47"/>
      <c r="L20" s="47"/>
      <c r="M20" s="47"/>
      <c r="N20" s="10"/>
      <c r="O20" s="47"/>
      <c r="P20" s="47"/>
      <c r="Q20" s="47"/>
      <c r="R20" s="48" t="str">
        <f aca="false">IF(Q20="","",IF(Q20=0,"below 5:00",IF(Q20&gt;=66,"16:00 or above",INT((60+2*Q20)/12)&amp;":"&amp;TEXT(MOD(60+2*Q20,12),"00"))))</f>
        <v/>
      </c>
      <c r="S20" s="47"/>
      <c r="T20" s="47"/>
      <c r="U20" s="47"/>
      <c r="V20" s="47"/>
      <c r="W20" s="47"/>
      <c r="X20" s="47"/>
      <c r="Y20" s="47"/>
      <c r="Z20" s="47"/>
      <c r="AA20" s="10"/>
      <c r="AB20" s="10"/>
      <c r="AC20" s="47"/>
      <c r="AD20" s="47"/>
      <c r="AE20" s="47"/>
      <c r="AF20" s="47"/>
      <c r="AG20" s="47"/>
      <c r="AH20" s="47"/>
      <c r="AI20" s="46"/>
      <c r="AJ20" s="46"/>
      <c r="AK20" s="46"/>
      <c r="AL20" s="7"/>
      <c r="AM20" s="49" t="str">
        <f aca="false">IF(OR(C20="",G20=""),"",IFERROR(DATEDIF(C20,G20,"m"),""))</f>
        <v/>
      </c>
      <c r="AN20" s="49" t="str">
        <f aca="false">IF(OR(Q20="",AM20=""),"",60+2*Q20-AM20)</f>
        <v/>
      </c>
      <c r="AO20" s="49" t="str">
        <f aca="false">IF(OR(G20="",AJ20=""),"",AJ20-G20)</f>
        <v/>
      </c>
      <c r="AP20" s="50" t="str">
        <f aca="false">IF(AND(A20="",B20=""),"",IF(J20="","Status needed",IF(OR(J20="Applied",J20="Visit booked",J20="Withdrawn"),"OK",IF(G20="","Date assessed needed",IF(C20="","Date of birth needed",IF(COUNTA(L20,M20,P20,U20,V20,X20)&lt;6,"Band missing",IF(AND(OR(J20="Decision confirmed",J20="Family told",J20="Enrolled"),AG20=""),"Recommendation needed",IF(AND(OR(J20="Family told",J20="Enrolled"),AJ20=""),"Date family told needed","OK"))))))))</f>
        <v/>
      </c>
    </row>
    <row r="21" customFormat="false" ht="15" hidden="false" customHeight="false" outlineLevel="0" collapsed="false">
      <c r="A21" s="7"/>
      <c r="B21" s="7"/>
      <c r="C21" s="46"/>
      <c r="D21" s="7"/>
      <c r="E21" s="47"/>
      <c r="F21" s="46"/>
      <c r="G21" s="46"/>
      <c r="H21" s="7"/>
      <c r="I21" s="7"/>
      <c r="J21" s="47"/>
      <c r="K21" s="47"/>
      <c r="L21" s="47"/>
      <c r="M21" s="47"/>
      <c r="N21" s="10"/>
      <c r="O21" s="47"/>
      <c r="P21" s="47"/>
      <c r="Q21" s="47"/>
      <c r="R21" s="48" t="str">
        <f aca="false">IF(Q21="","",IF(Q21=0,"below 5:00",IF(Q21&gt;=66,"16:00 or above",INT((60+2*Q21)/12)&amp;":"&amp;TEXT(MOD(60+2*Q21,12),"00"))))</f>
        <v/>
      </c>
      <c r="S21" s="47"/>
      <c r="T21" s="47"/>
      <c r="U21" s="47"/>
      <c r="V21" s="47"/>
      <c r="W21" s="47"/>
      <c r="X21" s="47"/>
      <c r="Y21" s="47"/>
      <c r="Z21" s="47"/>
      <c r="AA21" s="10"/>
      <c r="AB21" s="10"/>
      <c r="AC21" s="47"/>
      <c r="AD21" s="47"/>
      <c r="AE21" s="47"/>
      <c r="AF21" s="47"/>
      <c r="AG21" s="47"/>
      <c r="AH21" s="47"/>
      <c r="AI21" s="46"/>
      <c r="AJ21" s="46"/>
      <c r="AK21" s="46"/>
      <c r="AL21" s="7"/>
      <c r="AM21" s="49" t="str">
        <f aca="false">IF(OR(C21="",G21=""),"",IFERROR(DATEDIF(C21,G21,"m"),""))</f>
        <v/>
      </c>
      <c r="AN21" s="49" t="str">
        <f aca="false">IF(OR(Q21="",AM21=""),"",60+2*Q21-AM21)</f>
        <v/>
      </c>
      <c r="AO21" s="49" t="str">
        <f aca="false">IF(OR(G21="",AJ21=""),"",AJ21-G21)</f>
        <v/>
      </c>
      <c r="AP21" s="50" t="str">
        <f aca="false">IF(AND(A21="",B21=""),"",IF(J21="","Status needed",IF(OR(J21="Applied",J21="Visit booked",J21="Withdrawn"),"OK",IF(G21="","Date assessed needed",IF(C21="","Date of birth needed",IF(COUNTA(L21,M21,P21,U21,V21,X21)&lt;6,"Band missing",IF(AND(OR(J21="Decision confirmed",J21="Family told",J21="Enrolled"),AG21=""),"Recommendation needed",IF(AND(OR(J21="Family told",J21="Enrolled"),AJ21=""),"Date family told needed","OK"))))))))</f>
        <v/>
      </c>
    </row>
    <row r="22" customFormat="false" ht="15" hidden="false" customHeight="false" outlineLevel="0" collapsed="false">
      <c r="A22" s="7"/>
      <c r="B22" s="7"/>
      <c r="C22" s="46"/>
      <c r="D22" s="7"/>
      <c r="E22" s="47"/>
      <c r="F22" s="46"/>
      <c r="G22" s="46"/>
      <c r="H22" s="7"/>
      <c r="I22" s="7"/>
      <c r="J22" s="47"/>
      <c r="K22" s="47"/>
      <c r="L22" s="47"/>
      <c r="M22" s="47"/>
      <c r="N22" s="10"/>
      <c r="O22" s="47"/>
      <c r="P22" s="47"/>
      <c r="Q22" s="47"/>
      <c r="R22" s="48" t="str">
        <f aca="false">IF(Q22="","",IF(Q22=0,"below 5:00",IF(Q22&gt;=66,"16:00 or above",INT((60+2*Q22)/12)&amp;":"&amp;TEXT(MOD(60+2*Q22,12),"00"))))</f>
        <v/>
      </c>
      <c r="S22" s="47"/>
      <c r="T22" s="47"/>
      <c r="U22" s="47"/>
      <c r="V22" s="47"/>
      <c r="W22" s="47"/>
      <c r="X22" s="47"/>
      <c r="Y22" s="47"/>
      <c r="Z22" s="47"/>
      <c r="AA22" s="10"/>
      <c r="AB22" s="10"/>
      <c r="AC22" s="47"/>
      <c r="AD22" s="47"/>
      <c r="AE22" s="47"/>
      <c r="AF22" s="47"/>
      <c r="AG22" s="47"/>
      <c r="AH22" s="47"/>
      <c r="AI22" s="46"/>
      <c r="AJ22" s="46"/>
      <c r="AK22" s="46"/>
      <c r="AL22" s="7"/>
      <c r="AM22" s="49" t="str">
        <f aca="false">IF(OR(C22="",G22=""),"",IFERROR(DATEDIF(C22,G22,"m"),""))</f>
        <v/>
      </c>
      <c r="AN22" s="49" t="str">
        <f aca="false">IF(OR(Q22="",AM22=""),"",60+2*Q22-AM22)</f>
        <v/>
      </c>
      <c r="AO22" s="49" t="str">
        <f aca="false">IF(OR(G22="",AJ22=""),"",AJ22-G22)</f>
        <v/>
      </c>
      <c r="AP22" s="50" t="str">
        <f aca="false">IF(AND(A22="",B22=""),"",IF(J22="","Status needed",IF(OR(J22="Applied",J22="Visit booked",J22="Withdrawn"),"OK",IF(G22="","Date assessed needed",IF(C22="","Date of birth needed",IF(COUNTA(L22,M22,P22,U22,V22,X22)&lt;6,"Band missing",IF(AND(OR(J22="Decision confirmed",J22="Family told",J22="Enrolled"),AG22=""),"Recommendation needed",IF(AND(OR(J22="Family told",J22="Enrolled"),AJ22=""),"Date family told needed","OK"))))))))</f>
        <v/>
      </c>
    </row>
    <row r="23" customFormat="false" ht="15" hidden="false" customHeight="false" outlineLevel="0" collapsed="false">
      <c r="A23" s="7"/>
      <c r="B23" s="7"/>
      <c r="C23" s="46"/>
      <c r="D23" s="7"/>
      <c r="E23" s="47"/>
      <c r="F23" s="46"/>
      <c r="G23" s="46"/>
      <c r="H23" s="7"/>
      <c r="I23" s="7"/>
      <c r="J23" s="47"/>
      <c r="K23" s="47"/>
      <c r="L23" s="47"/>
      <c r="M23" s="47"/>
      <c r="N23" s="10"/>
      <c r="O23" s="47"/>
      <c r="P23" s="47"/>
      <c r="Q23" s="47"/>
      <c r="R23" s="48" t="str">
        <f aca="false">IF(Q23="","",IF(Q23=0,"below 5:00",IF(Q23&gt;=66,"16:00 or above",INT((60+2*Q23)/12)&amp;":"&amp;TEXT(MOD(60+2*Q23,12),"00"))))</f>
        <v/>
      </c>
      <c r="S23" s="47"/>
      <c r="T23" s="47"/>
      <c r="U23" s="47"/>
      <c r="V23" s="47"/>
      <c r="W23" s="47"/>
      <c r="X23" s="47"/>
      <c r="Y23" s="47"/>
      <c r="Z23" s="47"/>
      <c r="AA23" s="10"/>
      <c r="AB23" s="10"/>
      <c r="AC23" s="47"/>
      <c r="AD23" s="47"/>
      <c r="AE23" s="47"/>
      <c r="AF23" s="47"/>
      <c r="AG23" s="47"/>
      <c r="AH23" s="47"/>
      <c r="AI23" s="46"/>
      <c r="AJ23" s="46"/>
      <c r="AK23" s="46"/>
      <c r="AL23" s="7"/>
      <c r="AM23" s="49" t="str">
        <f aca="false">IF(OR(C23="",G23=""),"",IFERROR(DATEDIF(C23,G23,"m"),""))</f>
        <v/>
      </c>
      <c r="AN23" s="49" t="str">
        <f aca="false">IF(OR(Q23="",AM23=""),"",60+2*Q23-AM23)</f>
        <v/>
      </c>
      <c r="AO23" s="49" t="str">
        <f aca="false">IF(OR(G23="",AJ23=""),"",AJ23-G23)</f>
        <v/>
      </c>
      <c r="AP23" s="50" t="str">
        <f aca="false">IF(AND(A23="",B23=""),"",IF(J23="","Status needed",IF(OR(J23="Applied",J23="Visit booked",J23="Withdrawn"),"OK",IF(G23="","Date assessed needed",IF(C23="","Date of birth needed",IF(COUNTA(L23,M23,P23,U23,V23,X23)&lt;6,"Band missing",IF(AND(OR(J23="Decision confirmed",J23="Family told",J23="Enrolled"),AG23=""),"Recommendation needed",IF(AND(OR(J23="Family told",J23="Enrolled"),AJ23=""),"Date family told needed","OK"))))))))</f>
        <v/>
      </c>
    </row>
    <row r="24" customFormat="false" ht="15" hidden="false" customHeight="false" outlineLevel="0" collapsed="false">
      <c r="A24" s="7"/>
      <c r="B24" s="7"/>
      <c r="C24" s="46"/>
      <c r="D24" s="7"/>
      <c r="E24" s="47"/>
      <c r="F24" s="46"/>
      <c r="G24" s="46"/>
      <c r="H24" s="7"/>
      <c r="I24" s="7"/>
      <c r="J24" s="47"/>
      <c r="K24" s="47"/>
      <c r="L24" s="47"/>
      <c r="M24" s="47"/>
      <c r="N24" s="10"/>
      <c r="O24" s="47"/>
      <c r="P24" s="47"/>
      <c r="Q24" s="47"/>
      <c r="R24" s="48" t="str">
        <f aca="false">IF(Q24="","",IF(Q24=0,"below 5:00",IF(Q24&gt;=66,"16:00 or above",INT((60+2*Q24)/12)&amp;":"&amp;TEXT(MOD(60+2*Q24,12),"00"))))</f>
        <v/>
      </c>
      <c r="S24" s="47"/>
      <c r="T24" s="47"/>
      <c r="U24" s="47"/>
      <c r="V24" s="47"/>
      <c r="W24" s="47"/>
      <c r="X24" s="47"/>
      <c r="Y24" s="47"/>
      <c r="Z24" s="47"/>
      <c r="AA24" s="10"/>
      <c r="AB24" s="10"/>
      <c r="AC24" s="47"/>
      <c r="AD24" s="47"/>
      <c r="AE24" s="47"/>
      <c r="AF24" s="47"/>
      <c r="AG24" s="47"/>
      <c r="AH24" s="47"/>
      <c r="AI24" s="46"/>
      <c r="AJ24" s="46"/>
      <c r="AK24" s="46"/>
      <c r="AL24" s="7"/>
      <c r="AM24" s="49" t="str">
        <f aca="false">IF(OR(C24="",G24=""),"",IFERROR(DATEDIF(C24,G24,"m"),""))</f>
        <v/>
      </c>
      <c r="AN24" s="49" t="str">
        <f aca="false">IF(OR(Q24="",AM24=""),"",60+2*Q24-AM24)</f>
        <v/>
      </c>
      <c r="AO24" s="49" t="str">
        <f aca="false">IF(OR(G24="",AJ24=""),"",AJ24-G24)</f>
        <v/>
      </c>
      <c r="AP24" s="50" t="str">
        <f aca="false">IF(AND(A24="",B24=""),"",IF(J24="","Status needed",IF(OR(J24="Applied",J24="Visit booked",J24="Withdrawn"),"OK",IF(G24="","Date assessed needed",IF(C24="","Date of birth needed",IF(COUNTA(L24,M24,P24,U24,V24,X24)&lt;6,"Band missing",IF(AND(OR(J24="Decision confirmed",J24="Family told",J24="Enrolled"),AG24=""),"Recommendation needed",IF(AND(OR(J24="Family told",J24="Enrolled"),AJ24=""),"Date family told needed","OK"))))))))</f>
        <v/>
      </c>
    </row>
    <row r="25" customFormat="false" ht="15" hidden="false" customHeight="false" outlineLevel="0" collapsed="false">
      <c r="A25" s="7"/>
      <c r="B25" s="7"/>
      <c r="C25" s="46"/>
      <c r="D25" s="7"/>
      <c r="E25" s="47"/>
      <c r="F25" s="46"/>
      <c r="G25" s="46"/>
      <c r="H25" s="7"/>
      <c r="I25" s="7"/>
      <c r="J25" s="47"/>
      <c r="K25" s="47"/>
      <c r="L25" s="47"/>
      <c r="M25" s="47"/>
      <c r="N25" s="10"/>
      <c r="O25" s="47"/>
      <c r="P25" s="47"/>
      <c r="Q25" s="47"/>
      <c r="R25" s="48" t="str">
        <f aca="false">IF(Q25="","",IF(Q25=0,"below 5:00",IF(Q25&gt;=66,"16:00 or above",INT((60+2*Q25)/12)&amp;":"&amp;TEXT(MOD(60+2*Q25,12),"00"))))</f>
        <v/>
      </c>
      <c r="S25" s="47"/>
      <c r="T25" s="47"/>
      <c r="U25" s="47"/>
      <c r="V25" s="47"/>
      <c r="W25" s="47"/>
      <c r="X25" s="47"/>
      <c r="Y25" s="47"/>
      <c r="Z25" s="47"/>
      <c r="AA25" s="10"/>
      <c r="AB25" s="10"/>
      <c r="AC25" s="47"/>
      <c r="AD25" s="47"/>
      <c r="AE25" s="47"/>
      <c r="AF25" s="47"/>
      <c r="AG25" s="47"/>
      <c r="AH25" s="47"/>
      <c r="AI25" s="46"/>
      <c r="AJ25" s="46"/>
      <c r="AK25" s="46"/>
      <c r="AL25" s="7"/>
      <c r="AM25" s="49" t="str">
        <f aca="false">IF(OR(C25="",G25=""),"",IFERROR(DATEDIF(C25,G25,"m"),""))</f>
        <v/>
      </c>
      <c r="AN25" s="49" t="str">
        <f aca="false">IF(OR(Q25="",AM25=""),"",60+2*Q25-AM25)</f>
        <v/>
      </c>
      <c r="AO25" s="49" t="str">
        <f aca="false">IF(OR(G25="",AJ25=""),"",AJ25-G25)</f>
        <v/>
      </c>
      <c r="AP25" s="50" t="str">
        <f aca="false">IF(AND(A25="",B25=""),"",IF(J25="","Status needed",IF(OR(J25="Applied",J25="Visit booked",J25="Withdrawn"),"OK",IF(G25="","Date assessed needed",IF(C25="","Date of birth needed",IF(COUNTA(L25,M25,P25,U25,V25,X25)&lt;6,"Band missing",IF(AND(OR(J25="Decision confirmed",J25="Family told",J25="Enrolled"),AG25=""),"Recommendation needed",IF(AND(OR(J25="Family told",J25="Enrolled"),AJ25=""),"Date family told needed","OK"))))))))</f>
        <v/>
      </c>
    </row>
    <row r="26" customFormat="false" ht="15" hidden="false" customHeight="false" outlineLevel="0" collapsed="false">
      <c r="A26" s="7"/>
      <c r="B26" s="7"/>
      <c r="C26" s="46"/>
      <c r="D26" s="7"/>
      <c r="E26" s="47"/>
      <c r="F26" s="46"/>
      <c r="G26" s="46"/>
      <c r="H26" s="7"/>
      <c r="I26" s="7"/>
      <c r="J26" s="47"/>
      <c r="K26" s="47"/>
      <c r="L26" s="47"/>
      <c r="M26" s="47"/>
      <c r="N26" s="10"/>
      <c r="O26" s="47"/>
      <c r="P26" s="47"/>
      <c r="Q26" s="47"/>
      <c r="R26" s="48" t="str">
        <f aca="false">IF(Q26="","",IF(Q26=0,"below 5:00",IF(Q26&gt;=66,"16:00 or above",INT((60+2*Q26)/12)&amp;":"&amp;TEXT(MOD(60+2*Q26,12),"00"))))</f>
        <v/>
      </c>
      <c r="S26" s="47"/>
      <c r="T26" s="47"/>
      <c r="U26" s="47"/>
      <c r="V26" s="47"/>
      <c r="W26" s="47"/>
      <c r="X26" s="47"/>
      <c r="Y26" s="47"/>
      <c r="Z26" s="47"/>
      <c r="AA26" s="10"/>
      <c r="AB26" s="10"/>
      <c r="AC26" s="47"/>
      <c r="AD26" s="47"/>
      <c r="AE26" s="47"/>
      <c r="AF26" s="47"/>
      <c r="AG26" s="47"/>
      <c r="AH26" s="47"/>
      <c r="AI26" s="46"/>
      <c r="AJ26" s="46"/>
      <c r="AK26" s="46"/>
      <c r="AL26" s="7"/>
      <c r="AM26" s="49" t="str">
        <f aca="false">IF(OR(C26="",G26=""),"",IFERROR(DATEDIF(C26,G26,"m"),""))</f>
        <v/>
      </c>
      <c r="AN26" s="49" t="str">
        <f aca="false">IF(OR(Q26="",AM26=""),"",60+2*Q26-AM26)</f>
        <v/>
      </c>
      <c r="AO26" s="49" t="str">
        <f aca="false">IF(OR(G26="",AJ26=""),"",AJ26-G26)</f>
        <v/>
      </c>
      <c r="AP26" s="50" t="str">
        <f aca="false">IF(AND(A26="",B26=""),"",IF(J26="","Status needed",IF(OR(J26="Applied",J26="Visit booked",J26="Withdrawn"),"OK",IF(G26="","Date assessed needed",IF(C26="","Date of birth needed",IF(COUNTA(L26,M26,P26,U26,V26,X26)&lt;6,"Band missing",IF(AND(OR(J26="Decision confirmed",J26="Family told",J26="Enrolled"),AG26=""),"Recommendation needed",IF(AND(OR(J26="Family told",J26="Enrolled"),AJ26=""),"Date family told needed","OK"))))))))</f>
        <v/>
      </c>
    </row>
    <row r="27" customFormat="false" ht="15" hidden="false" customHeight="false" outlineLevel="0" collapsed="false">
      <c r="A27" s="7"/>
      <c r="B27" s="7"/>
      <c r="C27" s="46"/>
      <c r="D27" s="7"/>
      <c r="E27" s="47"/>
      <c r="F27" s="46"/>
      <c r="G27" s="46"/>
      <c r="H27" s="7"/>
      <c r="I27" s="7"/>
      <c r="J27" s="47"/>
      <c r="K27" s="47"/>
      <c r="L27" s="47"/>
      <c r="M27" s="47"/>
      <c r="N27" s="10"/>
      <c r="O27" s="47"/>
      <c r="P27" s="47"/>
      <c r="Q27" s="47"/>
      <c r="R27" s="48" t="str">
        <f aca="false">IF(Q27="","",IF(Q27=0,"below 5:00",IF(Q27&gt;=66,"16:00 or above",INT((60+2*Q27)/12)&amp;":"&amp;TEXT(MOD(60+2*Q27,12),"00"))))</f>
        <v/>
      </c>
      <c r="S27" s="47"/>
      <c r="T27" s="47"/>
      <c r="U27" s="47"/>
      <c r="V27" s="47"/>
      <c r="W27" s="47"/>
      <c r="X27" s="47"/>
      <c r="Y27" s="47"/>
      <c r="Z27" s="47"/>
      <c r="AA27" s="10"/>
      <c r="AB27" s="10"/>
      <c r="AC27" s="47"/>
      <c r="AD27" s="47"/>
      <c r="AE27" s="47"/>
      <c r="AF27" s="47"/>
      <c r="AG27" s="47"/>
      <c r="AH27" s="47"/>
      <c r="AI27" s="46"/>
      <c r="AJ27" s="46"/>
      <c r="AK27" s="46"/>
      <c r="AL27" s="7"/>
      <c r="AM27" s="49" t="str">
        <f aca="false">IF(OR(C27="",G27=""),"",IFERROR(DATEDIF(C27,G27,"m"),""))</f>
        <v/>
      </c>
      <c r="AN27" s="49" t="str">
        <f aca="false">IF(OR(Q27="",AM27=""),"",60+2*Q27-AM27)</f>
        <v/>
      </c>
      <c r="AO27" s="49" t="str">
        <f aca="false">IF(OR(G27="",AJ27=""),"",AJ27-G27)</f>
        <v/>
      </c>
      <c r="AP27" s="50" t="str">
        <f aca="false">IF(AND(A27="",B27=""),"",IF(J27="","Status needed",IF(OR(J27="Applied",J27="Visit booked",J27="Withdrawn"),"OK",IF(G27="","Date assessed needed",IF(C27="","Date of birth needed",IF(COUNTA(L27,M27,P27,U27,V27,X27)&lt;6,"Band missing",IF(AND(OR(J27="Decision confirmed",J27="Family told",J27="Enrolled"),AG27=""),"Recommendation needed",IF(AND(OR(J27="Family told",J27="Enrolled"),AJ27=""),"Date family told needed","OK"))))))))</f>
        <v/>
      </c>
    </row>
    <row r="28" customFormat="false" ht="15" hidden="false" customHeight="false" outlineLevel="0" collapsed="false">
      <c r="A28" s="7"/>
      <c r="B28" s="7"/>
      <c r="C28" s="46"/>
      <c r="D28" s="7"/>
      <c r="E28" s="47"/>
      <c r="F28" s="46"/>
      <c r="G28" s="46"/>
      <c r="H28" s="7"/>
      <c r="I28" s="7"/>
      <c r="J28" s="47"/>
      <c r="K28" s="47"/>
      <c r="L28" s="47"/>
      <c r="M28" s="47"/>
      <c r="N28" s="10"/>
      <c r="O28" s="47"/>
      <c r="P28" s="47"/>
      <c r="Q28" s="47"/>
      <c r="R28" s="48" t="str">
        <f aca="false">IF(Q28="","",IF(Q28=0,"below 5:00",IF(Q28&gt;=66,"16:00 or above",INT((60+2*Q28)/12)&amp;":"&amp;TEXT(MOD(60+2*Q28,12),"00"))))</f>
        <v/>
      </c>
      <c r="S28" s="47"/>
      <c r="T28" s="47"/>
      <c r="U28" s="47"/>
      <c r="V28" s="47"/>
      <c r="W28" s="47"/>
      <c r="X28" s="47"/>
      <c r="Y28" s="47"/>
      <c r="Z28" s="47"/>
      <c r="AA28" s="10"/>
      <c r="AB28" s="10"/>
      <c r="AC28" s="47"/>
      <c r="AD28" s="47"/>
      <c r="AE28" s="47"/>
      <c r="AF28" s="47"/>
      <c r="AG28" s="47"/>
      <c r="AH28" s="47"/>
      <c r="AI28" s="46"/>
      <c r="AJ28" s="46"/>
      <c r="AK28" s="46"/>
      <c r="AL28" s="7"/>
      <c r="AM28" s="49" t="str">
        <f aca="false">IF(OR(C28="",G28=""),"",IFERROR(DATEDIF(C28,G28,"m"),""))</f>
        <v/>
      </c>
      <c r="AN28" s="49" t="str">
        <f aca="false">IF(OR(Q28="",AM28=""),"",60+2*Q28-AM28)</f>
        <v/>
      </c>
      <c r="AO28" s="49" t="str">
        <f aca="false">IF(OR(G28="",AJ28=""),"",AJ28-G28)</f>
        <v/>
      </c>
      <c r="AP28" s="50" t="str">
        <f aca="false">IF(AND(A28="",B28=""),"",IF(J28="","Status needed",IF(OR(J28="Applied",J28="Visit booked",J28="Withdrawn"),"OK",IF(G28="","Date assessed needed",IF(C28="","Date of birth needed",IF(COUNTA(L28,M28,P28,U28,V28,X28)&lt;6,"Band missing",IF(AND(OR(J28="Decision confirmed",J28="Family told",J28="Enrolled"),AG28=""),"Recommendation needed",IF(AND(OR(J28="Family told",J28="Enrolled"),AJ28=""),"Date family told needed","OK"))))))))</f>
        <v/>
      </c>
    </row>
    <row r="29" customFormat="false" ht="15" hidden="false" customHeight="false" outlineLevel="0" collapsed="false">
      <c r="A29" s="7"/>
      <c r="B29" s="7"/>
      <c r="C29" s="46"/>
      <c r="D29" s="7"/>
      <c r="E29" s="47"/>
      <c r="F29" s="46"/>
      <c r="G29" s="46"/>
      <c r="H29" s="7"/>
      <c r="I29" s="7"/>
      <c r="J29" s="47"/>
      <c r="K29" s="47"/>
      <c r="L29" s="47"/>
      <c r="M29" s="47"/>
      <c r="N29" s="10"/>
      <c r="O29" s="47"/>
      <c r="P29" s="47"/>
      <c r="Q29" s="47"/>
      <c r="R29" s="48" t="str">
        <f aca="false">IF(Q29="","",IF(Q29=0,"below 5:00",IF(Q29&gt;=66,"16:00 or above",INT((60+2*Q29)/12)&amp;":"&amp;TEXT(MOD(60+2*Q29,12),"00"))))</f>
        <v/>
      </c>
      <c r="S29" s="47"/>
      <c r="T29" s="47"/>
      <c r="U29" s="47"/>
      <c r="V29" s="47"/>
      <c r="W29" s="47"/>
      <c r="X29" s="47"/>
      <c r="Y29" s="47"/>
      <c r="Z29" s="47"/>
      <c r="AA29" s="10"/>
      <c r="AB29" s="10"/>
      <c r="AC29" s="47"/>
      <c r="AD29" s="47"/>
      <c r="AE29" s="47"/>
      <c r="AF29" s="47"/>
      <c r="AG29" s="47"/>
      <c r="AH29" s="47"/>
      <c r="AI29" s="46"/>
      <c r="AJ29" s="46"/>
      <c r="AK29" s="46"/>
      <c r="AL29" s="7"/>
      <c r="AM29" s="49" t="str">
        <f aca="false">IF(OR(C29="",G29=""),"",IFERROR(DATEDIF(C29,G29,"m"),""))</f>
        <v/>
      </c>
      <c r="AN29" s="49" t="str">
        <f aca="false">IF(OR(Q29="",AM29=""),"",60+2*Q29-AM29)</f>
        <v/>
      </c>
      <c r="AO29" s="49" t="str">
        <f aca="false">IF(OR(G29="",AJ29=""),"",AJ29-G29)</f>
        <v/>
      </c>
      <c r="AP29" s="50" t="str">
        <f aca="false">IF(AND(A29="",B29=""),"",IF(J29="","Status needed",IF(OR(J29="Applied",J29="Visit booked",J29="Withdrawn"),"OK",IF(G29="","Date assessed needed",IF(C29="","Date of birth needed",IF(COUNTA(L29,M29,P29,U29,V29,X29)&lt;6,"Band missing",IF(AND(OR(J29="Decision confirmed",J29="Family told",J29="Enrolled"),AG29=""),"Recommendation needed",IF(AND(OR(J29="Family told",J29="Enrolled"),AJ29=""),"Date family told needed","OK"))))))))</f>
        <v/>
      </c>
    </row>
    <row r="30" customFormat="false" ht="15" hidden="false" customHeight="false" outlineLevel="0" collapsed="false">
      <c r="A30" s="7"/>
      <c r="B30" s="7"/>
      <c r="C30" s="46"/>
      <c r="D30" s="7"/>
      <c r="E30" s="47"/>
      <c r="F30" s="46"/>
      <c r="G30" s="46"/>
      <c r="H30" s="7"/>
      <c r="I30" s="7"/>
      <c r="J30" s="47"/>
      <c r="K30" s="47"/>
      <c r="L30" s="47"/>
      <c r="M30" s="47"/>
      <c r="N30" s="10"/>
      <c r="O30" s="47"/>
      <c r="P30" s="47"/>
      <c r="Q30" s="47"/>
      <c r="R30" s="48" t="str">
        <f aca="false">IF(Q30="","",IF(Q30=0,"below 5:00",IF(Q30&gt;=66,"16:00 or above",INT((60+2*Q30)/12)&amp;":"&amp;TEXT(MOD(60+2*Q30,12),"00"))))</f>
        <v/>
      </c>
      <c r="S30" s="47"/>
      <c r="T30" s="47"/>
      <c r="U30" s="47"/>
      <c r="V30" s="47"/>
      <c r="W30" s="47"/>
      <c r="X30" s="47"/>
      <c r="Y30" s="47"/>
      <c r="Z30" s="47"/>
      <c r="AA30" s="10"/>
      <c r="AB30" s="10"/>
      <c r="AC30" s="47"/>
      <c r="AD30" s="47"/>
      <c r="AE30" s="47"/>
      <c r="AF30" s="47"/>
      <c r="AG30" s="47"/>
      <c r="AH30" s="47"/>
      <c r="AI30" s="46"/>
      <c r="AJ30" s="46"/>
      <c r="AK30" s="46"/>
      <c r="AL30" s="7"/>
      <c r="AM30" s="49" t="str">
        <f aca="false">IF(OR(C30="",G30=""),"",IFERROR(DATEDIF(C30,G30,"m"),""))</f>
        <v/>
      </c>
      <c r="AN30" s="49" t="str">
        <f aca="false">IF(OR(Q30="",AM30=""),"",60+2*Q30-AM30)</f>
        <v/>
      </c>
      <c r="AO30" s="49" t="str">
        <f aca="false">IF(OR(G30="",AJ30=""),"",AJ30-G30)</f>
        <v/>
      </c>
      <c r="AP30" s="50" t="str">
        <f aca="false">IF(AND(A30="",B30=""),"",IF(J30="","Status needed",IF(OR(J30="Applied",J30="Visit booked",J30="Withdrawn"),"OK",IF(G30="","Date assessed needed",IF(C30="","Date of birth needed",IF(COUNTA(L30,M30,P30,U30,V30,X30)&lt;6,"Band missing",IF(AND(OR(J30="Decision confirmed",J30="Family told",J30="Enrolled"),AG30=""),"Recommendation needed",IF(AND(OR(J30="Family told",J30="Enrolled"),AJ30=""),"Date family told needed","OK"))))))))</f>
        <v/>
      </c>
    </row>
    <row r="31" customFormat="false" ht="15" hidden="false" customHeight="false" outlineLevel="0" collapsed="false">
      <c r="A31" s="7"/>
      <c r="B31" s="7"/>
      <c r="C31" s="46"/>
      <c r="D31" s="7"/>
      <c r="E31" s="47"/>
      <c r="F31" s="46"/>
      <c r="G31" s="46"/>
      <c r="H31" s="7"/>
      <c r="I31" s="7"/>
      <c r="J31" s="47"/>
      <c r="K31" s="47"/>
      <c r="L31" s="47"/>
      <c r="M31" s="47"/>
      <c r="N31" s="10"/>
      <c r="O31" s="47"/>
      <c r="P31" s="47"/>
      <c r="Q31" s="47"/>
      <c r="R31" s="48" t="str">
        <f aca="false">IF(Q31="","",IF(Q31=0,"below 5:00",IF(Q31&gt;=66,"16:00 or above",INT((60+2*Q31)/12)&amp;":"&amp;TEXT(MOD(60+2*Q31,12),"00"))))</f>
        <v/>
      </c>
      <c r="S31" s="47"/>
      <c r="T31" s="47"/>
      <c r="U31" s="47"/>
      <c r="V31" s="47"/>
      <c r="W31" s="47"/>
      <c r="X31" s="47"/>
      <c r="Y31" s="47"/>
      <c r="Z31" s="47"/>
      <c r="AA31" s="10"/>
      <c r="AB31" s="10"/>
      <c r="AC31" s="47"/>
      <c r="AD31" s="47"/>
      <c r="AE31" s="47"/>
      <c r="AF31" s="47"/>
      <c r="AG31" s="47"/>
      <c r="AH31" s="47"/>
      <c r="AI31" s="46"/>
      <c r="AJ31" s="46"/>
      <c r="AK31" s="46"/>
      <c r="AL31" s="7"/>
      <c r="AM31" s="49" t="str">
        <f aca="false">IF(OR(C31="",G31=""),"",IFERROR(DATEDIF(C31,G31,"m"),""))</f>
        <v/>
      </c>
      <c r="AN31" s="49" t="str">
        <f aca="false">IF(OR(Q31="",AM31=""),"",60+2*Q31-AM31)</f>
        <v/>
      </c>
      <c r="AO31" s="49" t="str">
        <f aca="false">IF(OR(G31="",AJ31=""),"",AJ31-G31)</f>
        <v/>
      </c>
      <c r="AP31" s="50" t="str">
        <f aca="false">IF(AND(A31="",B31=""),"",IF(J31="","Status needed",IF(OR(J31="Applied",J31="Visit booked",J31="Withdrawn"),"OK",IF(G31="","Date assessed needed",IF(C31="","Date of birth needed",IF(COUNTA(L31,M31,P31,U31,V31,X31)&lt;6,"Band missing",IF(AND(OR(J31="Decision confirmed",J31="Family told",J31="Enrolled"),AG31=""),"Recommendation needed",IF(AND(OR(J31="Family told",J31="Enrolled"),AJ31=""),"Date family told needed","OK"))))))))</f>
        <v/>
      </c>
    </row>
    <row r="32" customFormat="false" ht="15" hidden="false" customHeight="false" outlineLevel="0" collapsed="false">
      <c r="A32" s="7"/>
      <c r="B32" s="7"/>
      <c r="C32" s="46"/>
      <c r="D32" s="7"/>
      <c r="E32" s="47"/>
      <c r="F32" s="46"/>
      <c r="G32" s="46"/>
      <c r="H32" s="7"/>
      <c r="I32" s="7"/>
      <c r="J32" s="47"/>
      <c r="K32" s="47"/>
      <c r="L32" s="47"/>
      <c r="M32" s="47"/>
      <c r="N32" s="10"/>
      <c r="O32" s="47"/>
      <c r="P32" s="47"/>
      <c r="Q32" s="47"/>
      <c r="R32" s="48" t="str">
        <f aca="false">IF(Q32="","",IF(Q32=0,"below 5:00",IF(Q32&gt;=66,"16:00 or above",INT((60+2*Q32)/12)&amp;":"&amp;TEXT(MOD(60+2*Q32,12),"00"))))</f>
        <v/>
      </c>
      <c r="S32" s="47"/>
      <c r="T32" s="47"/>
      <c r="U32" s="47"/>
      <c r="V32" s="47"/>
      <c r="W32" s="47"/>
      <c r="X32" s="47"/>
      <c r="Y32" s="47"/>
      <c r="Z32" s="47"/>
      <c r="AA32" s="10"/>
      <c r="AB32" s="10"/>
      <c r="AC32" s="47"/>
      <c r="AD32" s="47"/>
      <c r="AE32" s="47"/>
      <c r="AF32" s="47"/>
      <c r="AG32" s="47"/>
      <c r="AH32" s="47"/>
      <c r="AI32" s="46"/>
      <c r="AJ32" s="46"/>
      <c r="AK32" s="46"/>
      <c r="AL32" s="7"/>
      <c r="AM32" s="49" t="str">
        <f aca="false">IF(OR(C32="",G32=""),"",IFERROR(DATEDIF(C32,G32,"m"),""))</f>
        <v/>
      </c>
      <c r="AN32" s="49" t="str">
        <f aca="false">IF(OR(Q32="",AM32=""),"",60+2*Q32-AM32)</f>
        <v/>
      </c>
      <c r="AO32" s="49" t="str">
        <f aca="false">IF(OR(G32="",AJ32=""),"",AJ32-G32)</f>
        <v/>
      </c>
      <c r="AP32" s="50" t="str">
        <f aca="false">IF(AND(A32="",B32=""),"",IF(J32="","Status needed",IF(OR(J32="Applied",J32="Visit booked",J32="Withdrawn"),"OK",IF(G32="","Date assessed needed",IF(C32="","Date of birth needed",IF(COUNTA(L32,M32,P32,U32,V32,X32)&lt;6,"Band missing",IF(AND(OR(J32="Decision confirmed",J32="Family told",J32="Enrolled"),AG32=""),"Recommendation needed",IF(AND(OR(J32="Family told",J32="Enrolled"),AJ32=""),"Date family told needed","OK"))))))))</f>
        <v/>
      </c>
    </row>
    <row r="33" customFormat="false" ht="15" hidden="false" customHeight="false" outlineLevel="0" collapsed="false">
      <c r="A33" s="7"/>
      <c r="B33" s="7"/>
      <c r="C33" s="46"/>
      <c r="D33" s="7"/>
      <c r="E33" s="47"/>
      <c r="F33" s="46"/>
      <c r="G33" s="46"/>
      <c r="H33" s="7"/>
      <c r="I33" s="7"/>
      <c r="J33" s="47"/>
      <c r="K33" s="47"/>
      <c r="L33" s="47"/>
      <c r="M33" s="47"/>
      <c r="N33" s="10"/>
      <c r="O33" s="47"/>
      <c r="P33" s="47"/>
      <c r="Q33" s="47"/>
      <c r="R33" s="48" t="str">
        <f aca="false">IF(Q33="","",IF(Q33=0,"below 5:00",IF(Q33&gt;=66,"16:00 or above",INT((60+2*Q33)/12)&amp;":"&amp;TEXT(MOD(60+2*Q33,12),"00"))))</f>
        <v/>
      </c>
      <c r="S33" s="47"/>
      <c r="T33" s="47"/>
      <c r="U33" s="47"/>
      <c r="V33" s="47"/>
      <c r="W33" s="47"/>
      <c r="X33" s="47"/>
      <c r="Y33" s="47"/>
      <c r="Z33" s="47"/>
      <c r="AA33" s="10"/>
      <c r="AB33" s="10"/>
      <c r="AC33" s="47"/>
      <c r="AD33" s="47"/>
      <c r="AE33" s="47"/>
      <c r="AF33" s="47"/>
      <c r="AG33" s="47"/>
      <c r="AH33" s="47"/>
      <c r="AI33" s="46"/>
      <c r="AJ33" s="46"/>
      <c r="AK33" s="46"/>
      <c r="AL33" s="7"/>
      <c r="AM33" s="49" t="str">
        <f aca="false">IF(OR(C33="",G33=""),"",IFERROR(DATEDIF(C33,G33,"m"),""))</f>
        <v/>
      </c>
      <c r="AN33" s="49" t="str">
        <f aca="false">IF(OR(Q33="",AM33=""),"",60+2*Q33-AM33)</f>
        <v/>
      </c>
      <c r="AO33" s="49" t="str">
        <f aca="false">IF(OR(G33="",AJ33=""),"",AJ33-G33)</f>
        <v/>
      </c>
      <c r="AP33" s="50" t="str">
        <f aca="false">IF(AND(A33="",B33=""),"",IF(J33="","Status needed",IF(OR(J33="Applied",J33="Visit booked",J33="Withdrawn"),"OK",IF(G33="","Date assessed needed",IF(C33="","Date of birth needed",IF(COUNTA(L33,M33,P33,U33,V33,X33)&lt;6,"Band missing",IF(AND(OR(J33="Decision confirmed",J33="Family told",J33="Enrolled"),AG33=""),"Recommendation needed",IF(AND(OR(J33="Family told",J33="Enrolled"),AJ33=""),"Date family told needed","OK"))))))))</f>
        <v/>
      </c>
    </row>
    <row r="34" customFormat="false" ht="15" hidden="false" customHeight="false" outlineLevel="0" collapsed="false">
      <c r="A34" s="7"/>
      <c r="B34" s="7"/>
      <c r="C34" s="46"/>
      <c r="D34" s="7"/>
      <c r="E34" s="47"/>
      <c r="F34" s="46"/>
      <c r="G34" s="46"/>
      <c r="H34" s="7"/>
      <c r="I34" s="7"/>
      <c r="J34" s="47"/>
      <c r="K34" s="47"/>
      <c r="L34" s="47"/>
      <c r="M34" s="47"/>
      <c r="N34" s="10"/>
      <c r="O34" s="47"/>
      <c r="P34" s="47"/>
      <c r="Q34" s="47"/>
      <c r="R34" s="48" t="str">
        <f aca="false">IF(Q34="","",IF(Q34=0,"below 5:00",IF(Q34&gt;=66,"16:00 or above",INT((60+2*Q34)/12)&amp;":"&amp;TEXT(MOD(60+2*Q34,12),"00"))))</f>
        <v/>
      </c>
      <c r="S34" s="47"/>
      <c r="T34" s="47"/>
      <c r="U34" s="47"/>
      <c r="V34" s="47"/>
      <c r="W34" s="47"/>
      <c r="X34" s="47"/>
      <c r="Y34" s="47"/>
      <c r="Z34" s="47"/>
      <c r="AA34" s="10"/>
      <c r="AB34" s="10"/>
      <c r="AC34" s="47"/>
      <c r="AD34" s="47"/>
      <c r="AE34" s="47"/>
      <c r="AF34" s="47"/>
      <c r="AG34" s="47"/>
      <c r="AH34" s="47"/>
      <c r="AI34" s="46"/>
      <c r="AJ34" s="46"/>
      <c r="AK34" s="46"/>
      <c r="AL34" s="7"/>
      <c r="AM34" s="49" t="str">
        <f aca="false">IF(OR(C34="",G34=""),"",IFERROR(DATEDIF(C34,G34,"m"),""))</f>
        <v/>
      </c>
      <c r="AN34" s="49" t="str">
        <f aca="false">IF(OR(Q34="",AM34=""),"",60+2*Q34-AM34)</f>
        <v/>
      </c>
      <c r="AO34" s="49" t="str">
        <f aca="false">IF(OR(G34="",AJ34=""),"",AJ34-G34)</f>
        <v/>
      </c>
      <c r="AP34" s="50" t="str">
        <f aca="false">IF(AND(A34="",B34=""),"",IF(J34="","Status needed",IF(OR(J34="Applied",J34="Visit booked",J34="Withdrawn"),"OK",IF(G34="","Date assessed needed",IF(C34="","Date of birth needed",IF(COUNTA(L34,M34,P34,U34,V34,X34)&lt;6,"Band missing",IF(AND(OR(J34="Decision confirmed",J34="Family told",J34="Enrolled"),AG34=""),"Recommendation needed",IF(AND(OR(J34="Family told",J34="Enrolled"),AJ34=""),"Date family told needed","OK"))))))))</f>
        <v/>
      </c>
    </row>
    <row r="35" customFormat="false" ht="15" hidden="false" customHeight="false" outlineLevel="0" collapsed="false">
      <c r="A35" s="7"/>
      <c r="B35" s="7"/>
      <c r="C35" s="46"/>
      <c r="D35" s="7"/>
      <c r="E35" s="47"/>
      <c r="F35" s="46"/>
      <c r="G35" s="46"/>
      <c r="H35" s="7"/>
      <c r="I35" s="7"/>
      <c r="J35" s="47"/>
      <c r="K35" s="47"/>
      <c r="L35" s="47"/>
      <c r="M35" s="47"/>
      <c r="N35" s="10"/>
      <c r="O35" s="47"/>
      <c r="P35" s="47"/>
      <c r="Q35" s="47"/>
      <c r="R35" s="48" t="str">
        <f aca="false">IF(Q35="","",IF(Q35=0,"below 5:00",IF(Q35&gt;=66,"16:00 or above",INT((60+2*Q35)/12)&amp;":"&amp;TEXT(MOD(60+2*Q35,12),"00"))))</f>
        <v/>
      </c>
      <c r="S35" s="47"/>
      <c r="T35" s="47"/>
      <c r="U35" s="47"/>
      <c r="V35" s="47"/>
      <c r="W35" s="47"/>
      <c r="X35" s="47"/>
      <c r="Y35" s="47"/>
      <c r="Z35" s="47"/>
      <c r="AA35" s="10"/>
      <c r="AB35" s="10"/>
      <c r="AC35" s="47"/>
      <c r="AD35" s="47"/>
      <c r="AE35" s="47"/>
      <c r="AF35" s="47"/>
      <c r="AG35" s="47"/>
      <c r="AH35" s="47"/>
      <c r="AI35" s="46"/>
      <c r="AJ35" s="46"/>
      <c r="AK35" s="46"/>
      <c r="AL35" s="7"/>
      <c r="AM35" s="49" t="str">
        <f aca="false">IF(OR(C35="",G35=""),"",IFERROR(DATEDIF(C35,G35,"m"),""))</f>
        <v/>
      </c>
      <c r="AN35" s="49" t="str">
        <f aca="false">IF(OR(Q35="",AM35=""),"",60+2*Q35-AM35)</f>
        <v/>
      </c>
      <c r="AO35" s="49" t="str">
        <f aca="false">IF(OR(G35="",AJ35=""),"",AJ35-G35)</f>
        <v/>
      </c>
      <c r="AP35" s="50" t="str">
        <f aca="false">IF(AND(A35="",B35=""),"",IF(J35="","Status needed",IF(OR(J35="Applied",J35="Visit booked",J35="Withdrawn"),"OK",IF(G35="","Date assessed needed",IF(C35="","Date of birth needed",IF(COUNTA(L35,M35,P35,U35,V35,X35)&lt;6,"Band missing",IF(AND(OR(J35="Decision confirmed",J35="Family told",J35="Enrolled"),AG35=""),"Recommendation needed",IF(AND(OR(J35="Family told",J35="Enrolled"),AJ35=""),"Date family told needed","OK"))))))))</f>
        <v/>
      </c>
    </row>
    <row r="36" customFormat="false" ht="15" hidden="false" customHeight="false" outlineLevel="0" collapsed="false">
      <c r="A36" s="7"/>
      <c r="B36" s="7"/>
      <c r="C36" s="46"/>
      <c r="D36" s="7"/>
      <c r="E36" s="47"/>
      <c r="F36" s="46"/>
      <c r="G36" s="46"/>
      <c r="H36" s="7"/>
      <c r="I36" s="7"/>
      <c r="J36" s="47"/>
      <c r="K36" s="47"/>
      <c r="L36" s="47"/>
      <c r="M36" s="47"/>
      <c r="N36" s="10"/>
      <c r="O36" s="47"/>
      <c r="P36" s="47"/>
      <c r="Q36" s="47"/>
      <c r="R36" s="48" t="str">
        <f aca="false">IF(Q36="","",IF(Q36=0,"below 5:00",IF(Q36&gt;=66,"16:00 or above",INT((60+2*Q36)/12)&amp;":"&amp;TEXT(MOD(60+2*Q36,12),"00"))))</f>
        <v/>
      </c>
      <c r="S36" s="47"/>
      <c r="T36" s="47"/>
      <c r="U36" s="47"/>
      <c r="V36" s="47"/>
      <c r="W36" s="47"/>
      <c r="X36" s="47"/>
      <c r="Y36" s="47"/>
      <c r="Z36" s="47"/>
      <c r="AA36" s="10"/>
      <c r="AB36" s="10"/>
      <c r="AC36" s="47"/>
      <c r="AD36" s="47"/>
      <c r="AE36" s="47"/>
      <c r="AF36" s="47"/>
      <c r="AG36" s="47"/>
      <c r="AH36" s="47"/>
      <c r="AI36" s="46"/>
      <c r="AJ36" s="46"/>
      <c r="AK36" s="46"/>
      <c r="AL36" s="7"/>
      <c r="AM36" s="49" t="str">
        <f aca="false">IF(OR(C36="",G36=""),"",IFERROR(DATEDIF(C36,G36,"m"),""))</f>
        <v/>
      </c>
      <c r="AN36" s="49" t="str">
        <f aca="false">IF(OR(Q36="",AM36=""),"",60+2*Q36-AM36)</f>
        <v/>
      </c>
      <c r="AO36" s="49" t="str">
        <f aca="false">IF(OR(G36="",AJ36=""),"",AJ36-G36)</f>
        <v/>
      </c>
      <c r="AP36" s="50" t="str">
        <f aca="false">IF(AND(A36="",B36=""),"",IF(J36="","Status needed",IF(OR(J36="Applied",J36="Visit booked",J36="Withdrawn"),"OK",IF(G36="","Date assessed needed",IF(C36="","Date of birth needed",IF(COUNTA(L36,M36,P36,U36,V36,X36)&lt;6,"Band missing",IF(AND(OR(J36="Decision confirmed",J36="Family told",J36="Enrolled"),AG36=""),"Recommendation needed",IF(AND(OR(J36="Family told",J36="Enrolled"),AJ36=""),"Date family told needed","OK"))))))))</f>
        <v/>
      </c>
    </row>
    <row r="37" customFormat="false" ht="15" hidden="false" customHeight="false" outlineLevel="0" collapsed="false">
      <c r="A37" s="7"/>
      <c r="B37" s="7"/>
      <c r="C37" s="46"/>
      <c r="D37" s="7"/>
      <c r="E37" s="47"/>
      <c r="F37" s="46"/>
      <c r="G37" s="46"/>
      <c r="H37" s="7"/>
      <c r="I37" s="7"/>
      <c r="J37" s="47"/>
      <c r="K37" s="47"/>
      <c r="L37" s="47"/>
      <c r="M37" s="47"/>
      <c r="N37" s="10"/>
      <c r="O37" s="47"/>
      <c r="P37" s="47"/>
      <c r="Q37" s="47"/>
      <c r="R37" s="48" t="str">
        <f aca="false">IF(Q37="","",IF(Q37=0,"below 5:00",IF(Q37&gt;=66,"16:00 or above",INT((60+2*Q37)/12)&amp;":"&amp;TEXT(MOD(60+2*Q37,12),"00"))))</f>
        <v/>
      </c>
      <c r="S37" s="47"/>
      <c r="T37" s="47"/>
      <c r="U37" s="47"/>
      <c r="V37" s="47"/>
      <c r="W37" s="47"/>
      <c r="X37" s="47"/>
      <c r="Y37" s="47"/>
      <c r="Z37" s="47"/>
      <c r="AA37" s="10"/>
      <c r="AB37" s="10"/>
      <c r="AC37" s="47"/>
      <c r="AD37" s="47"/>
      <c r="AE37" s="47"/>
      <c r="AF37" s="47"/>
      <c r="AG37" s="47"/>
      <c r="AH37" s="47"/>
      <c r="AI37" s="46"/>
      <c r="AJ37" s="46"/>
      <c r="AK37" s="46"/>
      <c r="AL37" s="7"/>
      <c r="AM37" s="49" t="str">
        <f aca="false">IF(OR(C37="",G37=""),"",IFERROR(DATEDIF(C37,G37,"m"),""))</f>
        <v/>
      </c>
      <c r="AN37" s="49" t="str">
        <f aca="false">IF(OR(Q37="",AM37=""),"",60+2*Q37-AM37)</f>
        <v/>
      </c>
      <c r="AO37" s="49" t="str">
        <f aca="false">IF(OR(G37="",AJ37=""),"",AJ37-G37)</f>
        <v/>
      </c>
      <c r="AP37" s="50" t="str">
        <f aca="false">IF(AND(A37="",B37=""),"",IF(J37="","Status needed",IF(OR(J37="Applied",J37="Visit booked",J37="Withdrawn"),"OK",IF(G37="","Date assessed needed",IF(C37="","Date of birth needed",IF(COUNTA(L37,M37,P37,U37,V37,X37)&lt;6,"Band missing",IF(AND(OR(J37="Decision confirmed",J37="Family told",J37="Enrolled"),AG37=""),"Recommendation needed",IF(AND(OR(J37="Family told",J37="Enrolled"),AJ37=""),"Date family told needed","OK"))))))))</f>
        <v/>
      </c>
    </row>
    <row r="38" customFormat="false" ht="15" hidden="false" customHeight="false" outlineLevel="0" collapsed="false">
      <c r="A38" s="7"/>
      <c r="B38" s="7"/>
      <c r="C38" s="46"/>
      <c r="D38" s="7"/>
      <c r="E38" s="47"/>
      <c r="F38" s="46"/>
      <c r="G38" s="46"/>
      <c r="H38" s="7"/>
      <c r="I38" s="7"/>
      <c r="J38" s="47"/>
      <c r="K38" s="47"/>
      <c r="L38" s="47"/>
      <c r="M38" s="47"/>
      <c r="N38" s="10"/>
      <c r="O38" s="47"/>
      <c r="P38" s="47"/>
      <c r="Q38" s="47"/>
      <c r="R38" s="48" t="str">
        <f aca="false">IF(Q38="","",IF(Q38=0,"below 5:00",IF(Q38&gt;=66,"16:00 or above",INT((60+2*Q38)/12)&amp;":"&amp;TEXT(MOD(60+2*Q38,12),"00"))))</f>
        <v/>
      </c>
      <c r="S38" s="47"/>
      <c r="T38" s="47"/>
      <c r="U38" s="47"/>
      <c r="V38" s="47"/>
      <c r="W38" s="47"/>
      <c r="X38" s="47"/>
      <c r="Y38" s="47"/>
      <c r="Z38" s="47"/>
      <c r="AA38" s="10"/>
      <c r="AB38" s="10"/>
      <c r="AC38" s="47"/>
      <c r="AD38" s="47"/>
      <c r="AE38" s="47"/>
      <c r="AF38" s="47"/>
      <c r="AG38" s="47"/>
      <c r="AH38" s="47"/>
      <c r="AI38" s="46"/>
      <c r="AJ38" s="46"/>
      <c r="AK38" s="46"/>
      <c r="AL38" s="7"/>
      <c r="AM38" s="49" t="str">
        <f aca="false">IF(OR(C38="",G38=""),"",IFERROR(DATEDIF(C38,G38,"m"),""))</f>
        <v/>
      </c>
      <c r="AN38" s="49" t="str">
        <f aca="false">IF(OR(Q38="",AM38=""),"",60+2*Q38-AM38)</f>
        <v/>
      </c>
      <c r="AO38" s="49" t="str">
        <f aca="false">IF(OR(G38="",AJ38=""),"",AJ38-G38)</f>
        <v/>
      </c>
      <c r="AP38" s="50" t="str">
        <f aca="false">IF(AND(A38="",B38=""),"",IF(J38="","Status needed",IF(OR(J38="Applied",J38="Visit booked",J38="Withdrawn"),"OK",IF(G38="","Date assessed needed",IF(C38="","Date of birth needed",IF(COUNTA(L38,M38,P38,U38,V38,X38)&lt;6,"Band missing",IF(AND(OR(J38="Decision confirmed",J38="Family told",J38="Enrolled"),AG38=""),"Recommendation needed",IF(AND(OR(J38="Family told",J38="Enrolled"),AJ38=""),"Date family told needed","OK"))))))))</f>
        <v/>
      </c>
    </row>
    <row r="39" customFormat="false" ht="15" hidden="false" customHeight="false" outlineLevel="0" collapsed="false">
      <c r="A39" s="7"/>
      <c r="B39" s="7"/>
      <c r="C39" s="46"/>
      <c r="D39" s="7"/>
      <c r="E39" s="47"/>
      <c r="F39" s="46"/>
      <c r="G39" s="46"/>
      <c r="H39" s="7"/>
      <c r="I39" s="7"/>
      <c r="J39" s="47"/>
      <c r="K39" s="47"/>
      <c r="L39" s="47"/>
      <c r="M39" s="47"/>
      <c r="N39" s="10"/>
      <c r="O39" s="47"/>
      <c r="P39" s="47"/>
      <c r="Q39" s="47"/>
      <c r="R39" s="48" t="str">
        <f aca="false">IF(Q39="","",IF(Q39=0,"below 5:00",IF(Q39&gt;=66,"16:00 or above",INT((60+2*Q39)/12)&amp;":"&amp;TEXT(MOD(60+2*Q39,12),"00"))))</f>
        <v/>
      </c>
      <c r="S39" s="47"/>
      <c r="T39" s="47"/>
      <c r="U39" s="47"/>
      <c r="V39" s="47"/>
      <c r="W39" s="47"/>
      <c r="X39" s="47"/>
      <c r="Y39" s="47"/>
      <c r="Z39" s="47"/>
      <c r="AA39" s="10"/>
      <c r="AB39" s="10"/>
      <c r="AC39" s="47"/>
      <c r="AD39" s="47"/>
      <c r="AE39" s="47"/>
      <c r="AF39" s="47"/>
      <c r="AG39" s="47"/>
      <c r="AH39" s="47"/>
      <c r="AI39" s="46"/>
      <c r="AJ39" s="46"/>
      <c r="AK39" s="46"/>
      <c r="AL39" s="7"/>
      <c r="AM39" s="49" t="str">
        <f aca="false">IF(OR(C39="",G39=""),"",IFERROR(DATEDIF(C39,G39,"m"),""))</f>
        <v/>
      </c>
      <c r="AN39" s="49" t="str">
        <f aca="false">IF(OR(Q39="",AM39=""),"",60+2*Q39-AM39)</f>
        <v/>
      </c>
      <c r="AO39" s="49" t="str">
        <f aca="false">IF(OR(G39="",AJ39=""),"",AJ39-G39)</f>
        <v/>
      </c>
      <c r="AP39" s="50" t="str">
        <f aca="false">IF(AND(A39="",B39=""),"",IF(J39="","Status needed",IF(OR(J39="Applied",J39="Visit booked",J39="Withdrawn"),"OK",IF(G39="","Date assessed needed",IF(C39="","Date of birth needed",IF(COUNTA(L39,M39,P39,U39,V39,X39)&lt;6,"Band missing",IF(AND(OR(J39="Decision confirmed",J39="Family told",J39="Enrolled"),AG39=""),"Recommendation needed",IF(AND(OR(J39="Family told",J39="Enrolled"),AJ39=""),"Date family told needed","OK"))))))))</f>
        <v/>
      </c>
    </row>
    <row r="40" customFormat="false" ht="15" hidden="false" customHeight="false" outlineLevel="0" collapsed="false">
      <c r="A40" s="7"/>
      <c r="B40" s="7"/>
      <c r="C40" s="46"/>
      <c r="D40" s="7"/>
      <c r="E40" s="47"/>
      <c r="F40" s="46"/>
      <c r="G40" s="46"/>
      <c r="H40" s="7"/>
      <c r="I40" s="7"/>
      <c r="J40" s="47"/>
      <c r="K40" s="47"/>
      <c r="L40" s="47"/>
      <c r="M40" s="47"/>
      <c r="N40" s="10"/>
      <c r="O40" s="47"/>
      <c r="P40" s="47"/>
      <c r="Q40" s="47"/>
      <c r="R40" s="48" t="str">
        <f aca="false">IF(Q40="","",IF(Q40=0,"below 5:00",IF(Q40&gt;=66,"16:00 or above",INT((60+2*Q40)/12)&amp;":"&amp;TEXT(MOD(60+2*Q40,12),"00"))))</f>
        <v/>
      </c>
      <c r="S40" s="47"/>
      <c r="T40" s="47"/>
      <c r="U40" s="47"/>
      <c r="V40" s="47"/>
      <c r="W40" s="47"/>
      <c r="X40" s="47"/>
      <c r="Y40" s="47"/>
      <c r="Z40" s="47"/>
      <c r="AA40" s="10"/>
      <c r="AB40" s="10"/>
      <c r="AC40" s="47"/>
      <c r="AD40" s="47"/>
      <c r="AE40" s="47"/>
      <c r="AF40" s="47"/>
      <c r="AG40" s="47"/>
      <c r="AH40" s="47"/>
      <c r="AI40" s="46"/>
      <c r="AJ40" s="46"/>
      <c r="AK40" s="46"/>
      <c r="AL40" s="7"/>
      <c r="AM40" s="49" t="str">
        <f aca="false">IF(OR(C40="",G40=""),"",IFERROR(DATEDIF(C40,G40,"m"),""))</f>
        <v/>
      </c>
      <c r="AN40" s="49" t="str">
        <f aca="false">IF(OR(Q40="",AM40=""),"",60+2*Q40-AM40)</f>
        <v/>
      </c>
      <c r="AO40" s="49" t="str">
        <f aca="false">IF(OR(G40="",AJ40=""),"",AJ40-G40)</f>
        <v/>
      </c>
      <c r="AP40" s="50" t="str">
        <f aca="false">IF(AND(A40="",B40=""),"",IF(J40="","Status needed",IF(OR(J40="Applied",J40="Visit booked",J40="Withdrawn"),"OK",IF(G40="","Date assessed needed",IF(C40="","Date of birth needed",IF(COUNTA(L40,M40,P40,U40,V40,X40)&lt;6,"Band missing",IF(AND(OR(J40="Decision confirmed",J40="Family told",J40="Enrolled"),AG40=""),"Recommendation needed",IF(AND(OR(J40="Family told",J40="Enrolled"),AJ40=""),"Date family told needed","OK"))))))))</f>
        <v/>
      </c>
    </row>
    <row r="41" customFormat="false" ht="15" hidden="false" customHeight="false" outlineLevel="0" collapsed="false">
      <c r="A41" s="7"/>
      <c r="B41" s="7"/>
      <c r="C41" s="46"/>
      <c r="D41" s="7"/>
      <c r="E41" s="47"/>
      <c r="F41" s="46"/>
      <c r="G41" s="46"/>
      <c r="H41" s="7"/>
      <c r="I41" s="7"/>
      <c r="J41" s="47"/>
      <c r="K41" s="47"/>
      <c r="L41" s="47"/>
      <c r="M41" s="47"/>
      <c r="N41" s="10"/>
      <c r="O41" s="47"/>
      <c r="P41" s="47"/>
      <c r="Q41" s="47"/>
      <c r="R41" s="48" t="str">
        <f aca="false">IF(Q41="","",IF(Q41=0,"below 5:00",IF(Q41&gt;=66,"16:00 or above",INT((60+2*Q41)/12)&amp;":"&amp;TEXT(MOD(60+2*Q41,12),"00"))))</f>
        <v/>
      </c>
      <c r="S41" s="47"/>
      <c r="T41" s="47"/>
      <c r="U41" s="47"/>
      <c r="V41" s="47"/>
      <c r="W41" s="47"/>
      <c r="X41" s="47"/>
      <c r="Y41" s="47"/>
      <c r="Z41" s="47"/>
      <c r="AA41" s="10"/>
      <c r="AB41" s="10"/>
      <c r="AC41" s="47"/>
      <c r="AD41" s="47"/>
      <c r="AE41" s="47"/>
      <c r="AF41" s="47"/>
      <c r="AG41" s="47"/>
      <c r="AH41" s="47"/>
      <c r="AI41" s="46"/>
      <c r="AJ41" s="46"/>
      <c r="AK41" s="46"/>
      <c r="AL41" s="7"/>
      <c r="AM41" s="49" t="str">
        <f aca="false">IF(OR(C41="",G41=""),"",IFERROR(DATEDIF(C41,G41,"m"),""))</f>
        <v/>
      </c>
      <c r="AN41" s="49" t="str">
        <f aca="false">IF(OR(Q41="",AM41=""),"",60+2*Q41-AM41)</f>
        <v/>
      </c>
      <c r="AO41" s="49" t="str">
        <f aca="false">IF(OR(G41="",AJ41=""),"",AJ41-G41)</f>
        <v/>
      </c>
      <c r="AP41" s="50" t="str">
        <f aca="false">IF(AND(A41="",B41=""),"",IF(J41="","Status needed",IF(OR(J41="Applied",J41="Visit booked",J41="Withdrawn"),"OK",IF(G41="","Date assessed needed",IF(C41="","Date of birth needed",IF(COUNTA(L41,M41,P41,U41,V41,X41)&lt;6,"Band missing",IF(AND(OR(J41="Decision confirmed",J41="Family told",J41="Enrolled"),AG41=""),"Recommendation needed",IF(AND(OR(J41="Family told",J41="Enrolled"),AJ41=""),"Date family told needed","OK"))))))))</f>
        <v/>
      </c>
    </row>
    <row r="42" customFormat="false" ht="15" hidden="false" customHeight="false" outlineLevel="0" collapsed="false">
      <c r="A42" s="7"/>
      <c r="B42" s="7"/>
      <c r="C42" s="46"/>
      <c r="D42" s="7"/>
      <c r="E42" s="47"/>
      <c r="F42" s="46"/>
      <c r="G42" s="46"/>
      <c r="H42" s="7"/>
      <c r="I42" s="7"/>
      <c r="J42" s="47"/>
      <c r="K42" s="47"/>
      <c r="L42" s="47"/>
      <c r="M42" s="47"/>
      <c r="N42" s="10"/>
      <c r="O42" s="47"/>
      <c r="P42" s="47"/>
      <c r="Q42" s="47"/>
      <c r="R42" s="48" t="str">
        <f aca="false">IF(Q42="","",IF(Q42=0,"below 5:00",IF(Q42&gt;=66,"16:00 or above",INT((60+2*Q42)/12)&amp;":"&amp;TEXT(MOD(60+2*Q42,12),"00"))))</f>
        <v/>
      </c>
      <c r="S42" s="47"/>
      <c r="T42" s="47"/>
      <c r="U42" s="47"/>
      <c r="V42" s="47"/>
      <c r="W42" s="47"/>
      <c r="X42" s="47"/>
      <c r="Y42" s="47"/>
      <c r="Z42" s="47"/>
      <c r="AA42" s="10"/>
      <c r="AB42" s="10"/>
      <c r="AC42" s="47"/>
      <c r="AD42" s="47"/>
      <c r="AE42" s="47"/>
      <c r="AF42" s="47"/>
      <c r="AG42" s="47"/>
      <c r="AH42" s="47"/>
      <c r="AI42" s="46"/>
      <c r="AJ42" s="46"/>
      <c r="AK42" s="46"/>
      <c r="AL42" s="7"/>
      <c r="AM42" s="49" t="str">
        <f aca="false">IF(OR(C42="",G42=""),"",IFERROR(DATEDIF(C42,G42,"m"),""))</f>
        <v/>
      </c>
      <c r="AN42" s="49" t="str">
        <f aca="false">IF(OR(Q42="",AM42=""),"",60+2*Q42-AM42)</f>
        <v/>
      </c>
      <c r="AO42" s="49" t="str">
        <f aca="false">IF(OR(G42="",AJ42=""),"",AJ42-G42)</f>
        <v/>
      </c>
      <c r="AP42" s="50" t="str">
        <f aca="false">IF(AND(A42="",B42=""),"",IF(J42="","Status needed",IF(OR(J42="Applied",J42="Visit booked",J42="Withdrawn"),"OK",IF(G42="","Date assessed needed",IF(C42="","Date of birth needed",IF(COUNTA(L42,M42,P42,U42,V42,X42)&lt;6,"Band missing",IF(AND(OR(J42="Decision confirmed",J42="Family told",J42="Enrolled"),AG42=""),"Recommendation needed",IF(AND(OR(J42="Family told",J42="Enrolled"),AJ42=""),"Date family told needed","OK"))))))))</f>
        <v/>
      </c>
    </row>
    <row r="43" customFormat="false" ht="15" hidden="false" customHeight="false" outlineLevel="0" collapsed="false">
      <c r="A43" s="7"/>
      <c r="B43" s="7"/>
      <c r="C43" s="46"/>
      <c r="D43" s="7"/>
      <c r="E43" s="47"/>
      <c r="F43" s="46"/>
      <c r="G43" s="46"/>
      <c r="H43" s="7"/>
      <c r="I43" s="7"/>
      <c r="J43" s="47"/>
      <c r="K43" s="47"/>
      <c r="L43" s="47"/>
      <c r="M43" s="47"/>
      <c r="N43" s="10"/>
      <c r="O43" s="47"/>
      <c r="P43" s="47"/>
      <c r="Q43" s="47"/>
      <c r="R43" s="48" t="str">
        <f aca="false">IF(Q43="","",IF(Q43=0,"below 5:00",IF(Q43&gt;=66,"16:00 or above",INT((60+2*Q43)/12)&amp;":"&amp;TEXT(MOD(60+2*Q43,12),"00"))))</f>
        <v/>
      </c>
      <c r="S43" s="47"/>
      <c r="T43" s="47"/>
      <c r="U43" s="47"/>
      <c r="V43" s="47"/>
      <c r="W43" s="47"/>
      <c r="X43" s="47"/>
      <c r="Y43" s="47"/>
      <c r="Z43" s="47"/>
      <c r="AA43" s="10"/>
      <c r="AB43" s="10"/>
      <c r="AC43" s="47"/>
      <c r="AD43" s="47"/>
      <c r="AE43" s="47"/>
      <c r="AF43" s="47"/>
      <c r="AG43" s="47"/>
      <c r="AH43" s="47"/>
      <c r="AI43" s="46"/>
      <c r="AJ43" s="46"/>
      <c r="AK43" s="46"/>
      <c r="AL43" s="7"/>
      <c r="AM43" s="49" t="str">
        <f aca="false">IF(OR(C43="",G43=""),"",IFERROR(DATEDIF(C43,G43,"m"),""))</f>
        <v/>
      </c>
      <c r="AN43" s="49" t="str">
        <f aca="false">IF(OR(Q43="",AM43=""),"",60+2*Q43-AM43)</f>
        <v/>
      </c>
      <c r="AO43" s="49" t="str">
        <f aca="false">IF(OR(G43="",AJ43=""),"",AJ43-G43)</f>
        <v/>
      </c>
      <c r="AP43" s="50" t="str">
        <f aca="false">IF(AND(A43="",B43=""),"",IF(J43="","Status needed",IF(OR(J43="Applied",J43="Visit booked",J43="Withdrawn"),"OK",IF(G43="","Date assessed needed",IF(C43="","Date of birth needed",IF(COUNTA(L43,M43,P43,U43,V43,X43)&lt;6,"Band missing",IF(AND(OR(J43="Decision confirmed",J43="Family told",J43="Enrolled"),AG43=""),"Recommendation needed",IF(AND(OR(J43="Family told",J43="Enrolled"),AJ43=""),"Date family told needed","OK"))))))))</f>
        <v/>
      </c>
    </row>
    <row r="44" customFormat="false" ht="15" hidden="false" customHeight="false" outlineLevel="0" collapsed="false">
      <c r="A44" s="7"/>
      <c r="B44" s="7"/>
      <c r="C44" s="46"/>
      <c r="D44" s="7"/>
      <c r="E44" s="47"/>
      <c r="F44" s="46"/>
      <c r="G44" s="46"/>
      <c r="H44" s="7"/>
      <c r="I44" s="7"/>
      <c r="J44" s="47"/>
      <c r="K44" s="47"/>
      <c r="L44" s="47"/>
      <c r="M44" s="47"/>
      <c r="N44" s="10"/>
      <c r="O44" s="47"/>
      <c r="P44" s="47"/>
      <c r="Q44" s="47"/>
      <c r="R44" s="48" t="str">
        <f aca="false">IF(Q44="","",IF(Q44=0,"below 5:00",IF(Q44&gt;=66,"16:00 or above",INT((60+2*Q44)/12)&amp;":"&amp;TEXT(MOD(60+2*Q44,12),"00"))))</f>
        <v/>
      </c>
      <c r="S44" s="47"/>
      <c r="T44" s="47"/>
      <c r="U44" s="47"/>
      <c r="V44" s="47"/>
      <c r="W44" s="47"/>
      <c r="X44" s="47"/>
      <c r="Y44" s="47"/>
      <c r="Z44" s="47"/>
      <c r="AA44" s="10"/>
      <c r="AB44" s="10"/>
      <c r="AC44" s="47"/>
      <c r="AD44" s="47"/>
      <c r="AE44" s="47"/>
      <c r="AF44" s="47"/>
      <c r="AG44" s="47"/>
      <c r="AH44" s="47"/>
      <c r="AI44" s="46"/>
      <c r="AJ44" s="46"/>
      <c r="AK44" s="46"/>
      <c r="AL44" s="7"/>
      <c r="AM44" s="49" t="str">
        <f aca="false">IF(OR(C44="",G44=""),"",IFERROR(DATEDIF(C44,G44,"m"),""))</f>
        <v/>
      </c>
      <c r="AN44" s="49" t="str">
        <f aca="false">IF(OR(Q44="",AM44=""),"",60+2*Q44-AM44)</f>
        <v/>
      </c>
      <c r="AO44" s="49" t="str">
        <f aca="false">IF(OR(G44="",AJ44=""),"",AJ44-G44)</f>
        <v/>
      </c>
      <c r="AP44" s="50" t="str">
        <f aca="false">IF(AND(A44="",B44=""),"",IF(J44="","Status needed",IF(OR(J44="Applied",J44="Visit booked",J44="Withdrawn"),"OK",IF(G44="","Date assessed needed",IF(C44="","Date of birth needed",IF(COUNTA(L44,M44,P44,U44,V44,X44)&lt;6,"Band missing",IF(AND(OR(J44="Decision confirmed",J44="Family told",J44="Enrolled"),AG44=""),"Recommendation needed",IF(AND(OR(J44="Family told",J44="Enrolled"),AJ44=""),"Date family told needed","OK"))))))))</f>
        <v/>
      </c>
    </row>
    <row r="45" customFormat="false" ht="15" hidden="false" customHeight="false" outlineLevel="0" collapsed="false">
      <c r="A45" s="7"/>
      <c r="B45" s="7"/>
      <c r="C45" s="46"/>
      <c r="D45" s="7"/>
      <c r="E45" s="47"/>
      <c r="F45" s="46"/>
      <c r="G45" s="46"/>
      <c r="H45" s="7"/>
      <c r="I45" s="7"/>
      <c r="J45" s="47"/>
      <c r="K45" s="47"/>
      <c r="L45" s="47"/>
      <c r="M45" s="47"/>
      <c r="N45" s="10"/>
      <c r="O45" s="47"/>
      <c r="P45" s="47"/>
      <c r="Q45" s="47"/>
      <c r="R45" s="48" t="str">
        <f aca="false">IF(Q45="","",IF(Q45=0,"below 5:00",IF(Q45&gt;=66,"16:00 or above",INT((60+2*Q45)/12)&amp;":"&amp;TEXT(MOD(60+2*Q45,12),"00"))))</f>
        <v/>
      </c>
      <c r="S45" s="47"/>
      <c r="T45" s="47"/>
      <c r="U45" s="47"/>
      <c r="V45" s="47"/>
      <c r="W45" s="47"/>
      <c r="X45" s="47"/>
      <c r="Y45" s="47"/>
      <c r="Z45" s="47"/>
      <c r="AA45" s="10"/>
      <c r="AB45" s="10"/>
      <c r="AC45" s="47"/>
      <c r="AD45" s="47"/>
      <c r="AE45" s="47"/>
      <c r="AF45" s="47"/>
      <c r="AG45" s="47"/>
      <c r="AH45" s="47"/>
      <c r="AI45" s="46"/>
      <c r="AJ45" s="46"/>
      <c r="AK45" s="46"/>
      <c r="AL45" s="7"/>
      <c r="AM45" s="49" t="str">
        <f aca="false">IF(OR(C45="",G45=""),"",IFERROR(DATEDIF(C45,G45,"m"),""))</f>
        <v/>
      </c>
      <c r="AN45" s="49" t="str">
        <f aca="false">IF(OR(Q45="",AM45=""),"",60+2*Q45-AM45)</f>
        <v/>
      </c>
      <c r="AO45" s="49" t="str">
        <f aca="false">IF(OR(G45="",AJ45=""),"",AJ45-G45)</f>
        <v/>
      </c>
      <c r="AP45" s="50" t="str">
        <f aca="false">IF(AND(A45="",B45=""),"",IF(J45="","Status needed",IF(OR(J45="Applied",J45="Visit booked",J45="Withdrawn"),"OK",IF(G45="","Date assessed needed",IF(C45="","Date of birth needed",IF(COUNTA(L45,M45,P45,U45,V45,X45)&lt;6,"Band missing",IF(AND(OR(J45="Decision confirmed",J45="Family told",J45="Enrolled"),AG45=""),"Recommendation needed",IF(AND(OR(J45="Family told",J45="Enrolled"),AJ45=""),"Date family told needed","OK"))))))))</f>
        <v/>
      </c>
    </row>
    <row r="46" customFormat="false" ht="15" hidden="false" customHeight="false" outlineLevel="0" collapsed="false">
      <c r="A46" s="7"/>
      <c r="B46" s="7"/>
      <c r="C46" s="46"/>
      <c r="D46" s="7"/>
      <c r="E46" s="47"/>
      <c r="F46" s="46"/>
      <c r="G46" s="46"/>
      <c r="H46" s="7"/>
      <c r="I46" s="7"/>
      <c r="J46" s="47"/>
      <c r="K46" s="47"/>
      <c r="L46" s="47"/>
      <c r="M46" s="47"/>
      <c r="N46" s="10"/>
      <c r="O46" s="47"/>
      <c r="P46" s="47"/>
      <c r="Q46" s="47"/>
      <c r="R46" s="48" t="str">
        <f aca="false">IF(Q46="","",IF(Q46=0,"below 5:00",IF(Q46&gt;=66,"16:00 or above",INT((60+2*Q46)/12)&amp;":"&amp;TEXT(MOD(60+2*Q46,12),"00"))))</f>
        <v/>
      </c>
      <c r="S46" s="47"/>
      <c r="T46" s="47"/>
      <c r="U46" s="47"/>
      <c r="V46" s="47"/>
      <c r="W46" s="47"/>
      <c r="X46" s="47"/>
      <c r="Y46" s="47"/>
      <c r="Z46" s="47"/>
      <c r="AA46" s="10"/>
      <c r="AB46" s="10"/>
      <c r="AC46" s="47"/>
      <c r="AD46" s="47"/>
      <c r="AE46" s="47"/>
      <c r="AF46" s="47"/>
      <c r="AG46" s="47"/>
      <c r="AH46" s="47"/>
      <c r="AI46" s="46"/>
      <c r="AJ46" s="46"/>
      <c r="AK46" s="46"/>
      <c r="AL46" s="7"/>
      <c r="AM46" s="49" t="str">
        <f aca="false">IF(OR(C46="",G46=""),"",IFERROR(DATEDIF(C46,G46,"m"),""))</f>
        <v/>
      </c>
      <c r="AN46" s="49" t="str">
        <f aca="false">IF(OR(Q46="",AM46=""),"",60+2*Q46-AM46)</f>
        <v/>
      </c>
      <c r="AO46" s="49" t="str">
        <f aca="false">IF(OR(G46="",AJ46=""),"",AJ46-G46)</f>
        <v/>
      </c>
      <c r="AP46" s="50" t="str">
        <f aca="false">IF(AND(A46="",B46=""),"",IF(J46="","Status needed",IF(OR(J46="Applied",J46="Visit booked",J46="Withdrawn"),"OK",IF(G46="","Date assessed needed",IF(C46="","Date of birth needed",IF(COUNTA(L46,M46,P46,U46,V46,X46)&lt;6,"Band missing",IF(AND(OR(J46="Decision confirmed",J46="Family told",J46="Enrolled"),AG46=""),"Recommendation needed",IF(AND(OR(J46="Family told",J46="Enrolled"),AJ46=""),"Date family told needed","OK"))))))))</f>
        <v/>
      </c>
    </row>
    <row r="47" customFormat="false" ht="15" hidden="false" customHeight="false" outlineLevel="0" collapsed="false">
      <c r="A47" s="7"/>
      <c r="B47" s="7"/>
      <c r="C47" s="46"/>
      <c r="D47" s="7"/>
      <c r="E47" s="47"/>
      <c r="F47" s="46"/>
      <c r="G47" s="46"/>
      <c r="H47" s="7"/>
      <c r="I47" s="7"/>
      <c r="J47" s="47"/>
      <c r="K47" s="47"/>
      <c r="L47" s="47"/>
      <c r="M47" s="47"/>
      <c r="N47" s="10"/>
      <c r="O47" s="47"/>
      <c r="P47" s="47"/>
      <c r="Q47" s="47"/>
      <c r="R47" s="48" t="str">
        <f aca="false">IF(Q47="","",IF(Q47=0,"below 5:00",IF(Q47&gt;=66,"16:00 or above",INT((60+2*Q47)/12)&amp;":"&amp;TEXT(MOD(60+2*Q47,12),"00"))))</f>
        <v/>
      </c>
      <c r="S47" s="47"/>
      <c r="T47" s="47"/>
      <c r="U47" s="47"/>
      <c r="V47" s="47"/>
      <c r="W47" s="47"/>
      <c r="X47" s="47"/>
      <c r="Y47" s="47"/>
      <c r="Z47" s="47"/>
      <c r="AA47" s="10"/>
      <c r="AB47" s="10"/>
      <c r="AC47" s="47"/>
      <c r="AD47" s="47"/>
      <c r="AE47" s="47"/>
      <c r="AF47" s="47"/>
      <c r="AG47" s="47"/>
      <c r="AH47" s="47"/>
      <c r="AI47" s="46"/>
      <c r="AJ47" s="46"/>
      <c r="AK47" s="46"/>
      <c r="AL47" s="7"/>
      <c r="AM47" s="49" t="str">
        <f aca="false">IF(OR(C47="",G47=""),"",IFERROR(DATEDIF(C47,G47,"m"),""))</f>
        <v/>
      </c>
      <c r="AN47" s="49" t="str">
        <f aca="false">IF(OR(Q47="",AM47=""),"",60+2*Q47-AM47)</f>
        <v/>
      </c>
      <c r="AO47" s="49" t="str">
        <f aca="false">IF(OR(G47="",AJ47=""),"",AJ47-G47)</f>
        <v/>
      </c>
      <c r="AP47" s="50" t="str">
        <f aca="false">IF(AND(A47="",B47=""),"",IF(J47="","Status needed",IF(OR(J47="Applied",J47="Visit booked",J47="Withdrawn"),"OK",IF(G47="","Date assessed needed",IF(C47="","Date of birth needed",IF(COUNTA(L47,M47,P47,U47,V47,X47)&lt;6,"Band missing",IF(AND(OR(J47="Decision confirmed",J47="Family told",J47="Enrolled"),AG47=""),"Recommendation needed",IF(AND(OR(J47="Family told",J47="Enrolled"),AJ47=""),"Date family told needed","OK"))))))))</f>
        <v/>
      </c>
    </row>
    <row r="48" customFormat="false" ht="15" hidden="false" customHeight="false" outlineLevel="0" collapsed="false">
      <c r="A48" s="7"/>
      <c r="B48" s="7"/>
      <c r="C48" s="46"/>
      <c r="D48" s="7"/>
      <c r="E48" s="47"/>
      <c r="F48" s="46"/>
      <c r="G48" s="46"/>
      <c r="H48" s="7"/>
      <c r="I48" s="7"/>
      <c r="J48" s="47"/>
      <c r="K48" s="47"/>
      <c r="L48" s="47"/>
      <c r="M48" s="47"/>
      <c r="N48" s="10"/>
      <c r="O48" s="47"/>
      <c r="P48" s="47"/>
      <c r="Q48" s="47"/>
      <c r="R48" s="48" t="str">
        <f aca="false">IF(Q48="","",IF(Q48=0,"below 5:00",IF(Q48&gt;=66,"16:00 or above",INT((60+2*Q48)/12)&amp;":"&amp;TEXT(MOD(60+2*Q48,12),"00"))))</f>
        <v/>
      </c>
      <c r="S48" s="47"/>
      <c r="T48" s="47"/>
      <c r="U48" s="47"/>
      <c r="V48" s="47"/>
      <c r="W48" s="47"/>
      <c r="X48" s="47"/>
      <c r="Y48" s="47"/>
      <c r="Z48" s="47"/>
      <c r="AA48" s="10"/>
      <c r="AB48" s="10"/>
      <c r="AC48" s="47"/>
      <c r="AD48" s="47"/>
      <c r="AE48" s="47"/>
      <c r="AF48" s="47"/>
      <c r="AG48" s="47"/>
      <c r="AH48" s="47"/>
      <c r="AI48" s="46"/>
      <c r="AJ48" s="46"/>
      <c r="AK48" s="46"/>
      <c r="AL48" s="7"/>
      <c r="AM48" s="49" t="str">
        <f aca="false">IF(OR(C48="",G48=""),"",IFERROR(DATEDIF(C48,G48,"m"),""))</f>
        <v/>
      </c>
      <c r="AN48" s="49" t="str">
        <f aca="false">IF(OR(Q48="",AM48=""),"",60+2*Q48-AM48)</f>
        <v/>
      </c>
      <c r="AO48" s="49" t="str">
        <f aca="false">IF(OR(G48="",AJ48=""),"",AJ48-G48)</f>
        <v/>
      </c>
      <c r="AP48" s="50" t="str">
        <f aca="false">IF(AND(A48="",B48=""),"",IF(J48="","Status needed",IF(OR(J48="Applied",J48="Visit booked",J48="Withdrawn"),"OK",IF(G48="","Date assessed needed",IF(C48="","Date of birth needed",IF(COUNTA(L48,M48,P48,U48,V48,X48)&lt;6,"Band missing",IF(AND(OR(J48="Decision confirmed",J48="Family told",J48="Enrolled"),AG48=""),"Recommendation needed",IF(AND(OR(J48="Family told",J48="Enrolled"),AJ48=""),"Date family told needed","OK"))))))))</f>
        <v/>
      </c>
    </row>
    <row r="49" customFormat="false" ht="15" hidden="false" customHeight="false" outlineLevel="0" collapsed="false">
      <c r="A49" s="7"/>
      <c r="B49" s="7"/>
      <c r="C49" s="46"/>
      <c r="D49" s="7"/>
      <c r="E49" s="47"/>
      <c r="F49" s="46"/>
      <c r="G49" s="46"/>
      <c r="H49" s="7"/>
      <c r="I49" s="7"/>
      <c r="J49" s="47"/>
      <c r="K49" s="47"/>
      <c r="L49" s="47"/>
      <c r="M49" s="47"/>
      <c r="N49" s="10"/>
      <c r="O49" s="47"/>
      <c r="P49" s="47"/>
      <c r="Q49" s="47"/>
      <c r="R49" s="48" t="str">
        <f aca="false">IF(Q49="","",IF(Q49=0,"below 5:00",IF(Q49&gt;=66,"16:00 or above",INT((60+2*Q49)/12)&amp;":"&amp;TEXT(MOD(60+2*Q49,12),"00"))))</f>
        <v/>
      </c>
      <c r="S49" s="47"/>
      <c r="T49" s="47"/>
      <c r="U49" s="47"/>
      <c r="V49" s="47"/>
      <c r="W49" s="47"/>
      <c r="X49" s="47"/>
      <c r="Y49" s="47"/>
      <c r="Z49" s="47"/>
      <c r="AA49" s="10"/>
      <c r="AB49" s="10"/>
      <c r="AC49" s="47"/>
      <c r="AD49" s="47"/>
      <c r="AE49" s="47"/>
      <c r="AF49" s="47"/>
      <c r="AG49" s="47"/>
      <c r="AH49" s="47"/>
      <c r="AI49" s="46"/>
      <c r="AJ49" s="46"/>
      <c r="AK49" s="46"/>
      <c r="AL49" s="7"/>
      <c r="AM49" s="49" t="str">
        <f aca="false">IF(OR(C49="",G49=""),"",IFERROR(DATEDIF(C49,G49,"m"),""))</f>
        <v/>
      </c>
      <c r="AN49" s="49" t="str">
        <f aca="false">IF(OR(Q49="",AM49=""),"",60+2*Q49-AM49)</f>
        <v/>
      </c>
      <c r="AO49" s="49" t="str">
        <f aca="false">IF(OR(G49="",AJ49=""),"",AJ49-G49)</f>
        <v/>
      </c>
      <c r="AP49" s="50" t="str">
        <f aca="false">IF(AND(A49="",B49=""),"",IF(J49="","Status needed",IF(OR(J49="Applied",J49="Visit booked",J49="Withdrawn"),"OK",IF(G49="","Date assessed needed",IF(C49="","Date of birth needed",IF(COUNTA(L49,M49,P49,U49,V49,X49)&lt;6,"Band missing",IF(AND(OR(J49="Decision confirmed",J49="Family told",J49="Enrolled"),AG49=""),"Recommendation needed",IF(AND(OR(J49="Family told",J49="Enrolled"),AJ49=""),"Date family told needed","OK"))))))))</f>
        <v/>
      </c>
    </row>
    <row r="50" customFormat="false" ht="15" hidden="false" customHeight="false" outlineLevel="0" collapsed="false">
      <c r="A50" s="7"/>
      <c r="B50" s="7"/>
      <c r="C50" s="46"/>
      <c r="D50" s="7"/>
      <c r="E50" s="47"/>
      <c r="F50" s="46"/>
      <c r="G50" s="46"/>
      <c r="H50" s="7"/>
      <c r="I50" s="7"/>
      <c r="J50" s="47"/>
      <c r="K50" s="47"/>
      <c r="L50" s="47"/>
      <c r="M50" s="47"/>
      <c r="N50" s="10"/>
      <c r="O50" s="47"/>
      <c r="P50" s="47"/>
      <c r="Q50" s="47"/>
      <c r="R50" s="48" t="str">
        <f aca="false">IF(Q50="","",IF(Q50=0,"below 5:00",IF(Q50&gt;=66,"16:00 or above",INT((60+2*Q50)/12)&amp;":"&amp;TEXT(MOD(60+2*Q50,12),"00"))))</f>
        <v/>
      </c>
      <c r="S50" s="47"/>
      <c r="T50" s="47"/>
      <c r="U50" s="47"/>
      <c r="V50" s="47"/>
      <c r="W50" s="47"/>
      <c r="X50" s="47"/>
      <c r="Y50" s="47"/>
      <c r="Z50" s="47"/>
      <c r="AA50" s="10"/>
      <c r="AB50" s="10"/>
      <c r="AC50" s="47"/>
      <c r="AD50" s="47"/>
      <c r="AE50" s="47"/>
      <c r="AF50" s="47"/>
      <c r="AG50" s="47"/>
      <c r="AH50" s="47"/>
      <c r="AI50" s="46"/>
      <c r="AJ50" s="46"/>
      <c r="AK50" s="46"/>
      <c r="AL50" s="7"/>
      <c r="AM50" s="49" t="str">
        <f aca="false">IF(OR(C50="",G50=""),"",IFERROR(DATEDIF(C50,G50,"m"),""))</f>
        <v/>
      </c>
      <c r="AN50" s="49" t="str">
        <f aca="false">IF(OR(Q50="",AM50=""),"",60+2*Q50-AM50)</f>
        <v/>
      </c>
      <c r="AO50" s="49" t="str">
        <f aca="false">IF(OR(G50="",AJ50=""),"",AJ50-G50)</f>
        <v/>
      </c>
      <c r="AP50" s="50" t="str">
        <f aca="false">IF(AND(A50="",B50=""),"",IF(J50="","Status needed",IF(OR(J50="Applied",J50="Visit booked",J50="Withdrawn"),"OK",IF(G50="","Date assessed needed",IF(C50="","Date of birth needed",IF(COUNTA(L50,M50,P50,U50,V50,X50)&lt;6,"Band missing",IF(AND(OR(J50="Decision confirmed",J50="Family told",J50="Enrolled"),AG50=""),"Recommendation needed",IF(AND(OR(J50="Family told",J50="Enrolled"),AJ50=""),"Date family told needed","OK"))))))))</f>
        <v/>
      </c>
    </row>
    <row r="51" customFormat="false" ht="15" hidden="false" customHeight="false" outlineLevel="0" collapsed="false">
      <c r="A51" s="7"/>
      <c r="B51" s="7"/>
      <c r="C51" s="46"/>
      <c r="D51" s="7"/>
      <c r="E51" s="47"/>
      <c r="F51" s="46"/>
      <c r="G51" s="46"/>
      <c r="H51" s="7"/>
      <c r="I51" s="7"/>
      <c r="J51" s="47"/>
      <c r="K51" s="47"/>
      <c r="L51" s="47"/>
      <c r="M51" s="47"/>
      <c r="N51" s="10"/>
      <c r="O51" s="47"/>
      <c r="P51" s="47"/>
      <c r="Q51" s="47"/>
      <c r="R51" s="48" t="str">
        <f aca="false">IF(Q51="","",IF(Q51=0,"below 5:00",IF(Q51&gt;=66,"16:00 or above",INT((60+2*Q51)/12)&amp;":"&amp;TEXT(MOD(60+2*Q51,12),"00"))))</f>
        <v/>
      </c>
      <c r="S51" s="47"/>
      <c r="T51" s="47"/>
      <c r="U51" s="47"/>
      <c r="V51" s="47"/>
      <c r="W51" s="47"/>
      <c r="X51" s="47"/>
      <c r="Y51" s="47"/>
      <c r="Z51" s="47"/>
      <c r="AA51" s="10"/>
      <c r="AB51" s="10"/>
      <c r="AC51" s="47"/>
      <c r="AD51" s="47"/>
      <c r="AE51" s="47"/>
      <c r="AF51" s="47"/>
      <c r="AG51" s="47"/>
      <c r="AH51" s="47"/>
      <c r="AI51" s="46"/>
      <c r="AJ51" s="46"/>
      <c r="AK51" s="46"/>
      <c r="AL51" s="7"/>
      <c r="AM51" s="49" t="str">
        <f aca="false">IF(OR(C51="",G51=""),"",IFERROR(DATEDIF(C51,G51,"m"),""))</f>
        <v/>
      </c>
      <c r="AN51" s="49" t="str">
        <f aca="false">IF(OR(Q51="",AM51=""),"",60+2*Q51-AM51)</f>
        <v/>
      </c>
      <c r="AO51" s="49" t="str">
        <f aca="false">IF(OR(G51="",AJ51=""),"",AJ51-G51)</f>
        <v/>
      </c>
      <c r="AP51" s="50" t="str">
        <f aca="false">IF(AND(A51="",B51=""),"",IF(J51="","Status needed",IF(OR(J51="Applied",J51="Visit booked",J51="Withdrawn"),"OK",IF(G51="","Date assessed needed",IF(C51="","Date of birth needed",IF(COUNTA(L51,M51,P51,U51,V51,X51)&lt;6,"Band missing",IF(AND(OR(J51="Decision confirmed",J51="Family told",J51="Enrolled"),AG51=""),"Recommendation needed",IF(AND(OR(J51="Family told",J51="Enrolled"),AJ51=""),"Date family told needed","OK"))))))))</f>
        <v/>
      </c>
    </row>
    <row r="52" customFormat="false" ht="15" hidden="false" customHeight="false" outlineLevel="0" collapsed="false">
      <c r="A52" s="7"/>
      <c r="B52" s="7"/>
      <c r="C52" s="46"/>
      <c r="D52" s="7"/>
      <c r="E52" s="47"/>
      <c r="F52" s="46"/>
      <c r="G52" s="46"/>
      <c r="H52" s="7"/>
      <c r="I52" s="7"/>
      <c r="J52" s="47"/>
      <c r="K52" s="47"/>
      <c r="L52" s="47"/>
      <c r="M52" s="47"/>
      <c r="N52" s="10"/>
      <c r="O52" s="47"/>
      <c r="P52" s="47"/>
      <c r="Q52" s="47"/>
      <c r="R52" s="48" t="str">
        <f aca="false">IF(Q52="","",IF(Q52=0,"below 5:00",IF(Q52&gt;=66,"16:00 or above",INT((60+2*Q52)/12)&amp;":"&amp;TEXT(MOD(60+2*Q52,12),"00"))))</f>
        <v/>
      </c>
      <c r="S52" s="47"/>
      <c r="T52" s="47"/>
      <c r="U52" s="47"/>
      <c r="V52" s="47"/>
      <c r="W52" s="47"/>
      <c r="X52" s="47"/>
      <c r="Y52" s="47"/>
      <c r="Z52" s="47"/>
      <c r="AA52" s="10"/>
      <c r="AB52" s="10"/>
      <c r="AC52" s="47"/>
      <c r="AD52" s="47"/>
      <c r="AE52" s="47"/>
      <c r="AF52" s="47"/>
      <c r="AG52" s="47"/>
      <c r="AH52" s="47"/>
      <c r="AI52" s="46"/>
      <c r="AJ52" s="46"/>
      <c r="AK52" s="46"/>
      <c r="AL52" s="7"/>
      <c r="AM52" s="49" t="str">
        <f aca="false">IF(OR(C52="",G52=""),"",IFERROR(DATEDIF(C52,G52,"m"),""))</f>
        <v/>
      </c>
      <c r="AN52" s="49" t="str">
        <f aca="false">IF(OR(Q52="",AM52=""),"",60+2*Q52-AM52)</f>
        <v/>
      </c>
      <c r="AO52" s="49" t="str">
        <f aca="false">IF(OR(G52="",AJ52=""),"",AJ52-G52)</f>
        <v/>
      </c>
      <c r="AP52" s="50" t="str">
        <f aca="false">IF(AND(A52="",B52=""),"",IF(J52="","Status needed",IF(OR(J52="Applied",J52="Visit booked",J52="Withdrawn"),"OK",IF(G52="","Date assessed needed",IF(C52="","Date of birth needed",IF(COUNTA(L52,M52,P52,U52,V52,X52)&lt;6,"Band missing",IF(AND(OR(J52="Decision confirmed",J52="Family told",J52="Enrolled"),AG52=""),"Recommendation needed",IF(AND(OR(J52="Family told",J52="Enrolled"),AJ52=""),"Date family told needed","OK"))))))))</f>
        <v/>
      </c>
    </row>
    <row r="53" customFormat="false" ht="15" hidden="false" customHeight="false" outlineLevel="0" collapsed="false">
      <c r="A53" s="7"/>
      <c r="B53" s="7"/>
      <c r="C53" s="46"/>
      <c r="D53" s="7"/>
      <c r="E53" s="47"/>
      <c r="F53" s="46"/>
      <c r="G53" s="46"/>
      <c r="H53" s="7"/>
      <c r="I53" s="7"/>
      <c r="J53" s="47"/>
      <c r="K53" s="47"/>
      <c r="L53" s="47"/>
      <c r="M53" s="47"/>
      <c r="N53" s="10"/>
      <c r="O53" s="47"/>
      <c r="P53" s="47"/>
      <c r="Q53" s="47"/>
      <c r="R53" s="48" t="str">
        <f aca="false">IF(Q53="","",IF(Q53=0,"below 5:00",IF(Q53&gt;=66,"16:00 or above",INT((60+2*Q53)/12)&amp;":"&amp;TEXT(MOD(60+2*Q53,12),"00"))))</f>
        <v/>
      </c>
      <c r="S53" s="47"/>
      <c r="T53" s="47"/>
      <c r="U53" s="47"/>
      <c r="V53" s="47"/>
      <c r="W53" s="47"/>
      <c r="X53" s="47"/>
      <c r="Y53" s="47"/>
      <c r="Z53" s="47"/>
      <c r="AA53" s="10"/>
      <c r="AB53" s="10"/>
      <c r="AC53" s="47"/>
      <c r="AD53" s="47"/>
      <c r="AE53" s="47"/>
      <c r="AF53" s="47"/>
      <c r="AG53" s="47"/>
      <c r="AH53" s="47"/>
      <c r="AI53" s="46"/>
      <c r="AJ53" s="46"/>
      <c r="AK53" s="46"/>
      <c r="AL53" s="7"/>
      <c r="AM53" s="49" t="str">
        <f aca="false">IF(OR(C53="",G53=""),"",IFERROR(DATEDIF(C53,G53,"m"),""))</f>
        <v/>
      </c>
      <c r="AN53" s="49" t="str">
        <f aca="false">IF(OR(Q53="",AM53=""),"",60+2*Q53-AM53)</f>
        <v/>
      </c>
      <c r="AO53" s="49" t="str">
        <f aca="false">IF(OR(G53="",AJ53=""),"",AJ53-G53)</f>
        <v/>
      </c>
      <c r="AP53" s="50" t="str">
        <f aca="false">IF(AND(A53="",B53=""),"",IF(J53="","Status needed",IF(OR(J53="Applied",J53="Visit booked",J53="Withdrawn"),"OK",IF(G53="","Date assessed needed",IF(C53="","Date of birth needed",IF(COUNTA(L53,M53,P53,U53,V53,X53)&lt;6,"Band missing",IF(AND(OR(J53="Decision confirmed",J53="Family told",J53="Enrolled"),AG53=""),"Recommendation needed",IF(AND(OR(J53="Family told",J53="Enrolled"),AJ53=""),"Date family told needed","OK"))))))))</f>
        <v/>
      </c>
    </row>
    <row r="54" customFormat="false" ht="15" hidden="false" customHeight="false" outlineLevel="0" collapsed="false">
      <c r="A54" s="7"/>
      <c r="B54" s="7"/>
      <c r="C54" s="46"/>
      <c r="D54" s="7"/>
      <c r="E54" s="47"/>
      <c r="F54" s="46"/>
      <c r="G54" s="46"/>
      <c r="H54" s="7"/>
      <c r="I54" s="7"/>
      <c r="J54" s="47"/>
      <c r="K54" s="47"/>
      <c r="L54" s="47"/>
      <c r="M54" s="47"/>
      <c r="N54" s="10"/>
      <c r="O54" s="47"/>
      <c r="P54" s="47"/>
      <c r="Q54" s="47"/>
      <c r="R54" s="48" t="str">
        <f aca="false">IF(Q54="","",IF(Q54=0,"below 5:00",IF(Q54&gt;=66,"16:00 or above",INT((60+2*Q54)/12)&amp;":"&amp;TEXT(MOD(60+2*Q54,12),"00"))))</f>
        <v/>
      </c>
      <c r="S54" s="47"/>
      <c r="T54" s="47"/>
      <c r="U54" s="47"/>
      <c r="V54" s="47"/>
      <c r="W54" s="47"/>
      <c r="X54" s="47"/>
      <c r="Y54" s="47"/>
      <c r="Z54" s="47"/>
      <c r="AA54" s="10"/>
      <c r="AB54" s="10"/>
      <c r="AC54" s="47"/>
      <c r="AD54" s="47"/>
      <c r="AE54" s="47"/>
      <c r="AF54" s="47"/>
      <c r="AG54" s="47"/>
      <c r="AH54" s="47"/>
      <c r="AI54" s="46"/>
      <c r="AJ54" s="46"/>
      <c r="AK54" s="46"/>
      <c r="AL54" s="7"/>
      <c r="AM54" s="49" t="str">
        <f aca="false">IF(OR(C54="",G54=""),"",IFERROR(DATEDIF(C54,G54,"m"),""))</f>
        <v/>
      </c>
      <c r="AN54" s="49" t="str">
        <f aca="false">IF(OR(Q54="",AM54=""),"",60+2*Q54-AM54)</f>
        <v/>
      </c>
      <c r="AO54" s="49" t="str">
        <f aca="false">IF(OR(G54="",AJ54=""),"",AJ54-G54)</f>
        <v/>
      </c>
      <c r="AP54" s="50" t="str">
        <f aca="false">IF(AND(A54="",B54=""),"",IF(J54="","Status needed",IF(OR(J54="Applied",J54="Visit booked",J54="Withdrawn"),"OK",IF(G54="","Date assessed needed",IF(C54="","Date of birth needed",IF(COUNTA(L54,M54,P54,U54,V54,X54)&lt;6,"Band missing",IF(AND(OR(J54="Decision confirmed",J54="Family told",J54="Enrolled"),AG54=""),"Recommendation needed",IF(AND(OR(J54="Family told",J54="Enrolled"),AJ54=""),"Date family told needed","OK"))))))))</f>
        <v/>
      </c>
    </row>
    <row r="55" customFormat="false" ht="15" hidden="false" customHeight="false" outlineLevel="0" collapsed="false">
      <c r="A55" s="7"/>
      <c r="B55" s="7"/>
      <c r="C55" s="46"/>
      <c r="D55" s="7"/>
      <c r="E55" s="47"/>
      <c r="F55" s="46"/>
      <c r="G55" s="46"/>
      <c r="H55" s="7"/>
      <c r="I55" s="7"/>
      <c r="J55" s="47"/>
      <c r="K55" s="47"/>
      <c r="L55" s="47"/>
      <c r="M55" s="47"/>
      <c r="N55" s="10"/>
      <c r="O55" s="47"/>
      <c r="P55" s="47"/>
      <c r="Q55" s="47"/>
      <c r="R55" s="48" t="str">
        <f aca="false">IF(Q55="","",IF(Q55=0,"below 5:00",IF(Q55&gt;=66,"16:00 or above",INT((60+2*Q55)/12)&amp;":"&amp;TEXT(MOD(60+2*Q55,12),"00"))))</f>
        <v/>
      </c>
      <c r="S55" s="47"/>
      <c r="T55" s="47"/>
      <c r="U55" s="47"/>
      <c r="V55" s="47"/>
      <c r="W55" s="47"/>
      <c r="X55" s="47"/>
      <c r="Y55" s="47"/>
      <c r="Z55" s="47"/>
      <c r="AA55" s="10"/>
      <c r="AB55" s="10"/>
      <c r="AC55" s="47"/>
      <c r="AD55" s="47"/>
      <c r="AE55" s="47"/>
      <c r="AF55" s="47"/>
      <c r="AG55" s="47"/>
      <c r="AH55" s="47"/>
      <c r="AI55" s="46"/>
      <c r="AJ55" s="46"/>
      <c r="AK55" s="46"/>
      <c r="AL55" s="7"/>
      <c r="AM55" s="49" t="str">
        <f aca="false">IF(OR(C55="",G55=""),"",IFERROR(DATEDIF(C55,G55,"m"),""))</f>
        <v/>
      </c>
      <c r="AN55" s="49" t="str">
        <f aca="false">IF(OR(Q55="",AM55=""),"",60+2*Q55-AM55)</f>
        <v/>
      </c>
      <c r="AO55" s="49" t="str">
        <f aca="false">IF(OR(G55="",AJ55=""),"",AJ55-G55)</f>
        <v/>
      </c>
      <c r="AP55" s="50" t="str">
        <f aca="false">IF(AND(A55="",B55=""),"",IF(J55="","Status needed",IF(OR(J55="Applied",J55="Visit booked",J55="Withdrawn"),"OK",IF(G55="","Date assessed needed",IF(C55="","Date of birth needed",IF(COUNTA(L55,M55,P55,U55,V55,X55)&lt;6,"Band missing",IF(AND(OR(J55="Decision confirmed",J55="Family told",J55="Enrolled"),AG55=""),"Recommendation needed",IF(AND(OR(J55="Family told",J55="Enrolled"),AJ55=""),"Date family told needed","OK"))))))))</f>
        <v/>
      </c>
    </row>
    <row r="56" customFormat="false" ht="15" hidden="false" customHeight="false" outlineLevel="0" collapsed="false">
      <c r="A56" s="7"/>
      <c r="B56" s="7"/>
      <c r="C56" s="46"/>
      <c r="D56" s="7"/>
      <c r="E56" s="47"/>
      <c r="F56" s="46"/>
      <c r="G56" s="46"/>
      <c r="H56" s="7"/>
      <c r="I56" s="7"/>
      <c r="J56" s="47"/>
      <c r="K56" s="47"/>
      <c r="L56" s="47"/>
      <c r="M56" s="47"/>
      <c r="N56" s="10"/>
      <c r="O56" s="47"/>
      <c r="P56" s="47"/>
      <c r="Q56" s="47"/>
      <c r="R56" s="48" t="str">
        <f aca="false">IF(Q56="","",IF(Q56=0,"below 5:00",IF(Q56&gt;=66,"16:00 or above",INT((60+2*Q56)/12)&amp;":"&amp;TEXT(MOD(60+2*Q56,12),"00"))))</f>
        <v/>
      </c>
      <c r="S56" s="47"/>
      <c r="T56" s="47"/>
      <c r="U56" s="47"/>
      <c r="V56" s="47"/>
      <c r="W56" s="47"/>
      <c r="X56" s="47"/>
      <c r="Y56" s="47"/>
      <c r="Z56" s="47"/>
      <c r="AA56" s="10"/>
      <c r="AB56" s="10"/>
      <c r="AC56" s="47"/>
      <c r="AD56" s="47"/>
      <c r="AE56" s="47"/>
      <c r="AF56" s="47"/>
      <c r="AG56" s="47"/>
      <c r="AH56" s="47"/>
      <c r="AI56" s="46"/>
      <c r="AJ56" s="46"/>
      <c r="AK56" s="46"/>
      <c r="AL56" s="7"/>
      <c r="AM56" s="49" t="str">
        <f aca="false">IF(OR(C56="",G56=""),"",IFERROR(DATEDIF(C56,G56,"m"),""))</f>
        <v/>
      </c>
      <c r="AN56" s="49" t="str">
        <f aca="false">IF(OR(Q56="",AM56=""),"",60+2*Q56-AM56)</f>
        <v/>
      </c>
      <c r="AO56" s="49" t="str">
        <f aca="false">IF(OR(G56="",AJ56=""),"",AJ56-G56)</f>
        <v/>
      </c>
      <c r="AP56" s="50" t="str">
        <f aca="false">IF(AND(A56="",B56=""),"",IF(J56="","Status needed",IF(OR(J56="Applied",J56="Visit booked",J56="Withdrawn"),"OK",IF(G56="","Date assessed needed",IF(C56="","Date of birth needed",IF(COUNTA(L56,M56,P56,U56,V56,X56)&lt;6,"Band missing",IF(AND(OR(J56="Decision confirmed",J56="Family told",J56="Enrolled"),AG56=""),"Recommendation needed",IF(AND(OR(J56="Family told",J56="Enrolled"),AJ56=""),"Date family told needed","OK"))))))))</f>
        <v/>
      </c>
    </row>
    <row r="57" customFormat="false" ht="15" hidden="false" customHeight="false" outlineLevel="0" collapsed="false">
      <c r="A57" s="7"/>
      <c r="B57" s="7"/>
      <c r="C57" s="46"/>
      <c r="D57" s="7"/>
      <c r="E57" s="47"/>
      <c r="F57" s="46"/>
      <c r="G57" s="46"/>
      <c r="H57" s="7"/>
      <c r="I57" s="7"/>
      <c r="J57" s="47"/>
      <c r="K57" s="47"/>
      <c r="L57" s="47"/>
      <c r="M57" s="47"/>
      <c r="N57" s="10"/>
      <c r="O57" s="47"/>
      <c r="P57" s="47"/>
      <c r="Q57" s="47"/>
      <c r="R57" s="48" t="str">
        <f aca="false">IF(Q57="","",IF(Q57=0,"below 5:00",IF(Q57&gt;=66,"16:00 or above",INT((60+2*Q57)/12)&amp;":"&amp;TEXT(MOD(60+2*Q57,12),"00"))))</f>
        <v/>
      </c>
      <c r="S57" s="47"/>
      <c r="T57" s="47"/>
      <c r="U57" s="47"/>
      <c r="V57" s="47"/>
      <c r="W57" s="47"/>
      <c r="X57" s="47"/>
      <c r="Y57" s="47"/>
      <c r="Z57" s="47"/>
      <c r="AA57" s="10"/>
      <c r="AB57" s="10"/>
      <c r="AC57" s="47"/>
      <c r="AD57" s="47"/>
      <c r="AE57" s="47"/>
      <c r="AF57" s="47"/>
      <c r="AG57" s="47"/>
      <c r="AH57" s="47"/>
      <c r="AI57" s="46"/>
      <c r="AJ57" s="46"/>
      <c r="AK57" s="46"/>
      <c r="AL57" s="7"/>
      <c r="AM57" s="49" t="str">
        <f aca="false">IF(OR(C57="",G57=""),"",IFERROR(DATEDIF(C57,G57,"m"),""))</f>
        <v/>
      </c>
      <c r="AN57" s="49" t="str">
        <f aca="false">IF(OR(Q57="",AM57=""),"",60+2*Q57-AM57)</f>
        <v/>
      </c>
      <c r="AO57" s="49" t="str">
        <f aca="false">IF(OR(G57="",AJ57=""),"",AJ57-G57)</f>
        <v/>
      </c>
      <c r="AP57" s="50" t="str">
        <f aca="false">IF(AND(A57="",B57=""),"",IF(J57="","Status needed",IF(OR(J57="Applied",J57="Visit booked",J57="Withdrawn"),"OK",IF(G57="","Date assessed needed",IF(C57="","Date of birth needed",IF(COUNTA(L57,M57,P57,U57,V57,X57)&lt;6,"Band missing",IF(AND(OR(J57="Decision confirmed",J57="Family told",J57="Enrolled"),AG57=""),"Recommendation needed",IF(AND(OR(J57="Family told",J57="Enrolled"),AJ57=""),"Date family told needed","OK"))))))))</f>
        <v/>
      </c>
    </row>
    <row r="58" customFormat="false" ht="15" hidden="false" customHeight="false" outlineLevel="0" collapsed="false">
      <c r="A58" s="7"/>
      <c r="B58" s="7"/>
      <c r="C58" s="46"/>
      <c r="D58" s="7"/>
      <c r="E58" s="47"/>
      <c r="F58" s="46"/>
      <c r="G58" s="46"/>
      <c r="H58" s="7"/>
      <c r="I58" s="7"/>
      <c r="J58" s="47"/>
      <c r="K58" s="47"/>
      <c r="L58" s="47"/>
      <c r="M58" s="47"/>
      <c r="N58" s="10"/>
      <c r="O58" s="47"/>
      <c r="P58" s="47"/>
      <c r="Q58" s="47"/>
      <c r="R58" s="48" t="str">
        <f aca="false">IF(Q58="","",IF(Q58=0,"below 5:00",IF(Q58&gt;=66,"16:00 or above",INT((60+2*Q58)/12)&amp;":"&amp;TEXT(MOD(60+2*Q58,12),"00"))))</f>
        <v/>
      </c>
      <c r="S58" s="47"/>
      <c r="T58" s="47"/>
      <c r="U58" s="47"/>
      <c r="V58" s="47"/>
      <c r="W58" s="47"/>
      <c r="X58" s="47"/>
      <c r="Y58" s="47"/>
      <c r="Z58" s="47"/>
      <c r="AA58" s="10"/>
      <c r="AB58" s="10"/>
      <c r="AC58" s="47"/>
      <c r="AD58" s="47"/>
      <c r="AE58" s="47"/>
      <c r="AF58" s="47"/>
      <c r="AG58" s="47"/>
      <c r="AH58" s="47"/>
      <c r="AI58" s="46"/>
      <c r="AJ58" s="46"/>
      <c r="AK58" s="46"/>
      <c r="AL58" s="7"/>
      <c r="AM58" s="49" t="str">
        <f aca="false">IF(OR(C58="",G58=""),"",IFERROR(DATEDIF(C58,G58,"m"),""))</f>
        <v/>
      </c>
      <c r="AN58" s="49" t="str">
        <f aca="false">IF(OR(Q58="",AM58=""),"",60+2*Q58-AM58)</f>
        <v/>
      </c>
      <c r="AO58" s="49" t="str">
        <f aca="false">IF(OR(G58="",AJ58=""),"",AJ58-G58)</f>
        <v/>
      </c>
      <c r="AP58" s="50" t="str">
        <f aca="false">IF(AND(A58="",B58=""),"",IF(J58="","Status needed",IF(OR(J58="Applied",J58="Visit booked",J58="Withdrawn"),"OK",IF(G58="","Date assessed needed",IF(C58="","Date of birth needed",IF(COUNTA(L58,M58,P58,U58,V58,X58)&lt;6,"Band missing",IF(AND(OR(J58="Decision confirmed",J58="Family told",J58="Enrolled"),AG58=""),"Recommendation needed",IF(AND(OR(J58="Family told",J58="Enrolled"),AJ58=""),"Date family told needed","OK"))))))))</f>
        <v/>
      </c>
    </row>
    <row r="59" customFormat="false" ht="15" hidden="false" customHeight="false" outlineLevel="0" collapsed="false">
      <c r="A59" s="7"/>
      <c r="B59" s="7"/>
      <c r="C59" s="46"/>
      <c r="D59" s="7"/>
      <c r="E59" s="47"/>
      <c r="F59" s="46"/>
      <c r="G59" s="46"/>
      <c r="H59" s="7"/>
      <c r="I59" s="7"/>
      <c r="J59" s="47"/>
      <c r="K59" s="47"/>
      <c r="L59" s="47"/>
      <c r="M59" s="47"/>
      <c r="N59" s="10"/>
      <c r="O59" s="47"/>
      <c r="P59" s="47"/>
      <c r="Q59" s="47"/>
      <c r="R59" s="48" t="str">
        <f aca="false">IF(Q59="","",IF(Q59=0,"below 5:00",IF(Q59&gt;=66,"16:00 or above",INT((60+2*Q59)/12)&amp;":"&amp;TEXT(MOD(60+2*Q59,12),"00"))))</f>
        <v/>
      </c>
      <c r="S59" s="47"/>
      <c r="T59" s="47"/>
      <c r="U59" s="47"/>
      <c r="V59" s="47"/>
      <c r="W59" s="47"/>
      <c r="X59" s="47"/>
      <c r="Y59" s="47"/>
      <c r="Z59" s="47"/>
      <c r="AA59" s="10"/>
      <c r="AB59" s="10"/>
      <c r="AC59" s="47"/>
      <c r="AD59" s="47"/>
      <c r="AE59" s="47"/>
      <c r="AF59" s="47"/>
      <c r="AG59" s="47"/>
      <c r="AH59" s="47"/>
      <c r="AI59" s="46"/>
      <c r="AJ59" s="46"/>
      <c r="AK59" s="46"/>
      <c r="AL59" s="7"/>
      <c r="AM59" s="49" t="str">
        <f aca="false">IF(OR(C59="",G59=""),"",IFERROR(DATEDIF(C59,G59,"m"),""))</f>
        <v/>
      </c>
      <c r="AN59" s="49" t="str">
        <f aca="false">IF(OR(Q59="",AM59=""),"",60+2*Q59-AM59)</f>
        <v/>
      </c>
      <c r="AO59" s="49" t="str">
        <f aca="false">IF(OR(G59="",AJ59=""),"",AJ59-G59)</f>
        <v/>
      </c>
      <c r="AP59" s="50" t="str">
        <f aca="false">IF(AND(A59="",B59=""),"",IF(J59="","Status needed",IF(OR(J59="Applied",J59="Visit booked",J59="Withdrawn"),"OK",IF(G59="","Date assessed needed",IF(C59="","Date of birth needed",IF(COUNTA(L59,M59,P59,U59,V59,X59)&lt;6,"Band missing",IF(AND(OR(J59="Decision confirmed",J59="Family told",J59="Enrolled"),AG59=""),"Recommendation needed",IF(AND(OR(J59="Family told",J59="Enrolled"),AJ59=""),"Date family told needed","OK"))))))))</f>
        <v/>
      </c>
    </row>
    <row r="60" customFormat="false" ht="15" hidden="false" customHeight="false" outlineLevel="0" collapsed="false">
      <c r="A60" s="7"/>
      <c r="B60" s="7"/>
      <c r="C60" s="46"/>
      <c r="D60" s="7"/>
      <c r="E60" s="47"/>
      <c r="F60" s="46"/>
      <c r="G60" s="46"/>
      <c r="H60" s="7"/>
      <c r="I60" s="7"/>
      <c r="J60" s="47"/>
      <c r="K60" s="47"/>
      <c r="L60" s="47"/>
      <c r="M60" s="47"/>
      <c r="N60" s="10"/>
      <c r="O60" s="47"/>
      <c r="P60" s="47"/>
      <c r="Q60" s="47"/>
      <c r="R60" s="48" t="str">
        <f aca="false">IF(Q60="","",IF(Q60=0,"below 5:00",IF(Q60&gt;=66,"16:00 or above",INT((60+2*Q60)/12)&amp;":"&amp;TEXT(MOD(60+2*Q60,12),"00"))))</f>
        <v/>
      </c>
      <c r="S60" s="47"/>
      <c r="T60" s="47"/>
      <c r="U60" s="47"/>
      <c r="V60" s="47"/>
      <c r="W60" s="47"/>
      <c r="X60" s="47"/>
      <c r="Y60" s="47"/>
      <c r="Z60" s="47"/>
      <c r="AA60" s="10"/>
      <c r="AB60" s="10"/>
      <c r="AC60" s="47"/>
      <c r="AD60" s="47"/>
      <c r="AE60" s="47"/>
      <c r="AF60" s="47"/>
      <c r="AG60" s="47"/>
      <c r="AH60" s="47"/>
      <c r="AI60" s="46"/>
      <c r="AJ60" s="46"/>
      <c r="AK60" s="46"/>
      <c r="AL60" s="7"/>
      <c r="AM60" s="49" t="str">
        <f aca="false">IF(OR(C60="",G60=""),"",IFERROR(DATEDIF(C60,G60,"m"),""))</f>
        <v/>
      </c>
      <c r="AN60" s="49" t="str">
        <f aca="false">IF(OR(Q60="",AM60=""),"",60+2*Q60-AM60)</f>
        <v/>
      </c>
      <c r="AO60" s="49" t="str">
        <f aca="false">IF(OR(G60="",AJ60=""),"",AJ60-G60)</f>
        <v/>
      </c>
      <c r="AP60" s="50" t="str">
        <f aca="false">IF(AND(A60="",B60=""),"",IF(J60="","Status needed",IF(OR(J60="Applied",J60="Visit booked",J60="Withdrawn"),"OK",IF(G60="","Date assessed needed",IF(C60="","Date of birth needed",IF(COUNTA(L60,M60,P60,U60,V60,X60)&lt;6,"Band missing",IF(AND(OR(J60="Decision confirmed",J60="Family told",J60="Enrolled"),AG60=""),"Recommendation needed",IF(AND(OR(J60="Family told",J60="Enrolled"),AJ60=""),"Date family told needed","OK"))))))))</f>
        <v/>
      </c>
    </row>
    <row r="61" customFormat="false" ht="15" hidden="false" customHeight="false" outlineLevel="0" collapsed="false">
      <c r="A61" s="7"/>
      <c r="B61" s="7"/>
      <c r="C61" s="46"/>
      <c r="D61" s="7"/>
      <c r="E61" s="47"/>
      <c r="F61" s="46"/>
      <c r="G61" s="46"/>
      <c r="H61" s="7"/>
      <c r="I61" s="7"/>
      <c r="J61" s="47"/>
      <c r="K61" s="47"/>
      <c r="L61" s="47"/>
      <c r="M61" s="47"/>
      <c r="N61" s="10"/>
      <c r="O61" s="47"/>
      <c r="P61" s="47"/>
      <c r="Q61" s="47"/>
      <c r="R61" s="48" t="str">
        <f aca="false">IF(Q61="","",IF(Q61=0,"below 5:00",IF(Q61&gt;=66,"16:00 or above",INT((60+2*Q61)/12)&amp;":"&amp;TEXT(MOD(60+2*Q61,12),"00"))))</f>
        <v/>
      </c>
      <c r="S61" s="47"/>
      <c r="T61" s="47"/>
      <c r="U61" s="47"/>
      <c r="V61" s="47"/>
      <c r="W61" s="47"/>
      <c r="X61" s="47"/>
      <c r="Y61" s="47"/>
      <c r="Z61" s="47"/>
      <c r="AA61" s="10"/>
      <c r="AB61" s="10"/>
      <c r="AC61" s="47"/>
      <c r="AD61" s="47"/>
      <c r="AE61" s="47"/>
      <c r="AF61" s="47"/>
      <c r="AG61" s="47"/>
      <c r="AH61" s="47"/>
      <c r="AI61" s="46"/>
      <c r="AJ61" s="46"/>
      <c r="AK61" s="46"/>
      <c r="AL61" s="7"/>
      <c r="AM61" s="49" t="str">
        <f aca="false">IF(OR(C61="",G61=""),"",IFERROR(DATEDIF(C61,G61,"m"),""))</f>
        <v/>
      </c>
      <c r="AN61" s="49" t="str">
        <f aca="false">IF(OR(Q61="",AM61=""),"",60+2*Q61-AM61)</f>
        <v/>
      </c>
      <c r="AO61" s="49" t="str">
        <f aca="false">IF(OR(G61="",AJ61=""),"",AJ61-G61)</f>
        <v/>
      </c>
      <c r="AP61" s="50" t="str">
        <f aca="false">IF(AND(A61="",B61=""),"",IF(J61="","Status needed",IF(OR(J61="Applied",J61="Visit booked",J61="Withdrawn"),"OK",IF(G61="","Date assessed needed",IF(C61="","Date of birth needed",IF(COUNTA(L61,M61,P61,U61,V61,X61)&lt;6,"Band missing",IF(AND(OR(J61="Decision confirmed",J61="Family told",J61="Enrolled"),AG61=""),"Recommendation needed",IF(AND(OR(J61="Family told",J61="Enrolled"),AJ61=""),"Date family told needed","OK"))))))))</f>
        <v/>
      </c>
    </row>
    <row r="62" customFormat="false" ht="15" hidden="false" customHeight="false" outlineLevel="0" collapsed="false">
      <c r="A62" s="7"/>
      <c r="B62" s="7"/>
      <c r="C62" s="46"/>
      <c r="D62" s="7"/>
      <c r="E62" s="47"/>
      <c r="F62" s="46"/>
      <c r="G62" s="46"/>
      <c r="H62" s="7"/>
      <c r="I62" s="7"/>
      <c r="J62" s="47"/>
      <c r="K62" s="47"/>
      <c r="L62" s="47"/>
      <c r="M62" s="47"/>
      <c r="N62" s="10"/>
      <c r="O62" s="47"/>
      <c r="P62" s="47"/>
      <c r="Q62" s="47"/>
      <c r="R62" s="48" t="str">
        <f aca="false">IF(Q62="","",IF(Q62=0,"below 5:00",IF(Q62&gt;=66,"16:00 or above",INT((60+2*Q62)/12)&amp;":"&amp;TEXT(MOD(60+2*Q62,12),"00"))))</f>
        <v/>
      </c>
      <c r="S62" s="47"/>
      <c r="T62" s="47"/>
      <c r="U62" s="47"/>
      <c r="V62" s="47"/>
      <c r="W62" s="47"/>
      <c r="X62" s="47"/>
      <c r="Y62" s="47"/>
      <c r="Z62" s="47"/>
      <c r="AA62" s="10"/>
      <c r="AB62" s="10"/>
      <c r="AC62" s="47"/>
      <c r="AD62" s="47"/>
      <c r="AE62" s="47"/>
      <c r="AF62" s="47"/>
      <c r="AG62" s="47"/>
      <c r="AH62" s="47"/>
      <c r="AI62" s="46"/>
      <c r="AJ62" s="46"/>
      <c r="AK62" s="46"/>
      <c r="AL62" s="7"/>
      <c r="AM62" s="49" t="str">
        <f aca="false">IF(OR(C62="",G62=""),"",IFERROR(DATEDIF(C62,G62,"m"),""))</f>
        <v/>
      </c>
      <c r="AN62" s="49" t="str">
        <f aca="false">IF(OR(Q62="",AM62=""),"",60+2*Q62-AM62)</f>
        <v/>
      </c>
      <c r="AO62" s="49" t="str">
        <f aca="false">IF(OR(G62="",AJ62=""),"",AJ62-G62)</f>
        <v/>
      </c>
      <c r="AP62" s="50" t="str">
        <f aca="false">IF(AND(A62="",B62=""),"",IF(J62="","Status needed",IF(OR(J62="Applied",J62="Visit booked",J62="Withdrawn"),"OK",IF(G62="","Date assessed needed",IF(C62="","Date of birth needed",IF(COUNTA(L62,M62,P62,U62,V62,X62)&lt;6,"Band missing",IF(AND(OR(J62="Decision confirmed",J62="Family told",J62="Enrolled"),AG62=""),"Recommendation needed",IF(AND(OR(J62="Family told",J62="Enrolled"),AJ62=""),"Date family told needed","OK"))))))))</f>
        <v/>
      </c>
    </row>
    <row r="63" customFormat="false" ht="15" hidden="false" customHeight="false" outlineLevel="0" collapsed="false">
      <c r="A63" s="7"/>
      <c r="B63" s="7"/>
      <c r="C63" s="46"/>
      <c r="D63" s="7"/>
      <c r="E63" s="47"/>
      <c r="F63" s="46"/>
      <c r="G63" s="46"/>
      <c r="H63" s="7"/>
      <c r="I63" s="7"/>
      <c r="J63" s="47"/>
      <c r="K63" s="47"/>
      <c r="L63" s="47"/>
      <c r="M63" s="47"/>
      <c r="N63" s="10"/>
      <c r="O63" s="47"/>
      <c r="P63" s="47"/>
      <c r="Q63" s="47"/>
      <c r="R63" s="48" t="str">
        <f aca="false">IF(Q63="","",IF(Q63=0,"below 5:00",IF(Q63&gt;=66,"16:00 or above",INT((60+2*Q63)/12)&amp;":"&amp;TEXT(MOD(60+2*Q63,12),"00"))))</f>
        <v/>
      </c>
      <c r="S63" s="47"/>
      <c r="T63" s="47"/>
      <c r="U63" s="47"/>
      <c r="V63" s="47"/>
      <c r="W63" s="47"/>
      <c r="X63" s="47"/>
      <c r="Y63" s="47"/>
      <c r="Z63" s="47"/>
      <c r="AA63" s="10"/>
      <c r="AB63" s="10"/>
      <c r="AC63" s="47"/>
      <c r="AD63" s="47"/>
      <c r="AE63" s="47"/>
      <c r="AF63" s="47"/>
      <c r="AG63" s="47"/>
      <c r="AH63" s="47"/>
      <c r="AI63" s="46"/>
      <c r="AJ63" s="46"/>
      <c r="AK63" s="46"/>
      <c r="AL63" s="7"/>
      <c r="AM63" s="49" t="str">
        <f aca="false">IF(OR(C63="",G63=""),"",IFERROR(DATEDIF(C63,G63,"m"),""))</f>
        <v/>
      </c>
      <c r="AN63" s="49" t="str">
        <f aca="false">IF(OR(Q63="",AM63=""),"",60+2*Q63-AM63)</f>
        <v/>
      </c>
      <c r="AO63" s="49" t="str">
        <f aca="false">IF(OR(G63="",AJ63=""),"",AJ63-G63)</f>
        <v/>
      </c>
      <c r="AP63" s="50" t="str">
        <f aca="false">IF(AND(A63="",B63=""),"",IF(J63="","Status needed",IF(OR(J63="Applied",J63="Visit booked",J63="Withdrawn"),"OK",IF(G63="","Date assessed needed",IF(C63="","Date of birth needed",IF(COUNTA(L63,M63,P63,U63,V63,X63)&lt;6,"Band missing",IF(AND(OR(J63="Decision confirmed",J63="Family told",J63="Enrolled"),AG63=""),"Recommendation needed",IF(AND(OR(J63="Family told",J63="Enrolled"),AJ63=""),"Date family told needed","OK"))))))))</f>
        <v/>
      </c>
    </row>
    <row r="64" customFormat="false" ht="15" hidden="false" customHeight="false" outlineLevel="0" collapsed="false">
      <c r="A64" s="7"/>
      <c r="B64" s="7"/>
      <c r="C64" s="46"/>
      <c r="D64" s="7"/>
      <c r="E64" s="47"/>
      <c r="F64" s="46"/>
      <c r="G64" s="46"/>
      <c r="H64" s="7"/>
      <c r="I64" s="7"/>
      <c r="J64" s="47"/>
      <c r="K64" s="47"/>
      <c r="L64" s="47"/>
      <c r="M64" s="47"/>
      <c r="N64" s="10"/>
      <c r="O64" s="47"/>
      <c r="P64" s="47"/>
      <c r="Q64" s="47"/>
      <c r="R64" s="48" t="str">
        <f aca="false">IF(Q64="","",IF(Q64=0,"below 5:00",IF(Q64&gt;=66,"16:00 or above",INT((60+2*Q64)/12)&amp;":"&amp;TEXT(MOD(60+2*Q64,12),"00"))))</f>
        <v/>
      </c>
      <c r="S64" s="47"/>
      <c r="T64" s="47"/>
      <c r="U64" s="47"/>
      <c r="V64" s="47"/>
      <c r="W64" s="47"/>
      <c r="X64" s="47"/>
      <c r="Y64" s="47"/>
      <c r="Z64" s="47"/>
      <c r="AA64" s="10"/>
      <c r="AB64" s="10"/>
      <c r="AC64" s="47"/>
      <c r="AD64" s="47"/>
      <c r="AE64" s="47"/>
      <c r="AF64" s="47"/>
      <c r="AG64" s="47"/>
      <c r="AH64" s="47"/>
      <c r="AI64" s="46"/>
      <c r="AJ64" s="46"/>
      <c r="AK64" s="46"/>
      <c r="AL64" s="7"/>
      <c r="AM64" s="49" t="str">
        <f aca="false">IF(OR(C64="",G64=""),"",IFERROR(DATEDIF(C64,G64,"m"),""))</f>
        <v/>
      </c>
      <c r="AN64" s="49" t="str">
        <f aca="false">IF(OR(Q64="",AM64=""),"",60+2*Q64-AM64)</f>
        <v/>
      </c>
      <c r="AO64" s="49" t="str">
        <f aca="false">IF(OR(G64="",AJ64=""),"",AJ64-G64)</f>
        <v/>
      </c>
      <c r="AP64" s="50" t="str">
        <f aca="false">IF(AND(A64="",B64=""),"",IF(J64="","Status needed",IF(OR(J64="Applied",J64="Visit booked",J64="Withdrawn"),"OK",IF(G64="","Date assessed needed",IF(C64="","Date of birth needed",IF(COUNTA(L64,M64,P64,U64,V64,X64)&lt;6,"Band missing",IF(AND(OR(J64="Decision confirmed",J64="Family told",J64="Enrolled"),AG64=""),"Recommendation needed",IF(AND(OR(J64="Family told",J64="Enrolled"),AJ64=""),"Date family told needed","OK"))))))))</f>
        <v/>
      </c>
    </row>
    <row r="65" customFormat="false" ht="15" hidden="false" customHeight="false" outlineLevel="0" collapsed="false">
      <c r="A65" s="7"/>
      <c r="B65" s="7"/>
      <c r="C65" s="46"/>
      <c r="D65" s="7"/>
      <c r="E65" s="47"/>
      <c r="F65" s="46"/>
      <c r="G65" s="46"/>
      <c r="H65" s="7"/>
      <c r="I65" s="7"/>
      <c r="J65" s="47"/>
      <c r="K65" s="47"/>
      <c r="L65" s="47"/>
      <c r="M65" s="47"/>
      <c r="N65" s="10"/>
      <c r="O65" s="47"/>
      <c r="P65" s="47"/>
      <c r="Q65" s="47"/>
      <c r="R65" s="48" t="str">
        <f aca="false">IF(Q65="","",IF(Q65=0,"below 5:00",IF(Q65&gt;=66,"16:00 or above",INT((60+2*Q65)/12)&amp;":"&amp;TEXT(MOD(60+2*Q65,12),"00"))))</f>
        <v/>
      </c>
      <c r="S65" s="47"/>
      <c r="T65" s="47"/>
      <c r="U65" s="47"/>
      <c r="V65" s="47"/>
      <c r="W65" s="47"/>
      <c r="X65" s="47"/>
      <c r="Y65" s="47"/>
      <c r="Z65" s="47"/>
      <c r="AA65" s="10"/>
      <c r="AB65" s="10"/>
      <c r="AC65" s="47"/>
      <c r="AD65" s="47"/>
      <c r="AE65" s="47"/>
      <c r="AF65" s="47"/>
      <c r="AG65" s="47"/>
      <c r="AH65" s="47"/>
      <c r="AI65" s="46"/>
      <c r="AJ65" s="46"/>
      <c r="AK65" s="46"/>
      <c r="AL65" s="7"/>
      <c r="AM65" s="49" t="str">
        <f aca="false">IF(OR(C65="",G65=""),"",IFERROR(DATEDIF(C65,G65,"m"),""))</f>
        <v/>
      </c>
      <c r="AN65" s="49" t="str">
        <f aca="false">IF(OR(Q65="",AM65=""),"",60+2*Q65-AM65)</f>
        <v/>
      </c>
      <c r="AO65" s="49" t="str">
        <f aca="false">IF(OR(G65="",AJ65=""),"",AJ65-G65)</f>
        <v/>
      </c>
      <c r="AP65" s="50" t="str">
        <f aca="false">IF(AND(A65="",B65=""),"",IF(J65="","Status needed",IF(OR(J65="Applied",J65="Visit booked",J65="Withdrawn"),"OK",IF(G65="","Date assessed needed",IF(C65="","Date of birth needed",IF(COUNTA(L65,M65,P65,U65,V65,X65)&lt;6,"Band missing",IF(AND(OR(J65="Decision confirmed",J65="Family told",J65="Enrolled"),AG65=""),"Recommendation needed",IF(AND(OR(J65="Family told",J65="Enrolled"),AJ65=""),"Date family told needed","OK"))))))))</f>
        <v/>
      </c>
    </row>
    <row r="66" customFormat="false" ht="15" hidden="false" customHeight="false" outlineLevel="0" collapsed="false">
      <c r="A66" s="7"/>
      <c r="B66" s="7"/>
      <c r="C66" s="46"/>
      <c r="D66" s="7"/>
      <c r="E66" s="47"/>
      <c r="F66" s="46"/>
      <c r="G66" s="46"/>
      <c r="H66" s="7"/>
      <c r="I66" s="7"/>
      <c r="J66" s="47"/>
      <c r="K66" s="47"/>
      <c r="L66" s="47"/>
      <c r="M66" s="47"/>
      <c r="N66" s="10"/>
      <c r="O66" s="47"/>
      <c r="P66" s="47"/>
      <c r="Q66" s="47"/>
      <c r="R66" s="48" t="str">
        <f aca="false">IF(Q66="","",IF(Q66=0,"below 5:00",IF(Q66&gt;=66,"16:00 or above",INT((60+2*Q66)/12)&amp;":"&amp;TEXT(MOD(60+2*Q66,12),"00"))))</f>
        <v/>
      </c>
      <c r="S66" s="47"/>
      <c r="T66" s="47"/>
      <c r="U66" s="47"/>
      <c r="V66" s="47"/>
      <c r="W66" s="47"/>
      <c r="X66" s="47"/>
      <c r="Y66" s="47"/>
      <c r="Z66" s="47"/>
      <c r="AA66" s="10"/>
      <c r="AB66" s="10"/>
      <c r="AC66" s="47"/>
      <c r="AD66" s="47"/>
      <c r="AE66" s="47"/>
      <c r="AF66" s="47"/>
      <c r="AG66" s="47"/>
      <c r="AH66" s="47"/>
      <c r="AI66" s="46"/>
      <c r="AJ66" s="46"/>
      <c r="AK66" s="46"/>
      <c r="AL66" s="7"/>
      <c r="AM66" s="49" t="str">
        <f aca="false">IF(OR(C66="",G66=""),"",IFERROR(DATEDIF(C66,G66,"m"),""))</f>
        <v/>
      </c>
      <c r="AN66" s="49" t="str">
        <f aca="false">IF(OR(Q66="",AM66=""),"",60+2*Q66-AM66)</f>
        <v/>
      </c>
      <c r="AO66" s="49" t="str">
        <f aca="false">IF(OR(G66="",AJ66=""),"",AJ66-G66)</f>
        <v/>
      </c>
      <c r="AP66" s="50" t="str">
        <f aca="false">IF(AND(A66="",B66=""),"",IF(J66="","Status needed",IF(OR(J66="Applied",J66="Visit booked",J66="Withdrawn"),"OK",IF(G66="","Date assessed needed",IF(C66="","Date of birth needed",IF(COUNTA(L66,M66,P66,U66,V66,X66)&lt;6,"Band missing",IF(AND(OR(J66="Decision confirmed",J66="Family told",J66="Enrolled"),AG66=""),"Recommendation needed",IF(AND(OR(J66="Family told",J66="Enrolled"),AJ66=""),"Date family told needed","OK"))))))))</f>
        <v/>
      </c>
    </row>
    <row r="67" customFormat="false" ht="15" hidden="false" customHeight="false" outlineLevel="0" collapsed="false">
      <c r="A67" s="7"/>
      <c r="B67" s="7"/>
      <c r="C67" s="46"/>
      <c r="D67" s="7"/>
      <c r="E67" s="47"/>
      <c r="F67" s="46"/>
      <c r="G67" s="46"/>
      <c r="H67" s="7"/>
      <c r="I67" s="7"/>
      <c r="J67" s="47"/>
      <c r="K67" s="47"/>
      <c r="L67" s="47"/>
      <c r="M67" s="47"/>
      <c r="N67" s="10"/>
      <c r="O67" s="47"/>
      <c r="P67" s="47"/>
      <c r="Q67" s="47"/>
      <c r="R67" s="48" t="str">
        <f aca="false">IF(Q67="","",IF(Q67=0,"below 5:00",IF(Q67&gt;=66,"16:00 or above",INT((60+2*Q67)/12)&amp;":"&amp;TEXT(MOD(60+2*Q67,12),"00"))))</f>
        <v/>
      </c>
      <c r="S67" s="47"/>
      <c r="T67" s="47"/>
      <c r="U67" s="47"/>
      <c r="V67" s="47"/>
      <c r="W67" s="47"/>
      <c r="X67" s="47"/>
      <c r="Y67" s="47"/>
      <c r="Z67" s="47"/>
      <c r="AA67" s="10"/>
      <c r="AB67" s="10"/>
      <c r="AC67" s="47"/>
      <c r="AD67" s="47"/>
      <c r="AE67" s="47"/>
      <c r="AF67" s="47"/>
      <c r="AG67" s="47"/>
      <c r="AH67" s="47"/>
      <c r="AI67" s="46"/>
      <c r="AJ67" s="46"/>
      <c r="AK67" s="46"/>
      <c r="AL67" s="7"/>
      <c r="AM67" s="49" t="str">
        <f aca="false">IF(OR(C67="",G67=""),"",IFERROR(DATEDIF(C67,G67,"m"),""))</f>
        <v/>
      </c>
      <c r="AN67" s="49" t="str">
        <f aca="false">IF(OR(Q67="",AM67=""),"",60+2*Q67-AM67)</f>
        <v/>
      </c>
      <c r="AO67" s="49" t="str">
        <f aca="false">IF(OR(G67="",AJ67=""),"",AJ67-G67)</f>
        <v/>
      </c>
      <c r="AP67" s="50" t="str">
        <f aca="false">IF(AND(A67="",B67=""),"",IF(J67="","Status needed",IF(OR(J67="Applied",J67="Visit booked",J67="Withdrawn"),"OK",IF(G67="","Date assessed needed",IF(C67="","Date of birth needed",IF(COUNTA(L67,M67,P67,U67,V67,X67)&lt;6,"Band missing",IF(AND(OR(J67="Decision confirmed",J67="Family told",J67="Enrolled"),AG67=""),"Recommendation needed",IF(AND(OR(J67="Family told",J67="Enrolled"),AJ67=""),"Date family told needed","OK"))))))))</f>
        <v/>
      </c>
    </row>
    <row r="68" customFormat="false" ht="15" hidden="false" customHeight="false" outlineLevel="0" collapsed="false">
      <c r="A68" s="7"/>
      <c r="B68" s="7"/>
      <c r="C68" s="46"/>
      <c r="D68" s="7"/>
      <c r="E68" s="47"/>
      <c r="F68" s="46"/>
      <c r="G68" s="46"/>
      <c r="H68" s="7"/>
      <c r="I68" s="7"/>
      <c r="J68" s="47"/>
      <c r="K68" s="47"/>
      <c r="L68" s="47"/>
      <c r="M68" s="47"/>
      <c r="N68" s="10"/>
      <c r="O68" s="47"/>
      <c r="P68" s="47"/>
      <c r="Q68" s="47"/>
      <c r="R68" s="48" t="str">
        <f aca="false">IF(Q68="","",IF(Q68=0,"below 5:00",IF(Q68&gt;=66,"16:00 or above",INT((60+2*Q68)/12)&amp;":"&amp;TEXT(MOD(60+2*Q68,12),"00"))))</f>
        <v/>
      </c>
      <c r="S68" s="47"/>
      <c r="T68" s="47"/>
      <c r="U68" s="47"/>
      <c r="V68" s="47"/>
      <c r="W68" s="47"/>
      <c r="X68" s="47"/>
      <c r="Y68" s="47"/>
      <c r="Z68" s="47"/>
      <c r="AA68" s="10"/>
      <c r="AB68" s="10"/>
      <c r="AC68" s="47"/>
      <c r="AD68" s="47"/>
      <c r="AE68" s="47"/>
      <c r="AF68" s="47"/>
      <c r="AG68" s="47"/>
      <c r="AH68" s="47"/>
      <c r="AI68" s="46"/>
      <c r="AJ68" s="46"/>
      <c r="AK68" s="46"/>
      <c r="AL68" s="7"/>
      <c r="AM68" s="49" t="str">
        <f aca="false">IF(OR(C68="",G68=""),"",IFERROR(DATEDIF(C68,G68,"m"),""))</f>
        <v/>
      </c>
      <c r="AN68" s="49" t="str">
        <f aca="false">IF(OR(Q68="",AM68=""),"",60+2*Q68-AM68)</f>
        <v/>
      </c>
      <c r="AO68" s="49" t="str">
        <f aca="false">IF(OR(G68="",AJ68=""),"",AJ68-G68)</f>
        <v/>
      </c>
      <c r="AP68" s="50" t="str">
        <f aca="false">IF(AND(A68="",B68=""),"",IF(J68="","Status needed",IF(OR(J68="Applied",J68="Visit booked",J68="Withdrawn"),"OK",IF(G68="","Date assessed needed",IF(C68="","Date of birth needed",IF(COUNTA(L68,M68,P68,U68,V68,X68)&lt;6,"Band missing",IF(AND(OR(J68="Decision confirmed",J68="Family told",J68="Enrolled"),AG68=""),"Recommendation needed",IF(AND(OR(J68="Family told",J68="Enrolled"),AJ68=""),"Date family told needed","OK"))))))))</f>
        <v/>
      </c>
    </row>
    <row r="69" customFormat="false" ht="15" hidden="false" customHeight="false" outlineLevel="0" collapsed="false">
      <c r="A69" s="7"/>
      <c r="B69" s="7"/>
      <c r="C69" s="46"/>
      <c r="D69" s="7"/>
      <c r="E69" s="47"/>
      <c r="F69" s="46"/>
      <c r="G69" s="46"/>
      <c r="H69" s="7"/>
      <c r="I69" s="7"/>
      <c r="J69" s="47"/>
      <c r="K69" s="47"/>
      <c r="L69" s="47"/>
      <c r="M69" s="47"/>
      <c r="N69" s="10"/>
      <c r="O69" s="47"/>
      <c r="P69" s="47"/>
      <c r="Q69" s="47"/>
      <c r="R69" s="48" t="str">
        <f aca="false">IF(Q69="","",IF(Q69=0,"below 5:00",IF(Q69&gt;=66,"16:00 or above",INT((60+2*Q69)/12)&amp;":"&amp;TEXT(MOD(60+2*Q69,12),"00"))))</f>
        <v/>
      </c>
      <c r="S69" s="47"/>
      <c r="T69" s="47"/>
      <c r="U69" s="47"/>
      <c r="V69" s="47"/>
      <c r="W69" s="47"/>
      <c r="X69" s="47"/>
      <c r="Y69" s="47"/>
      <c r="Z69" s="47"/>
      <c r="AA69" s="10"/>
      <c r="AB69" s="10"/>
      <c r="AC69" s="47"/>
      <c r="AD69" s="47"/>
      <c r="AE69" s="47"/>
      <c r="AF69" s="47"/>
      <c r="AG69" s="47"/>
      <c r="AH69" s="47"/>
      <c r="AI69" s="46"/>
      <c r="AJ69" s="46"/>
      <c r="AK69" s="46"/>
      <c r="AL69" s="7"/>
      <c r="AM69" s="49" t="str">
        <f aca="false">IF(OR(C69="",G69=""),"",IFERROR(DATEDIF(C69,G69,"m"),""))</f>
        <v/>
      </c>
      <c r="AN69" s="49" t="str">
        <f aca="false">IF(OR(Q69="",AM69=""),"",60+2*Q69-AM69)</f>
        <v/>
      </c>
      <c r="AO69" s="49" t="str">
        <f aca="false">IF(OR(G69="",AJ69=""),"",AJ69-G69)</f>
        <v/>
      </c>
      <c r="AP69" s="50" t="str">
        <f aca="false">IF(AND(A69="",B69=""),"",IF(J69="","Status needed",IF(OR(J69="Applied",J69="Visit booked",J69="Withdrawn"),"OK",IF(G69="","Date assessed needed",IF(C69="","Date of birth needed",IF(COUNTA(L69,M69,P69,U69,V69,X69)&lt;6,"Band missing",IF(AND(OR(J69="Decision confirmed",J69="Family told",J69="Enrolled"),AG69=""),"Recommendation needed",IF(AND(OR(J69="Family told",J69="Enrolled"),AJ69=""),"Date family told needed","OK"))))))))</f>
        <v/>
      </c>
    </row>
    <row r="70" customFormat="false" ht="15" hidden="false" customHeight="false" outlineLevel="0" collapsed="false">
      <c r="A70" s="7"/>
      <c r="B70" s="7"/>
      <c r="C70" s="46"/>
      <c r="D70" s="7"/>
      <c r="E70" s="47"/>
      <c r="F70" s="46"/>
      <c r="G70" s="46"/>
      <c r="H70" s="7"/>
      <c r="I70" s="7"/>
      <c r="J70" s="47"/>
      <c r="K70" s="47"/>
      <c r="L70" s="47"/>
      <c r="M70" s="47"/>
      <c r="N70" s="10"/>
      <c r="O70" s="47"/>
      <c r="P70" s="47"/>
      <c r="Q70" s="47"/>
      <c r="R70" s="48" t="str">
        <f aca="false">IF(Q70="","",IF(Q70=0,"below 5:00",IF(Q70&gt;=66,"16:00 or above",INT((60+2*Q70)/12)&amp;":"&amp;TEXT(MOD(60+2*Q70,12),"00"))))</f>
        <v/>
      </c>
      <c r="S70" s="47"/>
      <c r="T70" s="47"/>
      <c r="U70" s="47"/>
      <c r="V70" s="47"/>
      <c r="W70" s="47"/>
      <c r="X70" s="47"/>
      <c r="Y70" s="47"/>
      <c r="Z70" s="47"/>
      <c r="AA70" s="10"/>
      <c r="AB70" s="10"/>
      <c r="AC70" s="47"/>
      <c r="AD70" s="47"/>
      <c r="AE70" s="47"/>
      <c r="AF70" s="47"/>
      <c r="AG70" s="47"/>
      <c r="AH70" s="47"/>
      <c r="AI70" s="46"/>
      <c r="AJ70" s="46"/>
      <c r="AK70" s="46"/>
      <c r="AL70" s="7"/>
      <c r="AM70" s="49" t="str">
        <f aca="false">IF(OR(C70="",G70=""),"",IFERROR(DATEDIF(C70,G70,"m"),""))</f>
        <v/>
      </c>
      <c r="AN70" s="49" t="str">
        <f aca="false">IF(OR(Q70="",AM70=""),"",60+2*Q70-AM70)</f>
        <v/>
      </c>
      <c r="AO70" s="49" t="str">
        <f aca="false">IF(OR(G70="",AJ70=""),"",AJ70-G70)</f>
        <v/>
      </c>
      <c r="AP70" s="50" t="str">
        <f aca="false">IF(AND(A70="",B70=""),"",IF(J70="","Status needed",IF(OR(J70="Applied",J70="Visit booked",J70="Withdrawn"),"OK",IF(G70="","Date assessed needed",IF(C70="","Date of birth needed",IF(COUNTA(L70,M70,P70,U70,V70,X70)&lt;6,"Band missing",IF(AND(OR(J70="Decision confirmed",J70="Family told",J70="Enrolled"),AG70=""),"Recommendation needed",IF(AND(OR(J70="Family told",J70="Enrolled"),AJ70=""),"Date family told needed","OK"))))))))</f>
        <v/>
      </c>
    </row>
    <row r="71" customFormat="false" ht="15" hidden="false" customHeight="false" outlineLevel="0" collapsed="false">
      <c r="A71" s="7"/>
      <c r="B71" s="7"/>
      <c r="C71" s="46"/>
      <c r="D71" s="7"/>
      <c r="E71" s="47"/>
      <c r="F71" s="46"/>
      <c r="G71" s="46"/>
      <c r="H71" s="7"/>
      <c r="I71" s="7"/>
      <c r="J71" s="47"/>
      <c r="K71" s="47"/>
      <c r="L71" s="47"/>
      <c r="M71" s="47"/>
      <c r="N71" s="10"/>
      <c r="O71" s="47"/>
      <c r="P71" s="47"/>
      <c r="Q71" s="47"/>
      <c r="R71" s="48" t="str">
        <f aca="false">IF(Q71="","",IF(Q71=0,"below 5:00",IF(Q71&gt;=66,"16:00 or above",INT((60+2*Q71)/12)&amp;":"&amp;TEXT(MOD(60+2*Q71,12),"00"))))</f>
        <v/>
      </c>
      <c r="S71" s="47"/>
      <c r="T71" s="47"/>
      <c r="U71" s="47"/>
      <c r="V71" s="47"/>
      <c r="W71" s="47"/>
      <c r="X71" s="47"/>
      <c r="Y71" s="47"/>
      <c r="Z71" s="47"/>
      <c r="AA71" s="10"/>
      <c r="AB71" s="10"/>
      <c r="AC71" s="47"/>
      <c r="AD71" s="47"/>
      <c r="AE71" s="47"/>
      <c r="AF71" s="47"/>
      <c r="AG71" s="47"/>
      <c r="AH71" s="47"/>
      <c r="AI71" s="46"/>
      <c r="AJ71" s="46"/>
      <c r="AK71" s="46"/>
      <c r="AL71" s="7"/>
      <c r="AM71" s="49" t="str">
        <f aca="false">IF(OR(C71="",G71=""),"",IFERROR(DATEDIF(C71,G71,"m"),""))</f>
        <v/>
      </c>
      <c r="AN71" s="49" t="str">
        <f aca="false">IF(OR(Q71="",AM71=""),"",60+2*Q71-AM71)</f>
        <v/>
      </c>
      <c r="AO71" s="49" t="str">
        <f aca="false">IF(OR(G71="",AJ71=""),"",AJ71-G71)</f>
        <v/>
      </c>
      <c r="AP71" s="50" t="str">
        <f aca="false">IF(AND(A71="",B71=""),"",IF(J71="","Status needed",IF(OR(J71="Applied",J71="Visit booked",J71="Withdrawn"),"OK",IF(G71="","Date assessed needed",IF(C71="","Date of birth needed",IF(COUNTA(L71,M71,P71,U71,V71,X71)&lt;6,"Band missing",IF(AND(OR(J71="Decision confirmed",J71="Family told",J71="Enrolled"),AG71=""),"Recommendation needed",IF(AND(OR(J71="Family told",J71="Enrolled"),AJ71=""),"Date family told needed","OK"))))))))</f>
        <v/>
      </c>
    </row>
    <row r="72" customFormat="false" ht="15" hidden="false" customHeight="false" outlineLevel="0" collapsed="false">
      <c r="A72" s="7"/>
      <c r="B72" s="7"/>
      <c r="C72" s="46"/>
      <c r="D72" s="7"/>
      <c r="E72" s="47"/>
      <c r="F72" s="46"/>
      <c r="G72" s="46"/>
      <c r="H72" s="7"/>
      <c r="I72" s="7"/>
      <c r="J72" s="47"/>
      <c r="K72" s="47"/>
      <c r="L72" s="47"/>
      <c r="M72" s="47"/>
      <c r="N72" s="10"/>
      <c r="O72" s="47"/>
      <c r="P72" s="47"/>
      <c r="Q72" s="47"/>
      <c r="R72" s="48" t="str">
        <f aca="false">IF(Q72="","",IF(Q72=0,"below 5:00",IF(Q72&gt;=66,"16:00 or above",INT((60+2*Q72)/12)&amp;":"&amp;TEXT(MOD(60+2*Q72,12),"00"))))</f>
        <v/>
      </c>
      <c r="S72" s="47"/>
      <c r="T72" s="47"/>
      <c r="U72" s="47"/>
      <c r="V72" s="47"/>
      <c r="W72" s="47"/>
      <c r="X72" s="47"/>
      <c r="Y72" s="47"/>
      <c r="Z72" s="47"/>
      <c r="AA72" s="10"/>
      <c r="AB72" s="10"/>
      <c r="AC72" s="47"/>
      <c r="AD72" s="47"/>
      <c r="AE72" s="47"/>
      <c r="AF72" s="47"/>
      <c r="AG72" s="47"/>
      <c r="AH72" s="47"/>
      <c r="AI72" s="46"/>
      <c r="AJ72" s="46"/>
      <c r="AK72" s="46"/>
      <c r="AL72" s="7"/>
      <c r="AM72" s="49" t="str">
        <f aca="false">IF(OR(C72="",G72=""),"",IFERROR(DATEDIF(C72,G72,"m"),""))</f>
        <v/>
      </c>
      <c r="AN72" s="49" t="str">
        <f aca="false">IF(OR(Q72="",AM72=""),"",60+2*Q72-AM72)</f>
        <v/>
      </c>
      <c r="AO72" s="49" t="str">
        <f aca="false">IF(OR(G72="",AJ72=""),"",AJ72-G72)</f>
        <v/>
      </c>
      <c r="AP72" s="50" t="str">
        <f aca="false">IF(AND(A72="",B72=""),"",IF(J72="","Status needed",IF(OR(J72="Applied",J72="Visit booked",J72="Withdrawn"),"OK",IF(G72="","Date assessed needed",IF(C72="","Date of birth needed",IF(COUNTA(L72,M72,P72,U72,V72,X72)&lt;6,"Band missing",IF(AND(OR(J72="Decision confirmed",J72="Family told",J72="Enrolled"),AG72=""),"Recommendation needed",IF(AND(OR(J72="Family told",J72="Enrolled"),AJ72=""),"Date family told needed","OK"))))))))</f>
        <v/>
      </c>
    </row>
    <row r="73" customFormat="false" ht="15" hidden="false" customHeight="false" outlineLevel="0" collapsed="false">
      <c r="A73" s="7"/>
      <c r="B73" s="7"/>
      <c r="C73" s="46"/>
      <c r="D73" s="7"/>
      <c r="E73" s="47"/>
      <c r="F73" s="46"/>
      <c r="G73" s="46"/>
      <c r="H73" s="7"/>
      <c r="I73" s="7"/>
      <c r="J73" s="47"/>
      <c r="K73" s="47"/>
      <c r="L73" s="47"/>
      <c r="M73" s="47"/>
      <c r="N73" s="10"/>
      <c r="O73" s="47"/>
      <c r="P73" s="47"/>
      <c r="Q73" s="47"/>
      <c r="R73" s="48" t="str">
        <f aca="false">IF(Q73="","",IF(Q73=0,"below 5:00",IF(Q73&gt;=66,"16:00 or above",INT((60+2*Q73)/12)&amp;":"&amp;TEXT(MOD(60+2*Q73,12),"00"))))</f>
        <v/>
      </c>
      <c r="S73" s="47"/>
      <c r="T73" s="47"/>
      <c r="U73" s="47"/>
      <c r="V73" s="47"/>
      <c r="W73" s="47"/>
      <c r="X73" s="47"/>
      <c r="Y73" s="47"/>
      <c r="Z73" s="47"/>
      <c r="AA73" s="10"/>
      <c r="AB73" s="10"/>
      <c r="AC73" s="47"/>
      <c r="AD73" s="47"/>
      <c r="AE73" s="47"/>
      <c r="AF73" s="47"/>
      <c r="AG73" s="47"/>
      <c r="AH73" s="47"/>
      <c r="AI73" s="46"/>
      <c r="AJ73" s="46"/>
      <c r="AK73" s="46"/>
      <c r="AL73" s="7"/>
      <c r="AM73" s="49" t="str">
        <f aca="false">IF(OR(C73="",G73=""),"",IFERROR(DATEDIF(C73,G73,"m"),""))</f>
        <v/>
      </c>
      <c r="AN73" s="49" t="str">
        <f aca="false">IF(OR(Q73="",AM73=""),"",60+2*Q73-AM73)</f>
        <v/>
      </c>
      <c r="AO73" s="49" t="str">
        <f aca="false">IF(OR(G73="",AJ73=""),"",AJ73-G73)</f>
        <v/>
      </c>
      <c r="AP73" s="50" t="str">
        <f aca="false">IF(AND(A73="",B73=""),"",IF(J73="","Status needed",IF(OR(J73="Applied",J73="Visit booked",J73="Withdrawn"),"OK",IF(G73="","Date assessed needed",IF(C73="","Date of birth needed",IF(COUNTA(L73,M73,P73,U73,V73,X73)&lt;6,"Band missing",IF(AND(OR(J73="Decision confirmed",J73="Family told",J73="Enrolled"),AG73=""),"Recommendation needed",IF(AND(OR(J73="Family told",J73="Enrolled"),AJ73=""),"Date family told needed","OK"))))))))</f>
        <v/>
      </c>
    </row>
    <row r="74" customFormat="false" ht="15" hidden="false" customHeight="false" outlineLevel="0" collapsed="false">
      <c r="A74" s="7"/>
      <c r="B74" s="7"/>
      <c r="C74" s="46"/>
      <c r="D74" s="7"/>
      <c r="E74" s="47"/>
      <c r="F74" s="46"/>
      <c r="G74" s="46"/>
      <c r="H74" s="7"/>
      <c r="I74" s="7"/>
      <c r="J74" s="47"/>
      <c r="K74" s="47"/>
      <c r="L74" s="47"/>
      <c r="M74" s="47"/>
      <c r="N74" s="10"/>
      <c r="O74" s="47"/>
      <c r="P74" s="47"/>
      <c r="Q74" s="47"/>
      <c r="R74" s="48" t="str">
        <f aca="false">IF(Q74="","",IF(Q74=0,"below 5:00",IF(Q74&gt;=66,"16:00 or above",INT((60+2*Q74)/12)&amp;":"&amp;TEXT(MOD(60+2*Q74,12),"00"))))</f>
        <v/>
      </c>
      <c r="S74" s="47"/>
      <c r="T74" s="47"/>
      <c r="U74" s="47"/>
      <c r="V74" s="47"/>
      <c r="W74" s="47"/>
      <c r="X74" s="47"/>
      <c r="Y74" s="47"/>
      <c r="Z74" s="47"/>
      <c r="AA74" s="10"/>
      <c r="AB74" s="10"/>
      <c r="AC74" s="47"/>
      <c r="AD74" s="47"/>
      <c r="AE74" s="47"/>
      <c r="AF74" s="47"/>
      <c r="AG74" s="47"/>
      <c r="AH74" s="47"/>
      <c r="AI74" s="46"/>
      <c r="AJ74" s="46"/>
      <c r="AK74" s="46"/>
      <c r="AL74" s="7"/>
      <c r="AM74" s="49" t="str">
        <f aca="false">IF(OR(C74="",G74=""),"",IFERROR(DATEDIF(C74,G74,"m"),""))</f>
        <v/>
      </c>
      <c r="AN74" s="49" t="str">
        <f aca="false">IF(OR(Q74="",AM74=""),"",60+2*Q74-AM74)</f>
        <v/>
      </c>
      <c r="AO74" s="49" t="str">
        <f aca="false">IF(OR(G74="",AJ74=""),"",AJ74-G74)</f>
        <v/>
      </c>
      <c r="AP74" s="50" t="str">
        <f aca="false">IF(AND(A74="",B74=""),"",IF(J74="","Status needed",IF(OR(J74="Applied",J74="Visit booked",J74="Withdrawn"),"OK",IF(G74="","Date assessed needed",IF(C74="","Date of birth needed",IF(COUNTA(L74,M74,P74,U74,V74,X74)&lt;6,"Band missing",IF(AND(OR(J74="Decision confirmed",J74="Family told",J74="Enrolled"),AG74=""),"Recommendation needed",IF(AND(OR(J74="Family told",J74="Enrolled"),AJ74=""),"Date family told needed","OK"))))))))</f>
        <v/>
      </c>
    </row>
    <row r="75" customFormat="false" ht="15" hidden="false" customHeight="false" outlineLevel="0" collapsed="false">
      <c r="A75" s="7"/>
      <c r="B75" s="7"/>
      <c r="C75" s="46"/>
      <c r="D75" s="7"/>
      <c r="E75" s="47"/>
      <c r="F75" s="46"/>
      <c r="G75" s="46"/>
      <c r="H75" s="7"/>
      <c r="I75" s="7"/>
      <c r="J75" s="47"/>
      <c r="K75" s="47"/>
      <c r="L75" s="47"/>
      <c r="M75" s="47"/>
      <c r="N75" s="10"/>
      <c r="O75" s="47"/>
      <c r="P75" s="47"/>
      <c r="Q75" s="47"/>
      <c r="R75" s="48" t="str">
        <f aca="false">IF(Q75="","",IF(Q75=0,"below 5:00",IF(Q75&gt;=66,"16:00 or above",INT((60+2*Q75)/12)&amp;":"&amp;TEXT(MOD(60+2*Q75,12),"00"))))</f>
        <v/>
      </c>
      <c r="S75" s="47"/>
      <c r="T75" s="47"/>
      <c r="U75" s="47"/>
      <c r="V75" s="47"/>
      <c r="W75" s="47"/>
      <c r="X75" s="47"/>
      <c r="Y75" s="47"/>
      <c r="Z75" s="47"/>
      <c r="AA75" s="10"/>
      <c r="AB75" s="10"/>
      <c r="AC75" s="47"/>
      <c r="AD75" s="47"/>
      <c r="AE75" s="47"/>
      <c r="AF75" s="47"/>
      <c r="AG75" s="47"/>
      <c r="AH75" s="47"/>
      <c r="AI75" s="46"/>
      <c r="AJ75" s="46"/>
      <c r="AK75" s="46"/>
      <c r="AL75" s="7"/>
      <c r="AM75" s="49" t="str">
        <f aca="false">IF(OR(C75="",G75=""),"",IFERROR(DATEDIF(C75,G75,"m"),""))</f>
        <v/>
      </c>
      <c r="AN75" s="49" t="str">
        <f aca="false">IF(OR(Q75="",AM75=""),"",60+2*Q75-AM75)</f>
        <v/>
      </c>
      <c r="AO75" s="49" t="str">
        <f aca="false">IF(OR(G75="",AJ75=""),"",AJ75-G75)</f>
        <v/>
      </c>
      <c r="AP75" s="50" t="str">
        <f aca="false">IF(AND(A75="",B75=""),"",IF(J75="","Status needed",IF(OR(J75="Applied",J75="Visit booked",J75="Withdrawn"),"OK",IF(G75="","Date assessed needed",IF(C75="","Date of birth needed",IF(COUNTA(L75,M75,P75,U75,V75,X75)&lt;6,"Band missing",IF(AND(OR(J75="Decision confirmed",J75="Family told",J75="Enrolled"),AG75=""),"Recommendation needed",IF(AND(OR(J75="Family told",J75="Enrolled"),AJ75=""),"Date family told needed","OK"))))))))</f>
        <v/>
      </c>
    </row>
    <row r="76" customFormat="false" ht="15" hidden="false" customHeight="false" outlineLevel="0" collapsed="false">
      <c r="A76" s="7"/>
      <c r="B76" s="7"/>
      <c r="C76" s="46"/>
      <c r="D76" s="7"/>
      <c r="E76" s="47"/>
      <c r="F76" s="46"/>
      <c r="G76" s="46"/>
      <c r="H76" s="7"/>
      <c r="I76" s="7"/>
      <c r="J76" s="47"/>
      <c r="K76" s="47"/>
      <c r="L76" s="47"/>
      <c r="M76" s="47"/>
      <c r="N76" s="10"/>
      <c r="O76" s="47"/>
      <c r="P76" s="47"/>
      <c r="Q76" s="47"/>
      <c r="R76" s="48" t="str">
        <f aca="false">IF(Q76="","",IF(Q76=0,"below 5:00",IF(Q76&gt;=66,"16:00 or above",INT((60+2*Q76)/12)&amp;":"&amp;TEXT(MOD(60+2*Q76,12),"00"))))</f>
        <v/>
      </c>
      <c r="S76" s="47"/>
      <c r="T76" s="47"/>
      <c r="U76" s="47"/>
      <c r="V76" s="47"/>
      <c r="W76" s="47"/>
      <c r="X76" s="47"/>
      <c r="Y76" s="47"/>
      <c r="Z76" s="47"/>
      <c r="AA76" s="10"/>
      <c r="AB76" s="10"/>
      <c r="AC76" s="47"/>
      <c r="AD76" s="47"/>
      <c r="AE76" s="47"/>
      <c r="AF76" s="47"/>
      <c r="AG76" s="47"/>
      <c r="AH76" s="47"/>
      <c r="AI76" s="46"/>
      <c r="AJ76" s="46"/>
      <c r="AK76" s="46"/>
      <c r="AL76" s="7"/>
      <c r="AM76" s="49" t="str">
        <f aca="false">IF(OR(C76="",G76=""),"",IFERROR(DATEDIF(C76,G76,"m"),""))</f>
        <v/>
      </c>
      <c r="AN76" s="49" t="str">
        <f aca="false">IF(OR(Q76="",AM76=""),"",60+2*Q76-AM76)</f>
        <v/>
      </c>
      <c r="AO76" s="49" t="str">
        <f aca="false">IF(OR(G76="",AJ76=""),"",AJ76-G76)</f>
        <v/>
      </c>
      <c r="AP76" s="50" t="str">
        <f aca="false">IF(AND(A76="",B76=""),"",IF(J76="","Status needed",IF(OR(J76="Applied",J76="Visit booked",J76="Withdrawn"),"OK",IF(G76="","Date assessed needed",IF(C76="","Date of birth needed",IF(COUNTA(L76,M76,P76,U76,V76,X76)&lt;6,"Band missing",IF(AND(OR(J76="Decision confirmed",J76="Family told",J76="Enrolled"),AG76=""),"Recommendation needed",IF(AND(OR(J76="Family told",J76="Enrolled"),AJ76=""),"Date family told needed","OK"))))))))</f>
        <v/>
      </c>
    </row>
    <row r="77" customFormat="false" ht="15" hidden="false" customHeight="false" outlineLevel="0" collapsed="false">
      <c r="A77" s="7"/>
      <c r="B77" s="7"/>
      <c r="C77" s="46"/>
      <c r="D77" s="7"/>
      <c r="E77" s="47"/>
      <c r="F77" s="46"/>
      <c r="G77" s="46"/>
      <c r="H77" s="7"/>
      <c r="I77" s="7"/>
      <c r="J77" s="47"/>
      <c r="K77" s="47"/>
      <c r="L77" s="47"/>
      <c r="M77" s="47"/>
      <c r="N77" s="10"/>
      <c r="O77" s="47"/>
      <c r="P77" s="47"/>
      <c r="Q77" s="47"/>
      <c r="R77" s="48" t="str">
        <f aca="false">IF(Q77="","",IF(Q77=0,"below 5:00",IF(Q77&gt;=66,"16:00 or above",INT((60+2*Q77)/12)&amp;":"&amp;TEXT(MOD(60+2*Q77,12),"00"))))</f>
        <v/>
      </c>
      <c r="S77" s="47"/>
      <c r="T77" s="47"/>
      <c r="U77" s="47"/>
      <c r="V77" s="47"/>
      <c r="W77" s="47"/>
      <c r="X77" s="47"/>
      <c r="Y77" s="47"/>
      <c r="Z77" s="47"/>
      <c r="AA77" s="10"/>
      <c r="AB77" s="10"/>
      <c r="AC77" s="47"/>
      <c r="AD77" s="47"/>
      <c r="AE77" s="47"/>
      <c r="AF77" s="47"/>
      <c r="AG77" s="47"/>
      <c r="AH77" s="47"/>
      <c r="AI77" s="46"/>
      <c r="AJ77" s="46"/>
      <c r="AK77" s="46"/>
      <c r="AL77" s="7"/>
      <c r="AM77" s="49" t="str">
        <f aca="false">IF(OR(C77="",G77=""),"",IFERROR(DATEDIF(C77,G77,"m"),""))</f>
        <v/>
      </c>
      <c r="AN77" s="49" t="str">
        <f aca="false">IF(OR(Q77="",AM77=""),"",60+2*Q77-AM77)</f>
        <v/>
      </c>
      <c r="AO77" s="49" t="str">
        <f aca="false">IF(OR(G77="",AJ77=""),"",AJ77-G77)</f>
        <v/>
      </c>
      <c r="AP77" s="50" t="str">
        <f aca="false">IF(AND(A77="",B77=""),"",IF(J77="","Status needed",IF(OR(J77="Applied",J77="Visit booked",J77="Withdrawn"),"OK",IF(G77="","Date assessed needed",IF(C77="","Date of birth needed",IF(COUNTA(L77,M77,P77,U77,V77,X77)&lt;6,"Band missing",IF(AND(OR(J77="Decision confirmed",J77="Family told",J77="Enrolled"),AG77=""),"Recommendation needed",IF(AND(OR(J77="Family told",J77="Enrolled"),AJ77=""),"Date family told needed","OK"))))))))</f>
        <v/>
      </c>
    </row>
    <row r="78" customFormat="false" ht="15" hidden="false" customHeight="false" outlineLevel="0" collapsed="false">
      <c r="A78" s="7"/>
      <c r="B78" s="7"/>
      <c r="C78" s="46"/>
      <c r="D78" s="7"/>
      <c r="E78" s="47"/>
      <c r="F78" s="46"/>
      <c r="G78" s="46"/>
      <c r="H78" s="7"/>
      <c r="I78" s="7"/>
      <c r="J78" s="47"/>
      <c r="K78" s="47"/>
      <c r="L78" s="47"/>
      <c r="M78" s="47"/>
      <c r="N78" s="10"/>
      <c r="O78" s="47"/>
      <c r="P78" s="47"/>
      <c r="Q78" s="47"/>
      <c r="R78" s="48" t="str">
        <f aca="false">IF(Q78="","",IF(Q78=0,"below 5:00",IF(Q78&gt;=66,"16:00 or above",INT((60+2*Q78)/12)&amp;":"&amp;TEXT(MOD(60+2*Q78,12),"00"))))</f>
        <v/>
      </c>
      <c r="S78" s="47"/>
      <c r="T78" s="47"/>
      <c r="U78" s="47"/>
      <c r="V78" s="47"/>
      <c r="W78" s="47"/>
      <c r="X78" s="47"/>
      <c r="Y78" s="47"/>
      <c r="Z78" s="47"/>
      <c r="AA78" s="10"/>
      <c r="AB78" s="10"/>
      <c r="AC78" s="47"/>
      <c r="AD78" s="47"/>
      <c r="AE78" s="47"/>
      <c r="AF78" s="47"/>
      <c r="AG78" s="47"/>
      <c r="AH78" s="47"/>
      <c r="AI78" s="46"/>
      <c r="AJ78" s="46"/>
      <c r="AK78" s="46"/>
      <c r="AL78" s="7"/>
      <c r="AM78" s="49" t="str">
        <f aca="false">IF(OR(C78="",G78=""),"",IFERROR(DATEDIF(C78,G78,"m"),""))</f>
        <v/>
      </c>
      <c r="AN78" s="49" t="str">
        <f aca="false">IF(OR(Q78="",AM78=""),"",60+2*Q78-AM78)</f>
        <v/>
      </c>
      <c r="AO78" s="49" t="str">
        <f aca="false">IF(OR(G78="",AJ78=""),"",AJ78-G78)</f>
        <v/>
      </c>
      <c r="AP78" s="50" t="str">
        <f aca="false">IF(AND(A78="",B78=""),"",IF(J78="","Status needed",IF(OR(J78="Applied",J78="Visit booked",J78="Withdrawn"),"OK",IF(G78="","Date assessed needed",IF(C78="","Date of birth needed",IF(COUNTA(L78,M78,P78,U78,V78,X78)&lt;6,"Band missing",IF(AND(OR(J78="Decision confirmed",J78="Family told",J78="Enrolled"),AG78=""),"Recommendation needed",IF(AND(OR(J78="Family told",J78="Enrolled"),AJ78=""),"Date family told needed","OK"))))))))</f>
        <v/>
      </c>
    </row>
    <row r="79" customFormat="false" ht="15" hidden="false" customHeight="false" outlineLevel="0" collapsed="false">
      <c r="A79" s="7"/>
      <c r="B79" s="7"/>
      <c r="C79" s="46"/>
      <c r="D79" s="7"/>
      <c r="E79" s="47"/>
      <c r="F79" s="46"/>
      <c r="G79" s="46"/>
      <c r="H79" s="7"/>
      <c r="I79" s="7"/>
      <c r="J79" s="47"/>
      <c r="K79" s="47"/>
      <c r="L79" s="47"/>
      <c r="M79" s="47"/>
      <c r="N79" s="10"/>
      <c r="O79" s="47"/>
      <c r="P79" s="47"/>
      <c r="Q79" s="47"/>
      <c r="R79" s="48" t="str">
        <f aca="false">IF(Q79="","",IF(Q79=0,"below 5:00",IF(Q79&gt;=66,"16:00 or above",INT((60+2*Q79)/12)&amp;":"&amp;TEXT(MOD(60+2*Q79,12),"00"))))</f>
        <v/>
      </c>
      <c r="S79" s="47"/>
      <c r="T79" s="47"/>
      <c r="U79" s="47"/>
      <c r="V79" s="47"/>
      <c r="W79" s="47"/>
      <c r="X79" s="47"/>
      <c r="Y79" s="47"/>
      <c r="Z79" s="47"/>
      <c r="AA79" s="10"/>
      <c r="AB79" s="10"/>
      <c r="AC79" s="47"/>
      <c r="AD79" s="47"/>
      <c r="AE79" s="47"/>
      <c r="AF79" s="47"/>
      <c r="AG79" s="47"/>
      <c r="AH79" s="47"/>
      <c r="AI79" s="46"/>
      <c r="AJ79" s="46"/>
      <c r="AK79" s="46"/>
      <c r="AL79" s="7"/>
      <c r="AM79" s="49" t="str">
        <f aca="false">IF(OR(C79="",G79=""),"",IFERROR(DATEDIF(C79,G79,"m"),""))</f>
        <v/>
      </c>
      <c r="AN79" s="49" t="str">
        <f aca="false">IF(OR(Q79="",AM79=""),"",60+2*Q79-AM79)</f>
        <v/>
      </c>
      <c r="AO79" s="49" t="str">
        <f aca="false">IF(OR(G79="",AJ79=""),"",AJ79-G79)</f>
        <v/>
      </c>
      <c r="AP79" s="50" t="str">
        <f aca="false">IF(AND(A79="",B79=""),"",IF(J79="","Status needed",IF(OR(J79="Applied",J79="Visit booked",J79="Withdrawn"),"OK",IF(G79="","Date assessed needed",IF(C79="","Date of birth needed",IF(COUNTA(L79,M79,P79,U79,V79,X79)&lt;6,"Band missing",IF(AND(OR(J79="Decision confirmed",J79="Family told",J79="Enrolled"),AG79=""),"Recommendation needed",IF(AND(OR(J79="Family told",J79="Enrolled"),AJ79=""),"Date family told needed","OK"))))))))</f>
        <v/>
      </c>
    </row>
    <row r="80" customFormat="false" ht="15" hidden="false" customHeight="false" outlineLevel="0" collapsed="false">
      <c r="A80" s="7"/>
      <c r="B80" s="7"/>
      <c r="C80" s="46"/>
      <c r="D80" s="7"/>
      <c r="E80" s="47"/>
      <c r="F80" s="46"/>
      <c r="G80" s="46"/>
      <c r="H80" s="7"/>
      <c r="I80" s="7"/>
      <c r="J80" s="47"/>
      <c r="K80" s="47"/>
      <c r="L80" s="47"/>
      <c r="M80" s="47"/>
      <c r="N80" s="10"/>
      <c r="O80" s="47"/>
      <c r="P80" s="47"/>
      <c r="Q80" s="47"/>
      <c r="R80" s="48" t="str">
        <f aca="false">IF(Q80="","",IF(Q80=0,"below 5:00",IF(Q80&gt;=66,"16:00 or above",INT((60+2*Q80)/12)&amp;":"&amp;TEXT(MOD(60+2*Q80,12),"00"))))</f>
        <v/>
      </c>
      <c r="S80" s="47"/>
      <c r="T80" s="47"/>
      <c r="U80" s="47"/>
      <c r="V80" s="47"/>
      <c r="W80" s="47"/>
      <c r="X80" s="47"/>
      <c r="Y80" s="47"/>
      <c r="Z80" s="47"/>
      <c r="AA80" s="10"/>
      <c r="AB80" s="10"/>
      <c r="AC80" s="47"/>
      <c r="AD80" s="47"/>
      <c r="AE80" s="47"/>
      <c r="AF80" s="47"/>
      <c r="AG80" s="47"/>
      <c r="AH80" s="47"/>
      <c r="AI80" s="46"/>
      <c r="AJ80" s="46"/>
      <c r="AK80" s="46"/>
      <c r="AL80" s="7"/>
      <c r="AM80" s="49" t="str">
        <f aca="false">IF(OR(C80="",G80=""),"",IFERROR(DATEDIF(C80,G80,"m"),""))</f>
        <v/>
      </c>
      <c r="AN80" s="49" t="str">
        <f aca="false">IF(OR(Q80="",AM80=""),"",60+2*Q80-AM80)</f>
        <v/>
      </c>
      <c r="AO80" s="49" t="str">
        <f aca="false">IF(OR(G80="",AJ80=""),"",AJ80-G80)</f>
        <v/>
      </c>
      <c r="AP80" s="50" t="str">
        <f aca="false">IF(AND(A80="",B80=""),"",IF(J80="","Status needed",IF(OR(J80="Applied",J80="Visit booked",J80="Withdrawn"),"OK",IF(G80="","Date assessed needed",IF(C80="","Date of birth needed",IF(COUNTA(L80,M80,P80,U80,V80,X80)&lt;6,"Band missing",IF(AND(OR(J80="Decision confirmed",J80="Family told",J80="Enrolled"),AG80=""),"Recommendation needed",IF(AND(OR(J80="Family told",J80="Enrolled"),AJ80=""),"Date family told needed","OK"))))))))</f>
        <v/>
      </c>
    </row>
    <row r="81" customFormat="false" ht="15" hidden="false" customHeight="false" outlineLevel="0" collapsed="false">
      <c r="A81" s="7"/>
      <c r="B81" s="7"/>
      <c r="C81" s="46"/>
      <c r="D81" s="7"/>
      <c r="E81" s="47"/>
      <c r="F81" s="46"/>
      <c r="G81" s="46"/>
      <c r="H81" s="7"/>
      <c r="I81" s="7"/>
      <c r="J81" s="47"/>
      <c r="K81" s="47"/>
      <c r="L81" s="47"/>
      <c r="M81" s="47"/>
      <c r="N81" s="10"/>
      <c r="O81" s="47"/>
      <c r="P81" s="47"/>
      <c r="Q81" s="47"/>
      <c r="R81" s="48" t="str">
        <f aca="false">IF(Q81="","",IF(Q81=0,"below 5:00",IF(Q81&gt;=66,"16:00 or above",INT((60+2*Q81)/12)&amp;":"&amp;TEXT(MOD(60+2*Q81,12),"00"))))</f>
        <v/>
      </c>
      <c r="S81" s="47"/>
      <c r="T81" s="47"/>
      <c r="U81" s="47"/>
      <c r="V81" s="47"/>
      <c r="W81" s="47"/>
      <c r="X81" s="47"/>
      <c r="Y81" s="47"/>
      <c r="Z81" s="47"/>
      <c r="AA81" s="10"/>
      <c r="AB81" s="10"/>
      <c r="AC81" s="47"/>
      <c r="AD81" s="47"/>
      <c r="AE81" s="47"/>
      <c r="AF81" s="47"/>
      <c r="AG81" s="47"/>
      <c r="AH81" s="47"/>
      <c r="AI81" s="46"/>
      <c r="AJ81" s="46"/>
      <c r="AK81" s="46"/>
      <c r="AL81" s="7"/>
      <c r="AM81" s="49" t="str">
        <f aca="false">IF(OR(C81="",G81=""),"",IFERROR(DATEDIF(C81,G81,"m"),""))</f>
        <v/>
      </c>
      <c r="AN81" s="49" t="str">
        <f aca="false">IF(OR(Q81="",AM81=""),"",60+2*Q81-AM81)</f>
        <v/>
      </c>
      <c r="AO81" s="49" t="str">
        <f aca="false">IF(OR(G81="",AJ81=""),"",AJ81-G81)</f>
        <v/>
      </c>
      <c r="AP81" s="50" t="str">
        <f aca="false">IF(AND(A81="",B81=""),"",IF(J81="","Status needed",IF(OR(J81="Applied",J81="Visit booked",J81="Withdrawn"),"OK",IF(G81="","Date assessed needed",IF(C81="","Date of birth needed",IF(COUNTA(L81,M81,P81,U81,V81,X81)&lt;6,"Band missing",IF(AND(OR(J81="Decision confirmed",J81="Family told",J81="Enrolled"),AG81=""),"Recommendation needed",IF(AND(OR(J81="Family told",J81="Enrolled"),AJ81=""),"Date family told needed","OK"))))))))</f>
        <v/>
      </c>
    </row>
    <row r="82" customFormat="false" ht="15" hidden="false" customHeight="false" outlineLevel="0" collapsed="false">
      <c r="A82" s="7"/>
      <c r="B82" s="7"/>
      <c r="C82" s="46"/>
      <c r="D82" s="7"/>
      <c r="E82" s="47"/>
      <c r="F82" s="46"/>
      <c r="G82" s="46"/>
      <c r="H82" s="7"/>
      <c r="I82" s="7"/>
      <c r="J82" s="47"/>
      <c r="K82" s="47"/>
      <c r="L82" s="47"/>
      <c r="M82" s="47"/>
      <c r="N82" s="10"/>
      <c r="O82" s="47"/>
      <c r="P82" s="47"/>
      <c r="Q82" s="47"/>
      <c r="R82" s="48" t="str">
        <f aca="false">IF(Q82="","",IF(Q82=0,"below 5:00",IF(Q82&gt;=66,"16:00 or above",INT((60+2*Q82)/12)&amp;":"&amp;TEXT(MOD(60+2*Q82,12),"00"))))</f>
        <v/>
      </c>
      <c r="S82" s="47"/>
      <c r="T82" s="47"/>
      <c r="U82" s="47"/>
      <c r="V82" s="47"/>
      <c r="W82" s="47"/>
      <c r="X82" s="47"/>
      <c r="Y82" s="47"/>
      <c r="Z82" s="47"/>
      <c r="AA82" s="10"/>
      <c r="AB82" s="10"/>
      <c r="AC82" s="47"/>
      <c r="AD82" s="47"/>
      <c r="AE82" s="47"/>
      <c r="AF82" s="47"/>
      <c r="AG82" s="47"/>
      <c r="AH82" s="47"/>
      <c r="AI82" s="46"/>
      <c r="AJ82" s="46"/>
      <c r="AK82" s="46"/>
      <c r="AL82" s="7"/>
      <c r="AM82" s="49" t="str">
        <f aca="false">IF(OR(C82="",G82=""),"",IFERROR(DATEDIF(C82,G82,"m"),""))</f>
        <v/>
      </c>
      <c r="AN82" s="49" t="str">
        <f aca="false">IF(OR(Q82="",AM82=""),"",60+2*Q82-AM82)</f>
        <v/>
      </c>
      <c r="AO82" s="49" t="str">
        <f aca="false">IF(OR(G82="",AJ82=""),"",AJ82-G82)</f>
        <v/>
      </c>
      <c r="AP82" s="50" t="str">
        <f aca="false">IF(AND(A82="",B82=""),"",IF(J82="","Status needed",IF(OR(J82="Applied",J82="Visit booked",J82="Withdrawn"),"OK",IF(G82="","Date assessed needed",IF(C82="","Date of birth needed",IF(COUNTA(L82,M82,P82,U82,V82,X82)&lt;6,"Band missing",IF(AND(OR(J82="Decision confirmed",J82="Family told",J82="Enrolled"),AG82=""),"Recommendation needed",IF(AND(OR(J82="Family told",J82="Enrolled"),AJ82=""),"Date family told needed","OK"))))))))</f>
        <v/>
      </c>
    </row>
    <row r="83" customFormat="false" ht="15" hidden="false" customHeight="false" outlineLevel="0" collapsed="false">
      <c r="A83" s="7"/>
      <c r="B83" s="7"/>
      <c r="C83" s="46"/>
      <c r="D83" s="7"/>
      <c r="E83" s="47"/>
      <c r="F83" s="46"/>
      <c r="G83" s="46"/>
      <c r="H83" s="7"/>
      <c r="I83" s="7"/>
      <c r="J83" s="47"/>
      <c r="K83" s="47"/>
      <c r="L83" s="47"/>
      <c r="M83" s="47"/>
      <c r="N83" s="10"/>
      <c r="O83" s="47"/>
      <c r="P83" s="47"/>
      <c r="Q83" s="47"/>
      <c r="R83" s="48" t="str">
        <f aca="false">IF(Q83="","",IF(Q83=0,"below 5:00",IF(Q83&gt;=66,"16:00 or above",INT((60+2*Q83)/12)&amp;":"&amp;TEXT(MOD(60+2*Q83,12),"00"))))</f>
        <v/>
      </c>
      <c r="S83" s="47"/>
      <c r="T83" s="47"/>
      <c r="U83" s="47"/>
      <c r="V83" s="47"/>
      <c r="W83" s="47"/>
      <c r="X83" s="47"/>
      <c r="Y83" s="47"/>
      <c r="Z83" s="47"/>
      <c r="AA83" s="10"/>
      <c r="AB83" s="10"/>
      <c r="AC83" s="47"/>
      <c r="AD83" s="47"/>
      <c r="AE83" s="47"/>
      <c r="AF83" s="47"/>
      <c r="AG83" s="47"/>
      <c r="AH83" s="47"/>
      <c r="AI83" s="46"/>
      <c r="AJ83" s="46"/>
      <c r="AK83" s="46"/>
      <c r="AL83" s="7"/>
      <c r="AM83" s="49" t="str">
        <f aca="false">IF(OR(C83="",G83=""),"",IFERROR(DATEDIF(C83,G83,"m"),""))</f>
        <v/>
      </c>
      <c r="AN83" s="49" t="str">
        <f aca="false">IF(OR(Q83="",AM83=""),"",60+2*Q83-AM83)</f>
        <v/>
      </c>
      <c r="AO83" s="49" t="str">
        <f aca="false">IF(OR(G83="",AJ83=""),"",AJ83-G83)</f>
        <v/>
      </c>
      <c r="AP83" s="50" t="str">
        <f aca="false">IF(AND(A83="",B83=""),"",IF(J83="","Status needed",IF(OR(J83="Applied",J83="Visit booked",J83="Withdrawn"),"OK",IF(G83="","Date assessed needed",IF(C83="","Date of birth needed",IF(COUNTA(L83,M83,P83,U83,V83,X83)&lt;6,"Band missing",IF(AND(OR(J83="Decision confirmed",J83="Family told",J83="Enrolled"),AG83=""),"Recommendation needed",IF(AND(OR(J83="Family told",J83="Enrolled"),AJ83=""),"Date family told needed","OK"))))))))</f>
        <v/>
      </c>
    </row>
    <row r="84" customFormat="false" ht="15" hidden="false" customHeight="false" outlineLevel="0" collapsed="false">
      <c r="A84" s="7"/>
      <c r="B84" s="7"/>
      <c r="C84" s="46"/>
      <c r="D84" s="7"/>
      <c r="E84" s="47"/>
      <c r="F84" s="46"/>
      <c r="G84" s="46"/>
      <c r="H84" s="7"/>
      <c r="I84" s="7"/>
      <c r="J84" s="47"/>
      <c r="K84" s="47"/>
      <c r="L84" s="47"/>
      <c r="M84" s="47"/>
      <c r="N84" s="10"/>
      <c r="O84" s="47"/>
      <c r="P84" s="47"/>
      <c r="Q84" s="47"/>
      <c r="R84" s="48" t="str">
        <f aca="false">IF(Q84="","",IF(Q84=0,"below 5:00",IF(Q84&gt;=66,"16:00 or above",INT((60+2*Q84)/12)&amp;":"&amp;TEXT(MOD(60+2*Q84,12),"00"))))</f>
        <v/>
      </c>
      <c r="S84" s="47"/>
      <c r="T84" s="47"/>
      <c r="U84" s="47"/>
      <c r="V84" s="47"/>
      <c r="W84" s="47"/>
      <c r="X84" s="47"/>
      <c r="Y84" s="47"/>
      <c r="Z84" s="47"/>
      <c r="AA84" s="10"/>
      <c r="AB84" s="10"/>
      <c r="AC84" s="47"/>
      <c r="AD84" s="47"/>
      <c r="AE84" s="47"/>
      <c r="AF84" s="47"/>
      <c r="AG84" s="47"/>
      <c r="AH84" s="47"/>
      <c r="AI84" s="46"/>
      <c r="AJ84" s="46"/>
      <c r="AK84" s="46"/>
      <c r="AL84" s="7"/>
      <c r="AM84" s="49" t="str">
        <f aca="false">IF(OR(C84="",G84=""),"",IFERROR(DATEDIF(C84,G84,"m"),""))</f>
        <v/>
      </c>
      <c r="AN84" s="49" t="str">
        <f aca="false">IF(OR(Q84="",AM84=""),"",60+2*Q84-AM84)</f>
        <v/>
      </c>
      <c r="AO84" s="49" t="str">
        <f aca="false">IF(OR(G84="",AJ84=""),"",AJ84-G84)</f>
        <v/>
      </c>
      <c r="AP84" s="50" t="str">
        <f aca="false">IF(AND(A84="",B84=""),"",IF(J84="","Status needed",IF(OR(J84="Applied",J84="Visit booked",J84="Withdrawn"),"OK",IF(G84="","Date assessed needed",IF(C84="","Date of birth needed",IF(COUNTA(L84,M84,P84,U84,V84,X84)&lt;6,"Band missing",IF(AND(OR(J84="Decision confirmed",J84="Family told",J84="Enrolled"),AG84=""),"Recommendation needed",IF(AND(OR(J84="Family told",J84="Enrolled"),AJ84=""),"Date family told needed","OK"))))))))</f>
        <v/>
      </c>
    </row>
    <row r="85" customFormat="false" ht="15" hidden="false" customHeight="false" outlineLevel="0" collapsed="false">
      <c r="A85" s="7"/>
      <c r="B85" s="7"/>
      <c r="C85" s="46"/>
      <c r="D85" s="7"/>
      <c r="E85" s="47"/>
      <c r="F85" s="46"/>
      <c r="G85" s="46"/>
      <c r="H85" s="7"/>
      <c r="I85" s="7"/>
      <c r="J85" s="47"/>
      <c r="K85" s="47"/>
      <c r="L85" s="47"/>
      <c r="M85" s="47"/>
      <c r="N85" s="10"/>
      <c r="O85" s="47"/>
      <c r="P85" s="47"/>
      <c r="Q85" s="47"/>
      <c r="R85" s="48" t="str">
        <f aca="false">IF(Q85="","",IF(Q85=0,"below 5:00",IF(Q85&gt;=66,"16:00 or above",INT((60+2*Q85)/12)&amp;":"&amp;TEXT(MOD(60+2*Q85,12),"00"))))</f>
        <v/>
      </c>
      <c r="S85" s="47"/>
      <c r="T85" s="47"/>
      <c r="U85" s="47"/>
      <c r="V85" s="47"/>
      <c r="W85" s="47"/>
      <c r="X85" s="47"/>
      <c r="Y85" s="47"/>
      <c r="Z85" s="47"/>
      <c r="AA85" s="10"/>
      <c r="AB85" s="10"/>
      <c r="AC85" s="47"/>
      <c r="AD85" s="47"/>
      <c r="AE85" s="47"/>
      <c r="AF85" s="47"/>
      <c r="AG85" s="47"/>
      <c r="AH85" s="47"/>
      <c r="AI85" s="46"/>
      <c r="AJ85" s="46"/>
      <c r="AK85" s="46"/>
      <c r="AL85" s="7"/>
      <c r="AM85" s="49" t="str">
        <f aca="false">IF(OR(C85="",G85=""),"",IFERROR(DATEDIF(C85,G85,"m"),""))</f>
        <v/>
      </c>
      <c r="AN85" s="49" t="str">
        <f aca="false">IF(OR(Q85="",AM85=""),"",60+2*Q85-AM85)</f>
        <v/>
      </c>
      <c r="AO85" s="49" t="str">
        <f aca="false">IF(OR(G85="",AJ85=""),"",AJ85-G85)</f>
        <v/>
      </c>
      <c r="AP85" s="50" t="str">
        <f aca="false">IF(AND(A85="",B85=""),"",IF(J85="","Status needed",IF(OR(J85="Applied",J85="Visit booked",J85="Withdrawn"),"OK",IF(G85="","Date assessed needed",IF(C85="","Date of birth needed",IF(COUNTA(L85,M85,P85,U85,V85,X85)&lt;6,"Band missing",IF(AND(OR(J85="Decision confirmed",J85="Family told",J85="Enrolled"),AG85=""),"Recommendation needed",IF(AND(OR(J85="Family told",J85="Enrolled"),AJ85=""),"Date family told needed","OK"))))))))</f>
        <v/>
      </c>
    </row>
    <row r="86" customFormat="false" ht="15" hidden="false" customHeight="false" outlineLevel="0" collapsed="false">
      <c r="A86" s="7"/>
      <c r="B86" s="7"/>
      <c r="C86" s="46"/>
      <c r="D86" s="7"/>
      <c r="E86" s="47"/>
      <c r="F86" s="46"/>
      <c r="G86" s="46"/>
      <c r="H86" s="7"/>
      <c r="I86" s="7"/>
      <c r="J86" s="47"/>
      <c r="K86" s="47"/>
      <c r="L86" s="47"/>
      <c r="M86" s="47"/>
      <c r="N86" s="10"/>
      <c r="O86" s="47"/>
      <c r="P86" s="47"/>
      <c r="Q86" s="47"/>
      <c r="R86" s="48" t="str">
        <f aca="false">IF(Q86="","",IF(Q86=0,"below 5:00",IF(Q86&gt;=66,"16:00 or above",INT((60+2*Q86)/12)&amp;":"&amp;TEXT(MOD(60+2*Q86,12),"00"))))</f>
        <v/>
      </c>
      <c r="S86" s="47"/>
      <c r="T86" s="47"/>
      <c r="U86" s="47"/>
      <c r="V86" s="47"/>
      <c r="W86" s="47"/>
      <c r="X86" s="47"/>
      <c r="Y86" s="47"/>
      <c r="Z86" s="47"/>
      <c r="AA86" s="10"/>
      <c r="AB86" s="10"/>
      <c r="AC86" s="47"/>
      <c r="AD86" s="47"/>
      <c r="AE86" s="47"/>
      <c r="AF86" s="47"/>
      <c r="AG86" s="47"/>
      <c r="AH86" s="47"/>
      <c r="AI86" s="46"/>
      <c r="AJ86" s="46"/>
      <c r="AK86" s="46"/>
      <c r="AL86" s="7"/>
      <c r="AM86" s="49" t="str">
        <f aca="false">IF(OR(C86="",G86=""),"",IFERROR(DATEDIF(C86,G86,"m"),""))</f>
        <v/>
      </c>
      <c r="AN86" s="49" t="str">
        <f aca="false">IF(OR(Q86="",AM86=""),"",60+2*Q86-AM86)</f>
        <v/>
      </c>
      <c r="AO86" s="49" t="str">
        <f aca="false">IF(OR(G86="",AJ86=""),"",AJ86-G86)</f>
        <v/>
      </c>
      <c r="AP86" s="50" t="str">
        <f aca="false">IF(AND(A86="",B86=""),"",IF(J86="","Status needed",IF(OR(J86="Applied",J86="Visit booked",J86="Withdrawn"),"OK",IF(G86="","Date assessed needed",IF(C86="","Date of birth needed",IF(COUNTA(L86,M86,P86,U86,V86,X86)&lt;6,"Band missing",IF(AND(OR(J86="Decision confirmed",J86="Family told",J86="Enrolled"),AG86=""),"Recommendation needed",IF(AND(OR(J86="Family told",J86="Enrolled"),AJ86=""),"Date family told needed","OK"))))))))</f>
        <v/>
      </c>
    </row>
    <row r="87" customFormat="false" ht="15" hidden="false" customHeight="false" outlineLevel="0" collapsed="false">
      <c r="A87" s="7"/>
      <c r="B87" s="7"/>
      <c r="C87" s="46"/>
      <c r="D87" s="7"/>
      <c r="E87" s="47"/>
      <c r="F87" s="46"/>
      <c r="G87" s="46"/>
      <c r="H87" s="7"/>
      <c r="I87" s="7"/>
      <c r="J87" s="47"/>
      <c r="K87" s="47"/>
      <c r="L87" s="47"/>
      <c r="M87" s="47"/>
      <c r="N87" s="10"/>
      <c r="O87" s="47"/>
      <c r="P87" s="47"/>
      <c r="Q87" s="47"/>
      <c r="R87" s="48" t="str">
        <f aca="false">IF(Q87="","",IF(Q87=0,"below 5:00",IF(Q87&gt;=66,"16:00 or above",INT((60+2*Q87)/12)&amp;":"&amp;TEXT(MOD(60+2*Q87,12),"00"))))</f>
        <v/>
      </c>
      <c r="S87" s="47"/>
      <c r="T87" s="47"/>
      <c r="U87" s="47"/>
      <c r="V87" s="47"/>
      <c r="W87" s="47"/>
      <c r="X87" s="47"/>
      <c r="Y87" s="47"/>
      <c r="Z87" s="47"/>
      <c r="AA87" s="10"/>
      <c r="AB87" s="10"/>
      <c r="AC87" s="47"/>
      <c r="AD87" s="47"/>
      <c r="AE87" s="47"/>
      <c r="AF87" s="47"/>
      <c r="AG87" s="47"/>
      <c r="AH87" s="47"/>
      <c r="AI87" s="46"/>
      <c r="AJ87" s="46"/>
      <c r="AK87" s="46"/>
      <c r="AL87" s="7"/>
      <c r="AM87" s="49" t="str">
        <f aca="false">IF(OR(C87="",G87=""),"",IFERROR(DATEDIF(C87,G87,"m"),""))</f>
        <v/>
      </c>
      <c r="AN87" s="49" t="str">
        <f aca="false">IF(OR(Q87="",AM87=""),"",60+2*Q87-AM87)</f>
        <v/>
      </c>
      <c r="AO87" s="49" t="str">
        <f aca="false">IF(OR(G87="",AJ87=""),"",AJ87-G87)</f>
        <v/>
      </c>
      <c r="AP87" s="50" t="str">
        <f aca="false">IF(AND(A87="",B87=""),"",IF(J87="","Status needed",IF(OR(J87="Applied",J87="Visit booked",J87="Withdrawn"),"OK",IF(G87="","Date assessed needed",IF(C87="","Date of birth needed",IF(COUNTA(L87,M87,P87,U87,V87,X87)&lt;6,"Band missing",IF(AND(OR(J87="Decision confirmed",J87="Family told",J87="Enrolled"),AG87=""),"Recommendation needed",IF(AND(OR(J87="Family told",J87="Enrolled"),AJ87=""),"Date family told needed","OK"))))))))</f>
        <v/>
      </c>
    </row>
    <row r="88" customFormat="false" ht="15" hidden="false" customHeight="false" outlineLevel="0" collapsed="false">
      <c r="A88" s="7"/>
      <c r="B88" s="7"/>
      <c r="C88" s="46"/>
      <c r="D88" s="7"/>
      <c r="E88" s="47"/>
      <c r="F88" s="46"/>
      <c r="G88" s="46"/>
      <c r="H88" s="7"/>
      <c r="I88" s="7"/>
      <c r="J88" s="47"/>
      <c r="K88" s="47"/>
      <c r="L88" s="47"/>
      <c r="M88" s="47"/>
      <c r="N88" s="10"/>
      <c r="O88" s="47"/>
      <c r="P88" s="47"/>
      <c r="Q88" s="47"/>
      <c r="R88" s="48" t="str">
        <f aca="false">IF(Q88="","",IF(Q88=0,"below 5:00",IF(Q88&gt;=66,"16:00 or above",INT((60+2*Q88)/12)&amp;":"&amp;TEXT(MOD(60+2*Q88,12),"00"))))</f>
        <v/>
      </c>
      <c r="S88" s="47"/>
      <c r="T88" s="47"/>
      <c r="U88" s="47"/>
      <c r="V88" s="47"/>
      <c r="W88" s="47"/>
      <c r="X88" s="47"/>
      <c r="Y88" s="47"/>
      <c r="Z88" s="47"/>
      <c r="AA88" s="10"/>
      <c r="AB88" s="10"/>
      <c r="AC88" s="47"/>
      <c r="AD88" s="47"/>
      <c r="AE88" s="47"/>
      <c r="AF88" s="47"/>
      <c r="AG88" s="47"/>
      <c r="AH88" s="47"/>
      <c r="AI88" s="46"/>
      <c r="AJ88" s="46"/>
      <c r="AK88" s="46"/>
      <c r="AL88" s="7"/>
      <c r="AM88" s="49" t="str">
        <f aca="false">IF(OR(C88="",G88=""),"",IFERROR(DATEDIF(C88,G88,"m"),""))</f>
        <v/>
      </c>
      <c r="AN88" s="49" t="str">
        <f aca="false">IF(OR(Q88="",AM88=""),"",60+2*Q88-AM88)</f>
        <v/>
      </c>
      <c r="AO88" s="49" t="str">
        <f aca="false">IF(OR(G88="",AJ88=""),"",AJ88-G88)</f>
        <v/>
      </c>
      <c r="AP88" s="50" t="str">
        <f aca="false">IF(AND(A88="",B88=""),"",IF(J88="","Status needed",IF(OR(J88="Applied",J88="Visit booked",J88="Withdrawn"),"OK",IF(G88="","Date assessed needed",IF(C88="","Date of birth needed",IF(COUNTA(L88,M88,P88,U88,V88,X88)&lt;6,"Band missing",IF(AND(OR(J88="Decision confirmed",J88="Family told",J88="Enrolled"),AG88=""),"Recommendation needed",IF(AND(OR(J88="Family told",J88="Enrolled"),AJ88=""),"Date family told needed","OK"))))))))</f>
        <v/>
      </c>
    </row>
    <row r="89" customFormat="false" ht="15" hidden="false" customHeight="false" outlineLevel="0" collapsed="false">
      <c r="A89" s="7"/>
      <c r="B89" s="7"/>
      <c r="C89" s="46"/>
      <c r="D89" s="7"/>
      <c r="E89" s="47"/>
      <c r="F89" s="46"/>
      <c r="G89" s="46"/>
      <c r="H89" s="7"/>
      <c r="I89" s="7"/>
      <c r="J89" s="47"/>
      <c r="K89" s="47"/>
      <c r="L89" s="47"/>
      <c r="M89" s="47"/>
      <c r="N89" s="10"/>
      <c r="O89" s="47"/>
      <c r="P89" s="47"/>
      <c r="Q89" s="47"/>
      <c r="R89" s="48" t="str">
        <f aca="false">IF(Q89="","",IF(Q89=0,"below 5:00",IF(Q89&gt;=66,"16:00 or above",INT((60+2*Q89)/12)&amp;":"&amp;TEXT(MOD(60+2*Q89,12),"00"))))</f>
        <v/>
      </c>
      <c r="S89" s="47"/>
      <c r="T89" s="47"/>
      <c r="U89" s="47"/>
      <c r="V89" s="47"/>
      <c r="W89" s="47"/>
      <c r="X89" s="47"/>
      <c r="Y89" s="47"/>
      <c r="Z89" s="47"/>
      <c r="AA89" s="10"/>
      <c r="AB89" s="10"/>
      <c r="AC89" s="47"/>
      <c r="AD89" s="47"/>
      <c r="AE89" s="47"/>
      <c r="AF89" s="47"/>
      <c r="AG89" s="47"/>
      <c r="AH89" s="47"/>
      <c r="AI89" s="46"/>
      <c r="AJ89" s="46"/>
      <c r="AK89" s="46"/>
      <c r="AL89" s="7"/>
      <c r="AM89" s="49" t="str">
        <f aca="false">IF(OR(C89="",G89=""),"",IFERROR(DATEDIF(C89,G89,"m"),""))</f>
        <v/>
      </c>
      <c r="AN89" s="49" t="str">
        <f aca="false">IF(OR(Q89="",AM89=""),"",60+2*Q89-AM89)</f>
        <v/>
      </c>
      <c r="AO89" s="49" t="str">
        <f aca="false">IF(OR(G89="",AJ89=""),"",AJ89-G89)</f>
        <v/>
      </c>
      <c r="AP89" s="50" t="str">
        <f aca="false">IF(AND(A89="",B89=""),"",IF(J89="","Status needed",IF(OR(J89="Applied",J89="Visit booked",J89="Withdrawn"),"OK",IF(G89="","Date assessed needed",IF(C89="","Date of birth needed",IF(COUNTA(L89,M89,P89,U89,V89,X89)&lt;6,"Band missing",IF(AND(OR(J89="Decision confirmed",J89="Family told",J89="Enrolled"),AG89=""),"Recommendation needed",IF(AND(OR(J89="Family told",J89="Enrolled"),AJ89=""),"Date family told needed","OK"))))))))</f>
        <v/>
      </c>
    </row>
    <row r="90" customFormat="false" ht="15" hidden="false" customHeight="false" outlineLevel="0" collapsed="false">
      <c r="A90" s="7"/>
      <c r="B90" s="7"/>
      <c r="C90" s="46"/>
      <c r="D90" s="7"/>
      <c r="E90" s="47"/>
      <c r="F90" s="46"/>
      <c r="G90" s="46"/>
      <c r="H90" s="7"/>
      <c r="I90" s="7"/>
      <c r="J90" s="47"/>
      <c r="K90" s="47"/>
      <c r="L90" s="47"/>
      <c r="M90" s="47"/>
      <c r="N90" s="10"/>
      <c r="O90" s="47"/>
      <c r="P90" s="47"/>
      <c r="Q90" s="47"/>
      <c r="R90" s="48" t="str">
        <f aca="false">IF(Q90="","",IF(Q90=0,"below 5:00",IF(Q90&gt;=66,"16:00 or above",INT((60+2*Q90)/12)&amp;":"&amp;TEXT(MOD(60+2*Q90,12),"00"))))</f>
        <v/>
      </c>
      <c r="S90" s="47"/>
      <c r="T90" s="47"/>
      <c r="U90" s="47"/>
      <c r="V90" s="47"/>
      <c r="W90" s="47"/>
      <c r="X90" s="47"/>
      <c r="Y90" s="47"/>
      <c r="Z90" s="47"/>
      <c r="AA90" s="10"/>
      <c r="AB90" s="10"/>
      <c r="AC90" s="47"/>
      <c r="AD90" s="47"/>
      <c r="AE90" s="47"/>
      <c r="AF90" s="47"/>
      <c r="AG90" s="47"/>
      <c r="AH90" s="47"/>
      <c r="AI90" s="46"/>
      <c r="AJ90" s="46"/>
      <c r="AK90" s="46"/>
      <c r="AL90" s="7"/>
      <c r="AM90" s="49" t="str">
        <f aca="false">IF(OR(C90="",G90=""),"",IFERROR(DATEDIF(C90,G90,"m"),""))</f>
        <v/>
      </c>
      <c r="AN90" s="49" t="str">
        <f aca="false">IF(OR(Q90="",AM90=""),"",60+2*Q90-AM90)</f>
        <v/>
      </c>
      <c r="AO90" s="49" t="str">
        <f aca="false">IF(OR(G90="",AJ90=""),"",AJ90-G90)</f>
        <v/>
      </c>
      <c r="AP90" s="50" t="str">
        <f aca="false">IF(AND(A90="",B90=""),"",IF(J90="","Status needed",IF(OR(J90="Applied",J90="Visit booked",J90="Withdrawn"),"OK",IF(G90="","Date assessed needed",IF(C90="","Date of birth needed",IF(COUNTA(L90,M90,P90,U90,V90,X90)&lt;6,"Band missing",IF(AND(OR(J90="Decision confirmed",J90="Family told",J90="Enrolled"),AG90=""),"Recommendation needed",IF(AND(OR(J90="Family told",J90="Enrolled"),AJ90=""),"Date family told needed","OK"))))))))</f>
        <v/>
      </c>
    </row>
    <row r="91" customFormat="false" ht="15" hidden="false" customHeight="false" outlineLevel="0" collapsed="false">
      <c r="A91" s="7"/>
      <c r="B91" s="7"/>
      <c r="C91" s="46"/>
      <c r="D91" s="7"/>
      <c r="E91" s="47"/>
      <c r="F91" s="46"/>
      <c r="G91" s="46"/>
      <c r="H91" s="7"/>
      <c r="I91" s="7"/>
      <c r="J91" s="47"/>
      <c r="K91" s="47"/>
      <c r="L91" s="47"/>
      <c r="M91" s="47"/>
      <c r="N91" s="10"/>
      <c r="O91" s="47"/>
      <c r="P91" s="47"/>
      <c r="Q91" s="47"/>
      <c r="R91" s="48" t="str">
        <f aca="false">IF(Q91="","",IF(Q91=0,"below 5:00",IF(Q91&gt;=66,"16:00 or above",INT((60+2*Q91)/12)&amp;":"&amp;TEXT(MOD(60+2*Q91,12),"00"))))</f>
        <v/>
      </c>
      <c r="S91" s="47"/>
      <c r="T91" s="47"/>
      <c r="U91" s="47"/>
      <c r="V91" s="47"/>
      <c r="W91" s="47"/>
      <c r="X91" s="47"/>
      <c r="Y91" s="47"/>
      <c r="Z91" s="47"/>
      <c r="AA91" s="10"/>
      <c r="AB91" s="10"/>
      <c r="AC91" s="47"/>
      <c r="AD91" s="47"/>
      <c r="AE91" s="47"/>
      <c r="AF91" s="47"/>
      <c r="AG91" s="47"/>
      <c r="AH91" s="47"/>
      <c r="AI91" s="46"/>
      <c r="AJ91" s="46"/>
      <c r="AK91" s="46"/>
      <c r="AL91" s="7"/>
      <c r="AM91" s="49" t="str">
        <f aca="false">IF(OR(C91="",G91=""),"",IFERROR(DATEDIF(C91,G91,"m"),""))</f>
        <v/>
      </c>
      <c r="AN91" s="49" t="str">
        <f aca="false">IF(OR(Q91="",AM91=""),"",60+2*Q91-AM91)</f>
        <v/>
      </c>
      <c r="AO91" s="49" t="str">
        <f aca="false">IF(OR(G91="",AJ91=""),"",AJ91-G91)</f>
        <v/>
      </c>
      <c r="AP91" s="50" t="str">
        <f aca="false">IF(AND(A91="",B91=""),"",IF(J91="","Status needed",IF(OR(J91="Applied",J91="Visit booked",J91="Withdrawn"),"OK",IF(G91="","Date assessed needed",IF(C91="","Date of birth needed",IF(COUNTA(L91,M91,P91,U91,V91,X91)&lt;6,"Band missing",IF(AND(OR(J91="Decision confirmed",J91="Family told",J91="Enrolled"),AG91=""),"Recommendation needed",IF(AND(OR(J91="Family told",J91="Enrolled"),AJ91=""),"Date family told needed","OK"))))))))</f>
        <v/>
      </c>
    </row>
    <row r="92" customFormat="false" ht="15" hidden="false" customHeight="false" outlineLevel="0" collapsed="false">
      <c r="A92" s="7"/>
      <c r="B92" s="7"/>
      <c r="C92" s="46"/>
      <c r="D92" s="7"/>
      <c r="E92" s="47"/>
      <c r="F92" s="46"/>
      <c r="G92" s="46"/>
      <c r="H92" s="7"/>
      <c r="I92" s="7"/>
      <c r="J92" s="47"/>
      <c r="K92" s="47"/>
      <c r="L92" s="47"/>
      <c r="M92" s="47"/>
      <c r="N92" s="10"/>
      <c r="O92" s="47"/>
      <c r="P92" s="47"/>
      <c r="Q92" s="47"/>
      <c r="R92" s="48" t="str">
        <f aca="false">IF(Q92="","",IF(Q92=0,"below 5:00",IF(Q92&gt;=66,"16:00 or above",INT((60+2*Q92)/12)&amp;":"&amp;TEXT(MOD(60+2*Q92,12),"00"))))</f>
        <v/>
      </c>
      <c r="S92" s="47"/>
      <c r="T92" s="47"/>
      <c r="U92" s="47"/>
      <c r="V92" s="47"/>
      <c r="W92" s="47"/>
      <c r="X92" s="47"/>
      <c r="Y92" s="47"/>
      <c r="Z92" s="47"/>
      <c r="AA92" s="10"/>
      <c r="AB92" s="10"/>
      <c r="AC92" s="47"/>
      <c r="AD92" s="47"/>
      <c r="AE92" s="47"/>
      <c r="AF92" s="47"/>
      <c r="AG92" s="47"/>
      <c r="AH92" s="47"/>
      <c r="AI92" s="46"/>
      <c r="AJ92" s="46"/>
      <c r="AK92" s="46"/>
      <c r="AL92" s="7"/>
      <c r="AM92" s="49" t="str">
        <f aca="false">IF(OR(C92="",G92=""),"",IFERROR(DATEDIF(C92,G92,"m"),""))</f>
        <v/>
      </c>
      <c r="AN92" s="49" t="str">
        <f aca="false">IF(OR(Q92="",AM92=""),"",60+2*Q92-AM92)</f>
        <v/>
      </c>
      <c r="AO92" s="49" t="str">
        <f aca="false">IF(OR(G92="",AJ92=""),"",AJ92-G92)</f>
        <v/>
      </c>
      <c r="AP92" s="50" t="str">
        <f aca="false">IF(AND(A92="",B92=""),"",IF(J92="","Status needed",IF(OR(J92="Applied",J92="Visit booked",J92="Withdrawn"),"OK",IF(G92="","Date assessed needed",IF(C92="","Date of birth needed",IF(COUNTA(L92,M92,P92,U92,V92,X92)&lt;6,"Band missing",IF(AND(OR(J92="Decision confirmed",J92="Family told",J92="Enrolled"),AG92=""),"Recommendation needed",IF(AND(OR(J92="Family told",J92="Enrolled"),AJ92=""),"Date family told needed","OK"))))))))</f>
        <v/>
      </c>
    </row>
    <row r="93" customFormat="false" ht="15" hidden="false" customHeight="false" outlineLevel="0" collapsed="false">
      <c r="A93" s="7"/>
      <c r="B93" s="7"/>
      <c r="C93" s="46"/>
      <c r="D93" s="7"/>
      <c r="E93" s="47"/>
      <c r="F93" s="46"/>
      <c r="G93" s="46"/>
      <c r="H93" s="7"/>
      <c r="I93" s="7"/>
      <c r="J93" s="47"/>
      <c r="K93" s="47"/>
      <c r="L93" s="47"/>
      <c r="M93" s="47"/>
      <c r="N93" s="10"/>
      <c r="O93" s="47"/>
      <c r="P93" s="47"/>
      <c r="Q93" s="47"/>
      <c r="R93" s="48" t="str">
        <f aca="false">IF(Q93="","",IF(Q93=0,"below 5:00",IF(Q93&gt;=66,"16:00 or above",INT((60+2*Q93)/12)&amp;":"&amp;TEXT(MOD(60+2*Q93,12),"00"))))</f>
        <v/>
      </c>
      <c r="S93" s="47"/>
      <c r="T93" s="47"/>
      <c r="U93" s="47"/>
      <c r="V93" s="47"/>
      <c r="W93" s="47"/>
      <c r="X93" s="47"/>
      <c r="Y93" s="47"/>
      <c r="Z93" s="47"/>
      <c r="AA93" s="10"/>
      <c r="AB93" s="10"/>
      <c r="AC93" s="47"/>
      <c r="AD93" s="47"/>
      <c r="AE93" s="47"/>
      <c r="AF93" s="47"/>
      <c r="AG93" s="47"/>
      <c r="AH93" s="47"/>
      <c r="AI93" s="46"/>
      <c r="AJ93" s="46"/>
      <c r="AK93" s="46"/>
      <c r="AL93" s="7"/>
      <c r="AM93" s="49" t="str">
        <f aca="false">IF(OR(C93="",G93=""),"",IFERROR(DATEDIF(C93,G93,"m"),""))</f>
        <v/>
      </c>
      <c r="AN93" s="49" t="str">
        <f aca="false">IF(OR(Q93="",AM93=""),"",60+2*Q93-AM93)</f>
        <v/>
      </c>
      <c r="AO93" s="49" t="str">
        <f aca="false">IF(OR(G93="",AJ93=""),"",AJ93-G93)</f>
        <v/>
      </c>
      <c r="AP93" s="50" t="str">
        <f aca="false">IF(AND(A93="",B93=""),"",IF(J93="","Status needed",IF(OR(J93="Applied",J93="Visit booked",J93="Withdrawn"),"OK",IF(G93="","Date assessed needed",IF(C93="","Date of birth needed",IF(COUNTA(L93,M93,P93,U93,V93,X93)&lt;6,"Band missing",IF(AND(OR(J93="Decision confirmed",J93="Family told",J93="Enrolled"),AG93=""),"Recommendation needed",IF(AND(OR(J93="Family told",J93="Enrolled"),AJ93=""),"Date family told needed","OK"))))))))</f>
        <v/>
      </c>
    </row>
    <row r="94" customFormat="false" ht="15" hidden="false" customHeight="false" outlineLevel="0" collapsed="false">
      <c r="A94" s="7"/>
      <c r="B94" s="7"/>
      <c r="C94" s="46"/>
      <c r="D94" s="7"/>
      <c r="E94" s="47"/>
      <c r="F94" s="46"/>
      <c r="G94" s="46"/>
      <c r="H94" s="7"/>
      <c r="I94" s="7"/>
      <c r="J94" s="47"/>
      <c r="K94" s="47"/>
      <c r="L94" s="47"/>
      <c r="M94" s="47"/>
      <c r="N94" s="10"/>
      <c r="O94" s="47"/>
      <c r="P94" s="47"/>
      <c r="Q94" s="47"/>
      <c r="R94" s="48" t="str">
        <f aca="false">IF(Q94="","",IF(Q94=0,"below 5:00",IF(Q94&gt;=66,"16:00 or above",INT((60+2*Q94)/12)&amp;":"&amp;TEXT(MOD(60+2*Q94,12),"00"))))</f>
        <v/>
      </c>
      <c r="S94" s="47"/>
      <c r="T94" s="47"/>
      <c r="U94" s="47"/>
      <c r="V94" s="47"/>
      <c r="W94" s="47"/>
      <c r="X94" s="47"/>
      <c r="Y94" s="47"/>
      <c r="Z94" s="47"/>
      <c r="AA94" s="10"/>
      <c r="AB94" s="10"/>
      <c r="AC94" s="47"/>
      <c r="AD94" s="47"/>
      <c r="AE94" s="47"/>
      <c r="AF94" s="47"/>
      <c r="AG94" s="47"/>
      <c r="AH94" s="47"/>
      <c r="AI94" s="46"/>
      <c r="AJ94" s="46"/>
      <c r="AK94" s="46"/>
      <c r="AL94" s="7"/>
      <c r="AM94" s="49" t="str">
        <f aca="false">IF(OR(C94="",G94=""),"",IFERROR(DATEDIF(C94,G94,"m"),""))</f>
        <v/>
      </c>
      <c r="AN94" s="49" t="str">
        <f aca="false">IF(OR(Q94="",AM94=""),"",60+2*Q94-AM94)</f>
        <v/>
      </c>
      <c r="AO94" s="49" t="str">
        <f aca="false">IF(OR(G94="",AJ94=""),"",AJ94-G94)</f>
        <v/>
      </c>
      <c r="AP94" s="50" t="str">
        <f aca="false">IF(AND(A94="",B94=""),"",IF(J94="","Status needed",IF(OR(J94="Applied",J94="Visit booked",J94="Withdrawn"),"OK",IF(G94="","Date assessed needed",IF(C94="","Date of birth needed",IF(COUNTA(L94,M94,P94,U94,V94,X94)&lt;6,"Band missing",IF(AND(OR(J94="Decision confirmed",J94="Family told",J94="Enrolled"),AG94=""),"Recommendation needed",IF(AND(OR(J94="Family told",J94="Enrolled"),AJ94=""),"Date family told needed","OK"))))))))</f>
        <v/>
      </c>
    </row>
    <row r="95" customFormat="false" ht="15" hidden="false" customHeight="false" outlineLevel="0" collapsed="false">
      <c r="A95" s="7"/>
      <c r="B95" s="7"/>
      <c r="C95" s="46"/>
      <c r="D95" s="7"/>
      <c r="E95" s="47"/>
      <c r="F95" s="46"/>
      <c r="G95" s="46"/>
      <c r="H95" s="7"/>
      <c r="I95" s="7"/>
      <c r="J95" s="47"/>
      <c r="K95" s="47"/>
      <c r="L95" s="47"/>
      <c r="M95" s="47"/>
      <c r="N95" s="10"/>
      <c r="O95" s="47"/>
      <c r="P95" s="47"/>
      <c r="Q95" s="47"/>
      <c r="R95" s="48" t="str">
        <f aca="false">IF(Q95="","",IF(Q95=0,"below 5:00",IF(Q95&gt;=66,"16:00 or above",INT((60+2*Q95)/12)&amp;":"&amp;TEXT(MOD(60+2*Q95,12),"00"))))</f>
        <v/>
      </c>
      <c r="S95" s="47"/>
      <c r="T95" s="47"/>
      <c r="U95" s="47"/>
      <c r="V95" s="47"/>
      <c r="W95" s="47"/>
      <c r="X95" s="47"/>
      <c r="Y95" s="47"/>
      <c r="Z95" s="47"/>
      <c r="AA95" s="10"/>
      <c r="AB95" s="10"/>
      <c r="AC95" s="47"/>
      <c r="AD95" s="47"/>
      <c r="AE95" s="47"/>
      <c r="AF95" s="47"/>
      <c r="AG95" s="47"/>
      <c r="AH95" s="47"/>
      <c r="AI95" s="46"/>
      <c r="AJ95" s="46"/>
      <c r="AK95" s="46"/>
      <c r="AL95" s="7"/>
      <c r="AM95" s="49" t="str">
        <f aca="false">IF(OR(C95="",G95=""),"",IFERROR(DATEDIF(C95,G95,"m"),""))</f>
        <v/>
      </c>
      <c r="AN95" s="49" t="str">
        <f aca="false">IF(OR(Q95="",AM95=""),"",60+2*Q95-AM95)</f>
        <v/>
      </c>
      <c r="AO95" s="49" t="str">
        <f aca="false">IF(OR(G95="",AJ95=""),"",AJ95-G95)</f>
        <v/>
      </c>
      <c r="AP95" s="50" t="str">
        <f aca="false">IF(AND(A95="",B95=""),"",IF(J95="","Status needed",IF(OR(J95="Applied",J95="Visit booked",J95="Withdrawn"),"OK",IF(G95="","Date assessed needed",IF(C95="","Date of birth needed",IF(COUNTA(L95,M95,P95,U95,V95,X95)&lt;6,"Band missing",IF(AND(OR(J95="Decision confirmed",J95="Family told",J95="Enrolled"),AG95=""),"Recommendation needed",IF(AND(OR(J95="Family told",J95="Enrolled"),AJ95=""),"Date family told needed","OK"))))))))</f>
        <v/>
      </c>
    </row>
    <row r="96" customFormat="false" ht="15" hidden="false" customHeight="false" outlineLevel="0" collapsed="false">
      <c r="A96" s="7"/>
      <c r="B96" s="7"/>
      <c r="C96" s="46"/>
      <c r="D96" s="7"/>
      <c r="E96" s="47"/>
      <c r="F96" s="46"/>
      <c r="G96" s="46"/>
      <c r="H96" s="7"/>
      <c r="I96" s="7"/>
      <c r="J96" s="47"/>
      <c r="K96" s="47"/>
      <c r="L96" s="47"/>
      <c r="M96" s="47"/>
      <c r="N96" s="10"/>
      <c r="O96" s="47"/>
      <c r="P96" s="47"/>
      <c r="Q96" s="47"/>
      <c r="R96" s="48" t="str">
        <f aca="false">IF(Q96="","",IF(Q96=0,"below 5:00",IF(Q96&gt;=66,"16:00 or above",INT((60+2*Q96)/12)&amp;":"&amp;TEXT(MOD(60+2*Q96,12),"00"))))</f>
        <v/>
      </c>
      <c r="S96" s="47"/>
      <c r="T96" s="47"/>
      <c r="U96" s="47"/>
      <c r="V96" s="47"/>
      <c r="W96" s="47"/>
      <c r="X96" s="47"/>
      <c r="Y96" s="47"/>
      <c r="Z96" s="47"/>
      <c r="AA96" s="10"/>
      <c r="AB96" s="10"/>
      <c r="AC96" s="47"/>
      <c r="AD96" s="47"/>
      <c r="AE96" s="47"/>
      <c r="AF96" s="47"/>
      <c r="AG96" s="47"/>
      <c r="AH96" s="47"/>
      <c r="AI96" s="46"/>
      <c r="AJ96" s="46"/>
      <c r="AK96" s="46"/>
      <c r="AL96" s="7"/>
      <c r="AM96" s="49" t="str">
        <f aca="false">IF(OR(C96="",G96=""),"",IFERROR(DATEDIF(C96,G96,"m"),""))</f>
        <v/>
      </c>
      <c r="AN96" s="49" t="str">
        <f aca="false">IF(OR(Q96="",AM96=""),"",60+2*Q96-AM96)</f>
        <v/>
      </c>
      <c r="AO96" s="49" t="str">
        <f aca="false">IF(OR(G96="",AJ96=""),"",AJ96-G96)</f>
        <v/>
      </c>
      <c r="AP96" s="50" t="str">
        <f aca="false">IF(AND(A96="",B96=""),"",IF(J96="","Status needed",IF(OR(J96="Applied",J96="Visit booked",J96="Withdrawn"),"OK",IF(G96="","Date assessed needed",IF(C96="","Date of birth needed",IF(COUNTA(L96,M96,P96,U96,V96,X96)&lt;6,"Band missing",IF(AND(OR(J96="Decision confirmed",J96="Family told",J96="Enrolled"),AG96=""),"Recommendation needed",IF(AND(OR(J96="Family told",J96="Enrolled"),AJ96=""),"Date family told needed","OK"))))))))</f>
        <v/>
      </c>
    </row>
    <row r="97" customFormat="false" ht="15" hidden="false" customHeight="false" outlineLevel="0" collapsed="false">
      <c r="A97" s="7"/>
      <c r="B97" s="7"/>
      <c r="C97" s="46"/>
      <c r="D97" s="7"/>
      <c r="E97" s="47"/>
      <c r="F97" s="46"/>
      <c r="G97" s="46"/>
      <c r="H97" s="7"/>
      <c r="I97" s="7"/>
      <c r="J97" s="47"/>
      <c r="K97" s="47"/>
      <c r="L97" s="47"/>
      <c r="M97" s="47"/>
      <c r="N97" s="10"/>
      <c r="O97" s="47"/>
      <c r="P97" s="47"/>
      <c r="Q97" s="47"/>
      <c r="R97" s="48" t="str">
        <f aca="false">IF(Q97="","",IF(Q97=0,"below 5:00",IF(Q97&gt;=66,"16:00 or above",INT((60+2*Q97)/12)&amp;":"&amp;TEXT(MOD(60+2*Q97,12),"00"))))</f>
        <v/>
      </c>
      <c r="S97" s="47"/>
      <c r="T97" s="47"/>
      <c r="U97" s="47"/>
      <c r="V97" s="47"/>
      <c r="W97" s="47"/>
      <c r="X97" s="47"/>
      <c r="Y97" s="47"/>
      <c r="Z97" s="47"/>
      <c r="AA97" s="10"/>
      <c r="AB97" s="10"/>
      <c r="AC97" s="47"/>
      <c r="AD97" s="47"/>
      <c r="AE97" s="47"/>
      <c r="AF97" s="47"/>
      <c r="AG97" s="47"/>
      <c r="AH97" s="47"/>
      <c r="AI97" s="46"/>
      <c r="AJ97" s="46"/>
      <c r="AK97" s="46"/>
      <c r="AL97" s="7"/>
      <c r="AM97" s="49" t="str">
        <f aca="false">IF(OR(C97="",G97=""),"",IFERROR(DATEDIF(C97,G97,"m"),""))</f>
        <v/>
      </c>
      <c r="AN97" s="49" t="str">
        <f aca="false">IF(OR(Q97="",AM97=""),"",60+2*Q97-AM97)</f>
        <v/>
      </c>
      <c r="AO97" s="49" t="str">
        <f aca="false">IF(OR(G97="",AJ97=""),"",AJ97-G97)</f>
        <v/>
      </c>
      <c r="AP97" s="50" t="str">
        <f aca="false">IF(AND(A97="",B97=""),"",IF(J97="","Status needed",IF(OR(J97="Applied",J97="Visit booked",J97="Withdrawn"),"OK",IF(G97="","Date assessed needed",IF(C97="","Date of birth needed",IF(COUNTA(L97,M97,P97,U97,V97,X97)&lt;6,"Band missing",IF(AND(OR(J97="Decision confirmed",J97="Family told",J97="Enrolled"),AG97=""),"Recommendation needed",IF(AND(OR(J97="Family told",J97="Enrolled"),AJ97=""),"Date family told needed","OK"))))))))</f>
        <v/>
      </c>
    </row>
    <row r="98" customFormat="false" ht="15" hidden="false" customHeight="false" outlineLevel="0" collapsed="false">
      <c r="A98" s="7"/>
      <c r="B98" s="7"/>
      <c r="C98" s="46"/>
      <c r="D98" s="7"/>
      <c r="E98" s="47"/>
      <c r="F98" s="46"/>
      <c r="G98" s="46"/>
      <c r="H98" s="7"/>
      <c r="I98" s="7"/>
      <c r="J98" s="47"/>
      <c r="K98" s="47"/>
      <c r="L98" s="47"/>
      <c r="M98" s="47"/>
      <c r="N98" s="10"/>
      <c r="O98" s="47"/>
      <c r="P98" s="47"/>
      <c r="Q98" s="47"/>
      <c r="R98" s="48" t="str">
        <f aca="false">IF(Q98="","",IF(Q98=0,"below 5:00",IF(Q98&gt;=66,"16:00 or above",INT((60+2*Q98)/12)&amp;":"&amp;TEXT(MOD(60+2*Q98,12),"00"))))</f>
        <v/>
      </c>
      <c r="S98" s="47"/>
      <c r="T98" s="47"/>
      <c r="U98" s="47"/>
      <c r="V98" s="47"/>
      <c r="W98" s="47"/>
      <c r="X98" s="47"/>
      <c r="Y98" s="47"/>
      <c r="Z98" s="47"/>
      <c r="AA98" s="10"/>
      <c r="AB98" s="10"/>
      <c r="AC98" s="47"/>
      <c r="AD98" s="47"/>
      <c r="AE98" s="47"/>
      <c r="AF98" s="47"/>
      <c r="AG98" s="47"/>
      <c r="AH98" s="47"/>
      <c r="AI98" s="46"/>
      <c r="AJ98" s="46"/>
      <c r="AK98" s="46"/>
      <c r="AL98" s="7"/>
      <c r="AM98" s="49" t="str">
        <f aca="false">IF(OR(C98="",G98=""),"",IFERROR(DATEDIF(C98,G98,"m"),""))</f>
        <v/>
      </c>
      <c r="AN98" s="49" t="str">
        <f aca="false">IF(OR(Q98="",AM98=""),"",60+2*Q98-AM98)</f>
        <v/>
      </c>
      <c r="AO98" s="49" t="str">
        <f aca="false">IF(OR(G98="",AJ98=""),"",AJ98-G98)</f>
        <v/>
      </c>
      <c r="AP98" s="50" t="str">
        <f aca="false">IF(AND(A98="",B98=""),"",IF(J98="","Status needed",IF(OR(J98="Applied",J98="Visit booked",J98="Withdrawn"),"OK",IF(G98="","Date assessed needed",IF(C98="","Date of birth needed",IF(COUNTA(L98,M98,P98,U98,V98,X98)&lt;6,"Band missing",IF(AND(OR(J98="Decision confirmed",J98="Family told",J98="Enrolled"),AG98=""),"Recommendation needed",IF(AND(OR(J98="Family told",J98="Enrolled"),AJ98=""),"Date family told needed","OK"))))))))</f>
        <v/>
      </c>
    </row>
    <row r="99" customFormat="false" ht="15" hidden="false" customHeight="false" outlineLevel="0" collapsed="false">
      <c r="A99" s="7"/>
      <c r="B99" s="7"/>
      <c r="C99" s="46"/>
      <c r="D99" s="7"/>
      <c r="E99" s="47"/>
      <c r="F99" s="46"/>
      <c r="G99" s="46"/>
      <c r="H99" s="7"/>
      <c r="I99" s="7"/>
      <c r="J99" s="47"/>
      <c r="K99" s="47"/>
      <c r="L99" s="47"/>
      <c r="M99" s="47"/>
      <c r="N99" s="10"/>
      <c r="O99" s="47"/>
      <c r="P99" s="47"/>
      <c r="Q99" s="47"/>
      <c r="R99" s="48" t="str">
        <f aca="false">IF(Q99="","",IF(Q99=0,"below 5:00",IF(Q99&gt;=66,"16:00 or above",INT((60+2*Q99)/12)&amp;":"&amp;TEXT(MOD(60+2*Q99,12),"00"))))</f>
        <v/>
      </c>
      <c r="S99" s="47"/>
      <c r="T99" s="47"/>
      <c r="U99" s="47"/>
      <c r="V99" s="47"/>
      <c r="W99" s="47"/>
      <c r="X99" s="47"/>
      <c r="Y99" s="47"/>
      <c r="Z99" s="47"/>
      <c r="AA99" s="10"/>
      <c r="AB99" s="10"/>
      <c r="AC99" s="47"/>
      <c r="AD99" s="47"/>
      <c r="AE99" s="47"/>
      <c r="AF99" s="47"/>
      <c r="AG99" s="47"/>
      <c r="AH99" s="47"/>
      <c r="AI99" s="46"/>
      <c r="AJ99" s="46"/>
      <c r="AK99" s="46"/>
      <c r="AL99" s="7"/>
      <c r="AM99" s="49" t="str">
        <f aca="false">IF(OR(C99="",G99=""),"",IFERROR(DATEDIF(C99,G99,"m"),""))</f>
        <v/>
      </c>
      <c r="AN99" s="49" t="str">
        <f aca="false">IF(OR(Q99="",AM99=""),"",60+2*Q99-AM99)</f>
        <v/>
      </c>
      <c r="AO99" s="49" t="str">
        <f aca="false">IF(OR(G99="",AJ99=""),"",AJ99-G99)</f>
        <v/>
      </c>
      <c r="AP99" s="50" t="str">
        <f aca="false">IF(AND(A99="",B99=""),"",IF(J99="","Status needed",IF(OR(J99="Applied",J99="Visit booked",J99="Withdrawn"),"OK",IF(G99="","Date assessed needed",IF(C99="","Date of birth needed",IF(COUNTA(L99,M99,P99,U99,V99,X99)&lt;6,"Band missing",IF(AND(OR(J99="Decision confirmed",J99="Family told",J99="Enrolled"),AG99=""),"Recommendation needed",IF(AND(OR(J99="Family told",J99="Enrolled"),AJ99=""),"Date family told needed","OK"))))))))</f>
        <v/>
      </c>
    </row>
    <row r="100" customFormat="false" ht="15" hidden="false" customHeight="false" outlineLevel="0" collapsed="false">
      <c r="A100" s="7"/>
      <c r="B100" s="7"/>
      <c r="C100" s="46"/>
      <c r="D100" s="7"/>
      <c r="E100" s="47"/>
      <c r="F100" s="46"/>
      <c r="G100" s="46"/>
      <c r="H100" s="7"/>
      <c r="I100" s="7"/>
      <c r="J100" s="47"/>
      <c r="K100" s="47"/>
      <c r="L100" s="47"/>
      <c r="M100" s="47"/>
      <c r="N100" s="10"/>
      <c r="O100" s="47"/>
      <c r="P100" s="47"/>
      <c r="Q100" s="47"/>
      <c r="R100" s="48" t="str">
        <f aca="false">IF(Q100="","",IF(Q100=0,"below 5:00",IF(Q100&gt;=66,"16:00 or above",INT((60+2*Q100)/12)&amp;":"&amp;TEXT(MOD(60+2*Q100,12),"00"))))</f>
        <v/>
      </c>
      <c r="S100" s="47"/>
      <c r="T100" s="47"/>
      <c r="U100" s="47"/>
      <c r="V100" s="47"/>
      <c r="W100" s="47"/>
      <c r="X100" s="47"/>
      <c r="Y100" s="47"/>
      <c r="Z100" s="47"/>
      <c r="AA100" s="10"/>
      <c r="AB100" s="10"/>
      <c r="AC100" s="47"/>
      <c r="AD100" s="47"/>
      <c r="AE100" s="47"/>
      <c r="AF100" s="47"/>
      <c r="AG100" s="47"/>
      <c r="AH100" s="47"/>
      <c r="AI100" s="46"/>
      <c r="AJ100" s="46"/>
      <c r="AK100" s="46"/>
      <c r="AL100" s="7"/>
      <c r="AM100" s="49" t="str">
        <f aca="false">IF(OR(C100="",G100=""),"",IFERROR(DATEDIF(C100,G100,"m"),""))</f>
        <v/>
      </c>
      <c r="AN100" s="49" t="str">
        <f aca="false">IF(OR(Q100="",AM100=""),"",60+2*Q100-AM100)</f>
        <v/>
      </c>
      <c r="AO100" s="49" t="str">
        <f aca="false">IF(OR(G100="",AJ100=""),"",AJ100-G100)</f>
        <v/>
      </c>
      <c r="AP100" s="50" t="str">
        <f aca="false">IF(AND(A100="",B100=""),"",IF(J100="","Status needed",IF(OR(J100="Applied",J100="Visit booked",J100="Withdrawn"),"OK",IF(G100="","Date assessed needed",IF(C100="","Date of birth needed",IF(COUNTA(L100,M100,P100,U100,V100,X100)&lt;6,"Band missing",IF(AND(OR(J100="Decision confirmed",J100="Family told",J100="Enrolled"),AG100=""),"Recommendation needed",IF(AND(OR(J100="Family told",J100="Enrolled"),AJ100=""),"Date family told needed","OK"))))))))</f>
        <v/>
      </c>
    </row>
    <row r="101" customFormat="false" ht="15" hidden="false" customHeight="false" outlineLevel="0" collapsed="false">
      <c r="A101" s="7"/>
      <c r="B101" s="7"/>
      <c r="C101" s="46"/>
      <c r="D101" s="7"/>
      <c r="E101" s="47"/>
      <c r="F101" s="46"/>
      <c r="G101" s="46"/>
      <c r="H101" s="7"/>
      <c r="I101" s="7"/>
      <c r="J101" s="47"/>
      <c r="K101" s="47"/>
      <c r="L101" s="47"/>
      <c r="M101" s="47"/>
      <c r="N101" s="10"/>
      <c r="O101" s="47"/>
      <c r="P101" s="47"/>
      <c r="Q101" s="47"/>
      <c r="R101" s="48" t="str">
        <f aca="false">IF(Q101="","",IF(Q101=0,"below 5:00",IF(Q101&gt;=66,"16:00 or above",INT((60+2*Q101)/12)&amp;":"&amp;TEXT(MOD(60+2*Q101,12),"00"))))</f>
        <v/>
      </c>
      <c r="S101" s="47"/>
      <c r="T101" s="47"/>
      <c r="U101" s="47"/>
      <c r="V101" s="47"/>
      <c r="W101" s="47"/>
      <c r="X101" s="47"/>
      <c r="Y101" s="47"/>
      <c r="Z101" s="47"/>
      <c r="AA101" s="10"/>
      <c r="AB101" s="10"/>
      <c r="AC101" s="47"/>
      <c r="AD101" s="47"/>
      <c r="AE101" s="47"/>
      <c r="AF101" s="47"/>
      <c r="AG101" s="47"/>
      <c r="AH101" s="47"/>
      <c r="AI101" s="46"/>
      <c r="AJ101" s="46"/>
      <c r="AK101" s="46"/>
      <c r="AL101" s="7"/>
      <c r="AM101" s="49" t="str">
        <f aca="false">IF(OR(C101="",G101=""),"",IFERROR(DATEDIF(C101,G101,"m"),""))</f>
        <v/>
      </c>
      <c r="AN101" s="49" t="str">
        <f aca="false">IF(OR(Q101="",AM101=""),"",60+2*Q101-AM101)</f>
        <v/>
      </c>
      <c r="AO101" s="49" t="str">
        <f aca="false">IF(OR(G101="",AJ101=""),"",AJ101-G101)</f>
        <v/>
      </c>
      <c r="AP101" s="50" t="str">
        <f aca="false">IF(AND(A101="",B101=""),"",IF(J101="","Status needed",IF(OR(J101="Applied",J101="Visit booked",J101="Withdrawn"),"OK",IF(G101="","Date assessed needed",IF(C101="","Date of birth needed",IF(COUNTA(L101,M101,P101,U101,V101,X101)&lt;6,"Band missing",IF(AND(OR(J101="Decision confirmed",J101="Family told",J101="Enrolled"),AG101=""),"Recommendation needed",IF(AND(OR(J101="Family told",J101="Enrolled"),AJ101=""),"Date family told needed","OK"))))))))</f>
        <v/>
      </c>
    </row>
    <row r="102" customFormat="false" ht="15" hidden="false" customHeight="false" outlineLevel="0" collapsed="false">
      <c r="A102" s="7"/>
      <c r="B102" s="7"/>
      <c r="C102" s="46"/>
      <c r="D102" s="7"/>
      <c r="E102" s="47"/>
      <c r="F102" s="46"/>
      <c r="G102" s="46"/>
      <c r="H102" s="7"/>
      <c r="I102" s="7"/>
      <c r="J102" s="47"/>
      <c r="K102" s="47"/>
      <c r="L102" s="47"/>
      <c r="M102" s="47"/>
      <c r="N102" s="10"/>
      <c r="O102" s="47"/>
      <c r="P102" s="47"/>
      <c r="Q102" s="47"/>
      <c r="R102" s="48" t="str">
        <f aca="false">IF(Q102="","",IF(Q102=0,"below 5:00",IF(Q102&gt;=66,"16:00 or above",INT((60+2*Q102)/12)&amp;":"&amp;TEXT(MOD(60+2*Q102,12),"00"))))</f>
        <v/>
      </c>
      <c r="S102" s="47"/>
      <c r="T102" s="47"/>
      <c r="U102" s="47"/>
      <c r="V102" s="47"/>
      <c r="W102" s="47"/>
      <c r="X102" s="47"/>
      <c r="Y102" s="47"/>
      <c r="Z102" s="47"/>
      <c r="AA102" s="10"/>
      <c r="AB102" s="10"/>
      <c r="AC102" s="47"/>
      <c r="AD102" s="47"/>
      <c r="AE102" s="47"/>
      <c r="AF102" s="47"/>
      <c r="AG102" s="47"/>
      <c r="AH102" s="47"/>
      <c r="AI102" s="46"/>
      <c r="AJ102" s="46"/>
      <c r="AK102" s="46"/>
      <c r="AL102" s="7"/>
      <c r="AM102" s="49" t="str">
        <f aca="false">IF(OR(C102="",G102=""),"",IFERROR(DATEDIF(C102,G102,"m"),""))</f>
        <v/>
      </c>
      <c r="AN102" s="49" t="str">
        <f aca="false">IF(OR(Q102="",AM102=""),"",60+2*Q102-AM102)</f>
        <v/>
      </c>
      <c r="AO102" s="49" t="str">
        <f aca="false">IF(OR(G102="",AJ102=""),"",AJ102-G102)</f>
        <v/>
      </c>
      <c r="AP102" s="50" t="str">
        <f aca="false">IF(AND(A102="",B102=""),"",IF(J102="","Status needed",IF(OR(J102="Applied",J102="Visit booked",J102="Withdrawn"),"OK",IF(G102="","Date assessed needed",IF(C102="","Date of birth needed",IF(COUNTA(L102,M102,P102,U102,V102,X102)&lt;6,"Band missing",IF(AND(OR(J102="Decision confirmed",J102="Family told",J102="Enrolled"),AG102=""),"Recommendation needed",IF(AND(OR(J102="Family told",J102="Enrolled"),AJ102=""),"Date family told needed","OK"))))))))</f>
        <v/>
      </c>
    </row>
    <row r="103" customFormat="false" ht="15" hidden="false" customHeight="false" outlineLevel="0" collapsed="false">
      <c r="A103" s="7"/>
      <c r="B103" s="7"/>
      <c r="C103" s="46"/>
      <c r="D103" s="7"/>
      <c r="E103" s="47"/>
      <c r="F103" s="46"/>
      <c r="G103" s="46"/>
      <c r="H103" s="7"/>
      <c r="I103" s="7"/>
      <c r="J103" s="47"/>
      <c r="K103" s="47"/>
      <c r="L103" s="47"/>
      <c r="M103" s="47"/>
      <c r="N103" s="10"/>
      <c r="O103" s="47"/>
      <c r="P103" s="47"/>
      <c r="Q103" s="47"/>
      <c r="R103" s="48" t="str">
        <f aca="false">IF(Q103="","",IF(Q103=0,"below 5:00",IF(Q103&gt;=66,"16:00 or above",INT((60+2*Q103)/12)&amp;":"&amp;TEXT(MOD(60+2*Q103,12),"00"))))</f>
        <v/>
      </c>
      <c r="S103" s="47"/>
      <c r="T103" s="47"/>
      <c r="U103" s="47"/>
      <c r="V103" s="47"/>
      <c r="W103" s="47"/>
      <c r="X103" s="47"/>
      <c r="Y103" s="47"/>
      <c r="Z103" s="47"/>
      <c r="AA103" s="10"/>
      <c r="AB103" s="10"/>
      <c r="AC103" s="47"/>
      <c r="AD103" s="47"/>
      <c r="AE103" s="47"/>
      <c r="AF103" s="47"/>
      <c r="AG103" s="47"/>
      <c r="AH103" s="47"/>
      <c r="AI103" s="46"/>
      <c r="AJ103" s="46"/>
      <c r="AK103" s="46"/>
      <c r="AL103" s="7"/>
      <c r="AM103" s="49" t="str">
        <f aca="false">IF(OR(C103="",G103=""),"",IFERROR(DATEDIF(C103,G103,"m"),""))</f>
        <v/>
      </c>
      <c r="AN103" s="49" t="str">
        <f aca="false">IF(OR(Q103="",AM103=""),"",60+2*Q103-AM103)</f>
        <v/>
      </c>
      <c r="AO103" s="49" t="str">
        <f aca="false">IF(OR(G103="",AJ103=""),"",AJ103-G103)</f>
        <v/>
      </c>
      <c r="AP103" s="50" t="str">
        <f aca="false">IF(AND(A103="",B103=""),"",IF(J103="","Status needed",IF(OR(J103="Applied",J103="Visit booked",J103="Withdrawn"),"OK",IF(G103="","Date assessed needed",IF(C103="","Date of birth needed",IF(COUNTA(L103,M103,P103,U103,V103,X103)&lt;6,"Band missing",IF(AND(OR(J103="Decision confirmed",J103="Family told",J103="Enrolled"),AG103=""),"Recommendation needed",IF(AND(OR(J103="Family told",J103="Enrolled"),AJ103=""),"Date family told needed","OK"))))))))</f>
        <v/>
      </c>
    </row>
    <row r="104" customFormat="false" ht="15" hidden="false" customHeight="false" outlineLevel="0" collapsed="false">
      <c r="A104" s="7"/>
      <c r="B104" s="7"/>
      <c r="C104" s="46"/>
      <c r="D104" s="7"/>
      <c r="E104" s="47"/>
      <c r="F104" s="46"/>
      <c r="G104" s="46"/>
      <c r="H104" s="7"/>
      <c r="I104" s="7"/>
      <c r="J104" s="47"/>
      <c r="K104" s="47"/>
      <c r="L104" s="47"/>
      <c r="M104" s="47"/>
      <c r="N104" s="10"/>
      <c r="O104" s="47"/>
      <c r="P104" s="47"/>
      <c r="Q104" s="47"/>
      <c r="R104" s="48" t="str">
        <f aca="false">IF(Q104="","",IF(Q104=0,"below 5:00",IF(Q104&gt;=66,"16:00 or above",INT((60+2*Q104)/12)&amp;":"&amp;TEXT(MOD(60+2*Q104,12),"00"))))</f>
        <v/>
      </c>
      <c r="S104" s="47"/>
      <c r="T104" s="47"/>
      <c r="U104" s="47"/>
      <c r="V104" s="47"/>
      <c r="W104" s="47"/>
      <c r="X104" s="47"/>
      <c r="Y104" s="47"/>
      <c r="Z104" s="47"/>
      <c r="AA104" s="10"/>
      <c r="AB104" s="10"/>
      <c r="AC104" s="47"/>
      <c r="AD104" s="47"/>
      <c r="AE104" s="47"/>
      <c r="AF104" s="47"/>
      <c r="AG104" s="47"/>
      <c r="AH104" s="47"/>
      <c r="AI104" s="46"/>
      <c r="AJ104" s="46"/>
      <c r="AK104" s="46"/>
      <c r="AL104" s="7"/>
      <c r="AM104" s="49" t="str">
        <f aca="false">IF(OR(C104="",G104=""),"",IFERROR(DATEDIF(C104,G104,"m"),""))</f>
        <v/>
      </c>
      <c r="AN104" s="49" t="str">
        <f aca="false">IF(OR(Q104="",AM104=""),"",60+2*Q104-AM104)</f>
        <v/>
      </c>
      <c r="AO104" s="49" t="str">
        <f aca="false">IF(OR(G104="",AJ104=""),"",AJ104-G104)</f>
        <v/>
      </c>
      <c r="AP104" s="50" t="str">
        <f aca="false">IF(AND(A104="",B104=""),"",IF(J104="","Status needed",IF(OR(J104="Applied",J104="Visit booked",J104="Withdrawn"),"OK",IF(G104="","Date assessed needed",IF(C104="","Date of birth needed",IF(COUNTA(L104,M104,P104,U104,V104,X104)&lt;6,"Band missing",IF(AND(OR(J104="Decision confirmed",J104="Family told",J104="Enrolled"),AG104=""),"Recommendation needed",IF(AND(OR(J104="Family told",J104="Enrolled"),AJ104=""),"Date family told needed","OK"))))))))</f>
        <v/>
      </c>
    </row>
    <row r="105" customFormat="false" ht="15" hidden="false" customHeight="false" outlineLevel="0" collapsed="false">
      <c r="A105" s="7"/>
      <c r="B105" s="7"/>
      <c r="C105" s="46"/>
      <c r="D105" s="7"/>
      <c r="E105" s="47"/>
      <c r="F105" s="46"/>
      <c r="G105" s="46"/>
      <c r="H105" s="7"/>
      <c r="I105" s="7"/>
      <c r="J105" s="47"/>
      <c r="K105" s="47"/>
      <c r="L105" s="47"/>
      <c r="M105" s="47"/>
      <c r="N105" s="10"/>
      <c r="O105" s="47"/>
      <c r="P105" s="47"/>
      <c r="Q105" s="47"/>
      <c r="R105" s="48" t="str">
        <f aca="false">IF(Q105="","",IF(Q105=0,"below 5:00",IF(Q105&gt;=66,"16:00 or above",INT((60+2*Q105)/12)&amp;":"&amp;TEXT(MOD(60+2*Q105,12),"00"))))</f>
        <v/>
      </c>
      <c r="S105" s="47"/>
      <c r="T105" s="47"/>
      <c r="U105" s="47"/>
      <c r="V105" s="47"/>
      <c r="W105" s="47"/>
      <c r="X105" s="47"/>
      <c r="Y105" s="47"/>
      <c r="Z105" s="47"/>
      <c r="AA105" s="10"/>
      <c r="AB105" s="10"/>
      <c r="AC105" s="47"/>
      <c r="AD105" s="47"/>
      <c r="AE105" s="47"/>
      <c r="AF105" s="47"/>
      <c r="AG105" s="47"/>
      <c r="AH105" s="47"/>
      <c r="AI105" s="46"/>
      <c r="AJ105" s="46"/>
      <c r="AK105" s="46"/>
      <c r="AL105" s="7"/>
      <c r="AM105" s="49" t="str">
        <f aca="false">IF(OR(C105="",G105=""),"",IFERROR(DATEDIF(C105,G105,"m"),""))</f>
        <v/>
      </c>
      <c r="AN105" s="49" t="str">
        <f aca="false">IF(OR(Q105="",AM105=""),"",60+2*Q105-AM105)</f>
        <v/>
      </c>
      <c r="AO105" s="49" t="str">
        <f aca="false">IF(OR(G105="",AJ105=""),"",AJ105-G105)</f>
        <v/>
      </c>
      <c r="AP105" s="50" t="str">
        <f aca="false">IF(AND(A105="",B105=""),"",IF(J105="","Status needed",IF(OR(J105="Applied",J105="Visit booked",J105="Withdrawn"),"OK",IF(G105="","Date assessed needed",IF(C105="","Date of birth needed",IF(COUNTA(L105,M105,P105,U105,V105,X105)&lt;6,"Band missing",IF(AND(OR(J105="Decision confirmed",J105="Family told",J105="Enrolled"),AG105=""),"Recommendation needed",IF(AND(OR(J105="Family told",J105="Enrolled"),AJ105=""),"Date family told needed","OK"))))))))</f>
        <v/>
      </c>
    </row>
    <row r="106" customFormat="false" ht="15" hidden="false" customHeight="false" outlineLevel="0" collapsed="false">
      <c r="A106" s="7"/>
      <c r="B106" s="7"/>
      <c r="C106" s="46"/>
      <c r="D106" s="7"/>
      <c r="E106" s="47"/>
      <c r="F106" s="46"/>
      <c r="G106" s="46"/>
      <c r="H106" s="7"/>
      <c r="I106" s="7"/>
      <c r="J106" s="47"/>
      <c r="K106" s="47"/>
      <c r="L106" s="47"/>
      <c r="M106" s="47"/>
      <c r="N106" s="10"/>
      <c r="O106" s="47"/>
      <c r="P106" s="47"/>
      <c r="Q106" s="47"/>
      <c r="R106" s="48" t="str">
        <f aca="false">IF(Q106="","",IF(Q106=0,"below 5:00",IF(Q106&gt;=66,"16:00 or above",INT((60+2*Q106)/12)&amp;":"&amp;TEXT(MOD(60+2*Q106,12),"00"))))</f>
        <v/>
      </c>
      <c r="S106" s="47"/>
      <c r="T106" s="47"/>
      <c r="U106" s="47"/>
      <c r="V106" s="47"/>
      <c r="W106" s="47"/>
      <c r="X106" s="47"/>
      <c r="Y106" s="47"/>
      <c r="Z106" s="47"/>
      <c r="AA106" s="10"/>
      <c r="AB106" s="10"/>
      <c r="AC106" s="47"/>
      <c r="AD106" s="47"/>
      <c r="AE106" s="47"/>
      <c r="AF106" s="47"/>
      <c r="AG106" s="47"/>
      <c r="AH106" s="47"/>
      <c r="AI106" s="46"/>
      <c r="AJ106" s="46"/>
      <c r="AK106" s="46"/>
      <c r="AL106" s="7"/>
      <c r="AM106" s="49" t="str">
        <f aca="false">IF(OR(C106="",G106=""),"",IFERROR(DATEDIF(C106,G106,"m"),""))</f>
        <v/>
      </c>
      <c r="AN106" s="49" t="str">
        <f aca="false">IF(OR(Q106="",AM106=""),"",60+2*Q106-AM106)</f>
        <v/>
      </c>
      <c r="AO106" s="49" t="str">
        <f aca="false">IF(OR(G106="",AJ106=""),"",AJ106-G106)</f>
        <v/>
      </c>
      <c r="AP106" s="50" t="str">
        <f aca="false">IF(AND(A106="",B106=""),"",IF(J106="","Status needed",IF(OR(J106="Applied",J106="Visit booked",J106="Withdrawn"),"OK",IF(G106="","Date assessed needed",IF(C106="","Date of birth needed",IF(COUNTA(L106,M106,P106,U106,V106,X106)&lt;6,"Band missing",IF(AND(OR(J106="Decision confirmed",J106="Family told",J106="Enrolled"),AG106=""),"Recommendation needed",IF(AND(OR(J106="Family told",J106="Enrolled"),AJ106=""),"Date family told needed","OK"))))))))</f>
        <v/>
      </c>
    </row>
    <row r="107" customFormat="false" ht="15" hidden="false" customHeight="false" outlineLevel="0" collapsed="false">
      <c r="A107" s="7"/>
      <c r="B107" s="7"/>
      <c r="C107" s="46"/>
      <c r="D107" s="7"/>
      <c r="E107" s="47"/>
      <c r="F107" s="46"/>
      <c r="G107" s="46"/>
      <c r="H107" s="7"/>
      <c r="I107" s="7"/>
      <c r="J107" s="47"/>
      <c r="K107" s="47"/>
      <c r="L107" s="47"/>
      <c r="M107" s="47"/>
      <c r="N107" s="10"/>
      <c r="O107" s="47"/>
      <c r="P107" s="47"/>
      <c r="Q107" s="47"/>
      <c r="R107" s="48" t="str">
        <f aca="false">IF(Q107="","",IF(Q107=0,"below 5:00",IF(Q107&gt;=66,"16:00 or above",INT((60+2*Q107)/12)&amp;":"&amp;TEXT(MOD(60+2*Q107,12),"00"))))</f>
        <v/>
      </c>
      <c r="S107" s="47"/>
      <c r="T107" s="47"/>
      <c r="U107" s="47"/>
      <c r="V107" s="47"/>
      <c r="W107" s="47"/>
      <c r="X107" s="47"/>
      <c r="Y107" s="47"/>
      <c r="Z107" s="47"/>
      <c r="AA107" s="10"/>
      <c r="AB107" s="10"/>
      <c r="AC107" s="47"/>
      <c r="AD107" s="47"/>
      <c r="AE107" s="47"/>
      <c r="AF107" s="47"/>
      <c r="AG107" s="47"/>
      <c r="AH107" s="47"/>
      <c r="AI107" s="46"/>
      <c r="AJ107" s="46"/>
      <c r="AK107" s="46"/>
      <c r="AL107" s="7"/>
      <c r="AM107" s="49" t="str">
        <f aca="false">IF(OR(C107="",G107=""),"",IFERROR(DATEDIF(C107,G107,"m"),""))</f>
        <v/>
      </c>
      <c r="AN107" s="49" t="str">
        <f aca="false">IF(OR(Q107="",AM107=""),"",60+2*Q107-AM107)</f>
        <v/>
      </c>
      <c r="AO107" s="49" t="str">
        <f aca="false">IF(OR(G107="",AJ107=""),"",AJ107-G107)</f>
        <v/>
      </c>
      <c r="AP107" s="50" t="str">
        <f aca="false">IF(AND(A107="",B107=""),"",IF(J107="","Status needed",IF(OR(J107="Applied",J107="Visit booked",J107="Withdrawn"),"OK",IF(G107="","Date assessed needed",IF(C107="","Date of birth needed",IF(COUNTA(L107,M107,P107,U107,V107,X107)&lt;6,"Band missing",IF(AND(OR(J107="Decision confirmed",J107="Family told",J107="Enrolled"),AG107=""),"Recommendation needed",IF(AND(OR(J107="Family told",J107="Enrolled"),AJ107=""),"Date family told needed","OK"))))))))</f>
        <v/>
      </c>
    </row>
    <row r="108" customFormat="false" ht="15" hidden="false" customHeight="false" outlineLevel="0" collapsed="false">
      <c r="A108" s="7"/>
      <c r="B108" s="7"/>
      <c r="C108" s="46"/>
      <c r="D108" s="7"/>
      <c r="E108" s="47"/>
      <c r="F108" s="46"/>
      <c r="G108" s="46"/>
      <c r="H108" s="7"/>
      <c r="I108" s="7"/>
      <c r="J108" s="47"/>
      <c r="K108" s="47"/>
      <c r="L108" s="47"/>
      <c r="M108" s="47"/>
      <c r="N108" s="10"/>
      <c r="O108" s="47"/>
      <c r="P108" s="47"/>
      <c r="Q108" s="47"/>
      <c r="R108" s="48" t="str">
        <f aca="false">IF(Q108="","",IF(Q108=0,"below 5:00",IF(Q108&gt;=66,"16:00 or above",INT((60+2*Q108)/12)&amp;":"&amp;TEXT(MOD(60+2*Q108,12),"00"))))</f>
        <v/>
      </c>
      <c r="S108" s="47"/>
      <c r="T108" s="47"/>
      <c r="U108" s="47"/>
      <c r="V108" s="47"/>
      <c r="W108" s="47"/>
      <c r="X108" s="47"/>
      <c r="Y108" s="47"/>
      <c r="Z108" s="47"/>
      <c r="AA108" s="10"/>
      <c r="AB108" s="10"/>
      <c r="AC108" s="47"/>
      <c r="AD108" s="47"/>
      <c r="AE108" s="47"/>
      <c r="AF108" s="47"/>
      <c r="AG108" s="47"/>
      <c r="AH108" s="47"/>
      <c r="AI108" s="46"/>
      <c r="AJ108" s="46"/>
      <c r="AK108" s="46"/>
      <c r="AL108" s="7"/>
      <c r="AM108" s="49" t="str">
        <f aca="false">IF(OR(C108="",G108=""),"",IFERROR(DATEDIF(C108,G108,"m"),""))</f>
        <v/>
      </c>
      <c r="AN108" s="49" t="str">
        <f aca="false">IF(OR(Q108="",AM108=""),"",60+2*Q108-AM108)</f>
        <v/>
      </c>
      <c r="AO108" s="49" t="str">
        <f aca="false">IF(OR(G108="",AJ108=""),"",AJ108-G108)</f>
        <v/>
      </c>
      <c r="AP108" s="50" t="str">
        <f aca="false">IF(AND(A108="",B108=""),"",IF(J108="","Status needed",IF(OR(J108="Applied",J108="Visit booked",J108="Withdrawn"),"OK",IF(G108="","Date assessed needed",IF(C108="","Date of birth needed",IF(COUNTA(L108,M108,P108,U108,V108,X108)&lt;6,"Band missing",IF(AND(OR(J108="Decision confirmed",J108="Family told",J108="Enrolled"),AG108=""),"Recommendation needed",IF(AND(OR(J108="Family told",J108="Enrolled"),AJ108=""),"Date family told needed","OK"))))))))</f>
        <v/>
      </c>
    </row>
    <row r="109" customFormat="false" ht="15" hidden="false" customHeight="false" outlineLevel="0" collapsed="false">
      <c r="A109" s="7"/>
      <c r="B109" s="7"/>
      <c r="C109" s="46"/>
      <c r="D109" s="7"/>
      <c r="E109" s="47"/>
      <c r="F109" s="46"/>
      <c r="G109" s="46"/>
      <c r="H109" s="7"/>
      <c r="I109" s="7"/>
      <c r="J109" s="47"/>
      <c r="K109" s="47"/>
      <c r="L109" s="47"/>
      <c r="M109" s="47"/>
      <c r="N109" s="10"/>
      <c r="O109" s="47"/>
      <c r="P109" s="47"/>
      <c r="Q109" s="47"/>
      <c r="R109" s="48" t="str">
        <f aca="false">IF(Q109="","",IF(Q109=0,"below 5:00",IF(Q109&gt;=66,"16:00 or above",INT((60+2*Q109)/12)&amp;":"&amp;TEXT(MOD(60+2*Q109,12),"00"))))</f>
        <v/>
      </c>
      <c r="S109" s="47"/>
      <c r="T109" s="47"/>
      <c r="U109" s="47"/>
      <c r="V109" s="47"/>
      <c r="W109" s="47"/>
      <c r="X109" s="47"/>
      <c r="Y109" s="47"/>
      <c r="Z109" s="47"/>
      <c r="AA109" s="10"/>
      <c r="AB109" s="10"/>
      <c r="AC109" s="47"/>
      <c r="AD109" s="47"/>
      <c r="AE109" s="47"/>
      <c r="AF109" s="47"/>
      <c r="AG109" s="47"/>
      <c r="AH109" s="47"/>
      <c r="AI109" s="46"/>
      <c r="AJ109" s="46"/>
      <c r="AK109" s="46"/>
      <c r="AL109" s="7"/>
      <c r="AM109" s="49" t="str">
        <f aca="false">IF(OR(C109="",G109=""),"",IFERROR(DATEDIF(C109,G109,"m"),""))</f>
        <v/>
      </c>
      <c r="AN109" s="49" t="str">
        <f aca="false">IF(OR(Q109="",AM109=""),"",60+2*Q109-AM109)</f>
        <v/>
      </c>
      <c r="AO109" s="49" t="str">
        <f aca="false">IF(OR(G109="",AJ109=""),"",AJ109-G109)</f>
        <v/>
      </c>
      <c r="AP109" s="50" t="str">
        <f aca="false">IF(AND(A109="",B109=""),"",IF(J109="","Status needed",IF(OR(J109="Applied",J109="Visit booked",J109="Withdrawn"),"OK",IF(G109="","Date assessed needed",IF(C109="","Date of birth needed",IF(COUNTA(L109,M109,P109,U109,V109,X109)&lt;6,"Band missing",IF(AND(OR(J109="Decision confirmed",J109="Family told",J109="Enrolled"),AG109=""),"Recommendation needed",IF(AND(OR(J109="Family told",J109="Enrolled"),AJ109=""),"Date family told needed","OK"))))))))</f>
        <v/>
      </c>
    </row>
    <row r="110" customFormat="false" ht="15" hidden="false" customHeight="false" outlineLevel="0" collapsed="false">
      <c r="A110" s="7"/>
      <c r="B110" s="7"/>
      <c r="C110" s="46"/>
      <c r="D110" s="7"/>
      <c r="E110" s="47"/>
      <c r="F110" s="46"/>
      <c r="G110" s="46"/>
      <c r="H110" s="7"/>
      <c r="I110" s="7"/>
      <c r="J110" s="47"/>
      <c r="K110" s="47"/>
      <c r="L110" s="47"/>
      <c r="M110" s="47"/>
      <c r="N110" s="10"/>
      <c r="O110" s="47"/>
      <c r="P110" s="47"/>
      <c r="Q110" s="47"/>
      <c r="R110" s="48" t="str">
        <f aca="false">IF(Q110="","",IF(Q110=0,"below 5:00",IF(Q110&gt;=66,"16:00 or above",INT((60+2*Q110)/12)&amp;":"&amp;TEXT(MOD(60+2*Q110,12),"00"))))</f>
        <v/>
      </c>
      <c r="S110" s="47"/>
      <c r="T110" s="47"/>
      <c r="U110" s="47"/>
      <c r="V110" s="47"/>
      <c r="W110" s="47"/>
      <c r="X110" s="47"/>
      <c r="Y110" s="47"/>
      <c r="Z110" s="47"/>
      <c r="AA110" s="10"/>
      <c r="AB110" s="10"/>
      <c r="AC110" s="47"/>
      <c r="AD110" s="47"/>
      <c r="AE110" s="47"/>
      <c r="AF110" s="47"/>
      <c r="AG110" s="47"/>
      <c r="AH110" s="47"/>
      <c r="AI110" s="46"/>
      <c r="AJ110" s="46"/>
      <c r="AK110" s="46"/>
      <c r="AL110" s="7"/>
      <c r="AM110" s="49" t="str">
        <f aca="false">IF(OR(C110="",G110=""),"",IFERROR(DATEDIF(C110,G110,"m"),""))</f>
        <v/>
      </c>
      <c r="AN110" s="49" t="str">
        <f aca="false">IF(OR(Q110="",AM110=""),"",60+2*Q110-AM110)</f>
        <v/>
      </c>
      <c r="AO110" s="49" t="str">
        <f aca="false">IF(OR(G110="",AJ110=""),"",AJ110-G110)</f>
        <v/>
      </c>
      <c r="AP110" s="50" t="str">
        <f aca="false">IF(AND(A110="",B110=""),"",IF(J110="","Status needed",IF(OR(J110="Applied",J110="Visit booked",J110="Withdrawn"),"OK",IF(G110="","Date assessed needed",IF(C110="","Date of birth needed",IF(COUNTA(L110,M110,P110,U110,V110,X110)&lt;6,"Band missing",IF(AND(OR(J110="Decision confirmed",J110="Family told",J110="Enrolled"),AG110=""),"Recommendation needed",IF(AND(OR(J110="Family told",J110="Enrolled"),AJ110=""),"Date family told needed","OK"))))))))</f>
        <v/>
      </c>
    </row>
    <row r="111" customFormat="false" ht="15" hidden="false" customHeight="false" outlineLevel="0" collapsed="false">
      <c r="A111" s="7"/>
      <c r="B111" s="7"/>
      <c r="C111" s="46"/>
      <c r="D111" s="7"/>
      <c r="E111" s="47"/>
      <c r="F111" s="46"/>
      <c r="G111" s="46"/>
      <c r="H111" s="7"/>
      <c r="I111" s="7"/>
      <c r="J111" s="47"/>
      <c r="K111" s="47"/>
      <c r="L111" s="47"/>
      <c r="M111" s="47"/>
      <c r="N111" s="10"/>
      <c r="O111" s="47"/>
      <c r="P111" s="47"/>
      <c r="Q111" s="47"/>
      <c r="R111" s="48" t="str">
        <f aca="false">IF(Q111="","",IF(Q111=0,"below 5:00",IF(Q111&gt;=66,"16:00 or above",INT((60+2*Q111)/12)&amp;":"&amp;TEXT(MOD(60+2*Q111,12),"00"))))</f>
        <v/>
      </c>
      <c r="S111" s="47"/>
      <c r="T111" s="47"/>
      <c r="U111" s="47"/>
      <c r="V111" s="47"/>
      <c r="W111" s="47"/>
      <c r="X111" s="47"/>
      <c r="Y111" s="47"/>
      <c r="Z111" s="47"/>
      <c r="AA111" s="10"/>
      <c r="AB111" s="10"/>
      <c r="AC111" s="47"/>
      <c r="AD111" s="47"/>
      <c r="AE111" s="47"/>
      <c r="AF111" s="47"/>
      <c r="AG111" s="47"/>
      <c r="AH111" s="47"/>
      <c r="AI111" s="46"/>
      <c r="AJ111" s="46"/>
      <c r="AK111" s="46"/>
      <c r="AL111" s="7"/>
      <c r="AM111" s="49" t="str">
        <f aca="false">IF(OR(C111="",G111=""),"",IFERROR(DATEDIF(C111,G111,"m"),""))</f>
        <v/>
      </c>
      <c r="AN111" s="49" t="str">
        <f aca="false">IF(OR(Q111="",AM111=""),"",60+2*Q111-AM111)</f>
        <v/>
      </c>
      <c r="AO111" s="49" t="str">
        <f aca="false">IF(OR(G111="",AJ111=""),"",AJ111-G111)</f>
        <v/>
      </c>
      <c r="AP111" s="50" t="str">
        <f aca="false">IF(AND(A111="",B111=""),"",IF(J111="","Status needed",IF(OR(J111="Applied",J111="Visit booked",J111="Withdrawn"),"OK",IF(G111="","Date assessed needed",IF(C111="","Date of birth needed",IF(COUNTA(L111,M111,P111,U111,V111,X111)&lt;6,"Band missing",IF(AND(OR(J111="Decision confirmed",J111="Family told",J111="Enrolled"),AG111=""),"Recommendation needed",IF(AND(OR(J111="Family told",J111="Enrolled"),AJ111=""),"Date family told needed","OK"))))))))</f>
        <v/>
      </c>
    </row>
    <row r="112" customFormat="false" ht="15" hidden="false" customHeight="false" outlineLevel="0" collapsed="false">
      <c r="A112" s="7"/>
      <c r="B112" s="7"/>
      <c r="C112" s="46"/>
      <c r="D112" s="7"/>
      <c r="E112" s="47"/>
      <c r="F112" s="46"/>
      <c r="G112" s="46"/>
      <c r="H112" s="7"/>
      <c r="I112" s="7"/>
      <c r="J112" s="47"/>
      <c r="K112" s="47"/>
      <c r="L112" s="47"/>
      <c r="M112" s="47"/>
      <c r="N112" s="10"/>
      <c r="O112" s="47"/>
      <c r="P112" s="47"/>
      <c r="Q112" s="47"/>
      <c r="R112" s="48" t="str">
        <f aca="false">IF(Q112="","",IF(Q112=0,"below 5:00",IF(Q112&gt;=66,"16:00 or above",INT((60+2*Q112)/12)&amp;":"&amp;TEXT(MOD(60+2*Q112,12),"00"))))</f>
        <v/>
      </c>
      <c r="S112" s="47"/>
      <c r="T112" s="47"/>
      <c r="U112" s="47"/>
      <c r="V112" s="47"/>
      <c r="W112" s="47"/>
      <c r="X112" s="47"/>
      <c r="Y112" s="47"/>
      <c r="Z112" s="47"/>
      <c r="AA112" s="10"/>
      <c r="AB112" s="10"/>
      <c r="AC112" s="47"/>
      <c r="AD112" s="47"/>
      <c r="AE112" s="47"/>
      <c r="AF112" s="47"/>
      <c r="AG112" s="47"/>
      <c r="AH112" s="47"/>
      <c r="AI112" s="46"/>
      <c r="AJ112" s="46"/>
      <c r="AK112" s="46"/>
      <c r="AL112" s="7"/>
      <c r="AM112" s="49" t="str">
        <f aca="false">IF(OR(C112="",G112=""),"",IFERROR(DATEDIF(C112,G112,"m"),""))</f>
        <v/>
      </c>
      <c r="AN112" s="49" t="str">
        <f aca="false">IF(OR(Q112="",AM112=""),"",60+2*Q112-AM112)</f>
        <v/>
      </c>
      <c r="AO112" s="49" t="str">
        <f aca="false">IF(OR(G112="",AJ112=""),"",AJ112-G112)</f>
        <v/>
      </c>
      <c r="AP112" s="50" t="str">
        <f aca="false">IF(AND(A112="",B112=""),"",IF(J112="","Status needed",IF(OR(J112="Applied",J112="Visit booked",J112="Withdrawn"),"OK",IF(G112="","Date assessed needed",IF(C112="","Date of birth needed",IF(COUNTA(L112,M112,P112,U112,V112,X112)&lt;6,"Band missing",IF(AND(OR(J112="Decision confirmed",J112="Family told",J112="Enrolled"),AG112=""),"Recommendation needed",IF(AND(OR(J112="Family told",J112="Enrolled"),AJ112=""),"Date family told needed","OK"))))))))</f>
        <v/>
      </c>
    </row>
    <row r="113" customFormat="false" ht="15" hidden="false" customHeight="false" outlineLevel="0" collapsed="false">
      <c r="A113" s="7"/>
      <c r="B113" s="7"/>
      <c r="C113" s="46"/>
      <c r="D113" s="7"/>
      <c r="E113" s="47"/>
      <c r="F113" s="46"/>
      <c r="G113" s="46"/>
      <c r="H113" s="7"/>
      <c r="I113" s="7"/>
      <c r="J113" s="47"/>
      <c r="K113" s="47"/>
      <c r="L113" s="47"/>
      <c r="M113" s="47"/>
      <c r="N113" s="10"/>
      <c r="O113" s="47"/>
      <c r="P113" s="47"/>
      <c r="Q113" s="47"/>
      <c r="R113" s="48" t="str">
        <f aca="false">IF(Q113="","",IF(Q113=0,"below 5:00",IF(Q113&gt;=66,"16:00 or above",INT((60+2*Q113)/12)&amp;":"&amp;TEXT(MOD(60+2*Q113,12),"00"))))</f>
        <v/>
      </c>
      <c r="S113" s="47"/>
      <c r="T113" s="47"/>
      <c r="U113" s="47"/>
      <c r="V113" s="47"/>
      <c r="W113" s="47"/>
      <c r="X113" s="47"/>
      <c r="Y113" s="47"/>
      <c r="Z113" s="47"/>
      <c r="AA113" s="10"/>
      <c r="AB113" s="10"/>
      <c r="AC113" s="47"/>
      <c r="AD113" s="47"/>
      <c r="AE113" s="47"/>
      <c r="AF113" s="47"/>
      <c r="AG113" s="47"/>
      <c r="AH113" s="47"/>
      <c r="AI113" s="46"/>
      <c r="AJ113" s="46"/>
      <c r="AK113" s="46"/>
      <c r="AL113" s="7"/>
      <c r="AM113" s="49" t="str">
        <f aca="false">IF(OR(C113="",G113=""),"",IFERROR(DATEDIF(C113,G113,"m"),""))</f>
        <v/>
      </c>
      <c r="AN113" s="49" t="str">
        <f aca="false">IF(OR(Q113="",AM113=""),"",60+2*Q113-AM113)</f>
        <v/>
      </c>
      <c r="AO113" s="49" t="str">
        <f aca="false">IF(OR(G113="",AJ113=""),"",AJ113-G113)</f>
        <v/>
      </c>
      <c r="AP113" s="50" t="str">
        <f aca="false">IF(AND(A113="",B113=""),"",IF(J113="","Status needed",IF(OR(J113="Applied",J113="Visit booked",J113="Withdrawn"),"OK",IF(G113="","Date assessed needed",IF(C113="","Date of birth needed",IF(COUNTA(L113,M113,P113,U113,V113,X113)&lt;6,"Band missing",IF(AND(OR(J113="Decision confirmed",J113="Family told",J113="Enrolled"),AG113=""),"Recommendation needed",IF(AND(OR(J113="Family told",J113="Enrolled"),AJ113=""),"Date family told needed","OK"))))))))</f>
        <v/>
      </c>
    </row>
    <row r="114" customFormat="false" ht="15" hidden="false" customHeight="false" outlineLevel="0" collapsed="false">
      <c r="A114" s="7"/>
      <c r="B114" s="7"/>
      <c r="C114" s="46"/>
      <c r="D114" s="7"/>
      <c r="E114" s="47"/>
      <c r="F114" s="46"/>
      <c r="G114" s="46"/>
      <c r="H114" s="7"/>
      <c r="I114" s="7"/>
      <c r="J114" s="47"/>
      <c r="K114" s="47"/>
      <c r="L114" s="47"/>
      <c r="M114" s="47"/>
      <c r="N114" s="10"/>
      <c r="O114" s="47"/>
      <c r="P114" s="47"/>
      <c r="Q114" s="47"/>
      <c r="R114" s="48" t="str">
        <f aca="false">IF(Q114="","",IF(Q114=0,"below 5:00",IF(Q114&gt;=66,"16:00 or above",INT((60+2*Q114)/12)&amp;":"&amp;TEXT(MOD(60+2*Q114,12),"00"))))</f>
        <v/>
      </c>
      <c r="S114" s="47"/>
      <c r="T114" s="47"/>
      <c r="U114" s="47"/>
      <c r="V114" s="47"/>
      <c r="W114" s="47"/>
      <c r="X114" s="47"/>
      <c r="Y114" s="47"/>
      <c r="Z114" s="47"/>
      <c r="AA114" s="10"/>
      <c r="AB114" s="10"/>
      <c r="AC114" s="47"/>
      <c r="AD114" s="47"/>
      <c r="AE114" s="47"/>
      <c r="AF114" s="47"/>
      <c r="AG114" s="47"/>
      <c r="AH114" s="47"/>
      <c r="AI114" s="46"/>
      <c r="AJ114" s="46"/>
      <c r="AK114" s="46"/>
      <c r="AL114" s="7"/>
      <c r="AM114" s="49" t="str">
        <f aca="false">IF(OR(C114="",G114=""),"",IFERROR(DATEDIF(C114,G114,"m"),""))</f>
        <v/>
      </c>
      <c r="AN114" s="49" t="str">
        <f aca="false">IF(OR(Q114="",AM114=""),"",60+2*Q114-AM114)</f>
        <v/>
      </c>
      <c r="AO114" s="49" t="str">
        <f aca="false">IF(OR(G114="",AJ114=""),"",AJ114-G114)</f>
        <v/>
      </c>
      <c r="AP114" s="50" t="str">
        <f aca="false">IF(AND(A114="",B114=""),"",IF(J114="","Status needed",IF(OR(J114="Applied",J114="Visit booked",J114="Withdrawn"),"OK",IF(G114="","Date assessed needed",IF(C114="","Date of birth needed",IF(COUNTA(L114,M114,P114,U114,V114,X114)&lt;6,"Band missing",IF(AND(OR(J114="Decision confirmed",J114="Family told",J114="Enrolled"),AG114=""),"Recommendation needed",IF(AND(OR(J114="Family told",J114="Enrolled"),AJ114=""),"Date family told needed","OK"))))))))</f>
        <v/>
      </c>
    </row>
    <row r="115" customFormat="false" ht="15" hidden="false" customHeight="false" outlineLevel="0" collapsed="false">
      <c r="A115" s="7"/>
      <c r="B115" s="7"/>
      <c r="C115" s="46"/>
      <c r="D115" s="7"/>
      <c r="E115" s="47"/>
      <c r="F115" s="46"/>
      <c r="G115" s="46"/>
      <c r="H115" s="7"/>
      <c r="I115" s="7"/>
      <c r="J115" s="47"/>
      <c r="K115" s="47"/>
      <c r="L115" s="47"/>
      <c r="M115" s="47"/>
      <c r="N115" s="10"/>
      <c r="O115" s="47"/>
      <c r="P115" s="47"/>
      <c r="Q115" s="47"/>
      <c r="R115" s="48" t="str">
        <f aca="false">IF(Q115="","",IF(Q115=0,"below 5:00",IF(Q115&gt;=66,"16:00 or above",INT((60+2*Q115)/12)&amp;":"&amp;TEXT(MOD(60+2*Q115,12),"00"))))</f>
        <v/>
      </c>
      <c r="S115" s="47"/>
      <c r="T115" s="47"/>
      <c r="U115" s="47"/>
      <c r="V115" s="47"/>
      <c r="W115" s="47"/>
      <c r="X115" s="47"/>
      <c r="Y115" s="47"/>
      <c r="Z115" s="47"/>
      <c r="AA115" s="10"/>
      <c r="AB115" s="10"/>
      <c r="AC115" s="47"/>
      <c r="AD115" s="47"/>
      <c r="AE115" s="47"/>
      <c r="AF115" s="47"/>
      <c r="AG115" s="47"/>
      <c r="AH115" s="47"/>
      <c r="AI115" s="46"/>
      <c r="AJ115" s="46"/>
      <c r="AK115" s="46"/>
      <c r="AL115" s="7"/>
      <c r="AM115" s="49" t="str">
        <f aca="false">IF(OR(C115="",G115=""),"",IFERROR(DATEDIF(C115,G115,"m"),""))</f>
        <v/>
      </c>
      <c r="AN115" s="49" t="str">
        <f aca="false">IF(OR(Q115="",AM115=""),"",60+2*Q115-AM115)</f>
        <v/>
      </c>
      <c r="AO115" s="49" t="str">
        <f aca="false">IF(OR(G115="",AJ115=""),"",AJ115-G115)</f>
        <v/>
      </c>
      <c r="AP115" s="50" t="str">
        <f aca="false">IF(AND(A115="",B115=""),"",IF(J115="","Status needed",IF(OR(J115="Applied",J115="Visit booked",J115="Withdrawn"),"OK",IF(G115="","Date assessed needed",IF(C115="","Date of birth needed",IF(COUNTA(L115,M115,P115,U115,V115,X115)&lt;6,"Band missing",IF(AND(OR(J115="Decision confirmed",J115="Family told",J115="Enrolled"),AG115=""),"Recommendation needed",IF(AND(OR(J115="Family told",J115="Enrolled"),AJ115=""),"Date family told needed","OK"))))))))</f>
        <v/>
      </c>
    </row>
    <row r="116" customFormat="false" ht="15" hidden="false" customHeight="false" outlineLevel="0" collapsed="false">
      <c r="A116" s="7"/>
      <c r="B116" s="7"/>
      <c r="C116" s="46"/>
      <c r="D116" s="7"/>
      <c r="E116" s="47"/>
      <c r="F116" s="46"/>
      <c r="G116" s="46"/>
      <c r="H116" s="7"/>
      <c r="I116" s="7"/>
      <c r="J116" s="47"/>
      <c r="K116" s="47"/>
      <c r="L116" s="47"/>
      <c r="M116" s="47"/>
      <c r="N116" s="10"/>
      <c r="O116" s="47"/>
      <c r="P116" s="47"/>
      <c r="Q116" s="47"/>
      <c r="R116" s="48" t="str">
        <f aca="false">IF(Q116="","",IF(Q116=0,"below 5:00",IF(Q116&gt;=66,"16:00 or above",INT((60+2*Q116)/12)&amp;":"&amp;TEXT(MOD(60+2*Q116,12),"00"))))</f>
        <v/>
      </c>
      <c r="S116" s="47"/>
      <c r="T116" s="47"/>
      <c r="U116" s="47"/>
      <c r="V116" s="47"/>
      <c r="W116" s="47"/>
      <c r="X116" s="47"/>
      <c r="Y116" s="47"/>
      <c r="Z116" s="47"/>
      <c r="AA116" s="10"/>
      <c r="AB116" s="10"/>
      <c r="AC116" s="47"/>
      <c r="AD116" s="47"/>
      <c r="AE116" s="47"/>
      <c r="AF116" s="47"/>
      <c r="AG116" s="47"/>
      <c r="AH116" s="47"/>
      <c r="AI116" s="46"/>
      <c r="AJ116" s="46"/>
      <c r="AK116" s="46"/>
      <c r="AL116" s="7"/>
      <c r="AM116" s="49" t="str">
        <f aca="false">IF(OR(C116="",G116=""),"",IFERROR(DATEDIF(C116,G116,"m"),""))</f>
        <v/>
      </c>
      <c r="AN116" s="49" t="str">
        <f aca="false">IF(OR(Q116="",AM116=""),"",60+2*Q116-AM116)</f>
        <v/>
      </c>
      <c r="AO116" s="49" t="str">
        <f aca="false">IF(OR(G116="",AJ116=""),"",AJ116-G116)</f>
        <v/>
      </c>
      <c r="AP116" s="50" t="str">
        <f aca="false">IF(AND(A116="",B116=""),"",IF(J116="","Status needed",IF(OR(J116="Applied",J116="Visit booked",J116="Withdrawn"),"OK",IF(G116="","Date assessed needed",IF(C116="","Date of birth needed",IF(COUNTA(L116,M116,P116,U116,V116,X116)&lt;6,"Band missing",IF(AND(OR(J116="Decision confirmed",J116="Family told",J116="Enrolled"),AG116=""),"Recommendation needed",IF(AND(OR(J116="Family told",J116="Enrolled"),AJ116=""),"Date family told needed","OK"))))))))</f>
        <v/>
      </c>
    </row>
    <row r="117" customFormat="false" ht="15" hidden="false" customHeight="false" outlineLevel="0" collapsed="false">
      <c r="A117" s="7"/>
      <c r="B117" s="7"/>
      <c r="C117" s="46"/>
      <c r="D117" s="7"/>
      <c r="E117" s="47"/>
      <c r="F117" s="46"/>
      <c r="G117" s="46"/>
      <c r="H117" s="7"/>
      <c r="I117" s="7"/>
      <c r="J117" s="47"/>
      <c r="K117" s="47"/>
      <c r="L117" s="47"/>
      <c r="M117" s="47"/>
      <c r="N117" s="10"/>
      <c r="O117" s="47"/>
      <c r="P117" s="47"/>
      <c r="Q117" s="47"/>
      <c r="R117" s="48" t="str">
        <f aca="false">IF(Q117="","",IF(Q117=0,"below 5:00",IF(Q117&gt;=66,"16:00 or above",INT((60+2*Q117)/12)&amp;":"&amp;TEXT(MOD(60+2*Q117,12),"00"))))</f>
        <v/>
      </c>
      <c r="S117" s="47"/>
      <c r="T117" s="47"/>
      <c r="U117" s="47"/>
      <c r="V117" s="47"/>
      <c r="W117" s="47"/>
      <c r="X117" s="47"/>
      <c r="Y117" s="47"/>
      <c r="Z117" s="47"/>
      <c r="AA117" s="10"/>
      <c r="AB117" s="10"/>
      <c r="AC117" s="47"/>
      <c r="AD117" s="47"/>
      <c r="AE117" s="47"/>
      <c r="AF117" s="47"/>
      <c r="AG117" s="47"/>
      <c r="AH117" s="47"/>
      <c r="AI117" s="46"/>
      <c r="AJ117" s="46"/>
      <c r="AK117" s="46"/>
      <c r="AL117" s="7"/>
      <c r="AM117" s="49" t="str">
        <f aca="false">IF(OR(C117="",G117=""),"",IFERROR(DATEDIF(C117,G117,"m"),""))</f>
        <v/>
      </c>
      <c r="AN117" s="49" t="str">
        <f aca="false">IF(OR(Q117="",AM117=""),"",60+2*Q117-AM117)</f>
        <v/>
      </c>
      <c r="AO117" s="49" t="str">
        <f aca="false">IF(OR(G117="",AJ117=""),"",AJ117-G117)</f>
        <v/>
      </c>
      <c r="AP117" s="50" t="str">
        <f aca="false">IF(AND(A117="",B117=""),"",IF(J117="","Status needed",IF(OR(J117="Applied",J117="Visit booked",J117="Withdrawn"),"OK",IF(G117="","Date assessed needed",IF(C117="","Date of birth needed",IF(COUNTA(L117,M117,P117,U117,V117,X117)&lt;6,"Band missing",IF(AND(OR(J117="Decision confirmed",J117="Family told",J117="Enrolled"),AG117=""),"Recommendation needed",IF(AND(OR(J117="Family told",J117="Enrolled"),AJ117=""),"Date family told needed","OK"))))))))</f>
        <v/>
      </c>
    </row>
    <row r="118" customFormat="false" ht="15" hidden="false" customHeight="false" outlineLevel="0" collapsed="false">
      <c r="A118" s="7"/>
      <c r="B118" s="7"/>
      <c r="C118" s="46"/>
      <c r="D118" s="7"/>
      <c r="E118" s="47"/>
      <c r="F118" s="46"/>
      <c r="G118" s="46"/>
      <c r="H118" s="7"/>
      <c r="I118" s="7"/>
      <c r="J118" s="47"/>
      <c r="K118" s="47"/>
      <c r="L118" s="47"/>
      <c r="M118" s="47"/>
      <c r="N118" s="10"/>
      <c r="O118" s="47"/>
      <c r="P118" s="47"/>
      <c r="Q118" s="47"/>
      <c r="R118" s="48" t="str">
        <f aca="false">IF(Q118="","",IF(Q118=0,"below 5:00",IF(Q118&gt;=66,"16:00 or above",INT((60+2*Q118)/12)&amp;":"&amp;TEXT(MOD(60+2*Q118,12),"00"))))</f>
        <v/>
      </c>
      <c r="S118" s="47"/>
      <c r="T118" s="47"/>
      <c r="U118" s="47"/>
      <c r="V118" s="47"/>
      <c r="W118" s="47"/>
      <c r="X118" s="47"/>
      <c r="Y118" s="47"/>
      <c r="Z118" s="47"/>
      <c r="AA118" s="10"/>
      <c r="AB118" s="10"/>
      <c r="AC118" s="47"/>
      <c r="AD118" s="47"/>
      <c r="AE118" s="47"/>
      <c r="AF118" s="47"/>
      <c r="AG118" s="47"/>
      <c r="AH118" s="47"/>
      <c r="AI118" s="46"/>
      <c r="AJ118" s="46"/>
      <c r="AK118" s="46"/>
      <c r="AL118" s="7"/>
      <c r="AM118" s="49" t="str">
        <f aca="false">IF(OR(C118="",G118=""),"",IFERROR(DATEDIF(C118,G118,"m"),""))</f>
        <v/>
      </c>
      <c r="AN118" s="49" t="str">
        <f aca="false">IF(OR(Q118="",AM118=""),"",60+2*Q118-AM118)</f>
        <v/>
      </c>
      <c r="AO118" s="49" t="str">
        <f aca="false">IF(OR(G118="",AJ118=""),"",AJ118-G118)</f>
        <v/>
      </c>
      <c r="AP118" s="50" t="str">
        <f aca="false">IF(AND(A118="",B118=""),"",IF(J118="","Status needed",IF(OR(J118="Applied",J118="Visit booked",J118="Withdrawn"),"OK",IF(G118="","Date assessed needed",IF(C118="","Date of birth needed",IF(COUNTA(L118,M118,P118,U118,V118,X118)&lt;6,"Band missing",IF(AND(OR(J118="Decision confirmed",J118="Family told",J118="Enrolled"),AG118=""),"Recommendation needed",IF(AND(OR(J118="Family told",J118="Enrolled"),AJ118=""),"Date family told needed","OK"))))))))</f>
        <v/>
      </c>
    </row>
    <row r="119" customFormat="false" ht="15" hidden="false" customHeight="false" outlineLevel="0" collapsed="false">
      <c r="A119" s="7"/>
      <c r="B119" s="7"/>
      <c r="C119" s="46"/>
      <c r="D119" s="7"/>
      <c r="E119" s="47"/>
      <c r="F119" s="46"/>
      <c r="G119" s="46"/>
      <c r="H119" s="7"/>
      <c r="I119" s="7"/>
      <c r="J119" s="47"/>
      <c r="K119" s="47"/>
      <c r="L119" s="47"/>
      <c r="M119" s="47"/>
      <c r="N119" s="10"/>
      <c r="O119" s="47"/>
      <c r="P119" s="47"/>
      <c r="Q119" s="47"/>
      <c r="R119" s="48" t="str">
        <f aca="false">IF(Q119="","",IF(Q119=0,"below 5:00",IF(Q119&gt;=66,"16:00 or above",INT((60+2*Q119)/12)&amp;":"&amp;TEXT(MOD(60+2*Q119,12),"00"))))</f>
        <v/>
      </c>
      <c r="S119" s="47"/>
      <c r="T119" s="47"/>
      <c r="U119" s="47"/>
      <c r="V119" s="47"/>
      <c r="W119" s="47"/>
      <c r="X119" s="47"/>
      <c r="Y119" s="47"/>
      <c r="Z119" s="47"/>
      <c r="AA119" s="10"/>
      <c r="AB119" s="10"/>
      <c r="AC119" s="47"/>
      <c r="AD119" s="47"/>
      <c r="AE119" s="47"/>
      <c r="AF119" s="47"/>
      <c r="AG119" s="47"/>
      <c r="AH119" s="47"/>
      <c r="AI119" s="46"/>
      <c r="AJ119" s="46"/>
      <c r="AK119" s="46"/>
      <c r="AL119" s="7"/>
      <c r="AM119" s="49" t="str">
        <f aca="false">IF(OR(C119="",G119=""),"",IFERROR(DATEDIF(C119,G119,"m"),""))</f>
        <v/>
      </c>
      <c r="AN119" s="49" t="str">
        <f aca="false">IF(OR(Q119="",AM119=""),"",60+2*Q119-AM119)</f>
        <v/>
      </c>
      <c r="AO119" s="49" t="str">
        <f aca="false">IF(OR(G119="",AJ119=""),"",AJ119-G119)</f>
        <v/>
      </c>
      <c r="AP119" s="50" t="str">
        <f aca="false">IF(AND(A119="",B119=""),"",IF(J119="","Status needed",IF(OR(J119="Applied",J119="Visit booked",J119="Withdrawn"),"OK",IF(G119="","Date assessed needed",IF(C119="","Date of birth needed",IF(COUNTA(L119,M119,P119,U119,V119,X119)&lt;6,"Band missing",IF(AND(OR(J119="Decision confirmed",J119="Family told",J119="Enrolled"),AG119=""),"Recommendation needed",IF(AND(OR(J119="Family told",J119="Enrolled"),AJ119=""),"Date family told needed","OK"))))))))</f>
        <v/>
      </c>
    </row>
    <row r="120" customFormat="false" ht="15" hidden="false" customHeight="false" outlineLevel="0" collapsed="false">
      <c r="A120" s="7"/>
      <c r="B120" s="7"/>
      <c r="C120" s="46"/>
      <c r="D120" s="7"/>
      <c r="E120" s="47"/>
      <c r="F120" s="46"/>
      <c r="G120" s="46"/>
      <c r="H120" s="7"/>
      <c r="I120" s="7"/>
      <c r="J120" s="47"/>
      <c r="K120" s="47"/>
      <c r="L120" s="47"/>
      <c r="M120" s="47"/>
      <c r="N120" s="10"/>
      <c r="O120" s="47"/>
      <c r="P120" s="47"/>
      <c r="Q120" s="47"/>
      <c r="R120" s="48" t="str">
        <f aca="false">IF(Q120="","",IF(Q120=0,"below 5:00",IF(Q120&gt;=66,"16:00 or above",INT((60+2*Q120)/12)&amp;":"&amp;TEXT(MOD(60+2*Q120,12),"00"))))</f>
        <v/>
      </c>
      <c r="S120" s="47"/>
      <c r="T120" s="47"/>
      <c r="U120" s="47"/>
      <c r="V120" s="47"/>
      <c r="W120" s="47"/>
      <c r="X120" s="47"/>
      <c r="Y120" s="47"/>
      <c r="Z120" s="47"/>
      <c r="AA120" s="10"/>
      <c r="AB120" s="10"/>
      <c r="AC120" s="47"/>
      <c r="AD120" s="47"/>
      <c r="AE120" s="47"/>
      <c r="AF120" s="47"/>
      <c r="AG120" s="47"/>
      <c r="AH120" s="47"/>
      <c r="AI120" s="46"/>
      <c r="AJ120" s="46"/>
      <c r="AK120" s="46"/>
      <c r="AL120" s="7"/>
      <c r="AM120" s="49" t="str">
        <f aca="false">IF(OR(C120="",G120=""),"",IFERROR(DATEDIF(C120,G120,"m"),""))</f>
        <v/>
      </c>
      <c r="AN120" s="49" t="str">
        <f aca="false">IF(OR(Q120="",AM120=""),"",60+2*Q120-AM120)</f>
        <v/>
      </c>
      <c r="AO120" s="49" t="str">
        <f aca="false">IF(OR(G120="",AJ120=""),"",AJ120-G120)</f>
        <v/>
      </c>
      <c r="AP120" s="50" t="str">
        <f aca="false">IF(AND(A120="",B120=""),"",IF(J120="","Status needed",IF(OR(J120="Applied",J120="Visit booked",J120="Withdrawn"),"OK",IF(G120="","Date assessed needed",IF(C120="","Date of birth needed",IF(COUNTA(L120,M120,P120,U120,V120,X120)&lt;6,"Band missing",IF(AND(OR(J120="Decision confirmed",J120="Family told",J120="Enrolled"),AG120=""),"Recommendation needed",IF(AND(OR(J120="Family told",J120="Enrolled"),AJ120=""),"Date family told needed","OK"))))))))</f>
        <v/>
      </c>
    </row>
    <row r="121" customFormat="false" ht="15" hidden="false" customHeight="false" outlineLevel="0" collapsed="false">
      <c r="A121" s="7"/>
      <c r="B121" s="7"/>
      <c r="C121" s="46"/>
      <c r="D121" s="7"/>
      <c r="E121" s="47"/>
      <c r="F121" s="46"/>
      <c r="G121" s="46"/>
      <c r="H121" s="7"/>
      <c r="I121" s="7"/>
      <c r="J121" s="47"/>
      <c r="K121" s="47"/>
      <c r="L121" s="47"/>
      <c r="M121" s="47"/>
      <c r="N121" s="10"/>
      <c r="O121" s="47"/>
      <c r="P121" s="47"/>
      <c r="Q121" s="47"/>
      <c r="R121" s="48" t="str">
        <f aca="false">IF(Q121="","",IF(Q121=0,"below 5:00",IF(Q121&gt;=66,"16:00 or above",INT((60+2*Q121)/12)&amp;":"&amp;TEXT(MOD(60+2*Q121,12),"00"))))</f>
        <v/>
      </c>
      <c r="S121" s="47"/>
      <c r="T121" s="47"/>
      <c r="U121" s="47"/>
      <c r="V121" s="47"/>
      <c r="W121" s="47"/>
      <c r="X121" s="47"/>
      <c r="Y121" s="47"/>
      <c r="Z121" s="47"/>
      <c r="AA121" s="10"/>
      <c r="AB121" s="10"/>
      <c r="AC121" s="47"/>
      <c r="AD121" s="47"/>
      <c r="AE121" s="47"/>
      <c r="AF121" s="47"/>
      <c r="AG121" s="47"/>
      <c r="AH121" s="47"/>
      <c r="AI121" s="46"/>
      <c r="AJ121" s="46"/>
      <c r="AK121" s="46"/>
      <c r="AL121" s="7"/>
      <c r="AM121" s="49" t="str">
        <f aca="false">IF(OR(C121="",G121=""),"",IFERROR(DATEDIF(C121,G121,"m"),""))</f>
        <v/>
      </c>
      <c r="AN121" s="49" t="str">
        <f aca="false">IF(OR(Q121="",AM121=""),"",60+2*Q121-AM121)</f>
        <v/>
      </c>
      <c r="AO121" s="49" t="str">
        <f aca="false">IF(OR(G121="",AJ121=""),"",AJ121-G121)</f>
        <v/>
      </c>
      <c r="AP121" s="50" t="str">
        <f aca="false">IF(AND(A121="",B121=""),"",IF(J121="","Status needed",IF(OR(J121="Applied",J121="Visit booked",J121="Withdrawn"),"OK",IF(G121="","Date assessed needed",IF(C121="","Date of birth needed",IF(COUNTA(L121,M121,P121,U121,V121,X121)&lt;6,"Band missing",IF(AND(OR(J121="Decision confirmed",J121="Family told",J121="Enrolled"),AG121=""),"Recommendation needed",IF(AND(OR(J121="Family told",J121="Enrolled"),AJ121=""),"Date family told needed","OK"))))))))</f>
        <v/>
      </c>
    </row>
    <row r="122" customFormat="false" ht="15" hidden="false" customHeight="false" outlineLevel="0" collapsed="false">
      <c r="A122" s="7"/>
      <c r="B122" s="7"/>
      <c r="C122" s="46"/>
      <c r="D122" s="7"/>
      <c r="E122" s="47"/>
      <c r="F122" s="46"/>
      <c r="G122" s="46"/>
      <c r="H122" s="7"/>
      <c r="I122" s="7"/>
      <c r="J122" s="47"/>
      <c r="K122" s="47"/>
      <c r="L122" s="47"/>
      <c r="M122" s="47"/>
      <c r="N122" s="10"/>
      <c r="O122" s="47"/>
      <c r="P122" s="47"/>
      <c r="Q122" s="47"/>
      <c r="R122" s="48" t="str">
        <f aca="false">IF(Q122="","",IF(Q122=0,"below 5:00",IF(Q122&gt;=66,"16:00 or above",INT((60+2*Q122)/12)&amp;":"&amp;TEXT(MOD(60+2*Q122,12),"00"))))</f>
        <v/>
      </c>
      <c r="S122" s="47"/>
      <c r="T122" s="47"/>
      <c r="U122" s="47"/>
      <c r="V122" s="47"/>
      <c r="W122" s="47"/>
      <c r="X122" s="47"/>
      <c r="Y122" s="47"/>
      <c r="Z122" s="47"/>
      <c r="AA122" s="10"/>
      <c r="AB122" s="10"/>
      <c r="AC122" s="47"/>
      <c r="AD122" s="47"/>
      <c r="AE122" s="47"/>
      <c r="AF122" s="47"/>
      <c r="AG122" s="47"/>
      <c r="AH122" s="47"/>
      <c r="AI122" s="46"/>
      <c r="AJ122" s="46"/>
      <c r="AK122" s="46"/>
      <c r="AL122" s="7"/>
      <c r="AM122" s="49" t="str">
        <f aca="false">IF(OR(C122="",G122=""),"",IFERROR(DATEDIF(C122,G122,"m"),""))</f>
        <v/>
      </c>
      <c r="AN122" s="49" t="str">
        <f aca="false">IF(OR(Q122="",AM122=""),"",60+2*Q122-AM122)</f>
        <v/>
      </c>
      <c r="AO122" s="49" t="str">
        <f aca="false">IF(OR(G122="",AJ122=""),"",AJ122-G122)</f>
        <v/>
      </c>
      <c r="AP122" s="50" t="str">
        <f aca="false">IF(AND(A122="",B122=""),"",IF(J122="","Status needed",IF(OR(J122="Applied",J122="Visit booked",J122="Withdrawn"),"OK",IF(G122="","Date assessed needed",IF(C122="","Date of birth needed",IF(COUNTA(L122,M122,P122,U122,V122,X122)&lt;6,"Band missing",IF(AND(OR(J122="Decision confirmed",J122="Family told",J122="Enrolled"),AG122=""),"Recommendation needed",IF(AND(OR(J122="Family told",J122="Enrolled"),AJ122=""),"Date family told needed","OK"))))))))</f>
        <v/>
      </c>
    </row>
    <row r="123" customFormat="false" ht="15" hidden="false" customHeight="false" outlineLevel="0" collapsed="false">
      <c r="A123" s="7"/>
      <c r="B123" s="7"/>
      <c r="C123" s="46"/>
      <c r="D123" s="7"/>
      <c r="E123" s="47"/>
      <c r="F123" s="46"/>
      <c r="G123" s="46"/>
      <c r="H123" s="7"/>
      <c r="I123" s="7"/>
      <c r="J123" s="47"/>
      <c r="K123" s="47"/>
      <c r="L123" s="47"/>
      <c r="M123" s="47"/>
      <c r="N123" s="10"/>
      <c r="O123" s="47"/>
      <c r="P123" s="47"/>
      <c r="Q123" s="47"/>
      <c r="R123" s="48" t="str">
        <f aca="false">IF(Q123="","",IF(Q123=0,"below 5:00",IF(Q123&gt;=66,"16:00 or above",INT((60+2*Q123)/12)&amp;":"&amp;TEXT(MOD(60+2*Q123,12),"00"))))</f>
        <v/>
      </c>
      <c r="S123" s="47"/>
      <c r="T123" s="47"/>
      <c r="U123" s="47"/>
      <c r="V123" s="47"/>
      <c r="W123" s="47"/>
      <c r="X123" s="47"/>
      <c r="Y123" s="47"/>
      <c r="Z123" s="47"/>
      <c r="AA123" s="10"/>
      <c r="AB123" s="10"/>
      <c r="AC123" s="47"/>
      <c r="AD123" s="47"/>
      <c r="AE123" s="47"/>
      <c r="AF123" s="47"/>
      <c r="AG123" s="47"/>
      <c r="AH123" s="47"/>
      <c r="AI123" s="46"/>
      <c r="AJ123" s="46"/>
      <c r="AK123" s="46"/>
      <c r="AL123" s="7"/>
      <c r="AM123" s="49" t="str">
        <f aca="false">IF(OR(C123="",G123=""),"",IFERROR(DATEDIF(C123,G123,"m"),""))</f>
        <v/>
      </c>
      <c r="AN123" s="49" t="str">
        <f aca="false">IF(OR(Q123="",AM123=""),"",60+2*Q123-AM123)</f>
        <v/>
      </c>
      <c r="AO123" s="49" t="str">
        <f aca="false">IF(OR(G123="",AJ123=""),"",AJ123-G123)</f>
        <v/>
      </c>
      <c r="AP123" s="50" t="str">
        <f aca="false">IF(AND(A123="",B123=""),"",IF(J123="","Status needed",IF(OR(J123="Applied",J123="Visit booked",J123="Withdrawn"),"OK",IF(G123="","Date assessed needed",IF(C123="","Date of birth needed",IF(COUNTA(L123,M123,P123,U123,V123,X123)&lt;6,"Band missing",IF(AND(OR(J123="Decision confirmed",J123="Family told",J123="Enrolled"),AG123=""),"Recommendation needed",IF(AND(OR(J123="Family told",J123="Enrolled"),AJ123=""),"Date family told needed","OK"))))))))</f>
        <v/>
      </c>
    </row>
    <row r="124" customFormat="false" ht="15" hidden="false" customHeight="false" outlineLevel="0" collapsed="false">
      <c r="A124" s="7"/>
      <c r="B124" s="7"/>
      <c r="C124" s="46"/>
      <c r="D124" s="7"/>
      <c r="E124" s="47"/>
      <c r="F124" s="46"/>
      <c r="G124" s="46"/>
      <c r="H124" s="7"/>
      <c r="I124" s="7"/>
      <c r="J124" s="47"/>
      <c r="K124" s="47"/>
      <c r="L124" s="47"/>
      <c r="M124" s="47"/>
      <c r="N124" s="10"/>
      <c r="O124" s="47"/>
      <c r="P124" s="47"/>
      <c r="Q124" s="47"/>
      <c r="R124" s="48" t="str">
        <f aca="false">IF(Q124="","",IF(Q124=0,"below 5:00",IF(Q124&gt;=66,"16:00 or above",INT((60+2*Q124)/12)&amp;":"&amp;TEXT(MOD(60+2*Q124,12),"00"))))</f>
        <v/>
      </c>
      <c r="S124" s="47"/>
      <c r="T124" s="47"/>
      <c r="U124" s="47"/>
      <c r="V124" s="47"/>
      <c r="W124" s="47"/>
      <c r="X124" s="47"/>
      <c r="Y124" s="47"/>
      <c r="Z124" s="47"/>
      <c r="AA124" s="10"/>
      <c r="AB124" s="10"/>
      <c r="AC124" s="47"/>
      <c r="AD124" s="47"/>
      <c r="AE124" s="47"/>
      <c r="AF124" s="47"/>
      <c r="AG124" s="47"/>
      <c r="AH124" s="47"/>
      <c r="AI124" s="46"/>
      <c r="AJ124" s="46"/>
      <c r="AK124" s="46"/>
      <c r="AL124" s="7"/>
      <c r="AM124" s="49" t="str">
        <f aca="false">IF(OR(C124="",G124=""),"",IFERROR(DATEDIF(C124,G124,"m"),""))</f>
        <v/>
      </c>
      <c r="AN124" s="49" t="str">
        <f aca="false">IF(OR(Q124="",AM124=""),"",60+2*Q124-AM124)</f>
        <v/>
      </c>
      <c r="AO124" s="49" t="str">
        <f aca="false">IF(OR(G124="",AJ124=""),"",AJ124-G124)</f>
        <v/>
      </c>
      <c r="AP124" s="50" t="str">
        <f aca="false">IF(AND(A124="",B124=""),"",IF(J124="","Status needed",IF(OR(J124="Applied",J124="Visit booked",J124="Withdrawn"),"OK",IF(G124="","Date assessed needed",IF(C124="","Date of birth needed",IF(COUNTA(L124,M124,P124,U124,V124,X124)&lt;6,"Band missing",IF(AND(OR(J124="Decision confirmed",J124="Family told",J124="Enrolled"),AG124=""),"Recommendation needed",IF(AND(OR(J124="Family told",J124="Enrolled"),AJ124=""),"Date family told needed","OK"))))))))</f>
        <v/>
      </c>
    </row>
    <row r="125" customFormat="false" ht="15" hidden="false" customHeight="false" outlineLevel="0" collapsed="false">
      <c r="A125" s="7"/>
      <c r="B125" s="7"/>
      <c r="C125" s="46"/>
      <c r="D125" s="7"/>
      <c r="E125" s="47"/>
      <c r="F125" s="46"/>
      <c r="G125" s="46"/>
      <c r="H125" s="7"/>
      <c r="I125" s="7"/>
      <c r="J125" s="47"/>
      <c r="K125" s="47"/>
      <c r="L125" s="47"/>
      <c r="M125" s="47"/>
      <c r="N125" s="10"/>
      <c r="O125" s="47"/>
      <c r="P125" s="47"/>
      <c r="Q125" s="47"/>
      <c r="R125" s="48" t="str">
        <f aca="false">IF(Q125="","",IF(Q125=0,"below 5:00",IF(Q125&gt;=66,"16:00 or above",INT((60+2*Q125)/12)&amp;":"&amp;TEXT(MOD(60+2*Q125,12),"00"))))</f>
        <v/>
      </c>
      <c r="S125" s="47"/>
      <c r="T125" s="47"/>
      <c r="U125" s="47"/>
      <c r="V125" s="47"/>
      <c r="W125" s="47"/>
      <c r="X125" s="47"/>
      <c r="Y125" s="47"/>
      <c r="Z125" s="47"/>
      <c r="AA125" s="10"/>
      <c r="AB125" s="10"/>
      <c r="AC125" s="47"/>
      <c r="AD125" s="47"/>
      <c r="AE125" s="47"/>
      <c r="AF125" s="47"/>
      <c r="AG125" s="47"/>
      <c r="AH125" s="47"/>
      <c r="AI125" s="46"/>
      <c r="AJ125" s="46"/>
      <c r="AK125" s="46"/>
      <c r="AL125" s="7"/>
      <c r="AM125" s="49" t="str">
        <f aca="false">IF(OR(C125="",G125=""),"",IFERROR(DATEDIF(C125,G125,"m"),""))</f>
        <v/>
      </c>
      <c r="AN125" s="49" t="str">
        <f aca="false">IF(OR(Q125="",AM125=""),"",60+2*Q125-AM125)</f>
        <v/>
      </c>
      <c r="AO125" s="49" t="str">
        <f aca="false">IF(OR(G125="",AJ125=""),"",AJ125-G125)</f>
        <v/>
      </c>
      <c r="AP125" s="50" t="str">
        <f aca="false">IF(AND(A125="",B125=""),"",IF(J125="","Status needed",IF(OR(J125="Applied",J125="Visit booked",J125="Withdrawn"),"OK",IF(G125="","Date assessed needed",IF(C125="","Date of birth needed",IF(COUNTA(L125,M125,P125,U125,V125,X125)&lt;6,"Band missing",IF(AND(OR(J125="Decision confirmed",J125="Family told",J125="Enrolled"),AG125=""),"Recommendation needed",IF(AND(OR(J125="Family told",J125="Enrolled"),AJ125=""),"Date family told needed","OK"))))))))</f>
        <v/>
      </c>
    </row>
    <row r="126" customFormat="false" ht="15" hidden="false" customHeight="false" outlineLevel="0" collapsed="false">
      <c r="A126" s="7"/>
      <c r="B126" s="7"/>
      <c r="C126" s="46"/>
      <c r="D126" s="7"/>
      <c r="E126" s="47"/>
      <c r="F126" s="46"/>
      <c r="G126" s="46"/>
      <c r="H126" s="7"/>
      <c r="I126" s="7"/>
      <c r="J126" s="47"/>
      <c r="K126" s="47"/>
      <c r="L126" s="47"/>
      <c r="M126" s="47"/>
      <c r="N126" s="10"/>
      <c r="O126" s="47"/>
      <c r="P126" s="47"/>
      <c r="Q126" s="47"/>
      <c r="R126" s="48" t="str">
        <f aca="false">IF(Q126="","",IF(Q126=0,"below 5:00",IF(Q126&gt;=66,"16:00 or above",INT((60+2*Q126)/12)&amp;":"&amp;TEXT(MOD(60+2*Q126,12),"00"))))</f>
        <v/>
      </c>
      <c r="S126" s="47"/>
      <c r="T126" s="47"/>
      <c r="U126" s="47"/>
      <c r="V126" s="47"/>
      <c r="W126" s="47"/>
      <c r="X126" s="47"/>
      <c r="Y126" s="47"/>
      <c r="Z126" s="47"/>
      <c r="AA126" s="10"/>
      <c r="AB126" s="10"/>
      <c r="AC126" s="47"/>
      <c r="AD126" s="47"/>
      <c r="AE126" s="47"/>
      <c r="AF126" s="47"/>
      <c r="AG126" s="47"/>
      <c r="AH126" s="47"/>
      <c r="AI126" s="46"/>
      <c r="AJ126" s="46"/>
      <c r="AK126" s="46"/>
      <c r="AL126" s="7"/>
      <c r="AM126" s="49" t="str">
        <f aca="false">IF(OR(C126="",G126=""),"",IFERROR(DATEDIF(C126,G126,"m"),""))</f>
        <v/>
      </c>
      <c r="AN126" s="49" t="str">
        <f aca="false">IF(OR(Q126="",AM126=""),"",60+2*Q126-AM126)</f>
        <v/>
      </c>
      <c r="AO126" s="49" t="str">
        <f aca="false">IF(OR(G126="",AJ126=""),"",AJ126-G126)</f>
        <v/>
      </c>
      <c r="AP126" s="50" t="str">
        <f aca="false">IF(AND(A126="",B126=""),"",IF(J126="","Status needed",IF(OR(J126="Applied",J126="Visit booked",J126="Withdrawn"),"OK",IF(G126="","Date assessed needed",IF(C126="","Date of birth needed",IF(COUNTA(L126,M126,P126,U126,V126,X126)&lt;6,"Band missing",IF(AND(OR(J126="Decision confirmed",J126="Family told",J126="Enrolled"),AG126=""),"Recommendation needed",IF(AND(OR(J126="Family told",J126="Enrolled"),AJ126=""),"Date family told needed","OK"))))))))</f>
        <v/>
      </c>
    </row>
    <row r="127" customFormat="false" ht="15" hidden="false" customHeight="false" outlineLevel="0" collapsed="false">
      <c r="A127" s="7"/>
      <c r="B127" s="7"/>
      <c r="C127" s="46"/>
      <c r="D127" s="7"/>
      <c r="E127" s="47"/>
      <c r="F127" s="46"/>
      <c r="G127" s="46"/>
      <c r="H127" s="7"/>
      <c r="I127" s="7"/>
      <c r="J127" s="47"/>
      <c r="K127" s="47"/>
      <c r="L127" s="47"/>
      <c r="M127" s="47"/>
      <c r="N127" s="10"/>
      <c r="O127" s="47"/>
      <c r="P127" s="47"/>
      <c r="Q127" s="47"/>
      <c r="R127" s="48" t="str">
        <f aca="false">IF(Q127="","",IF(Q127=0,"below 5:00",IF(Q127&gt;=66,"16:00 or above",INT((60+2*Q127)/12)&amp;":"&amp;TEXT(MOD(60+2*Q127,12),"00"))))</f>
        <v/>
      </c>
      <c r="S127" s="47"/>
      <c r="T127" s="47"/>
      <c r="U127" s="47"/>
      <c r="V127" s="47"/>
      <c r="W127" s="47"/>
      <c r="X127" s="47"/>
      <c r="Y127" s="47"/>
      <c r="Z127" s="47"/>
      <c r="AA127" s="10"/>
      <c r="AB127" s="10"/>
      <c r="AC127" s="47"/>
      <c r="AD127" s="47"/>
      <c r="AE127" s="47"/>
      <c r="AF127" s="47"/>
      <c r="AG127" s="47"/>
      <c r="AH127" s="47"/>
      <c r="AI127" s="46"/>
      <c r="AJ127" s="46"/>
      <c r="AK127" s="46"/>
      <c r="AL127" s="7"/>
      <c r="AM127" s="49" t="str">
        <f aca="false">IF(OR(C127="",G127=""),"",IFERROR(DATEDIF(C127,G127,"m"),""))</f>
        <v/>
      </c>
      <c r="AN127" s="49" t="str">
        <f aca="false">IF(OR(Q127="",AM127=""),"",60+2*Q127-AM127)</f>
        <v/>
      </c>
      <c r="AO127" s="49" t="str">
        <f aca="false">IF(OR(G127="",AJ127=""),"",AJ127-G127)</f>
        <v/>
      </c>
      <c r="AP127" s="50" t="str">
        <f aca="false">IF(AND(A127="",B127=""),"",IF(J127="","Status needed",IF(OR(J127="Applied",J127="Visit booked",J127="Withdrawn"),"OK",IF(G127="","Date assessed needed",IF(C127="","Date of birth needed",IF(COUNTA(L127,M127,P127,U127,V127,X127)&lt;6,"Band missing",IF(AND(OR(J127="Decision confirmed",J127="Family told",J127="Enrolled"),AG127=""),"Recommendation needed",IF(AND(OR(J127="Family told",J127="Enrolled"),AJ127=""),"Date family told needed","OK"))))))))</f>
        <v/>
      </c>
    </row>
    <row r="128" customFormat="false" ht="15" hidden="false" customHeight="false" outlineLevel="0" collapsed="false">
      <c r="A128" s="7"/>
      <c r="B128" s="7"/>
      <c r="C128" s="46"/>
      <c r="D128" s="7"/>
      <c r="E128" s="47"/>
      <c r="F128" s="46"/>
      <c r="G128" s="46"/>
      <c r="H128" s="7"/>
      <c r="I128" s="7"/>
      <c r="J128" s="47"/>
      <c r="K128" s="47"/>
      <c r="L128" s="47"/>
      <c r="M128" s="47"/>
      <c r="N128" s="10"/>
      <c r="O128" s="47"/>
      <c r="P128" s="47"/>
      <c r="Q128" s="47"/>
      <c r="R128" s="48" t="str">
        <f aca="false">IF(Q128="","",IF(Q128=0,"below 5:00",IF(Q128&gt;=66,"16:00 or above",INT((60+2*Q128)/12)&amp;":"&amp;TEXT(MOD(60+2*Q128,12),"00"))))</f>
        <v/>
      </c>
      <c r="S128" s="47"/>
      <c r="T128" s="47"/>
      <c r="U128" s="47"/>
      <c r="V128" s="47"/>
      <c r="W128" s="47"/>
      <c r="X128" s="47"/>
      <c r="Y128" s="47"/>
      <c r="Z128" s="47"/>
      <c r="AA128" s="10"/>
      <c r="AB128" s="10"/>
      <c r="AC128" s="47"/>
      <c r="AD128" s="47"/>
      <c r="AE128" s="47"/>
      <c r="AF128" s="47"/>
      <c r="AG128" s="47"/>
      <c r="AH128" s="47"/>
      <c r="AI128" s="46"/>
      <c r="AJ128" s="46"/>
      <c r="AK128" s="46"/>
      <c r="AL128" s="7"/>
      <c r="AM128" s="49" t="str">
        <f aca="false">IF(OR(C128="",G128=""),"",IFERROR(DATEDIF(C128,G128,"m"),""))</f>
        <v/>
      </c>
      <c r="AN128" s="49" t="str">
        <f aca="false">IF(OR(Q128="",AM128=""),"",60+2*Q128-AM128)</f>
        <v/>
      </c>
      <c r="AO128" s="49" t="str">
        <f aca="false">IF(OR(G128="",AJ128=""),"",AJ128-G128)</f>
        <v/>
      </c>
      <c r="AP128" s="50" t="str">
        <f aca="false">IF(AND(A128="",B128=""),"",IF(J128="","Status needed",IF(OR(J128="Applied",J128="Visit booked",J128="Withdrawn"),"OK",IF(G128="","Date assessed needed",IF(C128="","Date of birth needed",IF(COUNTA(L128,M128,P128,U128,V128,X128)&lt;6,"Band missing",IF(AND(OR(J128="Decision confirmed",J128="Family told",J128="Enrolled"),AG128=""),"Recommendation needed",IF(AND(OR(J128="Family told",J128="Enrolled"),AJ128=""),"Date family told needed","OK"))))))))</f>
        <v/>
      </c>
    </row>
    <row r="129" customFormat="false" ht="15" hidden="false" customHeight="false" outlineLevel="0" collapsed="false">
      <c r="A129" s="7"/>
      <c r="B129" s="7"/>
      <c r="C129" s="46"/>
      <c r="D129" s="7"/>
      <c r="E129" s="47"/>
      <c r="F129" s="46"/>
      <c r="G129" s="46"/>
      <c r="H129" s="7"/>
      <c r="I129" s="7"/>
      <c r="J129" s="47"/>
      <c r="K129" s="47"/>
      <c r="L129" s="47"/>
      <c r="M129" s="47"/>
      <c r="N129" s="10"/>
      <c r="O129" s="47"/>
      <c r="P129" s="47"/>
      <c r="Q129" s="47"/>
      <c r="R129" s="48" t="str">
        <f aca="false">IF(Q129="","",IF(Q129=0,"below 5:00",IF(Q129&gt;=66,"16:00 or above",INT((60+2*Q129)/12)&amp;":"&amp;TEXT(MOD(60+2*Q129,12),"00"))))</f>
        <v/>
      </c>
      <c r="S129" s="47"/>
      <c r="T129" s="47"/>
      <c r="U129" s="47"/>
      <c r="V129" s="47"/>
      <c r="W129" s="47"/>
      <c r="X129" s="47"/>
      <c r="Y129" s="47"/>
      <c r="Z129" s="47"/>
      <c r="AA129" s="10"/>
      <c r="AB129" s="10"/>
      <c r="AC129" s="47"/>
      <c r="AD129" s="47"/>
      <c r="AE129" s="47"/>
      <c r="AF129" s="47"/>
      <c r="AG129" s="47"/>
      <c r="AH129" s="47"/>
      <c r="AI129" s="46"/>
      <c r="AJ129" s="46"/>
      <c r="AK129" s="46"/>
      <c r="AL129" s="7"/>
      <c r="AM129" s="49" t="str">
        <f aca="false">IF(OR(C129="",G129=""),"",IFERROR(DATEDIF(C129,G129,"m"),""))</f>
        <v/>
      </c>
      <c r="AN129" s="49" t="str">
        <f aca="false">IF(OR(Q129="",AM129=""),"",60+2*Q129-AM129)</f>
        <v/>
      </c>
      <c r="AO129" s="49" t="str">
        <f aca="false">IF(OR(G129="",AJ129=""),"",AJ129-G129)</f>
        <v/>
      </c>
      <c r="AP129" s="50" t="str">
        <f aca="false">IF(AND(A129="",B129=""),"",IF(J129="","Status needed",IF(OR(J129="Applied",J129="Visit booked",J129="Withdrawn"),"OK",IF(G129="","Date assessed needed",IF(C129="","Date of birth needed",IF(COUNTA(L129,M129,P129,U129,V129,X129)&lt;6,"Band missing",IF(AND(OR(J129="Decision confirmed",J129="Family told",J129="Enrolled"),AG129=""),"Recommendation needed",IF(AND(OR(J129="Family told",J129="Enrolled"),AJ129=""),"Date family told needed","OK"))))))))</f>
        <v/>
      </c>
    </row>
    <row r="130" customFormat="false" ht="15" hidden="false" customHeight="false" outlineLevel="0" collapsed="false">
      <c r="A130" s="7"/>
      <c r="B130" s="7"/>
      <c r="C130" s="46"/>
      <c r="D130" s="7"/>
      <c r="E130" s="47"/>
      <c r="F130" s="46"/>
      <c r="G130" s="46"/>
      <c r="H130" s="7"/>
      <c r="I130" s="7"/>
      <c r="J130" s="47"/>
      <c r="K130" s="47"/>
      <c r="L130" s="47"/>
      <c r="M130" s="47"/>
      <c r="N130" s="10"/>
      <c r="O130" s="47"/>
      <c r="P130" s="47"/>
      <c r="Q130" s="47"/>
      <c r="R130" s="48" t="str">
        <f aca="false">IF(Q130="","",IF(Q130=0,"below 5:00",IF(Q130&gt;=66,"16:00 or above",INT((60+2*Q130)/12)&amp;":"&amp;TEXT(MOD(60+2*Q130,12),"00"))))</f>
        <v/>
      </c>
      <c r="S130" s="47"/>
      <c r="T130" s="47"/>
      <c r="U130" s="47"/>
      <c r="V130" s="47"/>
      <c r="W130" s="47"/>
      <c r="X130" s="47"/>
      <c r="Y130" s="47"/>
      <c r="Z130" s="47"/>
      <c r="AA130" s="10"/>
      <c r="AB130" s="10"/>
      <c r="AC130" s="47"/>
      <c r="AD130" s="47"/>
      <c r="AE130" s="47"/>
      <c r="AF130" s="47"/>
      <c r="AG130" s="47"/>
      <c r="AH130" s="47"/>
      <c r="AI130" s="46"/>
      <c r="AJ130" s="46"/>
      <c r="AK130" s="46"/>
      <c r="AL130" s="7"/>
      <c r="AM130" s="49" t="str">
        <f aca="false">IF(OR(C130="",G130=""),"",IFERROR(DATEDIF(C130,G130,"m"),""))</f>
        <v/>
      </c>
      <c r="AN130" s="49" t="str">
        <f aca="false">IF(OR(Q130="",AM130=""),"",60+2*Q130-AM130)</f>
        <v/>
      </c>
      <c r="AO130" s="49" t="str">
        <f aca="false">IF(OR(G130="",AJ130=""),"",AJ130-G130)</f>
        <v/>
      </c>
      <c r="AP130" s="50" t="str">
        <f aca="false">IF(AND(A130="",B130=""),"",IF(J130="","Status needed",IF(OR(J130="Applied",J130="Visit booked",J130="Withdrawn"),"OK",IF(G130="","Date assessed needed",IF(C130="","Date of birth needed",IF(COUNTA(L130,M130,P130,U130,V130,X130)&lt;6,"Band missing",IF(AND(OR(J130="Decision confirmed",J130="Family told",J130="Enrolled"),AG130=""),"Recommendation needed",IF(AND(OR(J130="Family told",J130="Enrolled"),AJ130=""),"Date family told needed","OK"))))))))</f>
        <v/>
      </c>
    </row>
    <row r="131" customFormat="false" ht="15" hidden="false" customHeight="false" outlineLevel="0" collapsed="false">
      <c r="A131" s="7"/>
      <c r="B131" s="7"/>
      <c r="C131" s="46"/>
      <c r="D131" s="7"/>
      <c r="E131" s="47"/>
      <c r="F131" s="46"/>
      <c r="G131" s="46"/>
      <c r="H131" s="7"/>
      <c r="I131" s="7"/>
      <c r="J131" s="47"/>
      <c r="K131" s="47"/>
      <c r="L131" s="47"/>
      <c r="M131" s="47"/>
      <c r="N131" s="10"/>
      <c r="O131" s="47"/>
      <c r="P131" s="47"/>
      <c r="Q131" s="47"/>
      <c r="R131" s="48" t="str">
        <f aca="false">IF(Q131="","",IF(Q131=0,"below 5:00",IF(Q131&gt;=66,"16:00 or above",INT((60+2*Q131)/12)&amp;":"&amp;TEXT(MOD(60+2*Q131,12),"00"))))</f>
        <v/>
      </c>
      <c r="S131" s="47"/>
      <c r="T131" s="47"/>
      <c r="U131" s="47"/>
      <c r="V131" s="47"/>
      <c r="W131" s="47"/>
      <c r="X131" s="47"/>
      <c r="Y131" s="47"/>
      <c r="Z131" s="47"/>
      <c r="AA131" s="10"/>
      <c r="AB131" s="10"/>
      <c r="AC131" s="47"/>
      <c r="AD131" s="47"/>
      <c r="AE131" s="47"/>
      <c r="AF131" s="47"/>
      <c r="AG131" s="47"/>
      <c r="AH131" s="47"/>
      <c r="AI131" s="46"/>
      <c r="AJ131" s="46"/>
      <c r="AK131" s="46"/>
      <c r="AL131" s="7"/>
      <c r="AM131" s="49" t="str">
        <f aca="false">IF(OR(C131="",G131=""),"",IFERROR(DATEDIF(C131,G131,"m"),""))</f>
        <v/>
      </c>
      <c r="AN131" s="49" t="str">
        <f aca="false">IF(OR(Q131="",AM131=""),"",60+2*Q131-AM131)</f>
        <v/>
      </c>
      <c r="AO131" s="49" t="str">
        <f aca="false">IF(OR(G131="",AJ131=""),"",AJ131-G131)</f>
        <v/>
      </c>
      <c r="AP131" s="50" t="str">
        <f aca="false">IF(AND(A131="",B131=""),"",IF(J131="","Status needed",IF(OR(J131="Applied",J131="Visit booked",J131="Withdrawn"),"OK",IF(G131="","Date assessed needed",IF(C131="","Date of birth needed",IF(COUNTA(L131,M131,P131,U131,V131,X131)&lt;6,"Band missing",IF(AND(OR(J131="Decision confirmed",J131="Family told",J131="Enrolled"),AG131=""),"Recommendation needed",IF(AND(OR(J131="Family told",J131="Enrolled"),AJ131=""),"Date family told needed","OK"))))))))</f>
        <v/>
      </c>
    </row>
    <row r="132" customFormat="false" ht="15" hidden="false" customHeight="false" outlineLevel="0" collapsed="false">
      <c r="A132" s="7"/>
      <c r="B132" s="7"/>
      <c r="C132" s="46"/>
      <c r="D132" s="7"/>
      <c r="E132" s="47"/>
      <c r="F132" s="46"/>
      <c r="G132" s="46"/>
      <c r="H132" s="7"/>
      <c r="I132" s="7"/>
      <c r="J132" s="47"/>
      <c r="K132" s="47"/>
      <c r="L132" s="47"/>
      <c r="M132" s="47"/>
      <c r="N132" s="10"/>
      <c r="O132" s="47"/>
      <c r="P132" s="47"/>
      <c r="Q132" s="47"/>
      <c r="R132" s="48" t="str">
        <f aca="false">IF(Q132="","",IF(Q132=0,"below 5:00",IF(Q132&gt;=66,"16:00 or above",INT((60+2*Q132)/12)&amp;":"&amp;TEXT(MOD(60+2*Q132,12),"00"))))</f>
        <v/>
      </c>
      <c r="S132" s="47"/>
      <c r="T132" s="47"/>
      <c r="U132" s="47"/>
      <c r="V132" s="47"/>
      <c r="W132" s="47"/>
      <c r="X132" s="47"/>
      <c r="Y132" s="47"/>
      <c r="Z132" s="47"/>
      <c r="AA132" s="10"/>
      <c r="AB132" s="10"/>
      <c r="AC132" s="47"/>
      <c r="AD132" s="47"/>
      <c r="AE132" s="47"/>
      <c r="AF132" s="47"/>
      <c r="AG132" s="47"/>
      <c r="AH132" s="47"/>
      <c r="AI132" s="46"/>
      <c r="AJ132" s="46"/>
      <c r="AK132" s="46"/>
      <c r="AL132" s="7"/>
      <c r="AM132" s="49" t="str">
        <f aca="false">IF(OR(C132="",G132=""),"",IFERROR(DATEDIF(C132,G132,"m"),""))</f>
        <v/>
      </c>
      <c r="AN132" s="49" t="str">
        <f aca="false">IF(OR(Q132="",AM132=""),"",60+2*Q132-AM132)</f>
        <v/>
      </c>
      <c r="AO132" s="49" t="str">
        <f aca="false">IF(OR(G132="",AJ132=""),"",AJ132-G132)</f>
        <v/>
      </c>
      <c r="AP132" s="50" t="str">
        <f aca="false">IF(AND(A132="",B132=""),"",IF(J132="","Status needed",IF(OR(J132="Applied",J132="Visit booked",J132="Withdrawn"),"OK",IF(G132="","Date assessed needed",IF(C132="","Date of birth needed",IF(COUNTA(L132,M132,P132,U132,V132,X132)&lt;6,"Band missing",IF(AND(OR(J132="Decision confirmed",J132="Family told",J132="Enrolled"),AG132=""),"Recommendation needed",IF(AND(OR(J132="Family told",J132="Enrolled"),AJ132=""),"Date family told needed","OK"))))))))</f>
        <v/>
      </c>
    </row>
    <row r="133" customFormat="false" ht="15" hidden="false" customHeight="false" outlineLevel="0" collapsed="false">
      <c r="A133" s="7"/>
      <c r="B133" s="7"/>
      <c r="C133" s="46"/>
      <c r="D133" s="7"/>
      <c r="E133" s="47"/>
      <c r="F133" s="46"/>
      <c r="G133" s="46"/>
      <c r="H133" s="7"/>
      <c r="I133" s="7"/>
      <c r="J133" s="47"/>
      <c r="K133" s="47"/>
      <c r="L133" s="47"/>
      <c r="M133" s="47"/>
      <c r="N133" s="10"/>
      <c r="O133" s="47"/>
      <c r="P133" s="47"/>
      <c r="Q133" s="47"/>
      <c r="R133" s="48" t="str">
        <f aca="false">IF(Q133="","",IF(Q133=0,"below 5:00",IF(Q133&gt;=66,"16:00 or above",INT((60+2*Q133)/12)&amp;":"&amp;TEXT(MOD(60+2*Q133,12),"00"))))</f>
        <v/>
      </c>
      <c r="S133" s="47"/>
      <c r="T133" s="47"/>
      <c r="U133" s="47"/>
      <c r="V133" s="47"/>
      <c r="W133" s="47"/>
      <c r="X133" s="47"/>
      <c r="Y133" s="47"/>
      <c r="Z133" s="47"/>
      <c r="AA133" s="10"/>
      <c r="AB133" s="10"/>
      <c r="AC133" s="47"/>
      <c r="AD133" s="47"/>
      <c r="AE133" s="47"/>
      <c r="AF133" s="47"/>
      <c r="AG133" s="47"/>
      <c r="AH133" s="47"/>
      <c r="AI133" s="46"/>
      <c r="AJ133" s="46"/>
      <c r="AK133" s="46"/>
      <c r="AL133" s="7"/>
      <c r="AM133" s="49" t="str">
        <f aca="false">IF(OR(C133="",G133=""),"",IFERROR(DATEDIF(C133,G133,"m"),""))</f>
        <v/>
      </c>
      <c r="AN133" s="49" t="str">
        <f aca="false">IF(OR(Q133="",AM133=""),"",60+2*Q133-AM133)</f>
        <v/>
      </c>
      <c r="AO133" s="49" t="str">
        <f aca="false">IF(OR(G133="",AJ133=""),"",AJ133-G133)</f>
        <v/>
      </c>
      <c r="AP133" s="50" t="str">
        <f aca="false">IF(AND(A133="",B133=""),"",IF(J133="","Status needed",IF(OR(J133="Applied",J133="Visit booked",J133="Withdrawn"),"OK",IF(G133="","Date assessed needed",IF(C133="","Date of birth needed",IF(COUNTA(L133,M133,P133,U133,V133,X133)&lt;6,"Band missing",IF(AND(OR(J133="Decision confirmed",J133="Family told",J133="Enrolled"),AG133=""),"Recommendation needed",IF(AND(OR(J133="Family told",J133="Enrolled"),AJ133=""),"Date family told needed","OK"))))))))</f>
        <v/>
      </c>
    </row>
    <row r="134" customFormat="false" ht="15" hidden="false" customHeight="false" outlineLevel="0" collapsed="false">
      <c r="A134" s="7"/>
      <c r="B134" s="7"/>
      <c r="C134" s="46"/>
      <c r="D134" s="7"/>
      <c r="E134" s="47"/>
      <c r="F134" s="46"/>
      <c r="G134" s="46"/>
      <c r="H134" s="7"/>
      <c r="I134" s="7"/>
      <c r="J134" s="47"/>
      <c r="K134" s="47"/>
      <c r="L134" s="47"/>
      <c r="M134" s="47"/>
      <c r="N134" s="10"/>
      <c r="O134" s="47"/>
      <c r="P134" s="47"/>
      <c r="Q134" s="47"/>
      <c r="R134" s="48" t="str">
        <f aca="false">IF(Q134="","",IF(Q134=0,"below 5:00",IF(Q134&gt;=66,"16:00 or above",INT((60+2*Q134)/12)&amp;":"&amp;TEXT(MOD(60+2*Q134,12),"00"))))</f>
        <v/>
      </c>
      <c r="S134" s="47"/>
      <c r="T134" s="47"/>
      <c r="U134" s="47"/>
      <c r="V134" s="47"/>
      <c r="W134" s="47"/>
      <c r="X134" s="47"/>
      <c r="Y134" s="47"/>
      <c r="Z134" s="47"/>
      <c r="AA134" s="10"/>
      <c r="AB134" s="10"/>
      <c r="AC134" s="47"/>
      <c r="AD134" s="47"/>
      <c r="AE134" s="47"/>
      <c r="AF134" s="47"/>
      <c r="AG134" s="47"/>
      <c r="AH134" s="47"/>
      <c r="AI134" s="46"/>
      <c r="AJ134" s="46"/>
      <c r="AK134" s="46"/>
      <c r="AL134" s="7"/>
      <c r="AM134" s="49" t="str">
        <f aca="false">IF(OR(C134="",G134=""),"",IFERROR(DATEDIF(C134,G134,"m"),""))</f>
        <v/>
      </c>
      <c r="AN134" s="49" t="str">
        <f aca="false">IF(OR(Q134="",AM134=""),"",60+2*Q134-AM134)</f>
        <v/>
      </c>
      <c r="AO134" s="49" t="str">
        <f aca="false">IF(OR(G134="",AJ134=""),"",AJ134-G134)</f>
        <v/>
      </c>
      <c r="AP134" s="50" t="str">
        <f aca="false">IF(AND(A134="",B134=""),"",IF(J134="","Status needed",IF(OR(J134="Applied",J134="Visit booked",J134="Withdrawn"),"OK",IF(G134="","Date assessed needed",IF(C134="","Date of birth needed",IF(COUNTA(L134,M134,P134,U134,V134,X134)&lt;6,"Band missing",IF(AND(OR(J134="Decision confirmed",J134="Family told",J134="Enrolled"),AG134=""),"Recommendation needed",IF(AND(OR(J134="Family told",J134="Enrolled"),AJ134=""),"Date family told needed","OK"))))))))</f>
        <v/>
      </c>
    </row>
    <row r="135" customFormat="false" ht="15" hidden="false" customHeight="false" outlineLevel="0" collapsed="false">
      <c r="A135" s="7"/>
      <c r="B135" s="7"/>
      <c r="C135" s="46"/>
      <c r="D135" s="7"/>
      <c r="E135" s="47"/>
      <c r="F135" s="46"/>
      <c r="G135" s="46"/>
      <c r="H135" s="7"/>
      <c r="I135" s="7"/>
      <c r="J135" s="47"/>
      <c r="K135" s="47"/>
      <c r="L135" s="47"/>
      <c r="M135" s="47"/>
      <c r="N135" s="10"/>
      <c r="O135" s="47"/>
      <c r="P135" s="47"/>
      <c r="Q135" s="47"/>
      <c r="R135" s="48" t="str">
        <f aca="false">IF(Q135="","",IF(Q135=0,"below 5:00",IF(Q135&gt;=66,"16:00 or above",INT((60+2*Q135)/12)&amp;":"&amp;TEXT(MOD(60+2*Q135,12),"00"))))</f>
        <v/>
      </c>
      <c r="S135" s="47"/>
      <c r="T135" s="47"/>
      <c r="U135" s="47"/>
      <c r="V135" s="47"/>
      <c r="W135" s="47"/>
      <c r="X135" s="47"/>
      <c r="Y135" s="47"/>
      <c r="Z135" s="47"/>
      <c r="AA135" s="10"/>
      <c r="AB135" s="10"/>
      <c r="AC135" s="47"/>
      <c r="AD135" s="47"/>
      <c r="AE135" s="47"/>
      <c r="AF135" s="47"/>
      <c r="AG135" s="47"/>
      <c r="AH135" s="47"/>
      <c r="AI135" s="46"/>
      <c r="AJ135" s="46"/>
      <c r="AK135" s="46"/>
      <c r="AL135" s="7"/>
      <c r="AM135" s="49" t="str">
        <f aca="false">IF(OR(C135="",G135=""),"",IFERROR(DATEDIF(C135,G135,"m"),""))</f>
        <v/>
      </c>
      <c r="AN135" s="49" t="str">
        <f aca="false">IF(OR(Q135="",AM135=""),"",60+2*Q135-AM135)</f>
        <v/>
      </c>
      <c r="AO135" s="49" t="str">
        <f aca="false">IF(OR(G135="",AJ135=""),"",AJ135-G135)</f>
        <v/>
      </c>
      <c r="AP135" s="50" t="str">
        <f aca="false">IF(AND(A135="",B135=""),"",IF(J135="","Status needed",IF(OR(J135="Applied",J135="Visit booked",J135="Withdrawn"),"OK",IF(G135="","Date assessed needed",IF(C135="","Date of birth needed",IF(COUNTA(L135,M135,P135,U135,V135,X135)&lt;6,"Band missing",IF(AND(OR(J135="Decision confirmed",J135="Family told",J135="Enrolled"),AG135=""),"Recommendation needed",IF(AND(OR(J135="Family told",J135="Enrolled"),AJ135=""),"Date family told needed","OK"))))))))</f>
        <v/>
      </c>
    </row>
    <row r="136" customFormat="false" ht="15" hidden="false" customHeight="false" outlineLevel="0" collapsed="false">
      <c r="A136" s="7"/>
      <c r="B136" s="7"/>
      <c r="C136" s="46"/>
      <c r="D136" s="7"/>
      <c r="E136" s="47"/>
      <c r="F136" s="46"/>
      <c r="G136" s="46"/>
      <c r="H136" s="7"/>
      <c r="I136" s="7"/>
      <c r="J136" s="47"/>
      <c r="K136" s="47"/>
      <c r="L136" s="47"/>
      <c r="M136" s="47"/>
      <c r="N136" s="10"/>
      <c r="O136" s="47"/>
      <c r="P136" s="47"/>
      <c r="Q136" s="47"/>
      <c r="R136" s="48" t="str">
        <f aca="false">IF(Q136="","",IF(Q136=0,"below 5:00",IF(Q136&gt;=66,"16:00 or above",INT((60+2*Q136)/12)&amp;":"&amp;TEXT(MOD(60+2*Q136,12),"00"))))</f>
        <v/>
      </c>
      <c r="S136" s="47"/>
      <c r="T136" s="47"/>
      <c r="U136" s="47"/>
      <c r="V136" s="47"/>
      <c r="W136" s="47"/>
      <c r="X136" s="47"/>
      <c r="Y136" s="47"/>
      <c r="Z136" s="47"/>
      <c r="AA136" s="10"/>
      <c r="AB136" s="10"/>
      <c r="AC136" s="47"/>
      <c r="AD136" s="47"/>
      <c r="AE136" s="47"/>
      <c r="AF136" s="47"/>
      <c r="AG136" s="47"/>
      <c r="AH136" s="47"/>
      <c r="AI136" s="46"/>
      <c r="AJ136" s="46"/>
      <c r="AK136" s="46"/>
      <c r="AL136" s="7"/>
      <c r="AM136" s="49" t="str">
        <f aca="false">IF(OR(C136="",G136=""),"",IFERROR(DATEDIF(C136,G136,"m"),""))</f>
        <v/>
      </c>
      <c r="AN136" s="49" t="str">
        <f aca="false">IF(OR(Q136="",AM136=""),"",60+2*Q136-AM136)</f>
        <v/>
      </c>
      <c r="AO136" s="49" t="str">
        <f aca="false">IF(OR(G136="",AJ136=""),"",AJ136-G136)</f>
        <v/>
      </c>
      <c r="AP136" s="50" t="str">
        <f aca="false">IF(AND(A136="",B136=""),"",IF(J136="","Status needed",IF(OR(J136="Applied",J136="Visit booked",J136="Withdrawn"),"OK",IF(G136="","Date assessed needed",IF(C136="","Date of birth needed",IF(COUNTA(L136,M136,P136,U136,V136,X136)&lt;6,"Band missing",IF(AND(OR(J136="Decision confirmed",J136="Family told",J136="Enrolled"),AG136=""),"Recommendation needed",IF(AND(OR(J136="Family told",J136="Enrolled"),AJ136=""),"Date family told needed","OK"))))))))</f>
        <v/>
      </c>
    </row>
    <row r="137" customFormat="false" ht="15" hidden="false" customHeight="false" outlineLevel="0" collapsed="false">
      <c r="A137" s="7"/>
      <c r="B137" s="7"/>
      <c r="C137" s="46"/>
      <c r="D137" s="7"/>
      <c r="E137" s="47"/>
      <c r="F137" s="46"/>
      <c r="G137" s="46"/>
      <c r="H137" s="7"/>
      <c r="I137" s="7"/>
      <c r="J137" s="47"/>
      <c r="K137" s="47"/>
      <c r="L137" s="47"/>
      <c r="M137" s="47"/>
      <c r="N137" s="10"/>
      <c r="O137" s="47"/>
      <c r="P137" s="47"/>
      <c r="Q137" s="47"/>
      <c r="R137" s="48" t="str">
        <f aca="false">IF(Q137="","",IF(Q137=0,"below 5:00",IF(Q137&gt;=66,"16:00 or above",INT((60+2*Q137)/12)&amp;":"&amp;TEXT(MOD(60+2*Q137,12),"00"))))</f>
        <v/>
      </c>
      <c r="S137" s="47"/>
      <c r="T137" s="47"/>
      <c r="U137" s="47"/>
      <c r="V137" s="47"/>
      <c r="W137" s="47"/>
      <c r="X137" s="47"/>
      <c r="Y137" s="47"/>
      <c r="Z137" s="47"/>
      <c r="AA137" s="10"/>
      <c r="AB137" s="10"/>
      <c r="AC137" s="47"/>
      <c r="AD137" s="47"/>
      <c r="AE137" s="47"/>
      <c r="AF137" s="47"/>
      <c r="AG137" s="47"/>
      <c r="AH137" s="47"/>
      <c r="AI137" s="46"/>
      <c r="AJ137" s="46"/>
      <c r="AK137" s="46"/>
      <c r="AL137" s="7"/>
      <c r="AM137" s="49" t="str">
        <f aca="false">IF(OR(C137="",G137=""),"",IFERROR(DATEDIF(C137,G137,"m"),""))</f>
        <v/>
      </c>
      <c r="AN137" s="49" t="str">
        <f aca="false">IF(OR(Q137="",AM137=""),"",60+2*Q137-AM137)</f>
        <v/>
      </c>
      <c r="AO137" s="49" t="str">
        <f aca="false">IF(OR(G137="",AJ137=""),"",AJ137-G137)</f>
        <v/>
      </c>
      <c r="AP137" s="50" t="str">
        <f aca="false">IF(AND(A137="",B137=""),"",IF(J137="","Status needed",IF(OR(J137="Applied",J137="Visit booked",J137="Withdrawn"),"OK",IF(G137="","Date assessed needed",IF(C137="","Date of birth needed",IF(COUNTA(L137,M137,P137,U137,V137,X137)&lt;6,"Band missing",IF(AND(OR(J137="Decision confirmed",J137="Family told",J137="Enrolled"),AG137=""),"Recommendation needed",IF(AND(OR(J137="Family told",J137="Enrolled"),AJ137=""),"Date family told needed","OK"))))))))</f>
        <v/>
      </c>
    </row>
    <row r="138" customFormat="false" ht="15" hidden="false" customHeight="false" outlineLevel="0" collapsed="false">
      <c r="A138" s="7"/>
      <c r="B138" s="7"/>
      <c r="C138" s="46"/>
      <c r="D138" s="7"/>
      <c r="E138" s="47"/>
      <c r="F138" s="46"/>
      <c r="G138" s="46"/>
      <c r="H138" s="7"/>
      <c r="I138" s="7"/>
      <c r="J138" s="47"/>
      <c r="K138" s="47"/>
      <c r="L138" s="47"/>
      <c r="M138" s="47"/>
      <c r="N138" s="10"/>
      <c r="O138" s="47"/>
      <c r="P138" s="47"/>
      <c r="Q138" s="47"/>
      <c r="R138" s="48" t="str">
        <f aca="false">IF(Q138="","",IF(Q138=0,"below 5:00",IF(Q138&gt;=66,"16:00 or above",INT((60+2*Q138)/12)&amp;":"&amp;TEXT(MOD(60+2*Q138,12),"00"))))</f>
        <v/>
      </c>
      <c r="S138" s="47"/>
      <c r="T138" s="47"/>
      <c r="U138" s="47"/>
      <c r="V138" s="47"/>
      <c r="W138" s="47"/>
      <c r="X138" s="47"/>
      <c r="Y138" s="47"/>
      <c r="Z138" s="47"/>
      <c r="AA138" s="10"/>
      <c r="AB138" s="10"/>
      <c r="AC138" s="47"/>
      <c r="AD138" s="47"/>
      <c r="AE138" s="47"/>
      <c r="AF138" s="47"/>
      <c r="AG138" s="47"/>
      <c r="AH138" s="47"/>
      <c r="AI138" s="46"/>
      <c r="AJ138" s="46"/>
      <c r="AK138" s="46"/>
      <c r="AL138" s="7"/>
      <c r="AM138" s="49" t="str">
        <f aca="false">IF(OR(C138="",G138=""),"",IFERROR(DATEDIF(C138,G138,"m"),""))</f>
        <v/>
      </c>
      <c r="AN138" s="49" t="str">
        <f aca="false">IF(OR(Q138="",AM138=""),"",60+2*Q138-AM138)</f>
        <v/>
      </c>
      <c r="AO138" s="49" t="str">
        <f aca="false">IF(OR(G138="",AJ138=""),"",AJ138-G138)</f>
        <v/>
      </c>
      <c r="AP138" s="50" t="str">
        <f aca="false">IF(AND(A138="",B138=""),"",IF(J138="","Status needed",IF(OR(J138="Applied",J138="Visit booked",J138="Withdrawn"),"OK",IF(G138="","Date assessed needed",IF(C138="","Date of birth needed",IF(COUNTA(L138,M138,P138,U138,V138,X138)&lt;6,"Band missing",IF(AND(OR(J138="Decision confirmed",J138="Family told",J138="Enrolled"),AG138=""),"Recommendation needed",IF(AND(OR(J138="Family told",J138="Enrolled"),AJ138=""),"Date family told needed","OK"))))))))</f>
        <v/>
      </c>
    </row>
    <row r="139" customFormat="false" ht="15" hidden="false" customHeight="false" outlineLevel="0" collapsed="false">
      <c r="A139" s="7"/>
      <c r="B139" s="7"/>
      <c r="C139" s="46"/>
      <c r="D139" s="7"/>
      <c r="E139" s="47"/>
      <c r="F139" s="46"/>
      <c r="G139" s="46"/>
      <c r="H139" s="7"/>
      <c r="I139" s="7"/>
      <c r="J139" s="47"/>
      <c r="K139" s="47"/>
      <c r="L139" s="47"/>
      <c r="M139" s="47"/>
      <c r="N139" s="10"/>
      <c r="O139" s="47"/>
      <c r="P139" s="47"/>
      <c r="Q139" s="47"/>
      <c r="R139" s="48" t="str">
        <f aca="false">IF(Q139="","",IF(Q139=0,"below 5:00",IF(Q139&gt;=66,"16:00 or above",INT((60+2*Q139)/12)&amp;":"&amp;TEXT(MOD(60+2*Q139,12),"00"))))</f>
        <v/>
      </c>
      <c r="S139" s="47"/>
      <c r="T139" s="47"/>
      <c r="U139" s="47"/>
      <c r="V139" s="47"/>
      <c r="W139" s="47"/>
      <c r="X139" s="47"/>
      <c r="Y139" s="47"/>
      <c r="Z139" s="47"/>
      <c r="AA139" s="10"/>
      <c r="AB139" s="10"/>
      <c r="AC139" s="47"/>
      <c r="AD139" s="47"/>
      <c r="AE139" s="47"/>
      <c r="AF139" s="47"/>
      <c r="AG139" s="47"/>
      <c r="AH139" s="47"/>
      <c r="AI139" s="46"/>
      <c r="AJ139" s="46"/>
      <c r="AK139" s="46"/>
      <c r="AL139" s="7"/>
      <c r="AM139" s="49" t="str">
        <f aca="false">IF(OR(C139="",G139=""),"",IFERROR(DATEDIF(C139,G139,"m"),""))</f>
        <v/>
      </c>
      <c r="AN139" s="49" t="str">
        <f aca="false">IF(OR(Q139="",AM139=""),"",60+2*Q139-AM139)</f>
        <v/>
      </c>
      <c r="AO139" s="49" t="str">
        <f aca="false">IF(OR(G139="",AJ139=""),"",AJ139-G139)</f>
        <v/>
      </c>
      <c r="AP139" s="50" t="str">
        <f aca="false">IF(AND(A139="",B139=""),"",IF(J139="","Status needed",IF(OR(J139="Applied",J139="Visit booked",J139="Withdrawn"),"OK",IF(G139="","Date assessed needed",IF(C139="","Date of birth needed",IF(COUNTA(L139,M139,P139,U139,V139,X139)&lt;6,"Band missing",IF(AND(OR(J139="Decision confirmed",J139="Family told",J139="Enrolled"),AG139=""),"Recommendation needed",IF(AND(OR(J139="Family told",J139="Enrolled"),AJ139=""),"Date family told needed","OK"))))))))</f>
        <v/>
      </c>
    </row>
    <row r="140" customFormat="false" ht="15" hidden="false" customHeight="false" outlineLevel="0" collapsed="false">
      <c r="A140" s="7"/>
      <c r="B140" s="7"/>
      <c r="C140" s="46"/>
      <c r="D140" s="7"/>
      <c r="E140" s="47"/>
      <c r="F140" s="46"/>
      <c r="G140" s="46"/>
      <c r="H140" s="7"/>
      <c r="I140" s="7"/>
      <c r="J140" s="47"/>
      <c r="K140" s="47"/>
      <c r="L140" s="47"/>
      <c r="M140" s="47"/>
      <c r="N140" s="10"/>
      <c r="O140" s="47"/>
      <c r="P140" s="47"/>
      <c r="Q140" s="47"/>
      <c r="R140" s="48" t="str">
        <f aca="false">IF(Q140="","",IF(Q140=0,"below 5:00",IF(Q140&gt;=66,"16:00 or above",INT((60+2*Q140)/12)&amp;":"&amp;TEXT(MOD(60+2*Q140,12),"00"))))</f>
        <v/>
      </c>
      <c r="S140" s="47"/>
      <c r="T140" s="47"/>
      <c r="U140" s="47"/>
      <c r="V140" s="47"/>
      <c r="W140" s="47"/>
      <c r="X140" s="47"/>
      <c r="Y140" s="47"/>
      <c r="Z140" s="47"/>
      <c r="AA140" s="10"/>
      <c r="AB140" s="10"/>
      <c r="AC140" s="47"/>
      <c r="AD140" s="47"/>
      <c r="AE140" s="47"/>
      <c r="AF140" s="47"/>
      <c r="AG140" s="47"/>
      <c r="AH140" s="47"/>
      <c r="AI140" s="46"/>
      <c r="AJ140" s="46"/>
      <c r="AK140" s="46"/>
      <c r="AL140" s="7"/>
      <c r="AM140" s="49" t="str">
        <f aca="false">IF(OR(C140="",G140=""),"",IFERROR(DATEDIF(C140,G140,"m"),""))</f>
        <v/>
      </c>
      <c r="AN140" s="49" t="str">
        <f aca="false">IF(OR(Q140="",AM140=""),"",60+2*Q140-AM140)</f>
        <v/>
      </c>
      <c r="AO140" s="49" t="str">
        <f aca="false">IF(OR(G140="",AJ140=""),"",AJ140-G140)</f>
        <v/>
      </c>
      <c r="AP140" s="50" t="str">
        <f aca="false">IF(AND(A140="",B140=""),"",IF(J140="","Status needed",IF(OR(J140="Applied",J140="Visit booked",J140="Withdrawn"),"OK",IF(G140="","Date assessed needed",IF(C140="","Date of birth needed",IF(COUNTA(L140,M140,P140,U140,V140,X140)&lt;6,"Band missing",IF(AND(OR(J140="Decision confirmed",J140="Family told",J140="Enrolled"),AG140=""),"Recommendation needed",IF(AND(OR(J140="Family told",J140="Enrolled"),AJ140=""),"Date family told needed","OK"))))))))</f>
        <v/>
      </c>
    </row>
    <row r="141" customFormat="false" ht="15" hidden="false" customHeight="false" outlineLevel="0" collapsed="false">
      <c r="A141" s="7"/>
      <c r="B141" s="7"/>
      <c r="C141" s="46"/>
      <c r="D141" s="7"/>
      <c r="E141" s="47"/>
      <c r="F141" s="46"/>
      <c r="G141" s="46"/>
      <c r="H141" s="7"/>
      <c r="I141" s="7"/>
      <c r="J141" s="47"/>
      <c r="K141" s="47"/>
      <c r="L141" s="47"/>
      <c r="M141" s="47"/>
      <c r="N141" s="10"/>
      <c r="O141" s="47"/>
      <c r="P141" s="47"/>
      <c r="Q141" s="47"/>
      <c r="R141" s="48" t="str">
        <f aca="false">IF(Q141="","",IF(Q141=0,"below 5:00",IF(Q141&gt;=66,"16:00 or above",INT((60+2*Q141)/12)&amp;":"&amp;TEXT(MOD(60+2*Q141,12),"00"))))</f>
        <v/>
      </c>
      <c r="S141" s="47"/>
      <c r="T141" s="47"/>
      <c r="U141" s="47"/>
      <c r="V141" s="47"/>
      <c r="W141" s="47"/>
      <c r="X141" s="47"/>
      <c r="Y141" s="47"/>
      <c r="Z141" s="47"/>
      <c r="AA141" s="10"/>
      <c r="AB141" s="10"/>
      <c r="AC141" s="47"/>
      <c r="AD141" s="47"/>
      <c r="AE141" s="47"/>
      <c r="AF141" s="47"/>
      <c r="AG141" s="47"/>
      <c r="AH141" s="47"/>
      <c r="AI141" s="46"/>
      <c r="AJ141" s="46"/>
      <c r="AK141" s="46"/>
      <c r="AL141" s="7"/>
      <c r="AM141" s="49" t="str">
        <f aca="false">IF(OR(C141="",G141=""),"",IFERROR(DATEDIF(C141,G141,"m"),""))</f>
        <v/>
      </c>
      <c r="AN141" s="49" t="str">
        <f aca="false">IF(OR(Q141="",AM141=""),"",60+2*Q141-AM141)</f>
        <v/>
      </c>
      <c r="AO141" s="49" t="str">
        <f aca="false">IF(OR(G141="",AJ141=""),"",AJ141-G141)</f>
        <v/>
      </c>
      <c r="AP141" s="50" t="str">
        <f aca="false">IF(AND(A141="",B141=""),"",IF(J141="","Status needed",IF(OR(J141="Applied",J141="Visit booked",J141="Withdrawn"),"OK",IF(G141="","Date assessed needed",IF(C141="","Date of birth needed",IF(COUNTA(L141,M141,P141,U141,V141,X141)&lt;6,"Band missing",IF(AND(OR(J141="Decision confirmed",J141="Family told",J141="Enrolled"),AG141=""),"Recommendation needed",IF(AND(OR(J141="Family told",J141="Enrolled"),AJ141=""),"Date family told needed","OK"))))))))</f>
        <v/>
      </c>
    </row>
    <row r="142" customFormat="false" ht="15" hidden="false" customHeight="false" outlineLevel="0" collapsed="false">
      <c r="A142" s="7"/>
      <c r="B142" s="7"/>
      <c r="C142" s="46"/>
      <c r="D142" s="7"/>
      <c r="E142" s="47"/>
      <c r="F142" s="46"/>
      <c r="G142" s="46"/>
      <c r="H142" s="7"/>
      <c r="I142" s="7"/>
      <c r="J142" s="47"/>
      <c r="K142" s="47"/>
      <c r="L142" s="47"/>
      <c r="M142" s="47"/>
      <c r="N142" s="10"/>
      <c r="O142" s="47"/>
      <c r="P142" s="47"/>
      <c r="Q142" s="47"/>
      <c r="R142" s="48" t="str">
        <f aca="false">IF(Q142="","",IF(Q142=0,"below 5:00",IF(Q142&gt;=66,"16:00 or above",INT((60+2*Q142)/12)&amp;":"&amp;TEXT(MOD(60+2*Q142,12),"00"))))</f>
        <v/>
      </c>
      <c r="S142" s="47"/>
      <c r="T142" s="47"/>
      <c r="U142" s="47"/>
      <c r="V142" s="47"/>
      <c r="W142" s="47"/>
      <c r="X142" s="47"/>
      <c r="Y142" s="47"/>
      <c r="Z142" s="47"/>
      <c r="AA142" s="10"/>
      <c r="AB142" s="10"/>
      <c r="AC142" s="47"/>
      <c r="AD142" s="47"/>
      <c r="AE142" s="47"/>
      <c r="AF142" s="47"/>
      <c r="AG142" s="47"/>
      <c r="AH142" s="47"/>
      <c r="AI142" s="46"/>
      <c r="AJ142" s="46"/>
      <c r="AK142" s="46"/>
      <c r="AL142" s="7"/>
      <c r="AM142" s="49" t="str">
        <f aca="false">IF(OR(C142="",G142=""),"",IFERROR(DATEDIF(C142,G142,"m"),""))</f>
        <v/>
      </c>
      <c r="AN142" s="49" t="str">
        <f aca="false">IF(OR(Q142="",AM142=""),"",60+2*Q142-AM142)</f>
        <v/>
      </c>
      <c r="AO142" s="49" t="str">
        <f aca="false">IF(OR(G142="",AJ142=""),"",AJ142-G142)</f>
        <v/>
      </c>
      <c r="AP142" s="50" t="str">
        <f aca="false">IF(AND(A142="",B142=""),"",IF(J142="","Status needed",IF(OR(J142="Applied",J142="Visit booked",J142="Withdrawn"),"OK",IF(G142="","Date assessed needed",IF(C142="","Date of birth needed",IF(COUNTA(L142,M142,P142,U142,V142,X142)&lt;6,"Band missing",IF(AND(OR(J142="Decision confirmed",J142="Family told",J142="Enrolled"),AG142=""),"Recommendation needed",IF(AND(OR(J142="Family told",J142="Enrolled"),AJ142=""),"Date family told needed","OK"))))))))</f>
        <v/>
      </c>
    </row>
    <row r="143" customFormat="false" ht="15" hidden="false" customHeight="false" outlineLevel="0" collapsed="false">
      <c r="A143" s="7"/>
      <c r="B143" s="7"/>
      <c r="C143" s="46"/>
      <c r="D143" s="7"/>
      <c r="E143" s="47"/>
      <c r="F143" s="46"/>
      <c r="G143" s="46"/>
      <c r="H143" s="7"/>
      <c r="I143" s="7"/>
      <c r="J143" s="47"/>
      <c r="K143" s="47"/>
      <c r="L143" s="47"/>
      <c r="M143" s="47"/>
      <c r="N143" s="10"/>
      <c r="O143" s="47"/>
      <c r="P143" s="47"/>
      <c r="Q143" s="47"/>
      <c r="R143" s="48" t="str">
        <f aca="false">IF(Q143="","",IF(Q143=0,"below 5:00",IF(Q143&gt;=66,"16:00 or above",INT((60+2*Q143)/12)&amp;":"&amp;TEXT(MOD(60+2*Q143,12),"00"))))</f>
        <v/>
      </c>
      <c r="S143" s="47"/>
      <c r="T143" s="47"/>
      <c r="U143" s="47"/>
      <c r="V143" s="47"/>
      <c r="W143" s="47"/>
      <c r="X143" s="47"/>
      <c r="Y143" s="47"/>
      <c r="Z143" s="47"/>
      <c r="AA143" s="10"/>
      <c r="AB143" s="10"/>
      <c r="AC143" s="47"/>
      <c r="AD143" s="47"/>
      <c r="AE143" s="47"/>
      <c r="AF143" s="47"/>
      <c r="AG143" s="47"/>
      <c r="AH143" s="47"/>
      <c r="AI143" s="46"/>
      <c r="AJ143" s="46"/>
      <c r="AK143" s="46"/>
      <c r="AL143" s="7"/>
      <c r="AM143" s="49" t="str">
        <f aca="false">IF(OR(C143="",G143=""),"",IFERROR(DATEDIF(C143,G143,"m"),""))</f>
        <v/>
      </c>
      <c r="AN143" s="49" t="str">
        <f aca="false">IF(OR(Q143="",AM143=""),"",60+2*Q143-AM143)</f>
        <v/>
      </c>
      <c r="AO143" s="49" t="str">
        <f aca="false">IF(OR(G143="",AJ143=""),"",AJ143-G143)</f>
        <v/>
      </c>
      <c r="AP143" s="50" t="str">
        <f aca="false">IF(AND(A143="",B143=""),"",IF(J143="","Status needed",IF(OR(J143="Applied",J143="Visit booked",J143="Withdrawn"),"OK",IF(G143="","Date assessed needed",IF(C143="","Date of birth needed",IF(COUNTA(L143,M143,P143,U143,V143,X143)&lt;6,"Band missing",IF(AND(OR(J143="Decision confirmed",J143="Family told",J143="Enrolled"),AG143=""),"Recommendation needed",IF(AND(OR(J143="Family told",J143="Enrolled"),AJ143=""),"Date family told needed","OK"))))))))</f>
        <v/>
      </c>
    </row>
    <row r="144" customFormat="false" ht="15" hidden="false" customHeight="false" outlineLevel="0" collapsed="false">
      <c r="A144" s="7"/>
      <c r="B144" s="7"/>
      <c r="C144" s="46"/>
      <c r="D144" s="7"/>
      <c r="E144" s="47"/>
      <c r="F144" s="46"/>
      <c r="G144" s="46"/>
      <c r="H144" s="7"/>
      <c r="I144" s="7"/>
      <c r="J144" s="47"/>
      <c r="K144" s="47"/>
      <c r="L144" s="47"/>
      <c r="M144" s="47"/>
      <c r="N144" s="10"/>
      <c r="O144" s="47"/>
      <c r="P144" s="47"/>
      <c r="Q144" s="47"/>
      <c r="R144" s="48" t="str">
        <f aca="false">IF(Q144="","",IF(Q144=0,"below 5:00",IF(Q144&gt;=66,"16:00 or above",INT((60+2*Q144)/12)&amp;":"&amp;TEXT(MOD(60+2*Q144,12),"00"))))</f>
        <v/>
      </c>
      <c r="S144" s="47"/>
      <c r="T144" s="47"/>
      <c r="U144" s="47"/>
      <c r="V144" s="47"/>
      <c r="W144" s="47"/>
      <c r="X144" s="47"/>
      <c r="Y144" s="47"/>
      <c r="Z144" s="47"/>
      <c r="AA144" s="10"/>
      <c r="AB144" s="10"/>
      <c r="AC144" s="47"/>
      <c r="AD144" s="47"/>
      <c r="AE144" s="47"/>
      <c r="AF144" s="47"/>
      <c r="AG144" s="47"/>
      <c r="AH144" s="47"/>
      <c r="AI144" s="46"/>
      <c r="AJ144" s="46"/>
      <c r="AK144" s="46"/>
      <c r="AL144" s="7"/>
      <c r="AM144" s="49" t="str">
        <f aca="false">IF(OR(C144="",G144=""),"",IFERROR(DATEDIF(C144,G144,"m"),""))</f>
        <v/>
      </c>
      <c r="AN144" s="49" t="str">
        <f aca="false">IF(OR(Q144="",AM144=""),"",60+2*Q144-AM144)</f>
        <v/>
      </c>
      <c r="AO144" s="49" t="str">
        <f aca="false">IF(OR(G144="",AJ144=""),"",AJ144-G144)</f>
        <v/>
      </c>
      <c r="AP144" s="50" t="str">
        <f aca="false">IF(AND(A144="",B144=""),"",IF(J144="","Status needed",IF(OR(J144="Applied",J144="Visit booked",J144="Withdrawn"),"OK",IF(G144="","Date assessed needed",IF(C144="","Date of birth needed",IF(COUNTA(L144,M144,P144,U144,V144,X144)&lt;6,"Band missing",IF(AND(OR(J144="Decision confirmed",J144="Family told",J144="Enrolled"),AG144=""),"Recommendation needed",IF(AND(OR(J144="Family told",J144="Enrolled"),AJ144=""),"Date family told needed","OK"))))))))</f>
        <v/>
      </c>
    </row>
    <row r="145" customFormat="false" ht="15" hidden="false" customHeight="false" outlineLevel="0" collapsed="false">
      <c r="A145" s="7"/>
      <c r="B145" s="7"/>
      <c r="C145" s="46"/>
      <c r="D145" s="7"/>
      <c r="E145" s="47"/>
      <c r="F145" s="46"/>
      <c r="G145" s="46"/>
      <c r="H145" s="7"/>
      <c r="I145" s="7"/>
      <c r="J145" s="47"/>
      <c r="K145" s="47"/>
      <c r="L145" s="47"/>
      <c r="M145" s="47"/>
      <c r="N145" s="10"/>
      <c r="O145" s="47"/>
      <c r="P145" s="47"/>
      <c r="Q145" s="47"/>
      <c r="R145" s="48" t="str">
        <f aca="false">IF(Q145="","",IF(Q145=0,"below 5:00",IF(Q145&gt;=66,"16:00 or above",INT((60+2*Q145)/12)&amp;":"&amp;TEXT(MOD(60+2*Q145,12),"00"))))</f>
        <v/>
      </c>
      <c r="S145" s="47"/>
      <c r="T145" s="47"/>
      <c r="U145" s="47"/>
      <c r="V145" s="47"/>
      <c r="W145" s="47"/>
      <c r="X145" s="47"/>
      <c r="Y145" s="47"/>
      <c r="Z145" s="47"/>
      <c r="AA145" s="10"/>
      <c r="AB145" s="10"/>
      <c r="AC145" s="47"/>
      <c r="AD145" s="47"/>
      <c r="AE145" s="47"/>
      <c r="AF145" s="47"/>
      <c r="AG145" s="47"/>
      <c r="AH145" s="47"/>
      <c r="AI145" s="46"/>
      <c r="AJ145" s="46"/>
      <c r="AK145" s="46"/>
      <c r="AL145" s="7"/>
      <c r="AM145" s="49" t="str">
        <f aca="false">IF(OR(C145="",G145=""),"",IFERROR(DATEDIF(C145,G145,"m"),""))</f>
        <v/>
      </c>
      <c r="AN145" s="49" t="str">
        <f aca="false">IF(OR(Q145="",AM145=""),"",60+2*Q145-AM145)</f>
        <v/>
      </c>
      <c r="AO145" s="49" t="str">
        <f aca="false">IF(OR(G145="",AJ145=""),"",AJ145-G145)</f>
        <v/>
      </c>
      <c r="AP145" s="50" t="str">
        <f aca="false">IF(AND(A145="",B145=""),"",IF(J145="","Status needed",IF(OR(J145="Applied",J145="Visit booked",J145="Withdrawn"),"OK",IF(G145="","Date assessed needed",IF(C145="","Date of birth needed",IF(COUNTA(L145,M145,P145,U145,V145,X145)&lt;6,"Band missing",IF(AND(OR(J145="Decision confirmed",J145="Family told",J145="Enrolled"),AG145=""),"Recommendation needed",IF(AND(OR(J145="Family told",J145="Enrolled"),AJ145=""),"Date family told needed","OK"))))))))</f>
        <v/>
      </c>
    </row>
    <row r="146" customFormat="false" ht="15" hidden="false" customHeight="false" outlineLevel="0" collapsed="false">
      <c r="A146" s="7"/>
      <c r="B146" s="7"/>
      <c r="C146" s="46"/>
      <c r="D146" s="7"/>
      <c r="E146" s="47"/>
      <c r="F146" s="46"/>
      <c r="G146" s="46"/>
      <c r="H146" s="7"/>
      <c r="I146" s="7"/>
      <c r="J146" s="47"/>
      <c r="K146" s="47"/>
      <c r="L146" s="47"/>
      <c r="M146" s="47"/>
      <c r="N146" s="10"/>
      <c r="O146" s="47"/>
      <c r="P146" s="47"/>
      <c r="Q146" s="47"/>
      <c r="R146" s="48" t="str">
        <f aca="false">IF(Q146="","",IF(Q146=0,"below 5:00",IF(Q146&gt;=66,"16:00 or above",INT((60+2*Q146)/12)&amp;":"&amp;TEXT(MOD(60+2*Q146,12),"00"))))</f>
        <v/>
      </c>
      <c r="S146" s="47"/>
      <c r="T146" s="47"/>
      <c r="U146" s="47"/>
      <c r="V146" s="47"/>
      <c r="W146" s="47"/>
      <c r="X146" s="47"/>
      <c r="Y146" s="47"/>
      <c r="Z146" s="47"/>
      <c r="AA146" s="10"/>
      <c r="AB146" s="10"/>
      <c r="AC146" s="47"/>
      <c r="AD146" s="47"/>
      <c r="AE146" s="47"/>
      <c r="AF146" s="47"/>
      <c r="AG146" s="47"/>
      <c r="AH146" s="47"/>
      <c r="AI146" s="46"/>
      <c r="AJ146" s="46"/>
      <c r="AK146" s="46"/>
      <c r="AL146" s="7"/>
      <c r="AM146" s="49" t="str">
        <f aca="false">IF(OR(C146="",G146=""),"",IFERROR(DATEDIF(C146,G146,"m"),""))</f>
        <v/>
      </c>
      <c r="AN146" s="49" t="str">
        <f aca="false">IF(OR(Q146="",AM146=""),"",60+2*Q146-AM146)</f>
        <v/>
      </c>
      <c r="AO146" s="49" t="str">
        <f aca="false">IF(OR(G146="",AJ146=""),"",AJ146-G146)</f>
        <v/>
      </c>
      <c r="AP146" s="50" t="str">
        <f aca="false">IF(AND(A146="",B146=""),"",IF(J146="","Status needed",IF(OR(J146="Applied",J146="Visit booked",J146="Withdrawn"),"OK",IF(G146="","Date assessed needed",IF(C146="","Date of birth needed",IF(COUNTA(L146,M146,P146,U146,V146,X146)&lt;6,"Band missing",IF(AND(OR(J146="Decision confirmed",J146="Family told",J146="Enrolled"),AG146=""),"Recommendation needed",IF(AND(OR(J146="Family told",J146="Enrolled"),AJ146=""),"Date family told needed","OK"))))))))</f>
        <v/>
      </c>
    </row>
    <row r="147" customFormat="false" ht="15" hidden="false" customHeight="false" outlineLevel="0" collapsed="false">
      <c r="A147" s="7"/>
      <c r="B147" s="7"/>
      <c r="C147" s="46"/>
      <c r="D147" s="7"/>
      <c r="E147" s="47"/>
      <c r="F147" s="46"/>
      <c r="G147" s="46"/>
      <c r="H147" s="7"/>
      <c r="I147" s="7"/>
      <c r="J147" s="47"/>
      <c r="K147" s="47"/>
      <c r="L147" s="47"/>
      <c r="M147" s="47"/>
      <c r="N147" s="10"/>
      <c r="O147" s="47"/>
      <c r="P147" s="47"/>
      <c r="Q147" s="47"/>
      <c r="R147" s="48" t="str">
        <f aca="false">IF(Q147="","",IF(Q147=0,"below 5:00",IF(Q147&gt;=66,"16:00 or above",INT((60+2*Q147)/12)&amp;":"&amp;TEXT(MOD(60+2*Q147,12),"00"))))</f>
        <v/>
      </c>
      <c r="S147" s="47"/>
      <c r="T147" s="47"/>
      <c r="U147" s="47"/>
      <c r="V147" s="47"/>
      <c r="W147" s="47"/>
      <c r="X147" s="47"/>
      <c r="Y147" s="47"/>
      <c r="Z147" s="47"/>
      <c r="AA147" s="10"/>
      <c r="AB147" s="10"/>
      <c r="AC147" s="47"/>
      <c r="AD147" s="47"/>
      <c r="AE147" s="47"/>
      <c r="AF147" s="47"/>
      <c r="AG147" s="47"/>
      <c r="AH147" s="47"/>
      <c r="AI147" s="46"/>
      <c r="AJ147" s="46"/>
      <c r="AK147" s="46"/>
      <c r="AL147" s="7"/>
      <c r="AM147" s="49" t="str">
        <f aca="false">IF(OR(C147="",G147=""),"",IFERROR(DATEDIF(C147,G147,"m"),""))</f>
        <v/>
      </c>
      <c r="AN147" s="49" t="str">
        <f aca="false">IF(OR(Q147="",AM147=""),"",60+2*Q147-AM147)</f>
        <v/>
      </c>
      <c r="AO147" s="49" t="str">
        <f aca="false">IF(OR(G147="",AJ147=""),"",AJ147-G147)</f>
        <v/>
      </c>
      <c r="AP147" s="50" t="str">
        <f aca="false">IF(AND(A147="",B147=""),"",IF(J147="","Status needed",IF(OR(J147="Applied",J147="Visit booked",J147="Withdrawn"),"OK",IF(G147="","Date assessed needed",IF(C147="","Date of birth needed",IF(COUNTA(L147,M147,P147,U147,V147,X147)&lt;6,"Band missing",IF(AND(OR(J147="Decision confirmed",J147="Family told",J147="Enrolled"),AG147=""),"Recommendation needed",IF(AND(OR(J147="Family told",J147="Enrolled"),AJ147=""),"Date family told needed","OK"))))))))</f>
        <v/>
      </c>
    </row>
    <row r="148" customFormat="false" ht="15" hidden="false" customHeight="false" outlineLevel="0" collapsed="false">
      <c r="A148" s="7"/>
      <c r="B148" s="7"/>
      <c r="C148" s="46"/>
      <c r="D148" s="7"/>
      <c r="E148" s="47"/>
      <c r="F148" s="46"/>
      <c r="G148" s="46"/>
      <c r="H148" s="7"/>
      <c r="I148" s="7"/>
      <c r="J148" s="47"/>
      <c r="K148" s="47"/>
      <c r="L148" s="47"/>
      <c r="M148" s="47"/>
      <c r="N148" s="10"/>
      <c r="O148" s="47"/>
      <c r="P148" s="47"/>
      <c r="Q148" s="47"/>
      <c r="R148" s="48" t="str">
        <f aca="false">IF(Q148="","",IF(Q148=0,"below 5:00",IF(Q148&gt;=66,"16:00 or above",INT((60+2*Q148)/12)&amp;":"&amp;TEXT(MOD(60+2*Q148,12),"00"))))</f>
        <v/>
      </c>
      <c r="S148" s="47"/>
      <c r="T148" s="47"/>
      <c r="U148" s="47"/>
      <c r="V148" s="47"/>
      <c r="W148" s="47"/>
      <c r="X148" s="47"/>
      <c r="Y148" s="47"/>
      <c r="Z148" s="47"/>
      <c r="AA148" s="10"/>
      <c r="AB148" s="10"/>
      <c r="AC148" s="47"/>
      <c r="AD148" s="47"/>
      <c r="AE148" s="47"/>
      <c r="AF148" s="47"/>
      <c r="AG148" s="47"/>
      <c r="AH148" s="47"/>
      <c r="AI148" s="46"/>
      <c r="AJ148" s="46"/>
      <c r="AK148" s="46"/>
      <c r="AL148" s="7"/>
      <c r="AM148" s="49" t="str">
        <f aca="false">IF(OR(C148="",G148=""),"",IFERROR(DATEDIF(C148,G148,"m"),""))</f>
        <v/>
      </c>
      <c r="AN148" s="49" t="str">
        <f aca="false">IF(OR(Q148="",AM148=""),"",60+2*Q148-AM148)</f>
        <v/>
      </c>
      <c r="AO148" s="49" t="str">
        <f aca="false">IF(OR(G148="",AJ148=""),"",AJ148-G148)</f>
        <v/>
      </c>
      <c r="AP148" s="50" t="str">
        <f aca="false">IF(AND(A148="",B148=""),"",IF(J148="","Status needed",IF(OR(J148="Applied",J148="Visit booked",J148="Withdrawn"),"OK",IF(G148="","Date assessed needed",IF(C148="","Date of birth needed",IF(COUNTA(L148,M148,P148,U148,V148,X148)&lt;6,"Band missing",IF(AND(OR(J148="Decision confirmed",J148="Family told",J148="Enrolled"),AG148=""),"Recommendation needed",IF(AND(OR(J148="Family told",J148="Enrolled"),AJ148=""),"Date family told needed","OK"))))))))</f>
        <v/>
      </c>
    </row>
    <row r="149" customFormat="false" ht="15" hidden="false" customHeight="false" outlineLevel="0" collapsed="false">
      <c r="A149" s="7"/>
      <c r="B149" s="7"/>
      <c r="C149" s="46"/>
      <c r="D149" s="7"/>
      <c r="E149" s="47"/>
      <c r="F149" s="46"/>
      <c r="G149" s="46"/>
      <c r="H149" s="7"/>
      <c r="I149" s="7"/>
      <c r="J149" s="47"/>
      <c r="K149" s="47"/>
      <c r="L149" s="47"/>
      <c r="M149" s="47"/>
      <c r="N149" s="10"/>
      <c r="O149" s="47"/>
      <c r="P149" s="47"/>
      <c r="Q149" s="47"/>
      <c r="R149" s="48" t="str">
        <f aca="false">IF(Q149="","",IF(Q149=0,"below 5:00",IF(Q149&gt;=66,"16:00 or above",INT((60+2*Q149)/12)&amp;":"&amp;TEXT(MOD(60+2*Q149,12),"00"))))</f>
        <v/>
      </c>
      <c r="S149" s="47"/>
      <c r="T149" s="47"/>
      <c r="U149" s="47"/>
      <c r="V149" s="47"/>
      <c r="W149" s="47"/>
      <c r="X149" s="47"/>
      <c r="Y149" s="47"/>
      <c r="Z149" s="47"/>
      <c r="AA149" s="10"/>
      <c r="AB149" s="10"/>
      <c r="AC149" s="47"/>
      <c r="AD149" s="47"/>
      <c r="AE149" s="47"/>
      <c r="AF149" s="47"/>
      <c r="AG149" s="47"/>
      <c r="AH149" s="47"/>
      <c r="AI149" s="46"/>
      <c r="AJ149" s="46"/>
      <c r="AK149" s="46"/>
      <c r="AL149" s="7"/>
      <c r="AM149" s="49" t="str">
        <f aca="false">IF(OR(C149="",G149=""),"",IFERROR(DATEDIF(C149,G149,"m"),""))</f>
        <v/>
      </c>
      <c r="AN149" s="49" t="str">
        <f aca="false">IF(OR(Q149="",AM149=""),"",60+2*Q149-AM149)</f>
        <v/>
      </c>
      <c r="AO149" s="49" t="str">
        <f aca="false">IF(OR(G149="",AJ149=""),"",AJ149-G149)</f>
        <v/>
      </c>
      <c r="AP149" s="50" t="str">
        <f aca="false">IF(AND(A149="",B149=""),"",IF(J149="","Status needed",IF(OR(J149="Applied",J149="Visit booked",J149="Withdrawn"),"OK",IF(G149="","Date assessed needed",IF(C149="","Date of birth needed",IF(COUNTA(L149,M149,P149,U149,V149,X149)&lt;6,"Band missing",IF(AND(OR(J149="Decision confirmed",J149="Family told",J149="Enrolled"),AG149=""),"Recommendation needed",IF(AND(OR(J149="Family told",J149="Enrolled"),AJ149=""),"Date family told needed","OK"))))))))</f>
        <v/>
      </c>
    </row>
    <row r="150" customFormat="false" ht="15" hidden="false" customHeight="false" outlineLevel="0" collapsed="false">
      <c r="A150" s="7"/>
      <c r="B150" s="7"/>
      <c r="C150" s="46"/>
      <c r="D150" s="7"/>
      <c r="E150" s="47"/>
      <c r="F150" s="46"/>
      <c r="G150" s="46"/>
      <c r="H150" s="7"/>
      <c r="I150" s="7"/>
      <c r="J150" s="47"/>
      <c r="K150" s="47"/>
      <c r="L150" s="47"/>
      <c r="M150" s="47"/>
      <c r="N150" s="10"/>
      <c r="O150" s="47"/>
      <c r="P150" s="47"/>
      <c r="Q150" s="47"/>
      <c r="R150" s="48" t="str">
        <f aca="false">IF(Q150="","",IF(Q150=0,"below 5:00",IF(Q150&gt;=66,"16:00 or above",INT((60+2*Q150)/12)&amp;":"&amp;TEXT(MOD(60+2*Q150,12),"00"))))</f>
        <v/>
      </c>
      <c r="S150" s="47"/>
      <c r="T150" s="47"/>
      <c r="U150" s="47"/>
      <c r="V150" s="47"/>
      <c r="W150" s="47"/>
      <c r="X150" s="47"/>
      <c r="Y150" s="47"/>
      <c r="Z150" s="47"/>
      <c r="AA150" s="10"/>
      <c r="AB150" s="10"/>
      <c r="AC150" s="47"/>
      <c r="AD150" s="47"/>
      <c r="AE150" s="47"/>
      <c r="AF150" s="47"/>
      <c r="AG150" s="47"/>
      <c r="AH150" s="47"/>
      <c r="AI150" s="46"/>
      <c r="AJ150" s="46"/>
      <c r="AK150" s="46"/>
      <c r="AL150" s="7"/>
      <c r="AM150" s="49" t="str">
        <f aca="false">IF(OR(C150="",G150=""),"",IFERROR(DATEDIF(C150,G150,"m"),""))</f>
        <v/>
      </c>
      <c r="AN150" s="49" t="str">
        <f aca="false">IF(OR(Q150="",AM150=""),"",60+2*Q150-AM150)</f>
        <v/>
      </c>
      <c r="AO150" s="49" t="str">
        <f aca="false">IF(OR(G150="",AJ150=""),"",AJ150-G150)</f>
        <v/>
      </c>
      <c r="AP150" s="50" t="str">
        <f aca="false">IF(AND(A150="",B150=""),"",IF(J150="","Status needed",IF(OR(J150="Applied",J150="Visit booked",J150="Withdrawn"),"OK",IF(G150="","Date assessed needed",IF(C150="","Date of birth needed",IF(COUNTA(L150,M150,P150,U150,V150,X150)&lt;6,"Band missing",IF(AND(OR(J150="Decision confirmed",J150="Family told",J150="Enrolled"),AG150=""),"Recommendation needed",IF(AND(OR(J150="Family told",J150="Enrolled"),AJ150=""),"Date family told needed","OK"))))))))</f>
        <v/>
      </c>
    </row>
    <row r="151" customFormat="false" ht="15" hidden="false" customHeight="false" outlineLevel="0" collapsed="false">
      <c r="A151" s="7"/>
      <c r="B151" s="7"/>
      <c r="C151" s="46"/>
      <c r="D151" s="7"/>
      <c r="E151" s="47"/>
      <c r="F151" s="46"/>
      <c r="G151" s="46"/>
      <c r="H151" s="7"/>
      <c r="I151" s="7"/>
      <c r="J151" s="47"/>
      <c r="K151" s="47"/>
      <c r="L151" s="47"/>
      <c r="M151" s="47"/>
      <c r="N151" s="10"/>
      <c r="O151" s="47"/>
      <c r="P151" s="47"/>
      <c r="Q151" s="47"/>
      <c r="R151" s="48" t="str">
        <f aca="false">IF(Q151="","",IF(Q151=0,"below 5:00",IF(Q151&gt;=66,"16:00 or above",INT((60+2*Q151)/12)&amp;":"&amp;TEXT(MOD(60+2*Q151,12),"00"))))</f>
        <v/>
      </c>
      <c r="S151" s="47"/>
      <c r="T151" s="47"/>
      <c r="U151" s="47"/>
      <c r="V151" s="47"/>
      <c r="W151" s="47"/>
      <c r="X151" s="47"/>
      <c r="Y151" s="47"/>
      <c r="Z151" s="47"/>
      <c r="AA151" s="10"/>
      <c r="AB151" s="10"/>
      <c r="AC151" s="47"/>
      <c r="AD151" s="47"/>
      <c r="AE151" s="47"/>
      <c r="AF151" s="47"/>
      <c r="AG151" s="47"/>
      <c r="AH151" s="47"/>
      <c r="AI151" s="46"/>
      <c r="AJ151" s="46"/>
      <c r="AK151" s="46"/>
      <c r="AL151" s="7"/>
      <c r="AM151" s="49" t="str">
        <f aca="false">IF(OR(C151="",G151=""),"",IFERROR(DATEDIF(C151,G151,"m"),""))</f>
        <v/>
      </c>
      <c r="AN151" s="49" t="str">
        <f aca="false">IF(OR(Q151="",AM151=""),"",60+2*Q151-AM151)</f>
        <v/>
      </c>
      <c r="AO151" s="49" t="str">
        <f aca="false">IF(OR(G151="",AJ151=""),"",AJ151-G151)</f>
        <v/>
      </c>
      <c r="AP151" s="50" t="str">
        <f aca="false">IF(AND(A151="",B151=""),"",IF(J151="","Status needed",IF(OR(J151="Applied",J151="Visit booked",J151="Withdrawn"),"OK",IF(G151="","Date assessed needed",IF(C151="","Date of birth needed",IF(COUNTA(L151,M151,P151,U151,V151,X151)&lt;6,"Band missing",IF(AND(OR(J151="Decision confirmed",J151="Family told",J151="Enrolled"),AG151=""),"Recommendation needed",IF(AND(OR(J151="Family told",J151="Enrolled"),AJ151=""),"Date family told needed","OK"))))))))</f>
        <v/>
      </c>
    </row>
    <row r="152" customFormat="false" ht="15" hidden="false" customHeight="false" outlineLevel="0" collapsed="false">
      <c r="A152" s="7"/>
      <c r="B152" s="7"/>
      <c r="C152" s="46"/>
      <c r="D152" s="7"/>
      <c r="E152" s="47"/>
      <c r="F152" s="46"/>
      <c r="G152" s="46"/>
      <c r="H152" s="7"/>
      <c r="I152" s="7"/>
      <c r="J152" s="47"/>
      <c r="K152" s="47"/>
      <c r="L152" s="47"/>
      <c r="M152" s="47"/>
      <c r="N152" s="10"/>
      <c r="O152" s="47"/>
      <c r="P152" s="47"/>
      <c r="Q152" s="47"/>
      <c r="R152" s="48" t="str">
        <f aca="false">IF(Q152="","",IF(Q152=0,"below 5:00",IF(Q152&gt;=66,"16:00 or above",INT((60+2*Q152)/12)&amp;":"&amp;TEXT(MOD(60+2*Q152,12),"00"))))</f>
        <v/>
      </c>
      <c r="S152" s="47"/>
      <c r="T152" s="47"/>
      <c r="U152" s="47"/>
      <c r="V152" s="47"/>
      <c r="W152" s="47"/>
      <c r="X152" s="47"/>
      <c r="Y152" s="47"/>
      <c r="Z152" s="47"/>
      <c r="AA152" s="10"/>
      <c r="AB152" s="10"/>
      <c r="AC152" s="47"/>
      <c r="AD152" s="47"/>
      <c r="AE152" s="47"/>
      <c r="AF152" s="47"/>
      <c r="AG152" s="47"/>
      <c r="AH152" s="47"/>
      <c r="AI152" s="46"/>
      <c r="AJ152" s="46"/>
      <c r="AK152" s="46"/>
      <c r="AL152" s="7"/>
      <c r="AM152" s="49" t="str">
        <f aca="false">IF(OR(C152="",G152=""),"",IFERROR(DATEDIF(C152,G152,"m"),""))</f>
        <v/>
      </c>
      <c r="AN152" s="49" t="str">
        <f aca="false">IF(OR(Q152="",AM152=""),"",60+2*Q152-AM152)</f>
        <v/>
      </c>
      <c r="AO152" s="49" t="str">
        <f aca="false">IF(OR(G152="",AJ152=""),"",AJ152-G152)</f>
        <v/>
      </c>
      <c r="AP152" s="50" t="str">
        <f aca="false">IF(AND(A152="",B152=""),"",IF(J152="","Status needed",IF(OR(J152="Applied",J152="Visit booked",J152="Withdrawn"),"OK",IF(G152="","Date assessed needed",IF(C152="","Date of birth needed",IF(COUNTA(L152,M152,P152,U152,V152,X152)&lt;6,"Band missing",IF(AND(OR(J152="Decision confirmed",J152="Family told",J152="Enrolled"),AG152=""),"Recommendation needed",IF(AND(OR(J152="Family told",J152="Enrolled"),AJ152=""),"Date family told needed","OK"))))))))</f>
        <v/>
      </c>
    </row>
    <row r="153" customFormat="false" ht="15" hidden="false" customHeight="false" outlineLevel="0" collapsed="false">
      <c r="A153" s="7"/>
      <c r="B153" s="7"/>
      <c r="C153" s="46"/>
      <c r="D153" s="7"/>
      <c r="E153" s="47"/>
      <c r="F153" s="46"/>
      <c r="G153" s="46"/>
      <c r="H153" s="7"/>
      <c r="I153" s="7"/>
      <c r="J153" s="47"/>
      <c r="K153" s="47"/>
      <c r="L153" s="47"/>
      <c r="M153" s="47"/>
      <c r="N153" s="10"/>
      <c r="O153" s="47"/>
      <c r="P153" s="47"/>
      <c r="Q153" s="47"/>
      <c r="R153" s="48" t="str">
        <f aca="false">IF(Q153="","",IF(Q153=0,"below 5:00",IF(Q153&gt;=66,"16:00 or above",INT((60+2*Q153)/12)&amp;":"&amp;TEXT(MOD(60+2*Q153,12),"00"))))</f>
        <v/>
      </c>
      <c r="S153" s="47"/>
      <c r="T153" s="47"/>
      <c r="U153" s="47"/>
      <c r="V153" s="47"/>
      <c r="W153" s="47"/>
      <c r="X153" s="47"/>
      <c r="Y153" s="47"/>
      <c r="Z153" s="47"/>
      <c r="AA153" s="10"/>
      <c r="AB153" s="10"/>
      <c r="AC153" s="47"/>
      <c r="AD153" s="47"/>
      <c r="AE153" s="47"/>
      <c r="AF153" s="47"/>
      <c r="AG153" s="47"/>
      <c r="AH153" s="47"/>
      <c r="AI153" s="46"/>
      <c r="AJ153" s="46"/>
      <c r="AK153" s="46"/>
      <c r="AL153" s="7"/>
      <c r="AM153" s="49" t="str">
        <f aca="false">IF(OR(C153="",G153=""),"",IFERROR(DATEDIF(C153,G153,"m"),""))</f>
        <v/>
      </c>
      <c r="AN153" s="49" t="str">
        <f aca="false">IF(OR(Q153="",AM153=""),"",60+2*Q153-AM153)</f>
        <v/>
      </c>
      <c r="AO153" s="49" t="str">
        <f aca="false">IF(OR(G153="",AJ153=""),"",AJ153-G153)</f>
        <v/>
      </c>
      <c r="AP153" s="50" t="str">
        <f aca="false">IF(AND(A153="",B153=""),"",IF(J153="","Status needed",IF(OR(J153="Applied",J153="Visit booked",J153="Withdrawn"),"OK",IF(G153="","Date assessed needed",IF(C153="","Date of birth needed",IF(COUNTA(L153,M153,P153,U153,V153,X153)&lt;6,"Band missing",IF(AND(OR(J153="Decision confirmed",J153="Family told",J153="Enrolled"),AG153=""),"Recommendation needed",IF(AND(OR(J153="Family told",J153="Enrolled"),AJ153=""),"Date family told needed","OK"))))))))</f>
        <v/>
      </c>
    </row>
    <row r="154" customFormat="false" ht="15" hidden="false" customHeight="false" outlineLevel="0" collapsed="false">
      <c r="A154" s="7"/>
      <c r="B154" s="7"/>
      <c r="C154" s="46"/>
      <c r="D154" s="7"/>
      <c r="E154" s="47"/>
      <c r="F154" s="46"/>
      <c r="G154" s="46"/>
      <c r="H154" s="7"/>
      <c r="I154" s="7"/>
      <c r="J154" s="47"/>
      <c r="K154" s="47"/>
      <c r="L154" s="47"/>
      <c r="M154" s="47"/>
      <c r="N154" s="10"/>
      <c r="O154" s="47"/>
      <c r="P154" s="47"/>
      <c r="Q154" s="47"/>
      <c r="R154" s="48" t="str">
        <f aca="false">IF(Q154="","",IF(Q154=0,"below 5:00",IF(Q154&gt;=66,"16:00 or above",INT((60+2*Q154)/12)&amp;":"&amp;TEXT(MOD(60+2*Q154,12),"00"))))</f>
        <v/>
      </c>
      <c r="S154" s="47"/>
      <c r="T154" s="47"/>
      <c r="U154" s="47"/>
      <c r="V154" s="47"/>
      <c r="W154" s="47"/>
      <c r="X154" s="47"/>
      <c r="Y154" s="47"/>
      <c r="Z154" s="47"/>
      <c r="AA154" s="10"/>
      <c r="AB154" s="10"/>
      <c r="AC154" s="47"/>
      <c r="AD154" s="47"/>
      <c r="AE154" s="47"/>
      <c r="AF154" s="47"/>
      <c r="AG154" s="47"/>
      <c r="AH154" s="47"/>
      <c r="AI154" s="46"/>
      <c r="AJ154" s="46"/>
      <c r="AK154" s="46"/>
      <c r="AL154" s="7"/>
      <c r="AM154" s="49" t="str">
        <f aca="false">IF(OR(C154="",G154=""),"",IFERROR(DATEDIF(C154,G154,"m"),""))</f>
        <v/>
      </c>
      <c r="AN154" s="49" t="str">
        <f aca="false">IF(OR(Q154="",AM154=""),"",60+2*Q154-AM154)</f>
        <v/>
      </c>
      <c r="AO154" s="49" t="str">
        <f aca="false">IF(OR(G154="",AJ154=""),"",AJ154-G154)</f>
        <v/>
      </c>
      <c r="AP154" s="50" t="str">
        <f aca="false">IF(AND(A154="",B154=""),"",IF(J154="","Status needed",IF(OR(J154="Applied",J154="Visit booked",J154="Withdrawn"),"OK",IF(G154="","Date assessed needed",IF(C154="","Date of birth needed",IF(COUNTA(L154,M154,P154,U154,V154,X154)&lt;6,"Band missing",IF(AND(OR(J154="Decision confirmed",J154="Family told",J154="Enrolled"),AG154=""),"Recommendation needed",IF(AND(OR(J154="Family told",J154="Enrolled"),AJ154=""),"Date family told needed","OK"))))))))</f>
        <v/>
      </c>
    </row>
    <row r="155" customFormat="false" ht="15" hidden="false" customHeight="false" outlineLevel="0" collapsed="false">
      <c r="A155" s="7"/>
      <c r="B155" s="7"/>
      <c r="C155" s="46"/>
      <c r="D155" s="7"/>
      <c r="E155" s="47"/>
      <c r="F155" s="46"/>
      <c r="G155" s="46"/>
      <c r="H155" s="7"/>
      <c r="I155" s="7"/>
      <c r="J155" s="47"/>
      <c r="K155" s="47"/>
      <c r="L155" s="47"/>
      <c r="M155" s="47"/>
      <c r="N155" s="10"/>
      <c r="O155" s="47"/>
      <c r="P155" s="47"/>
      <c r="Q155" s="47"/>
      <c r="R155" s="48" t="str">
        <f aca="false">IF(Q155="","",IF(Q155=0,"below 5:00",IF(Q155&gt;=66,"16:00 or above",INT((60+2*Q155)/12)&amp;":"&amp;TEXT(MOD(60+2*Q155,12),"00"))))</f>
        <v/>
      </c>
      <c r="S155" s="47"/>
      <c r="T155" s="47"/>
      <c r="U155" s="47"/>
      <c r="V155" s="47"/>
      <c r="W155" s="47"/>
      <c r="X155" s="47"/>
      <c r="Y155" s="47"/>
      <c r="Z155" s="47"/>
      <c r="AA155" s="10"/>
      <c r="AB155" s="10"/>
      <c r="AC155" s="47"/>
      <c r="AD155" s="47"/>
      <c r="AE155" s="47"/>
      <c r="AF155" s="47"/>
      <c r="AG155" s="47"/>
      <c r="AH155" s="47"/>
      <c r="AI155" s="46"/>
      <c r="AJ155" s="46"/>
      <c r="AK155" s="46"/>
      <c r="AL155" s="7"/>
      <c r="AM155" s="49" t="str">
        <f aca="false">IF(OR(C155="",G155=""),"",IFERROR(DATEDIF(C155,G155,"m"),""))</f>
        <v/>
      </c>
      <c r="AN155" s="49" t="str">
        <f aca="false">IF(OR(Q155="",AM155=""),"",60+2*Q155-AM155)</f>
        <v/>
      </c>
      <c r="AO155" s="49" t="str">
        <f aca="false">IF(OR(G155="",AJ155=""),"",AJ155-G155)</f>
        <v/>
      </c>
      <c r="AP155" s="50" t="str">
        <f aca="false">IF(AND(A155="",B155=""),"",IF(J155="","Status needed",IF(OR(J155="Applied",J155="Visit booked",J155="Withdrawn"),"OK",IF(G155="","Date assessed needed",IF(C155="","Date of birth needed",IF(COUNTA(L155,M155,P155,U155,V155,X155)&lt;6,"Band missing",IF(AND(OR(J155="Decision confirmed",J155="Family told",J155="Enrolled"),AG155=""),"Recommendation needed",IF(AND(OR(J155="Family told",J155="Enrolled"),AJ155=""),"Date family told needed","OK"))))))))</f>
        <v/>
      </c>
    </row>
    <row r="156" customFormat="false" ht="15" hidden="false" customHeight="false" outlineLevel="0" collapsed="false">
      <c r="A156" s="7"/>
      <c r="B156" s="7"/>
      <c r="C156" s="46"/>
      <c r="D156" s="7"/>
      <c r="E156" s="47"/>
      <c r="F156" s="46"/>
      <c r="G156" s="46"/>
      <c r="H156" s="7"/>
      <c r="I156" s="7"/>
      <c r="J156" s="47"/>
      <c r="K156" s="47"/>
      <c r="L156" s="47"/>
      <c r="M156" s="47"/>
      <c r="N156" s="10"/>
      <c r="O156" s="47"/>
      <c r="P156" s="47"/>
      <c r="Q156" s="47"/>
      <c r="R156" s="48" t="str">
        <f aca="false">IF(Q156="","",IF(Q156=0,"below 5:00",IF(Q156&gt;=66,"16:00 or above",INT((60+2*Q156)/12)&amp;":"&amp;TEXT(MOD(60+2*Q156,12),"00"))))</f>
        <v/>
      </c>
      <c r="S156" s="47"/>
      <c r="T156" s="47"/>
      <c r="U156" s="47"/>
      <c r="V156" s="47"/>
      <c r="W156" s="47"/>
      <c r="X156" s="47"/>
      <c r="Y156" s="47"/>
      <c r="Z156" s="47"/>
      <c r="AA156" s="10"/>
      <c r="AB156" s="10"/>
      <c r="AC156" s="47"/>
      <c r="AD156" s="47"/>
      <c r="AE156" s="47"/>
      <c r="AF156" s="47"/>
      <c r="AG156" s="47"/>
      <c r="AH156" s="47"/>
      <c r="AI156" s="46"/>
      <c r="AJ156" s="46"/>
      <c r="AK156" s="46"/>
      <c r="AL156" s="7"/>
      <c r="AM156" s="49" t="str">
        <f aca="false">IF(OR(C156="",G156=""),"",IFERROR(DATEDIF(C156,G156,"m"),""))</f>
        <v/>
      </c>
      <c r="AN156" s="49" t="str">
        <f aca="false">IF(OR(Q156="",AM156=""),"",60+2*Q156-AM156)</f>
        <v/>
      </c>
      <c r="AO156" s="49" t="str">
        <f aca="false">IF(OR(G156="",AJ156=""),"",AJ156-G156)</f>
        <v/>
      </c>
      <c r="AP156" s="50" t="str">
        <f aca="false">IF(AND(A156="",B156=""),"",IF(J156="","Status needed",IF(OR(J156="Applied",J156="Visit booked",J156="Withdrawn"),"OK",IF(G156="","Date assessed needed",IF(C156="","Date of birth needed",IF(COUNTA(L156,M156,P156,U156,V156,X156)&lt;6,"Band missing",IF(AND(OR(J156="Decision confirmed",J156="Family told",J156="Enrolled"),AG156=""),"Recommendation needed",IF(AND(OR(J156="Family told",J156="Enrolled"),AJ156=""),"Date family told needed","OK"))))))))</f>
        <v/>
      </c>
    </row>
    <row r="157" customFormat="false" ht="15" hidden="false" customHeight="false" outlineLevel="0" collapsed="false">
      <c r="A157" s="7"/>
      <c r="B157" s="7"/>
      <c r="C157" s="46"/>
      <c r="D157" s="7"/>
      <c r="E157" s="47"/>
      <c r="F157" s="46"/>
      <c r="G157" s="46"/>
      <c r="H157" s="7"/>
      <c r="I157" s="7"/>
      <c r="J157" s="47"/>
      <c r="K157" s="47"/>
      <c r="L157" s="47"/>
      <c r="M157" s="47"/>
      <c r="N157" s="10"/>
      <c r="O157" s="47"/>
      <c r="P157" s="47"/>
      <c r="Q157" s="47"/>
      <c r="R157" s="48" t="str">
        <f aca="false">IF(Q157="","",IF(Q157=0,"below 5:00",IF(Q157&gt;=66,"16:00 or above",INT((60+2*Q157)/12)&amp;":"&amp;TEXT(MOD(60+2*Q157,12),"00"))))</f>
        <v/>
      </c>
      <c r="S157" s="47"/>
      <c r="T157" s="47"/>
      <c r="U157" s="47"/>
      <c r="V157" s="47"/>
      <c r="W157" s="47"/>
      <c r="X157" s="47"/>
      <c r="Y157" s="47"/>
      <c r="Z157" s="47"/>
      <c r="AA157" s="10"/>
      <c r="AB157" s="10"/>
      <c r="AC157" s="47"/>
      <c r="AD157" s="47"/>
      <c r="AE157" s="47"/>
      <c r="AF157" s="47"/>
      <c r="AG157" s="47"/>
      <c r="AH157" s="47"/>
      <c r="AI157" s="46"/>
      <c r="AJ157" s="46"/>
      <c r="AK157" s="46"/>
      <c r="AL157" s="7"/>
      <c r="AM157" s="49" t="str">
        <f aca="false">IF(OR(C157="",G157=""),"",IFERROR(DATEDIF(C157,G157,"m"),""))</f>
        <v/>
      </c>
      <c r="AN157" s="49" t="str">
        <f aca="false">IF(OR(Q157="",AM157=""),"",60+2*Q157-AM157)</f>
        <v/>
      </c>
      <c r="AO157" s="49" t="str">
        <f aca="false">IF(OR(G157="",AJ157=""),"",AJ157-G157)</f>
        <v/>
      </c>
      <c r="AP157" s="50" t="str">
        <f aca="false">IF(AND(A157="",B157=""),"",IF(J157="","Status needed",IF(OR(J157="Applied",J157="Visit booked",J157="Withdrawn"),"OK",IF(G157="","Date assessed needed",IF(C157="","Date of birth needed",IF(COUNTA(L157,M157,P157,U157,V157,X157)&lt;6,"Band missing",IF(AND(OR(J157="Decision confirmed",J157="Family told",J157="Enrolled"),AG157=""),"Recommendation needed",IF(AND(OR(J157="Family told",J157="Enrolled"),AJ157=""),"Date family told needed","OK"))))))))</f>
        <v/>
      </c>
    </row>
    <row r="158" customFormat="false" ht="15" hidden="false" customHeight="false" outlineLevel="0" collapsed="false">
      <c r="A158" s="7"/>
      <c r="B158" s="7"/>
      <c r="C158" s="46"/>
      <c r="D158" s="7"/>
      <c r="E158" s="47"/>
      <c r="F158" s="46"/>
      <c r="G158" s="46"/>
      <c r="H158" s="7"/>
      <c r="I158" s="7"/>
      <c r="J158" s="47"/>
      <c r="K158" s="47"/>
      <c r="L158" s="47"/>
      <c r="M158" s="47"/>
      <c r="N158" s="10"/>
      <c r="O158" s="47"/>
      <c r="P158" s="47"/>
      <c r="Q158" s="47"/>
      <c r="R158" s="48" t="str">
        <f aca="false">IF(Q158="","",IF(Q158=0,"below 5:00",IF(Q158&gt;=66,"16:00 or above",INT((60+2*Q158)/12)&amp;":"&amp;TEXT(MOD(60+2*Q158,12),"00"))))</f>
        <v/>
      </c>
      <c r="S158" s="47"/>
      <c r="T158" s="47"/>
      <c r="U158" s="47"/>
      <c r="V158" s="47"/>
      <c r="W158" s="47"/>
      <c r="X158" s="47"/>
      <c r="Y158" s="47"/>
      <c r="Z158" s="47"/>
      <c r="AA158" s="10"/>
      <c r="AB158" s="10"/>
      <c r="AC158" s="47"/>
      <c r="AD158" s="47"/>
      <c r="AE158" s="47"/>
      <c r="AF158" s="47"/>
      <c r="AG158" s="47"/>
      <c r="AH158" s="47"/>
      <c r="AI158" s="46"/>
      <c r="AJ158" s="46"/>
      <c r="AK158" s="46"/>
      <c r="AL158" s="7"/>
      <c r="AM158" s="49" t="str">
        <f aca="false">IF(OR(C158="",G158=""),"",IFERROR(DATEDIF(C158,G158,"m"),""))</f>
        <v/>
      </c>
      <c r="AN158" s="49" t="str">
        <f aca="false">IF(OR(Q158="",AM158=""),"",60+2*Q158-AM158)</f>
        <v/>
      </c>
      <c r="AO158" s="49" t="str">
        <f aca="false">IF(OR(G158="",AJ158=""),"",AJ158-G158)</f>
        <v/>
      </c>
      <c r="AP158" s="50" t="str">
        <f aca="false">IF(AND(A158="",B158=""),"",IF(J158="","Status needed",IF(OR(J158="Applied",J158="Visit booked",J158="Withdrawn"),"OK",IF(G158="","Date assessed needed",IF(C158="","Date of birth needed",IF(COUNTA(L158,M158,P158,U158,V158,X158)&lt;6,"Band missing",IF(AND(OR(J158="Decision confirmed",J158="Family told",J158="Enrolled"),AG158=""),"Recommendation needed",IF(AND(OR(J158="Family told",J158="Enrolled"),AJ158=""),"Date family told needed","OK"))))))))</f>
        <v/>
      </c>
    </row>
    <row r="159" customFormat="false" ht="15" hidden="false" customHeight="false" outlineLevel="0" collapsed="false">
      <c r="A159" s="7"/>
      <c r="B159" s="7"/>
      <c r="C159" s="46"/>
      <c r="D159" s="7"/>
      <c r="E159" s="47"/>
      <c r="F159" s="46"/>
      <c r="G159" s="46"/>
      <c r="H159" s="7"/>
      <c r="I159" s="7"/>
      <c r="J159" s="47"/>
      <c r="K159" s="47"/>
      <c r="L159" s="47"/>
      <c r="M159" s="47"/>
      <c r="N159" s="10"/>
      <c r="O159" s="47"/>
      <c r="P159" s="47"/>
      <c r="Q159" s="47"/>
      <c r="R159" s="48" t="str">
        <f aca="false">IF(Q159="","",IF(Q159=0,"below 5:00",IF(Q159&gt;=66,"16:00 or above",INT((60+2*Q159)/12)&amp;":"&amp;TEXT(MOD(60+2*Q159,12),"00"))))</f>
        <v/>
      </c>
      <c r="S159" s="47"/>
      <c r="T159" s="47"/>
      <c r="U159" s="47"/>
      <c r="V159" s="47"/>
      <c r="W159" s="47"/>
      <c r="X159" s="47"/>
      <c r="Y159" s="47"/>
      <c r="Z159" s="47"/>
      <c r="AA159" s="10"/>
      <c r="AB159" s="10"/>
      <c r="AC159" s="47"/>
      <c r="AD159" s="47"/>
      <c r="AE159" s="47"/>
      <c r="AF159" s="47"/>
      <c r="AG159" s="47"/>
      <c r="AH159" s="47"/>
      <c r="AI159" s="46"/>
      <c r="AJ159" s="46"/>
      <c r="AK159" s="46"/>
      <c r="AL159" s="7"/>
      <c r="AM159" s="49" t="str">
        <f aca="false">IF(OR(C159="",G159=""),"",IFERROR(DATEDIF(C159,G159,"m"),""))</f>
        <v/>
      </c>
      <c r="AN159" s="49" t="str">
        <f aca="false">IF(OR(Q159="",AM159=""),"",60+2*Q159-AM159)</f>
        <v/>
      </c>
      <c r="AO159" s="49" t="str">
        <f aca="false">IF(OR(G159="",AJ159=""),"",AJ159-G159)</f>
        <v/>
      </c>
      <c r="AP159" s="50" t="str">
        <f aca="false">IF(AND(A159="",B159=""),"",IF(J159="","Status needed",IF(OR(J159="Applied",J159="Visit booked",J159="Withdrawn"),"OK",IF(G159="","Date assessed needed",IF(C159="","Date of birth needed",IF(COUNTA(L159,M159,P159,U159,V159,X159)&lt;6,"Band missing",IF(AND(OR(J159="Decision confirmed",J159="Family told",J159="Enrolled"),AG159=""),"Recommendation needed",IF(AND(OR(J159="Family told",J159="Enrolled"),AJ159=""),"Date family told needed","OK"))))))))</f>
        <v/>
      </c>
    </row>
    <row r="160" customFormat="false" ht="15" hidden="false" customHeight="false" outlineLevel="0" collapsed="false">
      <c r="A160" s="7"/>
      <c r="B160" s="7"/>
      <c r="C160" s="46"/>
      <c r="D160" s="7"/>
      <c r="E160" s="47"/>
      <c r="F160" s="46"/>
      <c r="G160" s="46"/>
      <c r="H160" s="7"/>
      <c r="I160" s="7"/>
      <c r="J160" s="47"/>
      <c r="K160" s="47"/>
      <c r="L160" s="47"/>
      <c r="M160" s="47"/>
      <c r="N160" s="10"/>
      <c r="O160" s="47"/>
      <c r="P160" s="47"/>
      <c r="Q160" s="47"/>
      <c r="R160" s="48" t="str">
        <f aca="false">IF(Q160="","",IF(Q160=0,"below 5:00",IF(Q160&gt;=66,"16:00 or above",INT((60+2*Q160)/12)&amp;":"&amp;TEXT(MOD(60+2*Q160,12),"00"))))</f>
        <v/>
      </c>
      <c r="S160" s="47"/>
      <c r="T160" s="47"/>
      <c r="U160" s="47"/>
      <c r="V160" s="47"/>
      <c r="W160" s="47"/>
      <c r="X160" s="47"/>
      <c r="Y160" s="47"/>
      <c r="Z160" s="47"/>
      <c r="AA160" s="10"/>
      <c r="AB160" s="10"/>
      <c r="AC160" s="47"/>
      <c r="AD160" s="47"/>
      <c r="AE160" s="47"/>
      <c r="AF160" s="47"/>
      <c r="AG160" s="47"/>
      <c r="AH160" s="47"/>
      <c r="AI160" s="46"/>
      <c r="AJ160" s="46"/>
      <c r="AK160" s="46"/>
      <c r="AL160" s="7"/>
      <c r="AM160" s="49" t="str">
        <f aca="false">IF(OR(C160="",G160=""),"",IFERROR(DATEDIF(C160,G160,"m"),""))</f>
        <v/>
      </c>
      <c r="AN160" s="49" t="str">
        <f aca="false">IF(OR(Q160="",AM160=""),"",60+2*Q160-AM160)</f>
        <v/>
      </c>
      <c r="AO160" s="49" t="str">
        <f aca="false">IF(OR(G160="",AJ160=""),"",AJ160-G160)</f>
        <v/>
      </c>
      <c r="AP160" s="50" t="str">
        <f aca="false">IF(AND(A160="",B160=""),"",IF(J160="","Status needed",IF(OR(J160="Applied",J160="Visit booked",J160="Withdrawn"),"OK",IF(G160="","Date assessed needed",IF(C160="","Date of birth needed",IF(COUNTA(L160,M160,P160,U160,V160,X160)&lt;6,"Band missing",IF(AND(OR(J160="Decision confirmed",J160="Family told",J160="Enrolled"),AG160=""),"Recommendation needed",IF(AND(OR(J160="Family told",J160="Enrolled"),AJ160=""),"Date family told needed","OK"))))))))</f>
        <v/>
      </c>
    </row>
    <row r="161" customFormat="false" ht="15" hidden="false" customHeight="false" outlineLevel="0" collapsed="false">
      <c r="A161" s="7"/>
      <c r="B161" s="7"/>
      <c r="C161" s="46"/>
      <c r="D161" s="7"/>
      <c r="E161" s="47"/>
      <c r="F161" s="46"/>
      <c r="G161" s="46"/>
      <c r="H161" s="7"/>
      <c r="I161" s="7"/>
      <c r="J161" s="47"/>
      <c r="K161" s="47"/>
      <c r="L161" s="47"/>
      <c r="M161" s="47"/>
      <c r="N161" s="10"/>
      <c r="O161" s="47"/>
      <c r="P161" s="47"/>
      <c r="Q161" s="47"/>
      <c r="R161" s="48" t="str">
        <f aca="false">IF(Q161="","",IF(Q161=0,"below 5:00",IF(Q161&gt;=66,"16:00 or above",INT((60+2*Q161)/12)&amp;":"&amp;TEXT(MOD(60+2*Q161,12),"00"))))</f>
        <v/>
      </c>
      <c r="S161" s="47"/>
      <c r="T161" s="47"/>
      <c r="U161" s="47"/>
      <c r="V161" s="47"/>
      <c r="W161" s="47"/>
      <c r="X161" s="47"/>
      <c r="Y161" s="47"/>
      <c r="Z161" s="47"/>
      <c r="AA161" s="10"/>
      <c r="AB161" s="10"/>
      <c r="AC161" s="47"/>
      <c r="AD161" s="47"/>
      <c r="AE161" s="47"/>
      <c r="AF161" s="47"/>
      <c r="AG161" s="47"/>
      <c r="AH161" s="47"/>
      <c r="AI161" s="46"/>
      <c r="AJ161" s="46"/>
      <c r="AK161" s="46"/>
      <c r="AL161" s="7"/>
      <c r="AM161" s="49" t="str">
        <f aca="false">IF(OR(C161="",G161=""),"",IFERROR(DATEDIF(C161,G161,"m"),""))</f>
        <v/>
      </c>
      <c r="AN161" s="49" t="str">
        <f aca="false">IF(OR(Q161="",AM161=""),"",60+2*Q161-AM161)</f>
        <v/>
      </c>
      <c r="AO161" s="49" t="str">
        <f aca="false">IF(OR(G161="",AJ161=""),"",AJ161-G161)</f>
        <v/>
      </c>
      <c r="AP161" s="50" t="str">
        <f aca="false">IF(AND(A161="",B161=""),"",IF(J161="","Status needed",IF(OR(J161="Applied",J161="Visit booked",J161="Withdrawn"),"OK",IF(G161="","Date assessed needed",IF(C161="","Date of birth needed",IF(COUNTA(L161,M161,P161,U161,V161,X161)&lt;6,"Band missing",IF(AND(OR(J161="Decision confirmed",J161="Family told",J161="Enrolled"),AG161=""),"Recommendation needed",IF(AND(OR(J161="Family told",J161="Enrolled"),AJ161=""),"Date family told needed","OK"))))))))</f>
        <v/>
      </c>
    </row>
    <row r="162" customFormat="false" ht="15" hidden="false" customHeight="false" outlineLevel="0" collapsed="false">
      <c r="A162" s="7"/>
      <c r="B162" s="7"/>
      <c r="C162" s="46"/>
      <c r="D162" s="7"/>
      <c r="E162" s="47"/>
      <c r="F162" s="46"/>
      <c r="G162" s="46"/>
      <c r="H162" s="7"/>
      <c r="I162" s="7"/>
      <c r="J162" s="47"/>
      <c r="K162" s="47"/>
      <c r="L162" s="47"/>
      <c r="M162" s="47"/>
      <c r="N162" s="10"/>
      <c r="O162" s="47"/>
      <c r="P162" s="47"/>
      <c r="Q162" s="47"/>
      <c r="R162" s="48" t="str">
        <f aca="false">IF(Q162="","",IF(Q162=0,"below 5:00",IF(Q162&gt;=66,"16:00 or above",INT((60+2*Q162)/12)&amp;":"&amp;TEXT(MOD(60+2*Q162,12),"00"))))</f>
        <v/>
      </c>
      <c r="S162" s="47"/>
      <c r="T162" s="47"/>
      <c r="U162" s="47"/>
      <c r="V162" s="47"/>
      <c r="W162" s="47"/>
      <c r="X162" s="47"/>
      <c r="Y162" s="47"/>
      <c r="Z162" s="47"/>
      <c r="AA162" s="10"/>
      <c r="AB162" s="10"/>
      <c r="AC162" s="47"/>
      <c r="AD162" s="47"/>
      <c r="AE162" s="47"/>
      <c r="AF162" s="47"/>
      <c r="AG162" s="47"/>
      <c r="AH162" s="47"/>
      <c r="AI162" s="46"/>
      <c r="AJ162" s="46"/>
      <c r="AK162" s="46"/>
      <c r="AL162" s="7"/>
      <c r="AM162" s="49" t="str">
        <f aca="false">IF(OR(C162="",G162=""),"",IFERROR(DATEDIF(C162,G162,"m"),""))</f>
        <v/>
      </c>
      <c r="AN162" s="49" t="str">
        <f aca="false">IF(OR(Q162="",AM162=""),"",60+2*Q162-AM162)</f>
        <v/>
      </c>
      <c r="AO162" s="49" t="str">
        <f aca="false">IF(OR(G162="",AJ162=""),"",AJ162-G162)</f>
        <v/>
      </c>
      <c r="AP162" s="50" t="str">
        <f aca="false">IF(AND(A162="",B162=""),"",IF(J162="","Status needed",IF(OR(J162="Applied",J162="Visit booked",J162="Withdrawn"),"OK",IF(G162="","Date assessed needed",IF(C162="","Date of birth needed",IF(COUNTA(L162,M162,P162,U162,V162,X162)&lt;6,"Band missing",IF(AND(OR(J162="Decision confirmed",J162="Family told",J162="Enrolled"),AG162=""),"Recommendation needed",IF(AND(OR(J162="Family told",J162="Enrolled"),AJ162=""),"Date family told needed","OK"))))))))</f>
        <v/>
      </c>
    </row>
    <row r="163" customFormat="false" ht="15" hidden="false" customHeight="false" outlineLevel="0" collapsed="false">
      <c r="A163" s="7"/>
      <c r="B163" s="7"/>
      <c r="C163" s="46"/>
      <c r="D163" s="7"/>
      <c r="E163" s="47"/>
      <c r="F163" s="46"/>
      <c r="G163" s="46"/>
      <c r="H163" s="7"/>
      <c r="I163" s="7"/>
      <c r="J163" s="47"/>
      <c r="K163" s="47"/>
      <c r="L163" s="47"/>
      <c r="M163" s="47"/>
      <c r="N163" s="10"/>
      <c r="O163" s="47"/>
      <c r="P163" s="47"/>
      <c r="Q163" s="47"/>
      <c r="R163" s="48" t="str">
        <f aca="false">IF(Q163="","",IF(Q163=0,"below 5:00",IF(Q163&gt;=66,"16:00 or above",INT((60+2*Q163)/12)&amp;":"&amp;TEXT(MOD(60+2*Q163,12),"00"))))</f>
        <v/>
      </c>
      <c r="S163" s="47"/>
      <c r="T163" s="47"/>
      <c r="U163" s="47"/>
      <c r="V163" s="47"/>
      <c r="W163" s="47"/>
      <c r="X163" s="47"/>
      <c r="Y163" s="47"/>
      <c r="Z163" s="47"/>
      <c r="AA163" s="10"/>
      <c r="AB163" s="10"/>
      <c r="AC163" s="47"/>
      <c r="AD163" s="47"/>
      <c r="AE163" s="47"/>
      <c r="AF163" s="47"/>
      <c r="AG163" s="47"/>
      <c r="AH163" s="47"/>
      <c r="AI163" s="46"/>
      <c r="AJ163" s="46"/>
      <c r="AK163" s="46"/>
      <c r="AL163" s="7"/>
      <c r="AM163" s="49" t="str">
        <f aca="false">IF(OR(C163="",G163=""),"",IFERROR(DATEDIF(C163,G163,"m"),""))</f>
        <v/>
      </c>
      <c r="AN163" s="49" t="str">
        <f aca="false">IF(OR(Q163="",AM163=""),"",60+2*Q163-AM163)</f>
        <v/>
      </c>
      <c r="AO163" s="49" t="str">
        <f aca="false">IF(OR(G163="",AJ163=""),"",AJ163-G163)</f>
        <v/>
      </c>
      <c r="AP163" s="50" t="str">
        <f aca="false">IF(AND(A163="",B163=""),"",IF(J163="","Status needed",IF(OR(J163="Applied",J163="Visit booked",J163="Withdrawn"),"OK",IF(G163="","Date assessed needed",IF(C163="","Date of birth needed",IF(COUNTA(L163,M163,P163,U163,V163,X163)&lt;6,"Band missing",IF(AND(OR(J163="Decision confirmed",J163="Family told",J163="Enrolled"),AG163=""),"Recommendation needed",IF(AND(OR(J163="Family told",J163="Enrolled"),AJ163=""),"Date family told needed","OK"))))))))</f>
        <v/>
      </c>
    </row>
    <row r="164" customFormat="false" ht="15" hidden="false" customHeight="false" outlineLevel="0" collapsed="false">
      <c r="A164" s="7"/>
      <c r="B164" s="7"/>
      <c r="C164" s="46"/>
      <c r="D164" s="7"/>
      <c r="E164" s="47"/>
      <c r="F164" s="46"/>
      <c r="G164" s="46"/>
      <c r="H164" s="7"/>
      <c r="I164" s="7"/>
      <c r="J164" s="47"/>
      <c r="K164" s="47"/>
      <c r="L164" s="47"/>
      <c r="M164" s="47"/>
      <c r="N164" s="10"/>
      <c r="O164" s="47"/>
      <c r="P164" s="47"/>
      <c r="Q164" s="47"/>
      <c r="R164" s="48" t="str">
        <f aca="false">IF(Q164="","",IF(Q164=0,"below 5:00",IF(Q164&gt;=66,"16:00 or above",INT((60+2*Q164)/12)&amp;":"&amp;TEXT(MOD(60+2*Q164,12),"00"))))</f>
        <v/>
      </c>
      <c r="S164" s="47"/>
      <c r="T164" s="47"/>
      <c r="U164" s="47"/>
      <c r="V164" s="47"/>
      <c r="W164" s="47"/>
      <c r="X164" s="47"/>
      <c r="Y164" s="47"/>
      <c r="Z164" s="47"/>
      <c r="AA164" s="10"/>
      <c r="AB164" s="10"/>
      <c r="AC164" s="47"/>
      <c r="AD164" s="47"/>
      <c r="AE164" s="47"/>
      <c r="AF164" s="47"/>
      <c r="AG164" s="47"/>
      <c r="AH164" s="47"/>
      <c r="AI164" s="46"/>
      <c r="AJ164" s="46"/>
      <c r="AK164" s="46"/>
      <c r="AL164" s="7"/>
      <c r="AM164" s="49" t="str">
        <f aca="false">IF(OR(C164="",G164=""),"",IFERROR(DATEDIF(C164,G164,"m"),""))</f>
        <v/>
      </c>
      <c r="AN164" s="49" t="str">
        <f aca="false">IF(OR(Q164="",AM164=""),"",60+2*Q164-AM164)</f>
        <v/>
      </c>
      <c r="AO164" s="49" t="str">
        <f aca="false">IF(OR(G164="",AJ164=""),"",AJ164-G164)</f>
        <v/>
      </c>
      <c r="AP164" s="50" t="str">
        <f aca="false">IF(AND(A164="",B164=""),"",IF(J164="","Status needed",IF(OR(J164="Applied",J164="Visit booked",J164="Withdrawn"),"OK",IF(G164="","Date assessed needed",IF(C164="","Date of birth needed",IF(COUNTA(L164,M164,P164,U164,V164,X164)&lt;6,"Band missing",IF(AND(OR(J164="Decision confirmed",J164="Family told",J164="Enrolled"),AG164=""),"Recommendation needed",IF(AND(OR(J164="Family told",J164="Enrolled"),AJ164=""),"Date family told needed","OK"))))))))</f>
        <v/>
      </c>
    </row>
    <row r="165" customFormat="false" ht="15" hidden="false" customHeight="false" outlineLevel="0" collapsed="false">
      <c r="A165" s="7"/>
      <c r="B165" s="7"/>
      <c r="C165" s="46"/>
      <c r="D165" s="7"/>
      <c r="E165" s="47"/>
      <c r="F165" s="46"/>
      <c r="G165" s="46"/>
      <c r="H165" s="7"/>
      <c r="I165" s="7"/>
      <c r="J165" s="47"/>
      <c r="K165" s="47"/>
      <c r="L165" s="47"/>
      <c r="M165" s="47"/>
      <c r="N165" s="10"/>
      <c r="O165" s="47"/>
      <c r="P165" s="47"/>
      <c r="Q165" s="47"/>
      <c r="R165" s="48" t="str">
        <f aca="false">IF(Q165="","",IF(Q165=0,"below 5:00",IF(Q165&gt;=66,"16:00 or above",INT((60+2*Q165)/12)&amp;":"&amp;TEXT(MOD(60+2*Q165,12),"00"))))</f>
        <v/>
      </c>
      <c r="S165" s="47"/>
      <c r="T165" s="47"/>
      <c r="U165" s="47"/>
      <c r="V165" s="47"/>
      <c r="W165" s="47"/>
      <c r="X165" s="47"/>
      <c r="Y165" s="47"/>
      <c r="Z165" s="47"/>
      <c r="AA165" s="10"/>
      <c r="AB165" s="10"/>
      <c r="AC165" s="47"/>
      <c r="AD165" s="47"/>
      <c r="AE165" s="47"/>
      <c r="AF165" s="47"/>
      <c r="AG165" s="47"/>
      <c r="AH165" s="47"/>
      <c r="AI165" s="46"/>
      <c r="AJ165" s="46"/>
      <c r="AK165" s="46"/>
      <c r="AL165" s="7"/>
      <c r="AM165" s="49" t="str">
        <f aca="false">IF(OR(C165="",G165=""),"",IFERROR(DATEDIF(C165,G165,"m"),""))</f>
        <v/>
      </c>
      <c r="AN165" s="49" t="str">
        <f aca="false">IF(OR(Q165="",AM165=""),"",60+2*Q165-AM165)</f>
        <v/>
      </c>
      <c r="AO165" s="49" t="str">
        <f aca="false">IF(OR(G165="",AJ165=""),"",AJ165-G165)</f>
        <v/>
      </c>
      <c r="AP165" s="50" t="str">
        <f aca="false">IF(AND(A165="",B165=""),"",IF(J165="","Status needed",IF(OR(J165="Applied",J165="Visit booked",J165="Withdrawn"),"OK",IF(G165="","Date assessed needed",IF(C165="","Date of birth needed",IF(COUNTA(L165,M165,P165,U165,V165,X165)&lt;6,"Band missing",IF(AND(OR(J165="Decision confirmed",J165="Family told",J165="Enrolled"),AG165=""),"Recommendation needed",IF(AND(OR(J165="Family told",J165="Enrolled"),AJ165=""),"Date family told needed","OK"))))))))</f>
        <v/>
      </c>
    </row>
    <row r="166" customFormat="false" ht="15" hidden="false" customHeight="false" outlineLevel="0" collapsed="false">
      <c r="A166" s="7"/>
      <c r="B166" s="7"/>
      <c r="C166" s="46"/>
      <c r="D166" s="7"/>
      <c r="E166" s="47"/>
      <c r="F166" s="46"/>
      <c r="G166" s="46"/>
      <c r="H166" s="7"/>
      <c r="I166" s="7"/>
      <c r="J166" s="47"/>
      <c r="K166" s="47"/>
      <c r="L166" s="47"/>
      <c r="M166" s="47"/>
      <c r="N166" s="10"/>
      <c r="O166" s="47"/>
      <c r="P166" s="47"/>
      <c r="Q166" s="47"/>
      <c r="R166" s="48" t="str">
        <f aca="false">IF(Q166="","",IF(Q166=0,"below 5:00",IF(Q166&gt;=66,"16:00 or above",INT((60+2*Q166)/12)&amp;":"&amp;TEXT(MOD(60+2*Q166,12),"00"))))</f>
        <v/>
      </c>
      <c r="S166" s="47"/>
      <c r="T166" s="47"/>
      <c r="U166" s="47"/>
      <c r="V166" s="47"/>
      <c r="W166" s="47"/>
      <c r="X166" s="47"/>
      <c r="Y166" s="47"/>
      <c r="Z166" s="47"/>
      <c r="AA166" s="10"/>
      <c r="AB166" s="10"/>
      <c r="AC166" s="47"/>
      <c r="AD166" s="47"/>
      <c r="AE166" s="47"/>
      <c r="AF166" s="47"/>
      <c r="AG166" s="47"/>
      <c r="AH166" s="47"/>
      <c r="AI166" s="46"/>
      <c r="AJ166" s="46"/>
      <c r="AK166" s="46"/>
      <c r="AL166" s="7"/>
      <c r="AM166" s="49" t="str">
        <f aca="false">IF(OR(C166="",G166=""),"",IFERROR(DATEDIF(C166,G166,"m"),""))</f>
        <v/>
      </c>
      <c r="AN166" s="49" t="str">
        <f aca="false">IF(OR(Q166="",AM166=""),"",60+2*Q166-AM166)</f>
        <v/>
      </c>
      <c r="AO166" s="49" t="str">
        <f aca="false">IF(OR(G166="",AJ166=""),"",AJ166-G166)</f>
        <v/>
      </c>
      <c r="AP166" s="50" t="str">
        <f aca="false">IF(AND(A166="",B166=""),"",IF(J166="","Status needed",IF(OR(J166="Applied",J166="Visit booked",J166="Withdrawn"),"OK",IF(G166="","Date assessed needed",IF(C166="","Date of birth needed",IF(COUNTA(L166,M166,P166,U166,V166,X166)&lt;6,"Band missing",IF(AND(OR(J166="Decision confirmed",J166="Family told",J166="Enrolled"),AG166=""),"Recommendation needed",IF(AND(OR(J166="Family told",J166="Enrolled"),AJ166=""),"Date family told needed","OK"))))))))</f>
        <v/>
      </c>
    </row>
    <row r="167" customFormat="false" ht="15" hidden="false" customHeight="false" outlineLevel="0" collapsed="false">
      <c r="A167" s="7"/>
      <c r="B167" s="7"/>
      <c r="C167" s="46"/>
      <c r="D167" s="7"/>
      <c r="E167" s="47"/>
      <c r="F167" s="46"/>
      <c r="G167" s="46"/>
      <c r="H167" s="7"/>
      <c r="I167" s="7"/>
      <c r="J167" s="47"/>
      <c r="K167" s="47"/>
      <c r="L167" s="47"/>
      <c r="M167" s="47"/>
      <c r="N167" s="10"/>
      <c r="O167" s="47"/>
      <c r="P167" s="47"/>
      <c r="Q167" s="47"/>
      <c r="R167" s="48" t="str">
        <f aca="false">IF(Q167="","",IF(Q167=0,"below 5:00",IF(Q167&gt;=66,"16:00 or above",INT((60+2*Q167)/12)&amp;":"&amp;TEXT(MOD(60+2*Q167,12),"00"))))</f>
        <v/>
      </c>
      <c r="S167" s="47"/>
      <c r="T167" s="47"/>
      <c r="U167" s="47"/>
      <c r="V167" s="47"/>
      <c r="W167" s="47"/>
      <c r="X167" s="47"/>
      <c r="Y167" s="47"/>
      <c r="Z167" s="47"/>
      <c r="AA167" s="10"/>
      <c r="AB167" s="10"/>
      <c r="AC167" s="47"/>
      <c r="AD167" s="47"/>
      <c r="AE167" s="47"/>
      <c r="AF167" s="47"/>
      <c r="AG167" s="47"/>
      <c r="AH167" s="47"/>
      <c r="AI167" s="46"/>
      <c r="AJ167" s="46"/>
      <c r="AK167" s="46"/>
      <c r="AL167" s="7"/>
      <c r="AM167" s="49" t="str">
        <f aca="false">IF(OR(C167="",G167=""),"",IFERROR(DATEDIF(C167,G167,"m"),""))</f>
        <v/>
      </c>
      <c r="AN167" s="49" t="str">
        <f aca="false">IF(OR(Q167="",AM167=""),"",60+2*Q167-AM167)</f>
        <v/>
      </c>
      <c r="AO167" s="49" t="str">
        <f aca="false">IF(OR(G167="",AJ167=""),"",AJ167-G167)</f>
        <v/>
      </c>
      <c r="AP167" s="50" t="str">
        <f aca="false">IF(AND(A167="",B167=""),"",IF(J167="","Status needed",IF(OR(J167="Applied",J167="Visit booked",J167="Withdrawn"),"OK",IF(G167="","Date assessed needed",IF(C167="","Date of birth needed",IF(COUNTA(L167,M167,P167,U167,V167,X167)&lt;6,"Band missing",IF(AND(OR(J167="Decision confirmed",J167="Family told",J167="Enrolled"),AG167=""),"Recommendation needed",IF(AND(OR(J167="Family told",J167="Enrolled"),AJ167=""),"Date family told needed","OK"))))))))</f>
        <v/>
      </c>
    </row>
    <row r="168" customFormat="false" ht="15" hidden="false" customHeight="false" outlineLevel="0" collapsed="false">
      <c r="A168" s="7"/>
      <c r="B168" s="7"/>
      <c r="C168" s="46"/>
      <c r="D168" s="7"/>
      <c r="E168" s="47"/>
      <c r="F168" s="46"/>
      <c r="G168" s="46"/>
      <c r="H168" s="7"/>
      <c r="I168" s="7"/>
      <c r="J168" s="47"/>
      <c r="K168" s="47"/>
      <c r="L168" s="47"/>
      <c r="M168" s="47"/>
      <c r="N168" s="10"/>
      <c r="O168" s="47"/>
      <c r="P168" s="47"/>
      <c r="Q168" s="47"/>
      <c r="R168" s="48" t="str">
        <f aca="false">IF(Q168="","",IF(Q168=0,"below 5:00",IF(Q168&gt;=66,"16:00 or above",INT((60+2*Q168)/12)&amp;":"&amp;TEXT(MOD(60+2*Q168,12),"00"))))</f>
        <v/>
      </c>
      <c r="S168" s="47"/>
      <c r="T168" s="47"/>
      <c r="U168" s="47"/>
      <c r="V168" s="47"/>
      <c r="W168" s="47"/>
      <c r="X168" s="47"/>
      <c r="Y168" s="47"/>
      <c r="Z168" s="47"/>
      <c r="AA168" s="10"/>
      <c r="AB168" s="10"/>
      <c r="AC168" s="47"/>
      <c r="AD168" s="47"/>
      <c r="AE168" s="47"/>
      <c r="AF168" s="47"/>
      <c r="AG168" s="47"/>
      <c r="AH168" s="47"/>
      <c r="AI168" s="46"/>
      <c r="AJ168" s="46"/>
      <c r="AK168" s="46"/>
      <c r="AL168" s="7"/>
      <c r="AM168" s="49" t="str">
        <f aca="false">IF(OR(C168="",G168=""),"",IFERROR(DATEDIF(C168,G168,"m"),""))</f>
        <v/>
      </c>
      <c r="AN168" s="49" t="str">
        <f aca="false">IF(OR(Q168="",AM168=""),"",60+2*Q168-AM168)</f>
        <v/>
      </c>
      <c r="AO168" s="49" t="str">
        <f aca="false">IF(OR(G168="",AJ168=""),"",AJ168-G168)</f>
        <v/>
      </c>
      <c r="AP168" s="50" t="str">
        <f aca="false">IF(AND(A168="",B168=""),"",IF(J168="","Status needed",IF(OR(J168="Applied",J168="Visit booked",J168="Withdrawn"),"OK",IF(G168="","Date assessed needed",IF(C168="","Date of birth needed",IF(COUNTA(L168,M168,P168,U168,V168,X168)&lt;6,"Band missing",IF(AND(OR(J168="Decision confirmed",J168="Family told",J168="Enrolled"),AG168=""),"Recommendation needed",IF(AND(OR(J168="Family told",J168="Enrolled"),AJ168=""),"Date family told needed","OK"))))))))</f>
        <v/>
      </c>
    </row>
    <row r="169" customFormat="false" ht="15" hidden="false" customHeight="false" outlineLevel="0" collapsed="false">
      <c r="A169" s="7"/>
      <c r="B169" s="7"/>
      <c r="C169" s="46"/>
      <c r="D169" s="7"/>
      <c r="E169" s="47"/>
      <c r="F169" s="46"/>
      <c r="G169" s="46"/>
      <c r="H169" s="7"/>
      <c r="I169" s="7"/>
      <c r="J169" s="47"/>
      <c r="K169" s="47"/>
      <c r="L169" s="47"/>
      <c r="M169" s="47"/>
      <c r="N169" s="10"/>
      <c r="O169" s="47"/>
      <c r="P169" s="47"/>
      <c r="Q169" s="47"/>
      <c r="R169" s="48" t="str">
        <f aca="false">IF(Q169="","",IF(Q169=0,"below 5:00",IF(Q169&gt;=66,"16:00 or above",INT((60+2*Q169)/12)&amp;":"&amp;TEXT(MOD(60+2*Q169,12),"00"))))</f>
        <v/>
      </c>
      <c r="S169" s="47"/>
      <c r="T169" s="47"/>
      <c r="U169" s="47"/>
      <c r="V169" s="47"/>
      <c r="W169" s="47"/>
      <c r="X169" s="47"/>
      <c r="Y169" s="47"/>
      <c r="Z169" s="47"/>
      <c r="AA169" s="10"/>
      <c r="AB169" s="10"/>
      <c r="AC169" s="47"/>
      <c r="AD169" s="47"/>
      <c r="AE169" s="47"/>
      <c r="AF169" s="47"/>
      <c r="AG169" s="47"/>
      <c r="AH169" s="47"/>
      <c r="AI169" s="46"/>
      <c r="AJ169" s="46"/>
      <c r="AK169" s="46"/>
      <c r="AL169" s="7"/>
      <c r="AM169" s="49" t="str">
        <f aca="false">IF(OR(C169="",G169=""),"",IFERROR(DATEDIF(C169,G169,"m"),""))</f>
        <v/>
      </c>
      <c r="AN169" s="49" t="str">
        <f aca="false">IF(OR(Q169="",AM169=""),"",60+2*Q169-AM169)</f>
        <v/>
      </c>
      <c r="AO169" s="49" t="str">
        <f aca="false">IF(OR(G169="",AJ169=""),"",AJ169-G169)</f>
        <v/>
      </c>
      <c r="AP169" s="50" t="str">
        <f aca="false">IF(AND(A169="",B169=""),"",IF(J169="","Status needed",IF(OR(J169="Applied",J169="Visit booked",J169="Withdrawn"),"OK",IF(G169="","Date assessed needed",IF(C169="","Date of birth needed",IF(COUNTA(L169,M169,P169,U169,V169,X169)&lt;6,"Band missing",IF(AND(OR(J169="Decision confirmed",J169="Family told",J169="Enrolled"),AG169=""),"Recommendation needed",IF(AND(OR(J169="Family told",J169="Enrolled"),AJ169=""),"Date family told needed","OK"))))))))</f>
        <v/>
      </c>
    </row>
    <row r="170" customFormat="false" ht="15" hidden="false" customHeight="false" outlineLevel="0" collapsed="false">
      <c r="A170" s="7"/>
      <c r="B170" s="7"/>
      <c r="C170" s="46"/>
      <c r="D170" s="7"/>
      <c r="E170" s="47"/>
      <c r="F170" s="46"/>
      <c r="G170" s="46"/>
      <c r="H170" s="7"/>
      <c r="I170" s="7"/>
      <c r="J170" s="47"/>
      <c r="K170" s="47"/>
      <c r="L170" s="47"/>
      <c r="M170" s="47"/>
      <c r="N170" s="10"/>
      <c r="O170" s="47"/>
      <c r="P170" s="47"/>
      <c r="Q170" s="47"/>
      <c r="R170" s="48" t="str">
        <f aca="false">IF(Q170="","",IF(Q170=0,"below 5:00",IF(Q170&gt;=66,"16:00 or above",INT((60+2*Q170)/12)&amp;":"&amp;TEXT(MOD(60+2*Q170,12),"00"))))</f>
        <v/>
      </c>
      <c r="S170" s="47"/>
      <c r="T170" s="47"/>
      <c r="U170" s="47"/>
      <c r="V170" s="47"/>
      <c r="W170" s="47"/>
      <c r="X170" s="47"/>
      <c r="Y170" s="47"/>
      <c r="Z170" s="47"/>
      <c r="AA170" s="10"/>
      <c r="AB170" s="10"/>
      <c r="AC170" s="47"/>
      <c r="AD170" s="47"/>
      <c r="AE170" s="47"/>
      <c r="AF170" s="47"/>
      <c r="AG170" s="47"/>
      <c r="AH170" s="47"/>
      <c r="AI170" s="46"/>
      <c r="AJ170" s="46"/>
      <c r="AK170" s="46"/>
      <c r="AL170" s="7"/>
      <c r="AM170" s="49" t="str">
        <f aca="false">IF(OR(C170="",G170=""),"",IFERROR(DATEDIF(C170,G170,"m"),""))</f>
        <v/>
      </c>
      <c r="AN170" s="49" t="str">
        <f aca="false">IF(OR(Q170="",AM170=""),"",60+2*Q170-AM170)</f>
        <v/>
      </c>
      <c r="AO170" s="49" t="str">
        <f aca="false">IF(OR(G170="",AJ170=""),"",AJ170-G170)</f>
        <v/>
      </c>
      <c r="AP170" s="50" t="str">
        <f aca="false">IF(AND(A170="",B170=""),"",IF(J170="","Status needed",IF(OR(J170="Applied",J170="Visit booked",J170="Withdrawn"),"OK",IF(G170="","Date assessed needed",IF(C170="","Date of birth needed",IF(COUNTA(L170,M170,P170,U170,V170,X170)&lt;6,"Band missing",IF(AND(OR(J170="Decision confirmed",J170="Family told",J170="Enrolled"),AG170=""),"Recommendation needed",IF(AND(OR(J170="Family told",J170="Enrolled"),AJ170=""),"Date family told needed","OK"))))))))</f>
        <v/>
      </c>
    </row>
    <row r="171" customFormat="false" ht="15" hidden="false" customHeight="false" outlineLevel="0" collapsed="false">
      <c r="A171" s="7"/>
      <c r="B171" s="7"/>
      <c r="C171" s="46"/>
      <c r="D171" s="7"/>
      <c r="E171" s="47"/>
      <c r="F171" s="46"/>
      <c r="G171" s="46"/>
      <c r="H171" s="7"/>
      <c r="I171" s="7"/>
      <c r="J171" s="47"/>
      <c r="K171" s="47"/>
      <c r="L171" s="47"/>
      <c r="M171" s="47"/>
      <c r="N171" s="10"/>
      <c r="O171" s="47"/>
      <c r="P171" s="47"/>
      <c r="Q171" s="47"/>
      <c r="R171" s="48" t="str">
        <f aca="false">IF(Q171="","",IF(Q171=0,"below 5:00",IF(Q171&gt;=66,"16:00 or above",INT((60+2*Q171)/12)&amp;":"&amp;TEXT(MOD(60+2*Q171,12),"00"))))</f>
        <v/>
      </c>
      <c r="S171" s="47"/>
      <c r="T171" s="47"/>
      <c r="U171" s="47"/>
      <c r="V171" s="47"/>
      <c r="W171" s="47"/>
      <c r="X171" s="47"/>
      <c r="Y171" s="47"/>
      <c r="Z171" s="47"/>
      <c r="AA171" s="10"/>
      <c r="AB171" s="10"/>
      <c r="AC171" s="47"/>
      <c r="AD171" s="47"/>
      <c r="AE171" s="47"/>
      <c r="AF171" s="47"/>
      <c r="AG171" s="47"/>
      <c r="AH171" s="47"/>
      <c r="AI171" s="46"/>
      <c r="AJ171" s="46"/>
      <c r="AK171" s="46"/>
      <c r="AL171" s="7"/>
      <c r="AM171" s="49" t="str">
        <f aca="false">IF(OR(C171="",G171=""),"",IFERROR(DATEDIF(C171,G171,"m"),""))</f>
        <v/>
      </c>
      <c r="AN171" s="49" t="str">
        <f aca="false">IF(OR(Q171="",AM171=""),"",60+2*Q171-AM171)</f>
        <v/>
      </c>
      <c r="AO171" s="49" t="str">
        <f aca="false">IF(OR(G171="",AJ171=""),"",AJ171-G171)</f>
        <v/>
      </c>
      <c r="AP171" s="50" t="str">
        <f aca="false">IF(AND(A171="",B171=""),"",IF(J171="","Status needed",IF(OR(J171="Applied",J171="Visit booked",J171="Withdrawn"),"OK",IF(G171="","Date assessed needed",IF(C171="","Date of birth needed",IF(COUNTA(L171,M171,P171,U171,V171,X171)&lt;6,"Band missing",IF(AND(OR(J171="Decision confirmed",J171="Family told",J171="Enrolled"),AG171=""),"Recommendation needed",IF(AND(OR(J171="Family told",J171="Enrolled"),AJ171=""),"Date family told needed","OK"))))))))</f>
        <v/>
      </c>
    </row>
    <row r="172" customFormat="false" ht="15" hidden="false" customHeight="false" outlineLevel="0" collapsed="false">
      <c r="A172" s="7"/>
      <c r="B172" s="7"/>
      <c r="C172" s="46"/>
      <c r="D172" s="7"/>
      <c r="E172" s="47"/>
      <c r="F172" s="46"/>
      <c r="G172" s="46"/>
      <c r="H172" s="7"/>
      <c r="I172" s="7"/>
      <c r="J172" s="47"/>
      <c r="K172" s="47"/>
      <c r="L172" s="47"/>
      <c r="M172" s="47"/>
      <c r="N172" s="10"/>
      <c r="O172" s="47"/>
      <c r="P172" s="47"/>
      <c r="Q172" s="47"/>
      <c r="R172" s="48" t="str">
        <f aca="false">IF(Q172="","",IF(Q172=0,"below 5:00",IF(Q172&gt;=66,"16:00 or above",INT((60+2*Q172)/12)&amp;":"&amp;TEXT(MOD(60+2*Q172,12),"00"))))</f>
        <v/>
      </c>
      <c r="S172" s="47"/>
      <c r="T172" s="47"/>
      <c r="U172" s="47"/>
      <c r="V172" s="47"/>
      <c r="W172" s="47"/>
      <c r="X172" s="47"/>
      <c r="Y172" s="47"/>
      <c r="Z172" s="47"/>
      <c r="AA172" s="10"/>
      <c r="AB172" s="10"/>
      <c r="AC172" s="47"/>
      <c r="AD172" s="47"/>
      <c r="AE172" s="47"/>
      <c r="AF172" s="47"/>
      <c r="AG172" s="47"/>
      <c r="AH172" s="47"/>
      <c r="AI172" s="46"/>
      <c r="AJ172" s="46"/>
      <c r="AK172" s="46"/>
      <c r="AL172" s="7"/>
      <c r="AM172" s="49" t="str">
        <f aca="false">IF(OR(C172="",G172=""),"",IFERROR(DATEDIF(C172,G172,"m"),""))</f>
        <v/>
      </c>
      <c r="AN172" s="49" t="str">
        <f aca="false">IF(OR(Q172="",AM172=""),"",60+2*Q172-AM172)</f>
        <v/>
      </c>
      <c r="AO172" s="49" t="str">
        <f aca="false">IF(OR(G172="",AJ172=""),"",AJ172-G172)</f>
        <v/>
      </c>
      <c r="AP172" s="50" t="str">
        <f aca="false">IF(AND(A172="",B172=""),"",IF(J172="","Status needed",IF(OR(J172="Applied",J172="Visit booked",J172="Withdrawn"),"OK",IF(G172="","Date assessed needed",IF(C172="","Date of birth needed",IF(COUNTA(L172,M172,P172,U172,V172,X172)&lt;6,"Band missing",IF(AND(OR(J172="Decision confirmed",J172="Family told",J172="Enrolled"),AG172=""),"Recommendation needed",IF(AND(OR(J172="Family told",J172="Enrolled"),AJ172=""),"Date family told needed","OK"))))))))</f>
        <v/>
      </c>
    </row>
    <row r="173" customFormat="false" ht="15" hidden="false" customHeight="false" outlineLevel="0" collapsed="false">
      <c r="A173" s="7"/>
      <c r="B173" s="7"/>
      <c r="C173" s="46"/>
      <c r="D173" s="7"/>
      <c r="E173" s="47"/>
      <c r="F173" s="46"/>
      <c r="G173" s="46"/>
      <c r="H173" s="7"/>
      <c r="I173" s="7"/>
      <c r="J173" s="47"/>
      <c r="K173" s="47"/>
      <c r="L173" s="47"/>
      <c r="M173" s="47"/>
      <c r="N173" s="10"/>
      <c r="O173" s="47"/>
      <c r="P173" s="47"/>
      <c r="Q173" s="47"/>
      <c r="R173" s="48" t="str">
        <f aca="false">IF(Q173="","",IF(Q173=0,"below 5:00",IF(Q173&gt;=66,"16:00 or above",INT((60+2*Q173)/12)&amp;":"&amp;TEXT(MOD(60+2*Q173,12),"00"))))</f>
        <v/>
      </c>
      <c r="S173" s="47"/>
      <c r="T173" s="47"/>
      <c r="U173" s="47"/>
      <c r="V173" s="47"/>
      <c r="W173" s="47"/>
      <c r="X173" s="47"/>
      <c r="Y173" s="47"/>
      <c r="Z173" s="47"/>
      <c r="AA173" s="10"/>
      <c r="AB173" s="10"/>
      <c r="AC173" s="47"/>
      <c r="AD173" s="47"/>
      <c r="AE173" s="47"/>
      <c r="AF173" s="47"/>
      <c r="AG173" s="47"/>
      <c r="AH173" s="47"/>
      <c r="AI173" s="46"/>
      <c r="AJ173" s="46"/>
      <c r="AK173" s="46"/>
      <c r="AL173" s="7"/>
      <c r="AM173" s="49" t="str">
        <f aca="false">IF(OR(C173="",G173=""),"",IFERROR(DATEDIF(C173,G173,"m"),""))</f>
        <v/>
      </c>
      <c r="AN173" s="49" t="str">
        <f aca="false">IF(OR(Q173="",AM173=""),"",60+2*Q173-AM173)</f>
        <v/>
      </c>
      <c r="AO173" s="49" t="str">
        <f aca="false">IF(OR(G173="",AJ173=""),"",AJ173-G173)</f>
        <v/>
      </c>
      <c r="AP173" s="50" t="str">
        <f aca="false">IF(AND(A173="",B173=""),"",IF(J173="","Status needed",IF(OR(J173="Applied",J173="Visit booked",J173="Withdrawn"),"OK",IF(G173="","Date assessed needed",IF(C173="","Date of birth needed",IF(COUNTA(L173,M173,P173,U173,V173,X173)&lt;6,"Band missing",IF(AND(OR(J173="Decision confirmed",J173="Family told",J173="Enrolled"),AG173=""),"Recommendation needed",IF(AND(OR(J173="Family told",J173="Enrolled"),AJ173=""),"Date family told needed","OK"))))))))</f>
        <v/>
      </c>
    </row>
    <row r="174" customFormat="false" ht="15" hidden="false" customHeight="false" outlineLevel="0" collapsed="false">
      <c r="A174" s="7"/>
      <c r="B174" s="7"/>
      <c r="C174" s="46"/>
      <c r="D174" s="7"/>
      <c r="E174" s="47"/>
      <c r="F174" s="46"/>
      <c r="G174" s="46"/>
      <c r="H174" s="7"/>
      <c r="I174" s="7"/>
      <c r="J174" s="47"/>
      <c r="K174" s="47"/>
      <c r="L174" s="47"/>
      <c r="M174" s="47"/>
      <c r="N174" s="10"/>
      <c r="O174" s="47"/>
      <c r="P174" s="47"/>
      <c r="Q174" s="47"/>
      <c r="R174" s="48" t="str">
        <f aca="false">IF(Q174="","",IF(Q174=0,"below 5:00",IF(Q174&gt;=66,"16:00 or above",INT((60+2*Q174)/12)&amp;":"&amp;TEXT(MOD(60+2*Q174,12),"00"))))</f>
        <v/>
      </c>
      <c r="S174" s="47"/>
      <c r="T174" s="47"/>
      <c r="U174" s="47"/>
      <c r="V174" s="47"/>
      <c r="W174" s="47"/>
      <c r="X174" s="47"/>
      <c r="Y174" s="47"/>
      <c r="Z174" s="47"/>
      <c r="AA174" s="10"/>
      <c r="AB174" s="10"/>
      <c r="AC174" s="47"/>
      <c r="AD174" s="47"/>
      <c r="AE174" s="47"/>
      <c r="AF174" s="47"/>
      <c r="AG174" s="47"/>
      <c r="AH174" s="47"/>
      <c r="AI174" s="46"/>
      <c r="AJ174" s="46"/>
      <c r="AK174" s="46"/>
      <c r="AL174" s="7"/>
      <c r="AM174" s="49" t="str">
        <f aca="false">IF(OR(C174="",G174=""),"",IFERROR(DATEDIF(C174,G174,"m"),""))</f>
        <v/>
      </c>
      <c r="AN174" s="49" t="str">
        <f aca="false">IF(OR(Q174="",AM174=""),"",60+2*Q174-AM174)</f>
        <v/>
      </c>
      <c r="AO174" s="49" t="str">
        <f aca="false">IF(OR(G174="",AJ174=""),"",AJ174-G174)</f>
        <v/>
      </c>
      <c r="AP174" s="50" t="str">
        <f aca="false">IF(AND(A174="",B174=""),"",IF(J174="","Status needed",IF(OR(J174="Applied",J174="Visit booked",J174="Withdrawn"),"OK",IF(G174="","Date assessed needed",IF(C174="","Date of birth needed",IF(COUNTA(L174,M174,P174,U174,V174,X174)&lt;6,"Band missing",IF(AND(OR(J174="Decision confirmed",J174="Family told",J174="Enrolled"),AG174=""),"Recommendation needed",IF(AND(OR(J174="Family told",J174="Enrolled"),AJ174=""),"Date family told needed","OK"))))))))</f>
        <v/>
      </c>
    </row>
    <row r="175" customFormat="false" ht="15" hidden="false" customHeight="false" outlineLevel="0" collapsed="false">
      <c r="A175" s="7"/>
      <c r="B175" s="7"/>
      <c r="C175" s="46"/>
      <c r="D175" s="7"/>
      <c r="E175" s="47"/>
      <c r="F175" s="46"/>
      <c r="G175" s="46"/>
      <c r="H175" s="7"/>
      <c r="I175" s="7"/>
      <c r="J175" s="47"/>
      <c r="K175" s="47"/>
      <c r="L175" s="47"/>
      <c r="M175" s="47"/>
      <c r="N175" s="10"/>
      <c r="O175" s="47"/>
      <c r="P175" s="47"/>
      <c r="Q175" s="47"/>
      <c r="R175" s="48" t="str">
        <f aca="false">IF(Q175="","",IF(Q175=0,"below 5:00",IF(Q175&gt;=66,"16:00 or above",INT((60+2*Q175)/12)&amp;":"&amp;TEXT(MOD(60+2*Q175,12),"00"))))</f>
        <v/>
      </c>
      <c r="S175" s="47"/>
      <c r="T175" s="47"/>
      <c r="U175" s="47"/>
      <c r="V175" s="47"/>
      <c r="W175" s="47"/>
      <c r="X175" s="47"/>
      <c r="Y175" s="47"/>
      <c r="Z175" s="47"/>
      <c r="AA175" s="10"/>
      <c r="AB175" s="10"/>
      <c r="AC175" s="47"/>
      <c r="AD175" s="47"/>
      <c r="AE175" s="47"/>
      <c r="AF175" s="47"/>
      <c r="AG175" s="47"/>
      <c r="AH175" s="47"/>
      <c r="AI175" s="46"/>
      <c r="AJ175" s="46"/>
      <c r="AK175" s="46"/>
      <c r="AL175" s="7"/>
      <c r="AM175" s="49" t="str">
        <f aca="false">IF(OR(C175="",G175=""),"",IFERROR(DATEDIF(C175,G175,"m"),""))</f>
        <v/>
      </c>
      <c r="AN175" s="49" t="str">
        <f aca="false">IF(OR(Q175="",AM175=""),"",60+2*Q175-AM175)</f>
        <v/>
      </c>
      <c r="AO175" s="49" t="str">
        <f aca="false">IF(OR(G175="",AJ175=""),"",AJ175-G175)</f>
        <v/>
      </c>
      <c r="AP175" s="50" t="str">
        <f aca="false">IF(AND(A175="",B175=""),"",IF(J175="","Status needed",IF(OR(J175="Applied",J175="Visit booked",J175="Withdrawn"),"OK",IF(G175="","Date assessed needed",IF(C175="","Date of birth needed",IF(COUNTA(L175,M175,P175,U175,V175,X175)&lt;6,"Band missing",IF(AND(OR(J175="Decision confirmed",J175="Family told",J175="Enrolled"),AG175=""),"Recommendation needed",IF(AND(OR(J175="Family told",J175="Enrolled"),AJ175=""),"Date family told needed","OK"))))))))</f>
        <v/>
      </c>
    </row>
    <row r="176" customFormat="false" ht="15" hidden="false" customHeight="false" outlineLevel="0" collapsed="false">
      <c r="A176" s="7"/>
      <c r="B176" s="7"/>
      <c r="C176" s="46"/>
      <c r="D176" s="7"/>
      <c r="E176" s="47"/>
      <c r="F176" s="46"/>
      <c r="G176" s="46"/>
      <c r="H176" s="7"/>
      <c r="I176" s="7"/>
      <c r="J176" s="47"/>
      <c r="K176" s="47"/>
      <c r="L176" s="47"/>
      <c r="M176" s="47"/>
      <c r="N176" s="10"/>
      <c r="O176" s="47"/>
      <c r="P176" s="47"/>
      <c r="Q176" s="47"/>
      <c r="R176" s="48" t="str">
        <f aca="false">IF(Q176="","",IF(Q176=0,"below 5:00",IF(Q176&gt;=66,"16:00 or above",INT((60+2*Q176)/12)&amp;":"&amp;TEXT(MOD(60+2*Q176,12),"00"))))</f>
        <v/>
      </c>
      <c r="S176" s="47"/>
      <c r="T176" s="47"/>
      <c r="U176" s="47"/>
      <c r="V176" s="47"/>
      <c r="W176" s="47"/>
      <c r="X176" s="47"/>
      <c r="Y176" s="47"/>
      <c r="Z176" s="47"/>
      <c r="AA176" s="10"/>
      <c r="AB176" s="10"/>
      <c r="AC176" s="47"/>
      <c r="AD176" s="47"/>
      <c r="AE176" s="47"/>
      <c r="AF176" s="47"/>
      <c r="AG176" s="47"/>
      <c r="AH176" s="47"/>
      <c r="AI176" s="46"/>
      <c r="AJ176" s="46"/>
      <c r="AK176" s="46"/>
      <c r="AL176" s="7"/>
      <c r="AM176" s="49" t="str">
        <f aca="false">IF(OR(C176="",G176=""),"",IFERROR(DATEDIF(C176,G176,"m"),""))</f>
        <v/>
      </c>
      <c r="AN176" s="49" t="str">
        <f aca="false">IF(OR(Q176="",AM176=""),"",60+2*Q176-AM176)</f>
        <v/>
      </c>
      <c r="AO176" s="49" t="str">
        <f aca="false">IF(OR(G176="",AJ176=""),"",AJ176-G176)</f>
        <v/>
      </c>
      <c r="AP176" s="50" t="str">
        <f aca="false">IF(AND(A176="",B176=""),"",IF(J176="","Status needed",IF(OR(J176="Applied",J176="Visit booked",J176="Withdrawn"),"OK",IF(G176="","Date assessed needed",IF(C176="","Date of birth needed",IF(COUNTA(L176,M176,P176,U176,V176,X176)&lt;6,"Band missing",IF(AND(OR(J176="Decision confirmed",J176="Family told",J176="Enrolled"),AG176=""),"Recommendation needed",IF(AND(OR(J176="Family told",J176="Enrolled"),AJ176=""),"Date family told needed","OK"))))))))</f>
        <v/>
      </c>
    </row>
    <row r="177" customFormat="false" ht="15" hidden="false" customHeight="false" outlineLevel="0" collapsed="false">
      <c r="A177" s="7"/>
      <c r="B177" s="7"/>
      <c r="C177" s="46"/>
      <c r="D177" s="7"/>
      <c r="E177" s="47"/>
      <c r="F177" s="46"/>
      <c r="G177" s="46"/>
      <c r="H177" s="7"/>
      <c r="I177" s="7"/>
      <c r="J177" s="47"/>
      <c r="K177" s="47"/>
      <c r="L177" s="47"/>
      <c r="M177" s="47"/>
      <c r="N177" s="10"/>
      <c r="O177" s="47"/>
      <c r="P177" s="47"/>
      <c r="Q177" s="47"/>
      <c r="R177" s="48" t="str">
        <f aca="false">IF(Q177="","",IF(Q177=0,"below 5:00",IF(Q177&gt;=66,"16:00 or above",INT((60+2*Q177)/12)&amp;":"&amp;TEXT(MOD(60+2*Q177,12),"00"))))</f>
        <v/>
      </c>
      <c r="S177" s="47"/>
      <c r="T177" s="47"/>
      <c r="U177" s="47"/>
      <c r="V177" s="47"/>
      <c r="W177" s="47"/>
      <c r="X177" s="47"/>
      <c r="Y177" s="47"/>
      <c r="Z177" s="47"/>
      <c r="AA177" s="10"/>
      <c r="AB177" s="10"/>
      <c r="AC177" s="47"/>
      <c r="AD177" s="47"/>
      <c r="AE177" s="47"/>
      <c r="AF177" s="47"/>
      <c r="AG177" s="47"/>
      <c r="AH177" s="47"/>
      <c r="AI177" s="46"/>
      <c r="AJ177" s="46"/>
      <c r="AK177" s="46"/>
      <c r="AL177" s="7"/>
      <c r="AM177" s="49" t="str">
        <f aca="false">IF(OR(C177="",G177=""),"",IFERROR(DATEDIF(C177,G177,"m"),""))</f>
        <v/>
      </c>
      <c r="AN177" s="49" t="str">
        <f aca="false">IF(OR(Q177="",AM177=""),"",60+2*Q177-AM177)</f>
        <v/>
      </c>
      <c r="AO177" s="49" t="str">
        <f aca="false">IF(OR(G177="",AJ177=""),"",AJ177-G177)</f>
        <v/>
      </c>
      <c r="AP177" s="50" t="str">
        <f aca="false">IF(AND(A177="",B177=""),"",IF(J177="","Status needed",IF(OR(J177="Applied",J177="Visit booked",J177="Withdrawn"),"OK",IF(G177="","Date assessed needed",IF(C177="","Date of birth needed",IF(COUNTA(L177,M177,P177,U177,V177,X177)&lt;6,"Band missing",IF(AND(OR(J177="Decision confirmed",J177="Family told",J177="Enrolled"),AG177=""),"Recommendation needed",IF(AND(OR(J177="Family told",J177="Enrolled"),AJ177=""),"Date family told needed","OK"))))))))</f>
        <v/>
      </c>
    </row>
    <row r="178" customFormat="false" ht="15" hidden="false" customHeight="false" outlineLevel="0" collapsed="false">
      <c r="A178" s="7"/>
      <c r="B178" s="7"/>
      <c r="C178" s="46"/>
      <c r="D178" s="7"/>
      <c r="E178" s="47"/>
      <c r="F178" s="46"/>
      <c r="G178" s="46"/>
      <c r="H178" s="7"/>
      <c r="I178" s="7"/>
      <c r="J178" s="47"/>
      <c r="K178" s="47"/>
      <c r="L178" s="47"/>
      <c r="M178" s="47"/>
      <c r="N178" s="10"/>
      <c r="O178" s="47"/>
      <c r="P178" s="47"/>
      <c r="Q178" s="47"/>
      <c r="R178" s="48" t="str">
        <f aca="false">IF(Q178="","",IF(Q178=0,"below 5:00",IF(Q178&gt;=66,"16:00 or above",INT((60+2*Q178)/12)&amp;":"&amp;TEXT(MOD(60+2*Q178,12),"00"))))</f>
        <v/>
      </c>
      <c r="S178" s="47"/>
      <c r="T178" s="47"/>
      <c r="U178" s="47"/>
      <c r="V178" s="47"/>
      <c r="W178" s="47"/>
      <c r="X178" s="47"/>
      <c r="Y178" s="47"/>
      <c r="Z178" s="47"/>
      <c r="AA178" s="10"/>
      <c r="AB178" s="10"/>
      <c r="AC178" s="47"/>
      <c r="AD178" s="47"/>
      <c r="AE178" s="47"/>
      <c r="AF178" s="47"/>
      <c r="AG178" s="47"/>
      <c r="AH178" s="47"/>
      <c r="AI178" s="46"/>
      <c r="AJ178" s="46"/>
      <c r="AK178" s="46"/>
      <c r="AL178" s="7"/>
      <c r="AM178" s="49" t="str">
        <f aca="false">IF(OR(C178="",G178=""),"",IFERROR(DATEDIF(C178,G178,"m"),""))</f>
        <v/>
      </c>
      <c r="AN178" s="49" t="str">
        <f aca="false">IF(OR(Q178="",AM178=""),"",60+2*Q178-AM178)</f>
        <v/>
      </c>
      <c r="AO178" s="49" t="str">
        <f aca="false">IF(OR(G178="",AJ178=""),"",AJ178-G178)</f>
        <v/>
      </c>
      <c r="AP178" s="50" t="str">
        <f aca="false">IF(AND(A178="",B178=""),"",IF(J178="","Status needed",IF(OR(J178="Applied",J178="Visit booked",J178="Withdrawn"),"OK",IF(G178="","Date assessed needed",IF(C178="","Date of birth needed",IF(COUNTA(L178,M178,P178,U178,V178,X178)&lt;6,"Band missing",IF(AND(OR(J178="Decision confirmed",J178="Family told",J178="Enrolled"),AG178=""),"Recommendation needed",IF(AND(OR(J178="Family told",J178="Enrolled"),AJ178=""),"Date family told needed","OK"))))))))</f>
        <v/>
      </c>
    </row>
    <row r="179" customFormat="false" ht="15" hidden="false" customHeight="false" outlineLevel="0" collapsed="false">
      <c r="A179" s="7"/>
      <c r="B179" s="7"/>
      <c r="C179" s="46"/>
      <c r="D179" s="7"/>
      <c r="E179" s="47"/>
      <c r="F179" s="46"/>
      <c r="G179" s="46"/>
      <c r="H179" s="7"/>
      <c r="I179" s="7"/>
      <c r="J179" s="47"/>
      <c r="K179" s="47"/>
      <c r="L179" s="47"/>
      <c r="M179" s="47"/>
      <c r="N179" s="10"/>
      <c r="O179" s="47"/>
      <c r="P179" s="47"/>
      <c r="Q179" s="47"/>
      <c r="R179" s="48" t="str">
        <f aca="false">IF(Q179="","",IF(Q179=0,"below 5:00",IF(Q179&gt;=66,"16:00 or above",INT((60+2*Q179)/12)&amp;":"&amp;TEXT(MOD(60+2*Q179,12),"00"))))</f>
        <v/>
      </c>
      <c r="S179" s="47"/>
      <c r="T179" s="47"/>
      <c r="U179" s="47"/>
      <c r="V179" s="47"/>
      <c r="W179" s="47"/>
      <c r="X179" s="47"/>
      <c r="Y179" s="47"/>
      <c r="Z179" s="47"/>
      <c r="AA179" s="10"/>
      <c r="AB179" s="10"/>
      <c r="AC179" s="47"/>
      <c r="AD179" s="47"/>
      <c r="AE179" s="47"/>
      <c r="AF179" s="47"/>
      <c r="AG179" s="47"/>
      <c r="AH179" s="47"/>
      <c r="AI179" s="46"/>
      <c r="AJ179" s="46"/>
      <c r="AK179" s="46"/>
      <c r="AL179" s="7"/>
      <c r="AM179" s="49" t="str">
        <f aca="false">IF(OR(C179="",G179=""),"",IFERROR(DATEDIF(C179,G179,"m"),""))</f>
        <v/>
      </c>
      <c r="AN179" s="49" t="str">
        <f aca="false">IF(OR(Q179="",AM179=""),"",60+2*Q179-AM179)</f>
        <v/>
      </c>
      <c r="AO179" s="49" t="str">
        <f aca="false">IF(OR(G179="",AJ179=""),"",AJ179-G179)</f>
        <v/>
      </c>
      <c r="AP179" s="50" t="str">
        <f aca="false">IF(AND(A179="",B179=""),"",IF(J179="","Status needed",IF(OR(J179="Applied",J179="Visit booked",J179="Withdrawn"),"OK",IF(G179="","Date assessed needed",IF(C179="","Date of birth needed",IF(COUNTA(L179,M179,P179,U179,V179,X179)&lt;6,"Band missing",IF(AND(OR(J179="Decision confirmed",J179="Family told",J179="Enrolled"),AG179=""),"Recommendation needed",IF(AND(OR(J179="Family told",J179="Enrolled"),AJ179=""),"Date family told needed","OK"))))))))</f>
        <v/>
      </c>
    </row>
    <row r="180" customFormat="false" ht="15" hidden="false" customHeight="false" outlineLevel="0" collapsed="false">
      <c r="A180" s="7"/>
      <c r="B180" s="7"/>
      <c r="C180" s="46"/>
      <c r="D180" s="7"/>
      <c r="E180" s="47"/>
      <c r="F180" s="46"/>
      <c r="G180" s="46"/>
      <c r="H180" s="7"/>
      <c r="I180" s="7"/>
      <c r="J180" s="47"/>
      <c r="K180" s="47"/>
      <c r="L180" s="47"/>
      <c r="M180" s="47"/>
      <c r="N180" s="10"/>
      <c r="O180" s="47"/>
      <c r="P180" s="47"/>
      <c r="Q180" s="47"/>
      <c r="R180" s="48" t="str">
        <f aca="false">IF(Q180="","",IF(Q180=0,"below 5:00",IF(Q180&gt;=66,"16:00 or above",INT((60+2*Q180)/12)&amp;":"&amp;TEXT(MOD(60+2*Q180,12),"00"))))</f>
        <v/>
      </c>
      <c r="S180" s="47"/>
      <c r="T180" s="47"/>
      <c r="U180" s="47"/>
      <c r="V180" s="47"/>
      <c r="W180" s="47"/>
      <c r="X180" s="47"/>
      <c r="Y180" s="47"/>
      <c r="Z180" s="47"/>
      <c r="AA180" s="10"/>
      <c r="AB180" s="10"/>
      <c r="AC180" s="47"/>
      <c r="AD180" s="47"/>
      <c r="AE180" s="47"/>
      <c r="AF180" s="47"/>
      <c r="AG180" s="47"/>
      <c r="AH180" s="47"/>
      <c r="AI180" s="46"/>
      <c r="AJ180" s="46"/>
      <c r="AK180" s="46"/>
      <c r="AL180" s="7"/>
      <c r="AM180" s="49" t="str">
        <f aca="false">IF(OR(C180="",G180=""),"",IFERROR(DATEDIF(C180,G180,"m"),""))</f>
        <v/>
      </c>
      <c r="AN180" s="49" t="str">
        <f aca="false">IF(OR(Q180="",AM180=""),"",60+2*Q180-AM180)</f>
        <v/>
      </c>
      <c r="AO180" s="49" t="str">
        <f aca="false">IF(OR(G180="",AJ180=""),"",AJ180-G180)</f>
        <v/>
      </c>
      <c r="AP180" s="50" t="str">
        <f aca="false">IF(AND(A180="",B180=""),"",IF(J180="","Status needed",IF(OR(J180="Applied",J180="Visit booked",J180="Withdrawn"),"OK",IF(G180="","Date assessed needed",IF(C180="","Date of birth needed",IF(COUNTA(L180,M180,P180,U180,V180,X180)&lt;6,"Band missing",IF(AND(OR(J180="Decision confirmed",J180="Family told",J180="Enrolled"),AG180=""),"Recommendation needed",IF(AND(OR(J180="Family told",J180="Enrolled"),AJ180=""),"Date family told needed","OK"))))))))</f>
        <v/>
      </c>
    </row>
    <row r="181" customFormat="false" ht="15" hidden="false" customHeight="false" outlineLevel="0" collapsed="false">
      <c r="A181" s="7"/>
      <c r="B181" s="7"/>
      <c r="C181" s="46"/>
      <c r="D181" s="7"/>
      <c r="E181" s="47"/>
      <c r="F181" s="46"/>
      <c r="G181" s="46"/>
      <c r="H181" s="7"/>
      <c r="I181" s="7"/>
      <c r="J181" s="47"/>
      <c r="K181" s="47"/>
      <c r="L181" s="47"/>
      <c r="M181" s="47"/>
      <c r="N181" s="10"/>
      <c r="O181" s="47"/>
      <c r="P181" s="47"/>
      <c r="Q181" s="47"/>
      <c r="R181" s="48" t="str">
        <f aca="false">IF(Q181="","",IF(Q181=0,"below 5:00",IF(Q181&gt;=66,"16:00 or above",INT((60+2*Q181)/12)&amp;":"&amp;TEXT(MOD(60+2*Q181,12),"00"))))</f>
        <v/>
      </c>
      <c r="S181" s="47"/>
      <c r="T181" s="47"/>
      <c r="U181" s="47"/>
      <c r="V181" s="47"/>
      <c r="W181" s="47"/>
      <c r="X181" s="47"/>
      <c r="Y181" s="47"/>
      <c r="Z181" s="47"/>
      <c r="AA181" s="10"/>
      <c r="AB181" s="10"/>
      <c r="AC181" s="47"/>
      <c r="AD181" s="47"/>
      <c r="AE181" s="47"/>
      <c r="AF181" s="47"/>
      <c r="AG181" s="47"/>
      <c r="AH181" s="47"/>
      <c r="AI181" s="46"/>
      <c r="AJ181" s="46"/>
      <c r="AK181" s="46"/>
      <c r="AL181" s="7"/>
      <c r="AM181" s="49" t="str">
        <f aca="false">IF(OR(C181="",G181=""),"",IFERROR(DATEDIF(C181,G181,"m"),""))</f>
        <v/>
      </c>
      <c r="AN181" s="49" t="str">
        <f aca="false">IF(OR(Q181="",AM181=""),"",60+2*Q181-AM181)</f>
        <v/>
      </c>
      <c r="AO181" s="49" t="str">
        <f aca="false">IF(OR(G181="",AJ181=""),"",AJ181-G181)</f>
        <v/>
      </c>
      <c r="AP181" s="50" t="str">
        <f aca="false">IF(AND(A181="",B181=""),"",IF(J181="","Status needed",IF(OR(J181="Applied",J181="Visit booked",J181="Withdrawn"),"OK",IF(G181="","Date assessed needed",IF(C181="","Date of birth needed",IF(COUNTA(L181,M181,P181,U181,V181,X181)&lt;6,"Band missing",IF(AND(OR(J181="Decision confirmed",J181="Family told",J181="Enrolled"),AG181=""),"Recommendation needed",IF(AND(OR(J181="Family told",J181="Enrolled"),AJ181=""),"Date family told needed","OK"))))))))</f>
        <v/>
      </c>
    </row>
    <row r="182" customFormat="false" ht="15" hidden="false" customHeight="false" outlineLevel="0" collapsed="false">
      <c r="A182" s="7"/>
      <c r="B182" s="7"/>
      <c r="C182" s="46"/>
      <c r="D182" s="7"/>
      <c r="E182" s="47"/>
      <c r="F182" s="46"/>
      <c r="G182" s="46"/>
      <c r="H182" s="7"/>
      <c r="I182" s="7"/>
      <c r="J182" s="47"/>
      <c r="K182" s="47"/>
      <c r="L182" s="47"/>
      <c r="M182" s="47"/>
      <c r="N182" s="10"/>
      <c r="O182" s="47"/>
      <c r="P182" s="47"/>
      <c r="Q182" s="47"/>
      <c r="R182" s="48" t="str">
        <f aca="false">IF(Q182="","",IF(Q182=0,"below 5:00",IF(Q182&gt;=66,"16:00 or above",INT((60+2*Q182)/12)&amp;":"&amp;TEXT(MOD(60+2*Q182,12),"00"))))</f>
        <v/>
      </c>
      <c r="S182" s="47"/>
      <c r="T182" s="47"/>
      <c r="U182" s="47"/>
      <c r="V182" s="47"/>
      <c r="W182" s="47"/>
      <c r="X182" s="47"/>
      <c r="Y182" s="47"/>
      <c r="Z182" s="47"/>
      <c r="AA182" s="10"/>
      <c r="AB182" s="10"/>
      <c r="AC182" s="47"/>
      <c r="AD182" s="47"/>
      <c r="AE182" s="47"/>
      <c r="AF182" s="47"/>
      <c r="AG182" s="47"/>
      <c r="AH182" s="47"/>
      <c r="AI182" s="46"/>
      <c r="AJ182" s="46"/>
      <c r="AK182" s="46"/>
      <c r="AL182" s="7"/>
      <c r="AM182" s="49" t="str">
        <f aca="false">IF(OR(C182="",G182=""),"",IFERROR(DATEDIF(C182,G182,"m"),""))</f>
        <v/>
      </c>
      <c r="AN182" s="49" t="str">
        <f aca="false">IF(OR(Q182="",AM182=""),"",60+2*Q182-AM182)</f>
        <v/>
      </c>
      <c r="AO182" s="49" t="str">
        <f aca="false">IF(OR(G182="",AJ182=""),"",AJ182-G182)</f>
        <v/>
      </c>
      <c r="AP182" s="50" t="str">
        <f aca="false">IF(AND(A182="",B182=""),"",IF(J182="","Status needed",IF(OR(J182="Applied",J182="Visit booked",J182="Withdrawn"),"OK",IF(G182="","Date assessed needed",IF(C182="","Date of birth needed",IF(COUNTA(L182,M182,P182,U182,V182,X182)&lt;6,"Band missing",IF(AND(OR(J182="Decision confirmed",J182="Family told",J182="Enrolled"),AG182=""),"Recommendation needed",IF(AND(OR(J182="Family told",J182="Enrolled"),AJ182=""),"Date family told needed","OK"))))))))</f>
        <v/>
      </c>
    </row>
    <row r="183" customFormat="false" ht="15" hidden="false" customHeight="false" outlineLevel="0" collapsed="false">
      <c r="A183" s="7"/>
      <c r="B183" s="7"/>
      <c r="C183" s="46"/>
      <c r="D183" s="7"/>
      <c r="E183" s="47"/>
      <c r="F183" s="46"/>
      <c r="G183" s="46"/>
      <c r="H183" s="7"/>
      <c r="I183" s="7"/>
      <c r="J183" s="47"/>
      <c r="K183" s="47"/>
      <c r="L183" s="47"/>
      <c r="M183" s="47"/>
      <c r="N183" s="10"/>
      <c r="O183" s="47"/>
      <c r="P183" s="47"/>
      <c r="Q183" s="47"/>
      <c r="R183" s="48" t="str">
        <f aca="false">IF(Q183="","",IF(Q183=0,"below 5:00",IF(Q183&gt;=66,"16:00 or above",INT((60+2*Q183)/12)&amp;":"&amp;TEXT(MOD(60+2*Q183,12),"00"))))</f>
        <v/>
      </c>
      <c r="S183" s="47"/>
      <c r="T183" s="47"/>
      <c r="U183" s="47"/>
      <c r="V183" s="47"/>
      <c r="W183" s="47"/>
      <c r="X183" s="47"/>
      <c r="Y183" s="47"/>
      <c r="Z183" s="47"/>
      <c r="AA183" s="10"/>
      <c r="AB183" s="10"/>
      <c r="AC183" s="47"/>
      <c r="AD183" s="47"/>
      <c r="AE183" s="47"/>
      <c r="AF183" s="47"/>
      <c r="AG183" s="47"/>
      <c r="AH183" s="47"/>
      <c r="AI183" s="46"/>
      <c r="AJ183" s="46"/>
      <c r="AK183" s="46"/>
      <c r="AL183" s="7"/>
      <c r="AM183" s="49" t="str">
        <f aca="false">IF(OR(C183="",G183=""),"",IFERROR(DATEDIF(C183,G183,"m"),""))</f>
        <v/>
      </c>
      <c r="AN183" s="49" t="str">
        <f aca="false">IF(OR(Q183="",AM183=""),"",60+2*Q183-AM183)</f>
        <v/>
      </c>
      <c r="AO183" s="49" t="str">
        <f aca="false">IF(OR(G183="",AJ183=""),"",AJ183-G183)</f>
        <v/>
      </c>
      <c r="AP183" s="50" t="str">
        <f aca="false">IF(AND(A183="",B183=""),"",IF(J183="","Status needed",IF(OR(J183="Applied",J183="Visit booked",J183="Withdrawn"),"OK",IF(G183="","Date assessed needed",IF(C183="","Date of birth needed",IF(COUNTA(L183,M183,P183,U183,V183,X183)&lt;6,"Band missing",IF(AND(OR(J183="Decision confirmed",J183="Family told",J183="Enrolled"),AG183=""),"Recommendation needed",IF(AND(OR(J183="Family told",J183="Enrolled"),AJ183=""),"Date family told needed","OK"))))))))</f>
        <v/>
      </c>
    </row>
    <row r="184" customFormat="false" ht="15" hidden="false" customHeight="false" outlineLevel="0" collapsed="false">
      <c r="A184" s="7"/>
      <c r="B184" s="7"/>
      <c r="C184" s="46"/>
      <c r="D184" s="7"/>
      <c r="E184" s="47"/>
      <c r="F184" s="46"/>
      <c r="G184" s="46"/>
      <c r="H184" s="7"/>
      <c r="I184" s="7"/>
      <c r="J184" s="47"/>
      <c r="K184" s="47"/>
      <c r="L184" s="47"/>
      <c r="M184" s="47"/>
      <c r="N184" s="10"/>
      <c r="O184" s="47"/>
      <c r="P184" s="47"/>
      <c r="Q184" s="47"/>
      <c r="R184" s="48" t="str">
        <f aca="false">IF(Q184="","",IF(Q184=0,"below 5:00",IF(Q184&gt;=66,"16:00 or above",INT((60+2*Q184)/12)&amp;":"&amp;TEXT(MOD(60+2*Q184,12),"00"))))</f>
        <v/>
      </c>
      <c r="S184" s="47"/>
      <c r="T184" s="47"/>
      <c r="U184" s="47"/>
      <c r="V184" s="47"/>
      <c r="W184" s="47"/>
      <c r="X184" s="47"/>
      <c r="Y184" s="47"/>
      <c r="Z184" s="47"/>
      <c r="AA184" s="10"/>
      <c r="AB184" s="10"/>
      <c r="AC184" s="47"/>
      <c r="AD184" s="47"/>
      <c r="AE184" s="47"/>
      <c r="AF184" s="47"/>
      <c r="AG184" s="47"/>
      <c r="AH184" s="47"/>
      <c r="AI184" s="46"/>
      <c r="AJ184" s="46"/>
      <c r="AK184" s="46"/>
      <c r="AL184" s="7"/>
      <c r="AM184" s="49" t="str">
        <f aca="false">IF(OR(C184="",G184=""),"",IFERROR(DATEDIF(C184,G184,"m"),""))</f>
        <v/>
      </c>
      <c r="AN184" s="49" t="str">
        <f aca="false">IF(OR(Q184="",AM184=""),"",60+2*Q184-AM184)</f>
        <v/>
      </c>
      <c r="AO184" s="49" t="str">
        <f aca="false">IF(OR(G184="",AJ184=""),"",AJ184-G184)</f>
        <v/>
      </c>
      <c r="AP184" s="50" t="str">
        <f aca="false">IF(AND(A184="",B184=""),"",IF(J184="","Status needed",IF(OR(J184="Applied",J184="Visit booked",J184="Withdrawn"),"OK",IF(G184="","Date assessed needed",IF(C184="","Date of birth needed",IF(COUNTA(L184,M184,P184,U184,V184,X184)&lt;6,"Band missing",IF(AND(OR(J184="Decision confirmed",J184="Family told",J184="Enrolled"),AG184=""),"Recommendation needed",IF(AND(OR(J184="Family told",J184="Enrolled"),AJ184=""),"Date family told needed","OK"))))))))</f>
        <v/>
      </c>
    </row>
    <row r="185" customFormat="false" ht="15" hidden="false" customHeight="false" outlineLevel="0" collapsed="false">
      <c r="A185" s="7"/>
      <c r="B185" s="7"/>
      <c r="C185" s="46"/>
      <c r="D185" s="7"/>
      <c r="E185" s="47"/>
      <c r="F185" s="46"/>
      <c r="G185" s="46"/>
      <c r="H185" s="7"/>
      <c r="I185" s="7"/>
      <c r="J185" s="47"/>
      <c r="K185" s="47"/>
      <c r="L185" s="47"/>
      <c r="M185" s="47"/>
      <c r="N185" s="10"/>
      <c r="O185" s="47"/>
      <c r="P185" s="47"/>
      <c r="Q185" s="47"/>
      <c r="R185" s="48" t="str">
        <f aca="false">IF(Q185="","",IF(Q185=0,"below 5:00",IF(Q185&gt;=66,"16:00 or above",INT((60+2*Q185)/12)&amp;":"&amp;TEXT(MOD(60+2*Q185,12),"00"))))</f>
        <v/>
      </c>
      <c r="S185" s="47"/>
      <c r="T185" s="47"/>
      <c r="U185" s="47"/>
      <c r="V185" s="47"/>
      <c r="W185" s="47"/>
      <c r="X185" s="47"/>
      <c r="Y185" s="47"/>
      <c r="Z185" s="47"/>
      <c r="AA185" s="10"/>
      <c r="AB185" s="10"/>
      <c r="AC185" s="47"/>
      <c r="AD185" s="47"/>
      <c r="AE185" s="47"/>
      <c r="AF185" s="47"/>
      <c r="AG185" s="47"/>
      <c r="AH185" s="47"/>
      <c r="AI185" s="46"/>
      <c r="AJ185" s="46"/>
      <c r="AK185" s="46"/>
      <c r="AL185" s="7"/>
      <c r="AM185" s="49" t="str">
        <f aca="false">IF(OR(C185="",G185=""),"",IFERROR(DATEDIF(C185,G185,"m"),""))</f>
        <v/>
      </c>
      <c r="AN185" s="49" t="str">
        <f aca="false">IF(OR(Q185="",AM185=""),"",60+2*Q185-AM185)</f>
        <v/>
      </c>
      <c r="AO185" s="49" t="str">
        <f aca="false">IF(OR(G185="",AJ185=""),"",AJ185-G185)</f>
        <v/>
      </c>
      <c r="AP185" s="50" t="str">
        <f aca="false">IF(AND(A185="",B185=""),"",IF(J185="","Status needed",IF(OR(J185="Applied",J185="Visit booked",J185="Withdrawn"),"OK",IF(G185="","Date assessed needed",IF(C185="","Date of birth needed",IF(COUNTA(L185,M185,P185,U185,V185,X185)&lt;6,"Band missing",IF(AND(OR(J185="Decision confirmed",J185="Family told",J185="Enrolled"),AG185=""),"Recommendation needed",IF(AND(OR(J185="Family told",J185="Enrolled"),AJ185=""),"Date family told needed","OK"))))))))</f>
        <v/>
      </c>
    </row>
    <row r="186" customFormat="false" ht="15" hidden="false" customHeight="false" outlineLevel="0" collapsed="false">
      <c r="A186" s="7"/>
      <c r="B186" s="7"/>
      <c r="C186" s="46"/>
      <c r="D186" s="7"/>
      <c r="E186" s="47"/>
      <c r="F186" s="46"/>
      <c r="G186" s="46"/>
      <c r="H186" s="7"/>
      <c r="I186" s="7"/>
      <c r="J186" s="47"/>
      <c r="K186" s="47"/>
      <c r="L186" s="47"/>
      <c r="M186" s="47"/>
      <c r="N186" s="10"/>
      <c r="O186" s="47"/>
      <c r="P186" s="47"/>
      <c r="Q186" s="47"/>
      <c r="R186" s="48" t="str">
        <f aca="false">IF(Q186="","",IF(Q186=0,"below 5:00",IF(Q186&gt;=66,"16:00 or above",INT((60+2*Q186)/12)&amp;":"&amp;TEXT(MOD(60+2*Q186,12),"00"))))</f>
        <v/>
      </c>
      <c r="S186" s="47"/>
      <c r="T186" s="47"/>
      <c r="U186" s="47"/>
      <c r="V186" s="47"/>
      <c r="W186" s="47"/>
      <c r="X186" s="47"/>
      <c r="Y186" s="47"/>
      <c r="Z186" s="47"/>
      <c r="AA186" s="10"/>
      <c r="AB186" s="10"/>
      <c r="AC186" s="47"/>
      <c r="AD186" s="47"/>
      <c r="AE186" s="47"/>
      <c r="AF186" s="47"/>
      <c r="AG186" s="47"/>
      <c r="AH186" s="47"/>
      <c r="AI186" s="46"/>
      <c r="AJ186" s="46"/>
      <c r="AK186" s="46"/>
      <c r="AL186" s="7"/>
      <c r="AM186" s="49" t="str">
        <f aca="false">IF(OR(C186="",G186=""),"",IFERROR(DATEDIF(C186,G186,"m"),""))</f>
        <v/>
      </c>
      <c r="AN186" s="49" t="str">
        <f aca="false">IF(OR(Q186="",AM186=""),"",60+2*Q186-AM186)</f>
        <v/>
      </c>
      <c r="AO186" s="49" t="str">
        <f aca="false">IF(OR(G186="",AJ186=""),"",AJ186-G186)</f>
        <v/>
      </c>
      <c r="AP186" s="50" t="str">
        <f aca="false">IF(AND(A186="",B186=""),"",IF(J186="","Status needed",IF(OR(J186="Applied",J186="Visit booked",J186="Withdrawn"),"OK",IF(G186="","Date assessed needed",IF(C186="","Date of birth needed",IF(COUNTA(L186,M186,P186,U186,V186,X186)&lt;6,"Band missing",IF(AND(OR(J186="Decision confirmed",J186="Family told",J186="Enrolled"),AG186=""),"Recommendation needed",IF(AND(OR(J186="Family told",J186="Enrolled"),AJ186=""),"Date family told needed","OK"))))))))</f>
        <v/>
      </c>
    </row>
    <row r="187" customFormat="false" ht="15" hidden="false" customHeight="false" outlineLevel="0" collapsed="false">
      <c r="A187" s="7"/>
      <c r="B187" s="7"/>
      <c r="C187" s="46"/>
      <c r="D187" s="7"/>
      <c r="E187" s="47"/>
      <c r="F187" s="46"/>
      <c r="G187" s="46"/>
      <c r="H187" s="7"/>
      <c r="I187" s="7"/>
      <c r="J187" s="47"/>
      <c r="K187" s="47"/>
      <c r="L187" s="47"/>
      <c r="M187" s="47"/>
      <c r="N187" s="10"/>
      <c r="O187" s="47"/>
      <c r="P187" s="47"/>
      <c r="Q187" s="47"/>
      <c r="R187" s="48" t="str">
        <f aca="false">IF(Q187="","",IF(Q187=0,"below 5:00",IF(Q187&gt;=66,"16:00 or above",INT((60+2*Q187)/12)&amp;":"&amp;TEXT(MOD(60+2*Q187,12),"00"))))</f>
        <v/>
      </c>
      <c r="S187" s="47"/>
      <c r="T187" s="47"/>
      <c r="U187" s="47"/>
      <c r="V187" s="47"/>
      <c r="W187" s="47"/>
      <c r="X187" s="47"/>
      <c r="Y187" s="47"/>
      <c r="Z187" s="47"/>
      <c r="AA187" s="10"/>
      <c r="AB187" s="10"/>
      <c r="AC187" s="47"/>
      <c r="AD187" s="47"/>
      <c r="AE187" s="47"/>
      <c r="AF187" s="47"/>
      <c r="AG187" s="47"/>
      <c r="AH187" s="47"/>
      <c r="AI187" s="46"/>
      <c r="AJ187" s="46"/>
      <c r="AK187" s="46"/>
      <c r="AL187" s="7"/>
      <c r="AM187" s="49" t="str">
        <f aca="false">IF(OR(C187="",G187=""),"",IFERROR(DATEDIF(C187,G187,"m"),""))</f>
        <v/>
      </c>
      <c r="AN187" s="49" t="str">
        <f aca="false">IF(OR(Q187="",AM187=""),"",60+2*Q187-AM187)</f>
        <v/>
      </c>
      <c r="AO187" s="49" t="str">
        <f aca="false">IF(OR(G187="",AJ187=""),"",AJ187-G187)</f>
        <v/>
      </c>
      <c r="AP187" s="50" t="str">
        <f aca="false">IF(AND(A187="",B187=""),"",IF(J187="","Status needed",IF(OR(J187="Applied",J187="Visit booked",J187="Withdrawn"),"OK",IF(G187="","Date assessed needed",IF(C187="","Date of birth needed",IF(COUNTA(L187,M187,P187,U187,V187,X187)&lt;6,"Band missing",IF(AND(OR(J187="Decision confirmed",J187="Family told",J187="Enrolled"),AG187=""),"Recommendation needed",IF(AND(OR(J187="Family told",J187="Enrolled"),AJ187=""),"Date family told needed","OK"))))))))</f>
        <v/>
      </c>
    </row>
    <row r="188" customFormat="false" ht="15" hidden="false" customHeight="false" outlineLevel="0" collapsed="false">
      <c r="A188" s="7"/>
      <c r="B188" s="7"/>
      <c r="C188" s="46"/>
      <c r="D188" s="7"/>
      <c r="E188" s="47"/>
      <c r="F188" s="46"/>
      <c r="G188" s="46"/>
      <c r="H188" s="7"/>
      <c r="I188" s="7"/>
      <c r="J188" s="47"/>
      <c r="K188" s="47"/>
      <c r="L188" s="47"/>
      <c r="M188" s="47"/>
      <c r="N188" s="10"/>
      <c r="O188" s="47"/>
      <c r="P188" s="47"/>
      <c r="Q188" s="47"/>
      <c r="R188" s="48" t="str">
        <f aca="false">IF(Q188="","",IF(Q188=0,"below 5:00",IF(Q188&gt;=66,"16:00 or above",INT((60+2*Q188)/12)&amp;":"&amp;TEXT(MOD(60+2*Q188,12),"00"))))</f>
        <v/>
      </c>
      <c r="S188" s="47"/>
      <c r="T188" s="47"/>
      <c r="U188" s="47"/>
      <c r="V188" s="47"/>
      <c r="W188" s="47"/>
      <c r="X188" s="47"/>
      <c r="Y188" s="47"/>
      <c r="Z188" s="47"/>
      <c r="AA188" s="10"/>
      <c r="AB188" s="10"/>
      <c r="AC188" s="47"/>
      <c r="AD188" s="47"/>
      <c r="AE188" s="47"/>
      <c r="AF188" s="47"/>
      <c r="AG188" s="47"/>
      <c r="AH188" s="47"/>
      <c r="AI188" s="46"/>
      <c r="AJ188" s="46"/>
      <c r="AK188" s="46"/>
      <c r="AL188" s="7"/>
      <c r="AM188" s="49" t="str">
        <f aca="false">IF(OR(C188="",G188=""),"",IFERROR(DATEDIF(C188,G188,"m"),""))</f>
        <v/>
      </c>
      <c r="AN188" s="49" t="str">
        <f aca="false">IF(OR(Q188="",AM188=""),"",60+2*Q188-AM188)</f>
        <v/>
      </c>
      <c r="AO188" s="49" t="str">
        <f aca="false">IF(OR(G188="",AJ188=""),"",AJ188-G188)</f>
        <v/>
      </c>
      <c r="AP188" s="50" t="str">
        <f aca="false">IF(AND(A188="",B188=""),"",IF(J188="","Status needed",IF(OR(J188="Applied",J188="Visit booked",J188="Withdrawn"),"OK",IF(G188="","Date assessed needed",IF(C188="","Date of birth needed",IF(COUNTA(L188,M188,P188,U188,V188,X188)&lt;6,"Band missing",IF(AND(OR(J188="Decision confirmed",J188="Family told",J188="Enrolled"),AG188=""),"Recommendation needed",IF(AND(OR(J188="Family told",J188="Enrolled"),AJ188=""),"Date family told needed","OK"))))))))</f>
        <v/>
      </c>
    </row>
    <row r="189" customFormat="false" ht="15" hidden="false" customHeight="false" outlineLevel="0" collapsed="false">
      <c r="A189" s="7"/>
      <c r="B189" s="7"/>
      <c r="C189" s="46"/>
      <c r="D189" s="7"/>
      <c r="E189" s="47"/>
      <c r="F189" s="46"/>
      <c r="G189" s="46"/>
      <c r="H189" s="7"/>
      <c r="I189" s="7"/>
      <c r="J189" s="47"/>
      <c r="K189" s="47"/>
      <c r="L189" s="47"/>
      <c r="M189" s="47"/>
      <c r="N189" s="10"/>
      <c r="O189" s="47"/>
      <c r="P189" s="47"/>
      <c r="Q189" s="47"/>
      <c r="R189" s="48" t="str">
        <f aca="false">IF(Q189="","",IF(Q189=0,"below 5:00",IF(Q189&gt;=66,"16:00 or above",INT((60+2*Q189)/12)&amp;":"&amp;TEXT(MOD(60+2*Q189,12),"00"))))</f>
        <v/>
      </c>
      <c r="S189" s="47"/>
      <c r="T189" s="47"/>
      <c r="U189" s="47"/>
      <c r="V189" s="47"/>
      <c r="W189" s="47"/>
      <c r="X189" s="47"/>
      <c r="Y189" s="47"/>
      <c r="Z189" s="47"/>
      <c r="AA189" s="10"/>
      <c r="AB189" s="10"/>
      <c r="AC189" s="47"/>
      <c r="AD189" s="47"/>
      <c r="AE189" s="47"/>
      <c r="AF189" s="47"/>
      <c r="AG189" s="47"/>
      <c r="AH189" s="47"/>
      <c r="AI189" s="46"/>
      <c r="AJ189" s="46"/>
      <c r="AK189" s="46"/>
      <c r="AL189" s="7"/>
      <c r="AM189" s="49" t="str">
        <f aca="false">IF(OR(C189="",G189=""),"",IFERROR(DATEDIF(C189,G189,"m"),""))</f>
        <v/>
      </c>
      <c r="AN189" s="49" t="str">
        <f aca="false">IF(OR(Q189="",AM189=""),"",60+2*Q189-AM189)</f>
        <v/>
      </c>
      <c r="AO189" s="49" t="str">
        <f aca="false">IF(OR(G189="",AJ189=""),"",AJ189-G189)</f>
        <v/>
      </c>
      <c r="AP189" s="50" t="str">
        <f aca="false">IF(AND(A189="",B189=""),"",IF(J189="","Status needed",IF(OR(J189="Applied",J189="Visit booked",J189="Withdrawn"),"OK",IF(G189="","Date assessed needed",IF(C189="","Date of birth needed",IF(COUNTA(L189,M189,P189,U189,V189,X189)&lt;6,"Band missing",IF(AND(OR(J189="Decision confirmed",J189="Family told",J189="Enrolled"),AG189=""),"Recommendation needed",IF(AND(OR(J189="Family told",J189="Enrolled"),AJ189=""),"Date family told needed","OK"))))))))</f>
        <v/>
      </c>
    </row>
    <row r="190" customFormat="false" ht="15" hidden="false" customHeight="false" outlineLevel="0" collapsed="false">
      <c r="A190" s="7"/>
      <c r="B190" s="7"/>
      <c r="C190" s="46"/>
      <c r="D190" s="7"/>
      <c r="E190" s="47"/>
      <c r="F190" s="46"/>
      <c r="G190" s="46"/>
      <c r="H190" s="7"/>
      <c r="I190" s="7"/>
      <c r="J190" s="47"/>
      <c r="K190" s="47"/>
      <c r="L190" s="47"/>
      <c r="M190" s="47"/>
      <c r="N190" s="10"/>
      <c r="O190" s="47"/>
      <c r="P190" s="47"/>
      <c r="Q190" s="47"/>
      <c r="R190" s="48" t="str">
        <f aca="false">IF(Q190="","",IF(Q190=0,"below 5:00",IF(Q190&gt;=66,"16:00 or above",INT((60+2*Q190)/12)&amp;":"&amp;TEXT(MOD(60+2*Q190,12),"00"))))</f>
        <v/>
      </c>
      <c r="S190" s="47"/>
      <c r="T190" s="47"/>
      <c r="U190" s="47"/>
      <c r="V190" s="47"/>
      <c r="W190" s="47"/>
      <c r="X190" s="47"/>
      <c r="Y190" s="47"/>
      <c r="Z190" s="47"/>
      <c r="AA190" s="10"/>
      <c r="AB190" s="10"/>
      <c r="AC190" s="47"/>
      <c r="AD190" s="47"/>
      <c r="AE190" s="47"/>
      <c r="AF190" s="47"/>
      <c r="AG190" s="47"/>
      <c r="AH190" s="47"/>
      <c r="AI190" s="46"/>
      <c r="AJ190" s="46"/>
      <c r="AK190" s="46"/>
      <c r="AL190" s="7"/>
      <c r="AM190" s="49" t="str">
        <f aca="false">IF(OR(C190="",G190=""),"",IFERROR(DATEDIF(C190,G190,"m"),""))</f>
        <v/>
      </c>
      <c r="AN190" s="49" t="str">
        <f aca="false">IF(OR(Q190="",AM190=""),"",60+2*Q190-AM190)</f>
        <v/>
      </c>
      <c r="AO190" s="49" t="str">
        <f aca="false">IF(OR(G190="",AJ190=""),"",AJ190-G190)</f>
        <v/>
      </c>
      <c r="AP190" s="50" t="str">
        <f aca="false">IF(AND(A190="",B190=""),"",IF(J190="","Status needed",IF(OR(J190="Applied",J190="Visit booked",J190="Withdrawn"),"OK",IF(G190="","Date assessed needed",IF(C190="","Date of birth needed",IF(COUNTA(L190,M190,P190,U190,V190,X190)&lt;6,"Band missing",IF(AND(OR(J190="Decision confirmed",J190="Family told",J190="Enrolled"),AG190=""),"Recommendation needed",IF(AND(OR(J190="Family told",J190="Enrolled"),AJ190=""),"Date family told needed","OK"))))))))</f>
        <v/>
      </c>
    </row>
    <row r="191" customFormat="false" ht="15" hidden="false" customHeight="false" outlineLevel="0" collapsed="false">
      <c r="A191" s="7"/>
      <c r="B191" s="7"/>
      <c r="C191" s="46"/>
      <c r="D191" s="7"/>
      <c r="E191" s="47"/>
      <c r="F191" s="46"/>
      <c r="G191" s="46"/>
      <c r="H191" s="7"/>
      <c r="I191" s="7"/>
      <c r="J191" s="47"/>
      <c r="K191" s="47"/>
      <c r="L191" s="47"/>
      <c r="M191" s="47"/>
      <c r="N191" s="10"/>
      <c r="O191" s="47"/>
      <c r="P191" s="47"/>
      <c r="Q191" s="47"/>
      <c r="R191" s="48" t="str">
        <f aca="false">IF(Q191="","",IF(Q191=0,"below 5:00",IF(Q191&gt;=66,"16:00 or above",INT((60+2*Q191)/12)&amp;":"&amp;TEXT(MOD(60+2*Q191,12),"00"))))</f>
        <v/>
      </c>
      <c r="S191" s="47"/>
      <c r="T191" s="47"/>
      <c r="U191" s="47"/>
      <c r="V191" s="47"/>
      <c r="W191" s="47"/>
      <c r="X191" s="47"/>
      <c r="Y191" s="47"/>
      <c r="Z191" s="47"/>
      <c r="AA191" s="10"/>
      <c r="AB191" s="10"/>
      <c r="AC191" s="47"/>
      <c r="AD191" s="47"/>
      <c r="AE191" s="47"/>
      <c r="AF191" s="47"/>
      <c r="AG191" s="47"/>
      <c r="AH191" s="47"/>
      <c r="AI191" s="46"/>
      <c r="AJ191" s="46"/>
      <c r="AK191" s="46"/>
      <c r="AL191" s="7"/>
      <c r="AM191" s="49" t="str">
        <f aca="false">IF(OR(C191="",G191=""),"",IFERROR(DATEDIF(C191,G191,"m"),""))</f>
        <v/>
      </c>
      <c r="AN191" s="49" t="str">
        <f aca="false">IF(OR(Q191="",AM191=""),"",60+2*Q191-AM191)</f>
        <v/>
      </c>
      <c r="AO191" s="49" t="str">
        <f aca="false">IF(OR(G191="",AJ191=""),"",AJ191-G191)</f>
        <v/>
      </c>
      <c r="AP191" s="50" t="str">
        <f aca="false">IF(AND(A191="",B191=""),"",IF(J191="","Status needed",IF(OR(J191="Applied",J191="Visit booked",J191="Withdrawn"),"OK",IF(G191="","Date assessed needed",IF(C191="","Date of birth needed",IF(COUNTA(L191,M191,P191,U191,V191,X191)&lt;6,"Band missing",IF(AND(OR(J191="Decision confirmed",J191="Family told",J191="Enrolled"),AG191=""),"Recommendation needed",IF(AND(OR(J191="Family told",J191="Enrolled"),AJ191=""),"Date family told needed","OK"))))))))</f>
        <v/>
      </c>
    </row>
    <row r="192" customFormat="false" ht="15" hidden="false" customHeight="false" outlineLevel="0" collapsed="false">
      <c r="A192" s="7"/>
      <c r="B192" s="7"/>
      <c r="C192" s="46"/>
      <c r="D192" s="7"/>
      <c r="E192" s="47"/>
      <c r="F192" s="46"/>
      <c r="G192" s="46"/>
      <c r="H192" s="7"/>
      <c r="I192" s="7"/>
      <c r="J192" s="47"/>
      <c r="K192" s="47"/>
      <c r="L192" s="47"/>
      <c r="M192" s="47"/>
      <c r="N192" s="10"/>
      <c r="O192" s="47"/>
      <c r="P192" s="47"/>
      <c r="Q192" s="47"/>
      <c r="R192" s="48" t="str">
        <f aca="false">IF(Q192="","",IF(Q192=0,"below 5:00",IF(Q192&gt;=66,"16:00 or above",INT((60+2*Q192)/12)&amp;":"&amp;TEXT(MOD(60+2*Q192,12),"00"))))</f>
        <v/>
      </c>
      <c r="S192" s="47"/>
      <c r="T192" s="47"/>
      <c r="U192" s="47"/>
      <c r="V192" s="47"/>
      <c r="W192" s="47"/>
      <c r="X192" s="47"/>
      <c r="Y192" s="47"/>
      <c r="Z192" s="47"/>
      <c r="AA192" s="10"/>
      <c r="AB192" s="10"/>
      <c r="AC192" s="47"/>
      <c r="AD192" s="47"/>
      <c r="AE192" s="47"/>
      <c r="AF192" s="47"/>
      <c r="AG192" s="47"/>
      <c r="AH192" s="47"/>
      <c r="AI192" s="46"/>
      <c r="AJ192" s="46"/>
      <c r="AK192" s="46"/>
      <c r="AL192" s="7"/>
      <c r="AM192" s="49" t="str">
        <f aca="false">IF(OR(C192="",G192=""),"",IFERROR(DATEDIF(C192,G192,"m"),""))</f>
        <v/>
      </c>
      <c r="AN192" s="49" t="str">
        <f aca="false">IF(OR(Q192="",AM192=""),"",60+2*Q192-AM192)</f>
        <v/>
      </c>
      <c r="AO192" s="49" t="str">
        <f aca="false">IF(OR(G192="",AJ192=""),"",AJ192-G192)</f>
        <v/>
      </c>
      <c r="AP192" s="50" t="str">
        <f aca="false">IF(AND(A192="",B192=""),"",IF(J192="","Status needed",IF(OR(J192="Applied",J192="Visit booked",J192="Withdrawn"),"OK",IF(G192="","Date assessed needed",IF(C192="","Date of birth needed",IF(COUNTA(L192,M192,P192,U192,V192,X192)&lt;6,"Band missing",IF(AND(OR(J192="Decision confirmed",J192="Family told",J192="Enrolled"),AG192=""),"Recommendation needed",IF(AND(OR(J192="Family told",J192="Enrolled"),AJ192=""),"Date family told needed","OK"))))))))</f>
        <v/>
      </c>
    </row>
    <row r="193" customFormat="false" ht="15" hidden="false" customHeight="false" outlineLevel="0" collapsed="false">
      <c r="A193" s="7"/>
      <c r="B193" s="7"/>
      <c r="C193" s="46"/>
      <c r="D193" s="7"/>
      <c r="E193" s="47"/>
      <c r="F193" s="46"/>
      <c r="G193" s="46"/>
      <c r="H193" s="7"/>
      <c r="I193" s="7"/>
      <c r="J193" s="47"/>
      <c r="K193" s="47"/>
      <c r="L193" s="47"/>
      <c r="M193" s="47"/>
      <c r="N193" s="10"/>
      <c r="O193" s="47"/>
      <c r="P193" s="47"/>
      <c r="Q193" s="47"/>
      <c r="R193" s="48" t="str">
        <f aca="false">IF(Q193="","",IF(Q193=0,"below 5:00",IF(Q193&gt;=66,"16:00 or above",INT((60+2*Q193)/12)&amp;":"&amp;TEXT(MOD(60+2*Q193,12),"00"))))</f>
        <v/>
      </c>
      <c r="S193" s="47"/>
      <c r="T193" s="47"/>
      <c r="U193" s="47"/>
      <c r="V193" s="47"/>
      <c r="W193" s="47"/>
      <c r="X193" s="47"/>
      <c r="Y193" s="47"/>
      <c r="Z193" s="47"/>
      <c r="AA193" s="10"/>
      <c r="AB193" s="10"/>
      <c r="AC193" s="47"/>
      <c r="AD193" s="47"/>
      <c r="AE193" s="47"/>
      <c r="AF193" s="47"/>
      <c r="AG193" s="47"/>
      <c r="AH193" s="47"/>
      <c r="AI193" s="46"/>
      <c r="AJ193" s="46"/>
      <c r="AK193" s="46"/>
      <c r="AL193" s="7"/>
      <c r="AM193" s="49" t="str">
        <f aca="false">IF(OR(C193="",G193=""),"",IFERROR(DATEDIF(C193,G193,"m"),""))</f>
        <v/>
      </c>
      <c r="AN193" s="49" t="str">
        <f aca="false">IF(OR(Q193="",AM193=""),"",60+2*Q193-AM193)</f>
        <v/>
      </c>
      <c r="AO193" s="49" t="str">
        <f aca="false">IF(OR(G193="",AJ193=""),"",AJ193-G193)</f>
        <v/>
      </c>
      <c r="AP193" s="50" t="str">
        <f aca="false">IF(AND(A193="",B193=""),"",IF(J193="","Status needed",IF(OR(J193="Applied",J193="Visit booked",J193="Withdrawn"),"OK",IF(G193="","Date assessed needed",IF(C193="","Date of birth needed",IF(COUNTA(L193,M193,P193,U193,V193,X193)&lt;6,"Band missing",IF(AND(OR(J193="Decision confirmed",J193="Family told",J193="Enrolled"),AG193=""),"Recommendation needed",IF(AND(OR(J193="Family told",J193="Enrolled"),AJ193=""),"Date family told needed","OK"))))))))</f>
        <v/>
      </c>
    </row>
    <row r="194" customFormat="false" ht="15" hidden="false" customHeight="false" outlineLevel="0" collapsed="false">
      <c r="A194" s="7"/>
      <c r="B194" s="7"/>
      <c r="C194" s="46"/>
      <c r="D194" s="7"/>
      <c r="E194" s="47"/>
      <c r="F194" s="46"/>
      <c r="G194" s="46"/>
      <c r="H194" s="7"/>
      <c r="I194" s="7"/>
      <c r="J194" s="47"/>
      <c r="K194" s="47"/>
      <c r="L194" s="47"/>
      <c r="M194" s="47"/>
      <c r="N194" s="10"/>
      <c r="O194" s="47"/>
      <c r="P194" s="47"/>
      <c r="Q194" s="47"/>
      <c r="R194" s="48" t="str">
        <f aca="false">IF(Q194="","",IF(Q194=0,"below 5:00",IF(Q194&gt;=66,"16:00 or above",INT((60+2*Q194)/12)&amp;":"&amp;TEXT(MOD(60+2*Q194,12),"00"))))</f>
        <v/>
      </c>
      <c r="S194" s="47"/>
      <c r="T194" s="47"/>
      <c r="U194" s="47"/>
      <c r="V194" s="47"/>
      <c r="W194" s="47"/>
      <c r="X194" s="47"/>
      <c r="Y194" s="47"/>
      <c r="Z194" s="47"/>
      <c r="AA194" s="10"/>
      <c r="AB194" s="10"/>
      <c r="AC194" s="47"/>
      <c r="AD194" s="47"/>
      <c r="AE194" s="47"/>
      <c r="AF194" s="47"/>
      <c r="AG194" s="47"/>
      <c r="AH194" s="47"/>
      <c r="AI194" s="46"/>
      <c r="AJ194" s="46"/>
      <c r="AK194" s="46"/>
      <c r="AL194" s="7"/>
      <c r="AM194" s="49" t="str">
        <f aca="false">IF(OR(C194="",G194=""),"",IFERROR(DATEDIF(C194,G194,"m"),""))</f>
        <v/>
      </c>
      <c r="AN194" s="49" t="str">
        <f aca="false">IF(OR(Q194="",AM194=""),"",60+2*Q194-AM194)</f>
        <v/>
      </c>
      <c r="AO194" s="49" t="str">
        <f aca="false">IF(OR(G194="",AJ194=""),"",AJ194-G194)</f>
        <v/>
      </c>
      <c r="AP194" s="50" t="str">
        <f aca="false">IF(AND(A194="",B194=""),"",IF(J194="","Status needed",IF(OR(J194="Applied",J194="Visit booked",J194="Withdrawn"),"OK",IF(G194="","Date assessed needed",IF(C194="","Date of birth needed",IF(COUNTA(L194,M194,P194,U194,V194,X194)&lt;6,"Band missing",IF(AND(OR(J194="Decision confirmed",J194="Family told",J194="Enrolled"),AG194=""),"Recommendation needed",IF(AND(OR(J194="Family told",J194="Enrolled"),AJ194=""),"Date family told needed","OK"))))))))</f>
        <v/>
      </c>
    </row>
    <row r="195" customFormat="false" ht="15" hidden="false" customHeight="false" outlineLevel="0" collapsed="false">
      <c r="A195" s="7"/>
      <c r="B195" s="7"/>
      <c r="C195" s="46"/>
      <c r="D195" s="7"/>
      <c r="E195" s="47"/>
      <c r="F195" s="46"/>
      <c r="G195" s="46"/>
      <c r="H195" s="7"/>
      <c r="I195" s="7"/>
      <c r="J195" s="47"/>
      <c r="K195" s="47"/>
      <c r="L195" s="47"/>
      <c r="M195" s="47"/>
      <c r="N195" s="10"/>
      <c r="O195" s="47"/>
      <c r="P195" s="47"/>
      <c r="Q195" s="47"/>
      <c r="R195" s="48" t="str">
        <f aca="false">IF(Q195="","",IF(Q195=0,"below 5:00",IF(Q195&gt;=66,"16:00 or above",INT((60+2*Q195)/12)&amp;":"&amp;TEXT(MOD(60+2*Q195,12),"00"))))</f>
        <v/>
      </c>
      <c r="S195" s="47"/>
      <c r="T195" s="47"/>
      <c r="U195" s="47"/>
      <c r="V195" s="47"/>
      <c r="W195" s="47"/>
      <c r="X195" s="47"/>
      <c r="Y195" s="47"/>
      <c r="Z195" s="47"/>
      <c r="AA195" s="10"/>
      <c r="AB195" s="10"/>
      <c r="AC195" s="47"/>
      <c r="AD195" s="47"/>
      <c r="AE195" s="47"/>
      <c r="AF195" s="47"/>
      <c r="AG195" s="47"/>
      <c r="AH195" s="47"/>
      <c r="AI195" s="46"/>
      <c r="AJ195" s="46"/>
      <c r="AK195" s="46"/>
      <c r="AL195" s="7"/>
      <c r="AM195" s="49" t="str">
        <f aca="false">IF(OR(C195="",G195=""),"",IFERROR(DATEDIF(C195,G195,"m"),""))</f>
        <v/>
      </c>
      <c r="AN195" s="49" t="str">
        <f aca="false">IF(OR(Q195="",AM195=""),"",60+2*Q195-AM195)</f>
        <v/>
      </c>
      <c r="AO195" s="49" t="str">
        <f aca="false">IF(OR(G195="",AJ195=""),"",AJ195-G195)</f>
        <v/>
      </c>
      <c r="AP195" s="50" t="str">
        <f aca="false">IF(AND(A195="",B195=""),"",IF(J195="","Status needed",IF(OR(J195="Applied",J195="Visit booked",J195="Withdrawn"),"OK",IF(G195="","Date assessed needed",IF(C195="","Date of birth needed",IF(COUNTA(L195,M195,P195,U195,V195,X195)&lt;6,"Band missing",IF(AND(OR(J195="Decision confirmed",J195="Family told",J195="Enrolled"),AG195=""),"Recommendation needed",IF(AND(OR(J195="Family told",J195="Enrolled"),AJ195=""),"Date family told needed","OK"))))))))</f>
        <v/>
      </c>
    </row>
    <row r="196" customFormat="false" ht="15" hidden="false" customHeight="false" outlineLevel="0" collapsed="false">
      <c r="A196" s="7"/>
      <c r="B196" s="7"/>
      <c r="C196" s="46"/>
      <c r="D196" s="7"/>
      <c r="E196" s="47"/>
      <c r="F196" s="46"/>
      <c r="G196" s="46"/>
      <c r="H196" s="7"/>
      <c r="I196" s="7"/>
      <c r="J196" s="47"/>
      <c r="K196" s="47"/>
      <c r="L196" s="47"/>
      <c r="M196" s="47"/>
      <c r="N196" s="10"/>
      <c r="O196" s="47"/>
      <c r="P196" s="47"/>
      <c r="Q196" s="47"/>
      <c r="R196" s="48" t="str">
        <f aca="false">IF(Q196="","",IF(Q196=0,"below 5:00",IF(Q196&gt;=66,"16:00 or above",INT((60+2*Q196)/12)&amp;":"&amp;TEXT(MOD(60+2*Q196,12),"00"))))</f>
        <v/>
      </c>
      <c r="S196" s="47"/>
      <c r="T196" s="47"/>
      <c r="U196" s="47"/>
      <c r="V196" s="47"/>
      <c r="W196" s="47"/>
      <c r="X196" s="47"/>
      <c r="Y196" s="47"/>
      <c r="Z196" s="47"/>
      <c r="AA196" s="10"/>
      <c r="AB196" s="10"/>
      <c r="AC196" s="47"/>
      <c r="AD196" s="47"/>
      <c r="AE196" s="47"/>
      <c r="AF196" s="47"/>
      <c r="AG196" s="47"/>
      <c r="AH196" s="47"/>
      <c r="AI196" s="46"/>
      <c r="AJ196" s="46"/>
      <c r="AK196" s="46"/>
      <c r="AL196" s="7"/>
      <c r="AM196" s="49" t="str">
        <f aca="false">IF(OR(C196="",G196=""),"",IFERROR(DATEDIF(C196,G196,"m"),""))</f>
        <v/>
      </c>
      <c r="AN196" s="49" t="str">
        <f aca="false">IF(OR(Q196="",AM196=""),"",60+2*Q196-AM196)</f>
        <v/>
      </c>
      <c r="AO196" s="49" t="str">
        <f aca="false">IF(OR(G196="",AJ196=""),"",AJ196-G196)</f>
        <v/>
      </c>
      <c r="AP196" s="50" t="str">
        <f aca="false">IF(AND(A196="",B196=""),"",IF(J196="","Status needed",IF(OR(J196="Applied",J196="Visit booked",J196="Withdrawn"),"OK",IF(G196="","Date assessed needed",IF(C196="","Date of birth needed",IF(COUNTA(L196,M196,P196,U196,V196,X196)&lt;6,"Band missing",IF(AND(OR(J196="Decision confirmed",J196="Family told",J196="Enrolled"),AG196=""),"Recommendation needed",IF(AND(OR(J196="Family told",J196="Enrolled"),AJ196=""),"Date family told needed","OK"))))))))</f>
        <v/>
      </c>
    </row>
    <row r="197" customFormat="false" ht="15" hidden="false" customHeight="false" outlineLevel="0" collapsed="false">
      <c r="A197" s="7"/>
      <c r="B197" s="7"/>
      <c r="C197" s="46"/>
      <c r="D197" s="7"/>
      <c r="E197" s="47"/>
      <c r="F197" s="46"/>
      <c r="G197" s="46"/>
      <c r="H197" s="7"/>
      <c r="I197" s="7"/>
      <c r="J197" s="47"/>
      <c r="K197" s="47"/>
      <c r="L197" s="47"/>
      <c r="M197" s="47"/>
      <c r="N197" s="10"/>
      <c r="O197" s="47"/>
      <c r="P197" s="47"/>
      <c r="Q197" s="47"/>
      <c r="R197" s="48" t="str">
        <f aca="false">IF(Q197="","",IF(Q197=0,"below 5:00",IF(Q197&gt;=66,"16:00 or above",INT((60+2*Q197)/12)&amp;":"&amp;TEXT(MOD(60+2*Q197,12),"00"))))</f>
        <v/>
      </c>
      <c r="S197" s="47"/>
      <c r="T197" s="47"/>
      <c r="U197" s="47"/>
      <c r="V197" s="47"/>
      <c r="W197" s="47"/>
      <c r="X197" s="47"/>
      <c r="Y197" s="47"/>
      <c r="Z197" s="47"/>
      <c r="AA197" s="10"/>
      <c r="AB197" s="10"/>
      <c r="AC197" s="47"/>
      <c r="AD197" s="47"/>
      <c r="AE197" s="47"/>
      <c r="AF197" s="47"/>
      <c r="AG197" s="47"/>
      <c r="AH197" s="47"/>
      <c r="AI197" s="46"/>
      <c r="AJ197" s="46"/>
      <c r="AK197" s="46"/>
      <c r="AL197" s="7"/>
      <c r="AM197" s="49" t="str">
        <f aca="false">IF(OR(C197="",G197=""),"",IFERROR(DATEDIF(C197,G197,"m"),""))</f>
        <v/>
      </c>
      <c r="AN197" s="49" t="str">
        <f aca="false">IF(OR(Q197="",AM197=""),"",60+2*Q197-AM197)</f>
        <v/>
      </c>
      <c r="AO197" s="49" t="str">
        <f aca="false">IF(OR(G197="",AJ197=""),"",AJ197-G197)</f>
        <v/>
      </c>
      <c r="AP197" s="50" t="str">
        <f aca="false">IF(AND(A197="",B197=""),"",IF(J197="","Status needed",IF(OR(J197="Applied",J197="Visit booked",J197="Withdrawn"),"OK",IF(G197="","Date assessed needed",IF(C197="","Date of birth needed",IF(COUNTA(L197,M197,P197,U197,V197,X197)&lt;6,"Band missing",IF(AND(OR(J197="Decision confirmed",J197="Family told",J197="Enrolled"),AG197=""),"Recommendation needed",IF(AND(OR(J197="Family told",J197="Enrolled"),AJ197=""),"Date family told needed","OK"))))))))</f>
        <v/>
      </c>
    </row>
    <row r="198" customFormat="false" ht="15" hidden="false" customHeight="false" outlineLevel="0" collapsed="false">
      <c r="A198" s="7"/>
      <c r="B198" s="7"/>
      <c r="C198" s="46"/>
      <c r="D198" s="7"/>
      <c r="E198" s="47"/>
      <c r="F198" s="46"/>
      <c r="G198" s="46"/>
      <c r="H198" s="7"/>
      <c r="I198" s="7"/>
      <c r="J198" s="47"/>
      <c r="K198" s="47"/>
      <c r="L198" s="47"/>
      <c r="M198" s="47"/>
      <c r="N198" s="10"/>
      <c r="O198" s="47"/>
      <c r="P198" s="47"/>
      <c r="Q198" s="47"/>
      <c r="R198" s="48" t="str">
        <f aca="false">IF(Q198="","",IF(Q198=0,"below 5:00",IF(Q198&gt;=66,"16:00 or above",INT((60+2*Q198)/12)&amp;":"&amp;TEXT(MOD(60+2*Q198,12),"00"))))</f>
        <v/>
      </c>
      <c r="S198" s="47"/>
      <c r="T198" s="47"/>
      <c r="U198" s="47"/>
      <c r="V198" s="47"/>
      <c r="W198" s="47"/>
      <c r="X198" s="47"/>
      <c r="Y198" s="47"/>
      <c r="Z198" s="47"/>
      <c r="AA198" s="10"/>
      <c r="AB198" s="10"/>
      <c r="AC198" s="47"/>
      <c r="AD198" s="47"/>
      <c r="AE198" s="47"/>
      <c r="AF198" s="47"/>
      <c r="AG198" s="47"/>
      <c r="AH198" s="47"/>
      <c r="AI198" s="46"/>
      <c r="AJ198" s="46"/>
      <c r="AK198" s="46"/>
      <c r="AL198" s="7"/>
      <c r="AM198" s="49" t="str">
        <f aca="false">IF(OR(C198="",G198=""),"",IFERROR(DATEDIF(C198,G198,"m"),""))</f>
        <v/>
      </c>
      <c r="AN198" s="49" t="str">
        <f aca="false">IF(OR(Q198="",AM198=""),"",60+2*Q198-AM198)</f>
        <v/>
      </c>
      <c r="AO198" s="49" t="str">
        <f aca="false">IF(OR(G198="",AJ198=""),"",AJ198-G198)</f>
        <v/>
      </c>
      <c r="AP198" s="50" t="str">
        <f aca="false">IF(AND(A198="",B198=""),"",IF(J198="","Status needed",IF(OR(J198="Applied",J198="Visit booked",J198="Withdrawn"),"OK",IF(G198="","Date assessed needed",IF(C198="","Date of birth needed",IF(COUNTA(L198,M198,P198,U198,V198,X198)&lt;6,"Band missing",IF(AND(OR(J198="Decision confirmed",J198="Family told",J198="Enrolled"),AG198=""),"Recommendation needed",IF(AND(OR(J198="Family told",J198="Enrolled"),AJ198=""),"Date family told needed","OK"))))))))</f>
        <v/>
      </c>
    </row>
    <row r="199" customFormat="false" ht="15" hidden="false" customHeight="false" outlineLevel="0" collapsed="false">
      <c r="A199" s="7"/>
      <c r="B199" s="7"/>
      <c r="C199" s="46"/>
      <c r="D199" s="7"/>
      <c r="E199" s="47"/>
      <c r="F199" s="46"/>
      <c r="G199" s="46"/>
      <c r="H199" s="7"/>
      <c r="I199" s="7"/>
      <c r="J199" s="47"/>
      <c r="K199" s="47"/>
      <c r="L199" s="47"/>
      <c r="M199" s="47"/>
      <c r="N199" s="10"/>
      <c r="O199" s="47"/>
      <c r="P199" s="47"/>
      <c r="Q199" s="47"/>
      <c r="R199" s="48" t="str">
        <f aca="false">IF(Q199="","",IF(Q199=0,"below 5:00",IF(Q199&gt;=66,"16:00 or above",INT((60+2*Q199)/12)&amp;":"&amp;TEXT(MOD(60+2*Q199,12),"00"))))</f>
        <v/>
      </c>
      <c r="S199" s="47"/>
      <c r="T199" s="47"/>
      <c r="U199" s="47"/>
      <c r="V199" s="47"/>
      <c r="W199" s="47"/>
      <c r="X199" s="47"/>
      <c r="Y199" s="47"/>
      <c r="Z199" s="47"/>
      <c r="AA199" s="10"/>
      <c r="AB199" s="10"/>
      <c r="AC199" s="47"/>
      <c r="AD199" s="47"/>
      <c r="AE199" s="47"/>
      <c r="AF199" s="47"/>
      <c r="AG199" s="47"/>
      <c r="AH199" s="47"/>
      <c r="AI199" s="46"/>
      <c r="AJ199" s="46"/>
      <c r="AK199" s="46"/>
      <c r="AL199" s="7"/>
      <c r="AM199" s="49" t="str">
        <f aca="false">IF(OR(C199="",G199=""),"",IFERROR(DATEDIF(C199,G199,"m"),""))</f>
        <v/>
      </c>
      <c r="AN199" s="49" t="str">
        <f aca="false">IF(OR(Q199="",AM199=""),"",60+2*Q199-AM199)</f>
        <v/>
      </c>
      <c r="AO199" s="49" t="str">
        <f aca="false">IF(OR(G199="",AJ199=""),"",AJ199-G199)</f>
        <v/>
      </c>
      <c r="AP199" s="50" t="str">
        <f aca="false">IF(AND(A199="",B199=""),"",IF(J199="","Status needed",IF(OR(J199="Applied",J199="Visit booked",J199="Withdrawn"),"OK",IF(G199="","Date assessed needed",IF(C199="","Date of birth needed",IF(COUNTA(L199,M199,P199,U199,V199,X199)&lt;6,"Band missing",IF(AND(OR(J199="Decision confirmed",J199="Family told",J199="Enrolled"),AG199=""),"Recommendation needed",IF(AND(OR(J199="Family told",J199="Enrolled"),AJ199=""),"Date family told needed","OK"))))))))</f>
        <v/>
      </c>
    </row>
    <row r="200" customFormat="false" ht="15" hidden="false" customHeight="false" outlineLevel="0" collapsed="false">
      <c r="A200" s="7"/>
      <c r="B200" s="7"/>
      <c r="C200" s="46"/>
      <c r="D200" s="7"/>
      <c r="E200" s="47"/>
      <c r="F200" s="46"/>
      <c r="G200" s="46"/>
      <c r="H200" s="7"/>
      <c r="I200" s="7"/>
      <c r="J200" s="47"/>
      <c r="K200" s="47"/>
      <c r="L200" s="47"/>
      <c r="M200" s="47"/>
      <c r="N200" s="10"/>
      <c r="O200" s="47"/>
      <c r="P200" s="47"/>
      <c r="Q200" s="47"/>
      <c r="R200" s="48" t="str">
        <f aca="false">IF(Q200="","",IF(Q200=0,"below 5:00",IF(Q200&gt;=66,"16:00 or above",INT((60+2*Q200)/12)&amp;":"&amp;TEXT(MOD(60+2*Q200,12),"00"))))</f>
        <v/>
      </c>
      <c r="S200" s="47"/>
      <c r="T200" s="47"/>
      <c r="U200" s="47"/>
      <c r="V200" s="47"/>
      <c r="W200" s="47"/>
      <c r="X200" s="47"/>
      <c r="Y200" s="47"/>
      <c r="Z200" s="47"/>
      <c r="AA200" s="10"/>
      <c r="AB200" s="10"/>
      <c r="AC200" s="47"/>
      <c r="AD200" s="47"/>
      <c r="AE200" s="47"/>
      <c r="AF200" s="47"/>
      <c r="AG200" s="47"/>
      <c r="AH200" s="47"/>
      <c r="AI200" s="46"/>
      <c r="AJ200" s="46"/>
      <c r="AK200" s="46"/>
      <c r="AL200" s="7"/>
      <c r="AM200" s="49" t="str">
        <f aca="false">IF(OR(C200="",G200=""),"",IFERROR(DATEDIF(C200,G200,"m"),""))</f>
        <v/>
      </c>
      <c r="AN200" s="49" t="str">
        <f aca="false">IF(OR(Q200="",AM200=""),"",60+2*Q200-AM200)</f>
        <v/>
      </c>
      <c r="AO200" s="49" t="str">
        <f aca="false">IF(OR(G200="",AJ200=""),"",AJ200-G200)</f>
        <v/>
      </c>
      <c r="AP200" s="50" t="str">
        <f aca="false">IF(AND(A200="",B200=""),"",IF(J200="","Status needed",IF(OR(J200="Applied",J200="Visit booked",J200="Withdrawn"),"OK",IF(G200="","Date assessed needed",IF(C200="","Date of birth needed",IF(COUNTA(L200,M200,P200,U200,V200,X200)&lt;6,"Band missing",IF(AND(OR(J200="Decision confirmed",J200="Family told",J200="Enrolled"),AG200=""),"Recommendation needed",IF(AND(OR(J200="Family told",J200="Enrolled"),AJ200=""),"Date family told needed","OK"))))))))</f>
        <v/>
      </c>
    </row>
    <row r="201" customFormat="false" ht="15" hidden="false" customHeight="false" outlineLevel="0" collapsed="false">
      <c r="A201" s="7"/>
      <c r="B201" s="7"/>
      <c r="C201" s="46"/>
      <c r="D201" s="7"/>
      <c r="E201" s="47"/>
      <c r="F201" s="46"/>
      <c r="G201" s="46"/>
      <c r="H201" s="7"/>
      <c r="I201" s="7"/>
      <c r="J201" s="47"/>
      <c r="K201" s="47"/>
      <c r="L201" s="47"/>
      <c r="M201" s="47"/>
      <c r="N201" s="10"/>
      <c r="O201" s="47"/>
      <c r="P201" s="47"/>
      <c r="Q201" s="47"/>
      <c r="R201" s="48" t="str">
        <f aca="false">IF(Q201="","",IF(Q201=0,"below 5:00",IF(Q201&gt;=66,"16:00 or above",INT((60+2*Q201)/12)&amp;":"&amp;TEXT(MOD(60+2*Q201,12),"00"))))</f>
        <v/>
      </c>
      <c r="S201" s="47"/>
      <c r="T201" s="47"/>
      <c r="U201" s="47"/>
      <c r="V201" s="47"/>
      <c r="W201" s="47"/>
      <c r="X201" s="47"/>
      <c r="Y201" s="47"/>
      <c r="Z201" s="47"/>
      <c r="AA201" s="10"/>
      <c r="AB201" s="10"/>
      <c r="AC201" s="47"/>
      <c r="AD201" s="47"/>
      <c r="AE201" s="47"/>
      <c r="AF201" s="47"/>
      <c r="AG201" s="47"/>
      <c r="AH201" s="47"/>
      <c r="AI201" s="46"/>
      <c r="AJ201" s="46"/>
      <c r="AK201" s="46"/>
      <c r="AL201" s="7"/>
      <c r="AM201" s="49" t="str">
        <f aca="false">IF(OR(C201="",G201=""),"",IFERROR(DATEDIF(C201,G201,"m"),""))</f>
        <v/>
      </c>
      <c r="AN201" s="49" t="str">
        <f aca="false">IF(OR(Q201="",AM201=""),"",60+2*Q201-AM201)</f>
        <v/>
      </c>
      <c r="AO201" s="49" t="str">
        <f aca="false">IF(OR(G201="",AJ201=""),"",AJ201-G201)</f>
        <v/>
      </c>
      <c r="AP201" s="50" t="str">
        <f aca="false">IF(AND(A201="",B201=""),"",IF(J201="","Status needed",IF(OR(J201="Applied",J201="Visit booked",J201="Withdrawn"),"OK",IF(G201="","Date assessed needed",IF(C201="","Date of birth needed",IF(COUNTA(L201,M201,P201,U201,V201,X201)&lt;6,"Band missing",IF(AND(OR(J201="Decision confirmed",J201="Family told",J201="Enrolled"),AG201=""),"Recommendation needed",IF(AND(OR(J201="Family told",J201="Enrolled"),AJ201=""),"Date family told needed","OK"))))))))</f>
        <v/>
      </c>
    </row>
    <row r="202" customFormat="false" ht="15" hidden="false" customHeight="false" outlineLevel="0" collapsed="false">
      <c r="A202" s="7"/>
      <c r="B202" s="7"/>
      <c r="C202" s="46"/>
      <c r="D202" s="7"/>
      <c r="E202" s="47"/>
      <c r="F202" s="46"/>
      <c r="G202" s="46"/>
      <c r="H202" s="7"/>
      <c r="I202" s="7"/>
      <c r="J202" s="47"/>
      <c r="K202" s="47"/>
      <c r="L202" s="47"/>
      <c r="M202" s="47"/>
      <c r="N202" s="10"/>
      <c r="O202" s="47"/>
      <c r="P202" s="47"/>
      <c r="Q202" s="47"/>
      <c r="R202" s="48" t="str">
        <f aca="false">IF(Q202="","",IF(Q202=0,"below 5:00",IF(Q202&gt;=66,"16:00 or above",INT((60+2*Q202)/12)&amp;":"&amp;TEXT(MOD(60+2*Q202,12),"00"))))</f>
        <v/>
      </c>
      <c r="S202" s="47"/>
      <c r="T202" s="47"/>
      <c r="U202" s="47"/>
      <c r="V202" s="47"/>
      <c r="W202" s="47"/>
      <c r="X202" s="47"/>
      <c r="Y202" s="47"/>
      <c r="Z202" s="47"/>
      <c r="AA202" s="10"/>
      <c r="AB202" s="10"/>
      <c r="AC202" s="47"/>
      <c r="AD202" s="47"/>
      <c r="AE202" s="47"/>
      <c r="AF202" s="47"/>
      <c r="AG202" s="47"/>
      <c r="AH202" s="47"/>
      <c r="AI202" s="46"/>
      <c r="AJ202" s="46"/>
      <c r="AK202" s="46"/>
      <c r="AL202" s="7"/>
      <c r="AM202" s="49" t="str">
        <f aca="false">IF(OR(C202="",G202=""),"",IFERROR(DATEDIF(C202,G202,"m"),""))</f>
        <v/>
      </c>
      <c r="AN202" s="49" t="str">
        <f aca="false">IF(OR(Q202="",AM202=""),"",60+2*Q202-AM202)</f>
        <v/>
      </c>
      <c r="AO202" s="49" t="str">
        <f aca="false">IF(OR(G202="",AJ202=""),"",AJ202-G202)</f>
        <v/>
      </c>
      <c r="AP202" s="50" t="str">
        <f aca="false">IF(AND(A202="",B202=""),"",IF(J202="","Status needed",IF(OR(J202="Applied",J202="Visit booked",J202="Withdrawn"),"OK",IF(G202="","Date assessed needed",IF(C202="","Date of birth needed",IF(COUNTA(L202,M202,P202,U202,V202,X202)&lt;6,"Band missing",IF(AND(OR(J202="Decision confirmed",J202="Family told",J202="Enrolled"),AG202=""),"Recommendation needed",IF(AND(OR(J202="Family told",J202="Enrolled"),AJ202=""),"Date family told needed","OK"))))))))</f>
        <v/>
      </c>
    </row>
    <row r="203" customFormat="false" ht="15" hidden="false" customHeight="false" outlineLevel="0" collapsed="false">
      <c r="A203" s="7"/>
      <c r="B203" s="7"/>
      <c r="C203" s="46"/>
      <c r="D203" s="7"/>
      <c r="E203" s="47"/>
      <c r="F203" s="46"/>
      <c r="G203" s="46"/>
      <c r="H203" s="7"/>
      <c r="I203" s="7"/>
      <c r="J203" s="47"/>
      <c r="K203" s="47"/>
      <c r="L203" s="47"/>
      <c r="M203" s="47"/>
      <c r="N203" s="10"/>
      <c r="O203" s="47"/>
      <c r="P203" s="47"/>
      <c r="Q203" s="47"/>
      <c r="R203" s="48" t="str">
        <f aca="false">IF(Q203="","",IF(Q203=0,"below 5:00",IF(Q203&gt;=66,"16:00 or above",INT((60+2*Q203)/12)&amp;":"&amp;TEXT(MOD(60+2*Q203,12),"00"))))</f>
        <v/>
      </c>
      <c r="S203" s="47"/>
      <c r="T203" s="47"/>
      <c r="U203" s="47"/>
      <c r="V203" s="47"/>
      <c r="W203" s="47"/>
      <c r="X203" s="47"/>
      <c r="Y203" s="47"/>
      <c r="Z203" s="47"/>
      <c r="AA203" s="10"/>
      <c r="AB203" s="10"/>
      <c r="AC203" s="47"/>
      <c r="AD203" s="47"/>
      <c r="AE203" s="47"/>
      <c r="AF203" s="47"/>
      <c r="AG203" s="47"/>
      <c r="AH203" s="47"/>
      <c r="AI203" s="46"/>
      <c r="AJ203" s="46"/>
      <c r="AK203" s="46"/>
      <c r="AL203" s="7"/>
      <c r="AM203" s="49" t="str">
        <f aca="false">IF(OR(C203="",G203=""),"",IFERROR(DATEDIF(C203,G203,"m"),""))</f>
        <v/>
      </c>
      <c r="AN203" s="49" t="str">
        <f aca="false">IF(OR(Q203="",AM203=""),"",60+2*Q203-AM203)</f>
        <v/>
      </c>
      <c r="AO203" s="49" t="str">
        <f aca="false">IF(OR(G203="",AJ203=""),"",AJ203-G203)</f>
        <v/>
      </c>
      <c r="AP203" s="50" t="str">
        <f aca="false">IF(AND(A203="",B203=""),"",IF(J203="","Status needed",IF(OR(J203="Applied",J203="Visit booked",J203="Withdrawn"),"OK",IF(G203="","Date assessed needed",IF(C203="","Date of birth needed",IF(COUNTA(L203,M203,P203,U203,V203,X203)&lt;6,"Band missing",IF(AND(OR(J203="Decision confirmed",J203="Family told",J203="Enrolled"),AG203=""),"Recommendation needed",IF(AND(OR(J203="Family told",J203="Enrolled"),AJ203=""),"Date family told needed","OK"))))))))</f>
        <v/>
      </c>
    </row>
    <row r="204" customFormat="false" ht="15" hidden="false" customHeight="false" outlineLevel="0" collapsed="false">
      <c r="A204" s="7"/>
      <c r="B204" s="7"/>
      <c r="C204" s="46"/>
      <c r="D204" s="7"/>
      <c r="E204" s="47"/>
      <c r="F204" s="46"/>
      <c r="G204" s="46"/>
      <c r="H204" s="7"/>
      <c r="I204" s="7"/>
      <c r="J204" s="47"/>
      <c r="K204" s="47"/>
      <c r="L204" s="47"/>
      <c r="M204" s="47"/>
      <c r="N204" s="10"/>
      <c r="O204" s="47"/>
      <c r="P204" s="47"/>
      <c r="Q204" s="47"/>
      <c r="R204" s="48" t="str">
        <f aca="false">IF(Q204="","",IF(Q204=0,"below 5:00",IF(Q204&gt;=66,"16:00 or above",INT((60+2*Q204)/12)&amp;":"&amp;TEXT(MOD(60+2*Q204,12),"00"))))</f>
        <v/>
      </c>
      <c r="S204" s="47"/>
      <c r="T204" s="47"/>
      <c r="U204" s="47"/>
      <c r="V204" s="47"/>
      <c r="W204" s="47"/>
      <c r="X204" s="47"/>
      <c r="Y204" s="47"/>
      <c r="Z204" s="47"/>
      <c r="AA204" s="10"/>
      <c r="AB204" s="10"/>
      <c r="AC204" s="47"/>
      <c r="AD204" s="47"/>
      <c r="AE204" s="47"/>
      <c r="AF204" s="47"/>
      <c r="AG204" s="47"/>
      <c r="AH204" s="47"/>
      <c r="AI204" s="46"/>
      <c r="AJ204" s="46"/>
      <c r="AK204" s="46"/>
      <c r="AL204" s="7"/>
      <c r="AM204" s="49" t="str">
        <f aca="false">IF(OR(C204="",G204=""),"",IFERROR(DATEDIF(C204,G204,"m"),""))</f>
        <v/>
      </c>
      <c r="AN204" s="49" t="str">
        <f aca="false">IF(OR(Q204="",AM204=""),"",60+2*Q204-AM204)</f>
        <v/>
      </c>
      <c r="AO204" s="49" t="str">
        <f aca="false">IF(OR(G204="",AJ204=""),"",AJ204-G204)</f>
        <v/>
      </c>
      <c r="AP204" s="50" t="str">
        <f aca="false">IF(AND(A204="",B204=""),"",IF(J204="","Status needed",IF(OR(J204="Applied",J204="Visit booked",J204="Withdrawn"),"OK",IF(G204="","Date assessed needed",IF(C204="","Date of birth needed",IF(COUNTA(L204,M204,P204,U204,V204,X204)&lt;6,"Band missing",IF(AND(OR(J204="Decision confirmed",J204="Family told",J204="Enrolled"),AG204=""),"Recommendation needed",IF(AND(OR(J204="Family told",J204="Enrolled"),AJ204=""),"Date family told needed","OK"))))))))</f>
        <v/>
      </c>
    </row>
    <row r="205" customFormat="false" ht="15" hidden="false" customHeight="false" outlineLevel="0" collapsed="false">
      <c r="A205" s="7"/>
      <c r="B205" s="7"/>
      <c r="C205" s="46"/>
      <c r="D205" s="7"/>
      <c r="E205" s="47"/>
      <c r="F205" s="46"/>
      <c r="G205" s="46"/>
      <c r="H205" s="7"/>
      <c r="I205" s="7"/>
      <c r="J205" s="47"/>
      <c r="K205" s="47"/>
      <c r="L205" s="47"/>
      <c r="M205" s="47"/>
      <c r="N205" s="10"/>
      <c r="O205" s="47"/>
      <c r="P205" s="47"/>
      <c r="Q205" s="47"/>
      <c r="R205" s="48" t="str">
        <f aca="false">IF(Q205="","",IF(Q205=0,"below 5:00",IF(Q205&gt;=66,"16:00 or above",INT((60+2*Q205)/12)&amp;":"&amp;TEXT(MOD(60+2*Q205,12),"00"))))</f>
        <v/>
      </c>
      <c r="S205" s="47"/>
      <c r="T205" s="47"/>
      <c r="U205" s="47"/>
      <c r="V205" s="47"/>
      <c r="W205" s="47"/>
      <c r="X205" s="47"/>
      <c r="Y205" s="47"/>
      <c r="Z205" s="47"/>
      <c r="AA205" s="10"/>
      <c r="AB205" s="10"/>
      <c r="AC205" s="47"/>
      <c r="AD205" s="47"/>
      <c r="AE205" s="47"/>
      <c r="AF205" s="47"/>
      <c r="AG205" s="47"/>
      <c r="AH205" s="47"/>
      <c r="AI205" s="46"/>
      <c r="AJ205" s="46"/>
      <c r="AK205" s="46"/>
      <c r="AL205" s="7"/>
      <c r="AM205" s="49" t="str">
        <f aca="false">IF(OR(C205="",G205=""),"",IFERROR(DATEDIF(C205,G205,"m"),""))</f>
        <v/>
      </c>
      <c r="AN205" s="49" t="str">
        <f aca="false">IF(OR(Q205="",AM205=""),"",60+2*Q205-AM205)</f>
        <v/>
      </c>
      <c r="AO205" s="49" t="str">
        <f aca="false">IF(OR(G205="",AJ205=""),"",AJ205-G205)</f>
        <v/>
      </c>
      <c r="AP205" s="50" t="str">
        <f aca="false">IF(AND(A205="",B205=""),"",IF(J205="","Status needed",IF(OR(J205="Applied",J205="Visit booked",J205="Withdrawn"),"OK",IF(G205="","Date assessed needed",IF(C205="","Date of birth needed",IF(COUNTA(L205,M205,P205,U205,V205,X205)&lt;6,"Band missing",IF(AND(OR(J205="Decision confirmed",J205="Family told",J205="Enrolled"),AG205=""),"Recommendation needed",IF(AND(OR(J205="Family told",J205="Enrolled"),AJ205=""),"Date family told needed","OK"))))))))</f>
        <v/>
      </c>
    </row>
    <row r="206" customFormat="false" ht="15" hidden="false" customHeight="false" outlineLevel="0" collapsed="false">
      <c r="A206" s="7"/>
      <c r="B206" s="7"/>
      <c r="C206" s="46"/>
      <c r="D206" s="7"/>
      <c r="E206" s="47"/>
      <c r="F206" s="46"/>
      <c r="G206" s="46"/>
      <c r="H206" s="7"/>
      <c r="I206" s="7"/>
      <c r="J206" s="47"/>
      <c r="K206" s="47"/>
      <c r="L206" s="47"/>
      <c r="M206" s="47"/>
      <c r="N206" s="10"/>
      <c r="O206" s="47"/>
      <c r="P206" s="47"/>
      <c r="Q206" s="47"/>
      <c r="R206" s="48" t="str">
        <f aca="false">IF(Q206="","",IF(Q206=0,"below 5:00",IF(Q206&gt;=66,"16:00 or above",INT((60+2*Q206)/12)&amp;":"&amp;TEXT(MOD(60+2*Q206,12),"00"))))</f>
        <v/>
      </c>
      <c r="S206" s="47"/>
      <c r="T206" s="47"/>
      <c r="U206" s="47"/>
      <c r="V206" s="47"/>
      <c r="W206" s="47"/>
      <c r="X206" s="47"/>
      <c r="Y206" s="47"/>
      <c r="Z206" s="47"/>
      <c r="AA206" s="10"/>
      <c r="AB206" s="10"/>
      <c r="AC206" s="47"/>
      <c r="AD206" s="47"/>
      <c r="AE206" s="47"/>
      <c r="AF206" s="47"/>
      <c r="AG206" s="47"/>
      <c r="AH206" s="47"/>
      <c r="AI206" s="46"/>
      <c r="AJ206" s="46"/>
      <c r="AK206" s="46"/>
      <c r="AL206" s="7"/>
      <c r="AM206" s="49" t="str">
        <f aca="false">IF(OR(C206="",G206=""),"",IFERROR(DATEDIF(C206,G206,"m"),""))</f>
        <v/>
      </c>
      <c r="AN206" s="49" t="str">
        <f aca="false">IF(OR(Q206="",AM206=""),"",60+2*Q206-AM206)</f>
        <v/>
      </c>
      <c r="AO206" s="49" t="str">
        <f aca="false">IF(OR(G206="",AJ206=""),"",AJ206-G206)</f>
        <v/>
      </c>
      <c r="AP206" s="50" t="str">
        <f aca="false">IF(AND(A206="",B206=""),"",IF(J206="","Status needed",IF(OR(J206="Applied",J206="Visit booked",J206="Withdrawn"),"OK",IF(G206="","Date assessed needed",IF(C206="","Date of birth needed",IF(COUNTA(L206,M206,P206,U206,V206,X206)&lt;6,"Band missing",IF(AND(OR(J206="Decision confirmed",J206="Family told",J206="Enrolled"),AG206=""),"Recommendation needed",IF(AND(OR(J206="Family told",J206="Enrolled"),AJ206=""),"Date family told needed","OK"))))))))</f>
        <v/>
      </c>
    </row>
    <row r="207" customFormat="false" ht="15" hidden="false" customHeight="false" outlineLevel="0" collapsed="false">
      <c r="A207" s="7"/>
      <c r="B207" s="7"/>
      <c r="C207" s="46"/>
      <c r="D207" s="7"/>
      <c r="E207" s="47"/>
      <c r="F207" s="46"/>
      <c r="G207" s="46"/>
      <c r="H207" s="7"/>
      <c r="I207" s="7"/>
      <c r="J207" s="47"/>
      <c r="K207" s="47"/>
      <c r="L207" s="47"/>
      <c r="M207" s="47"/>
      <c r="N207" s="10"/>
      <c r="O207" s="47"/>
      <c r="P207" s="47"/>
      <c r="Q207" s="47"/>
      <c r="R207" s="48" t="str">
        <f aca="false">IF(Q207="","",IF(Q207=0,"below 5:00",IF(Q207&gt;=66,"16:00 or above",INT((60+2*Q207)/12)&amp;":"&amp;TEXT(MOD(60+2*Q207,12),"00"))))</f>
        <v/>
      </c>
      <c r="S207" s="47"/>
      <c r="T207" s="47"/>
      <c r="U207" s="47"/>
      <c r="V207" s="47"/>
      <c r="W207" s="47"/>
      <c r="X207" s="47"/>
      <c r="Y207" s="47"/>
      <c r="Z207" s="47"/>
      <c r="AA207" s="10"/>
      <c r="AB207" s="10"/>
      <c r="AC207" s="47"/>
      <c r="AD207" s="47"/>
      <c r="AE207" s="47"/>
      <c r="AF207" s="47"/>
      <c r="AG207" s="47"/>
      <c r="AH207" s="47"/>
      <c r="AI207" s="46"/>
      <c r="AJ207" s="46"/>
      <c r="AK207" s="46"/>
      <c r="AL207" s="7"/>
      <c r="AM207" s="49" t="str">
        <f aca="false">IF(OR(C207="",G207=""),"",IFERROR(DATEDIF(C207,G207,"m"),""))</f>
        <v/>
      </c>
      <c r="AN207" s="49" t="str">
        <f aca="false">IF(OR(Q207="",AM207=""),"",60+2*Q207-AM207)</f>
        <v/>
      </c>
      <c r="AO207" s="49" t="str">
        <f aca="false">IF(OR(G207="",AJ207=""),"",AJ207-G207)</f>
        <v/>
      </c>
      <c r="AP207" s="50" t="str">
        <f aca="false">IF(AND(A207="",B207=""),"",IF(J207="","Status needed",IF(OR(J207="Applied",J207="Visit booked",J207="Withdrawn"),"OK",IF(G207="","Date assessed needed",IF(C207="","Date of birth needed",IF(COUNTA(L207,M207,P207,U207,V207,X207)&lt;6,"Band missing",IF(AND(OR(J207="Decision confirmed",J207="Family told",J207="Enrolled"),AG207=""),"Recommendation needed",IF(AND(OR(J207="Family told",J207="Enrolled"),AJ207=""),"Date family told needed","OK"))))))))</f>
        <v/>
      </c>
    </row>
    <row r="208" customFormat="false" ht="15" hidden="false" customHeight="false" outlineLevel="0" collapsed="false">
      <c r="A208" s="7"/>
      <c r="B208" s="7"/>
      <c r="C208" s="46"/>
      <c r="D208" s="7"/>
      <c r="E208" s="47"/>
      <c r="F208" s="46"/>
      <c r="G208" s="46"/>
      <c r="H208" s="7"/>
      <c r="I208" s="7"/>
      <c r="J208" s="47"/>
      <c r="K208" s="47"/>
      <c r="L208" s="47"/>
      <c r="M208" s="47"/>
      <c r="N208" s="10"/>
      <c r="O208" s="47"/>
      <c r="P208" s="47"/>
      <c r="Q208" s="47"/>
      <c r="R208" s="48" t="str">
        <f aca="false">IF(Q208="","",IF(Q208=0,"below 5:00",IF(Q208&gt;=66,"16:00 or above",INT((60+2*Q208)/12)&amp;":"&amp;TEXT(MOD(60+2*Q208,12),"00"))))</f>
        <v/>
      </c>
      <c r="S208" s="47"/>
      <c r="T208" s="47"/>
      <c r="U208" s="47"/>
      <c r="V208" s="47"/>
      <c r="W208" s="47"/>
      <c r="X208" s="47"/>
      <c r="Y208" s="47"/>
      <c r="Z208" s="47"/>
      <c r="AA208" s="10"/>
      <c r="AB208" s="10"/>
      <c r="AC208" s="47"/>
      <c r="AD208" s="47"/>
      <c r="AE208" s="47"/>
      <c r="AF208" s="47"/>
      <c r="AG208" s="47"/>
      <c r="AH208" s="47"/>
      <c r="AI208" s="46"/>
      <c r="AJ208" s="46"/>
      <c r="AK208" s="46"/>
      <c r="AL208" s="7"/>
      <c r="AM208" s="49" t="str">
        <f aca="false">IF(OR(C208="",G208=""),"",IFERROR(DATEDIF(C208,G208,"m"),""))</f>
        <v/>
      </c>
      <c r="AN208" s="49" t="str">
        <f aca="false">IF(OR(Q208="",AM208=""),"",60+2*Q208-AM208)</f>
        <v/>
      </c>
      <c r="AO208" s="49" t="str">
        <f aca="false">IF(OR(G208="",AJ208=""),"",AJ208-G208)</f>
        <v/>
      </c>
      <c r="AP208" s="50" t="str">
        <f aca="false">IF(AND(A208="",B208=""),"",IF(J208="","Status needed",IF(OR(J208="Applied",J208="Visit booked",J208="Withdrawn"),"OK",IF(G208="","Date assessed needed",IF(C208="","Date of birth needed",IF(COUNTA(L208,M208,P208,U208,V208,X208)&lt;6,"Band missing",IF(AND(OR(J208="Decision confirmed",J208="Family told",J208="Enrolled"),AG208=""),"Recommendation needed",IF(AND(OR(J208="Family told",J208="Enrolled"),AJ208=""),"Date family told needed","OK"))))))))</f>
        <v/>
      </c>
    </row>
    <row r="209" customFormat="false" ht="15" hidden="false" customHeight="false" outlineLevel="0" collapsed="false">
      <c r="A209" s="7"/>
      <c r="B209" s="7"/>
      <c r="C209" s="46"/>
      <c r="D209" s="7"/>
      <c r="E209" s="47"/>
      <c r="F209" s="46"/>
      <c r="G209" s="46"/>
      <c r="H209" s="7"/>
      <c r="I209" s="7"/>
      <c r="J209" s="47"/>
      <c r="K209" s="47"/>
      <c r="L209" s="47"/>
      <c r="M209" s="47"/>
      <c r="N209" s="10"/>
      <c r="O209" s="47"/>
      <c r="P209" s="47"/>
      <c r="Q209" s="47"/>
      <c r="R209" s="48" t="str">
        <f aca="false">IF(Q209="","",IF(Q209=0,"below 5:00",IF(Q209&gt;=66,"16:00 or above",INT((60+2*Q209)/12)&amp;":"&amp;TEXT(MOD(60+2*Q209,12),"00"))))</f>
        <v/>
      </c>
      <c r="S209" s="47"/>
      <c r="T209" s="47"/>
      <c r="U209" s="47"/>
      <c r="V209" s="47"/>
      <c r="W209" s="47"/>
      <c r="X209" s="47"/>
      <c r="Y209" s="47"/>
      <c r="Z209" s="47"/>
      <c r="AA209" s="10"/>
      <c r="AB209" s="10"/>
      <c r="AC209" s="47"/>
      <c r="AD209" s="47"/>
      <c r="AE209" s="47"/>
      <c r="AF209" s="47"/>
      <c r="AG209" s="47"/>
      <c r="AH209" s="47"/>
      <c r="AI209" s="46"/>
      <c r="AJ209" s="46"/>
      <c r="AK209" s="46"/>
      <c r="AL209" s="7"/>
      <c r="AM209" s="49" t="str">
        <f aca="false">IF(OR(C209="",G209=""),"",IFERROR(DATEDIF(C209,G209,"m"),""))</f>
        <v/>
      </c>
      <c r="AN209" s="49" t="str">
        <f aca="false">IF(OR(Q209="",AM209=""),"",60+2*Q209-AM209)</f>
        <v/>
      </c>
      <c r="AO209" s="49" t="str">
        <f aca="false">IF(OR(G209="",AJ209=""),"",AJ209-G209)</f>
        <v/>
      </c>
      <c r="AP209" s="50" t="str">
        <f aca="false">IF(AND(A209="",B209=""),"",IF(J209="","Status needed",IF(OR(J209="Applied",J209="Visit booked",J209="Withdrawn"),"OK",IF(G209="","Date assessed needed",IF(C209="","Date of birth needed",IF(COUNTA(L209,M209,P209,U209,V209,X209)&lt;6,"Band missing",IF(AND(OR(J209="Decision confirmed",J209="Family told",J209="Enrolled"),AG209=""),"Recommendation needed",IF(AND(OR(J209="Family told",J209="Enrolled"),AJ209=""),"Date family told needed","OK"))))))))</f>
        <v/>
      </c>
    </row>
    <row r="210" customFormat="false" ht="15" hidden="false" customHeight="false" outlineLevel="0" collapsed="false">
      <c r="A210" s="7"/>
      <c r="B210" s="7"/>
      <c r="C210" s="46"/>
      <c r="D210" s="7"/>
      <c r="E210" s="47"/>
      <c r="F210" s="46"/>
      <c r="G210" s="46"/>
      <c r="H210" s="7"/>
      <c r="I210" s="7"/>
      <c r="J210" s="47"/>
      <c r="K210" s="47"/>
      <c r="L210" s="47"/>
      <c r="M210" s="47"/>
      <c r="N210" s="10"/>
      <c r="O210" s="47"/>
      <c r="P210" s="47"/>
      <c r="Q210" s="47"/>
      <c r="R210" s="48" t="str">
        <f aca="false">IF(Q210="","",IF(Q210=0,"below 5:00",IF(Q210&gt;=66,"16:00 or above",INT((60+2*Q210)/12)&amp;":"&amp;TEXT(MOD(60+2*Q210,12),"00"))))</f>
        <v/>
      </c>
      <c r="S210" s="47"/>
      <c r="T210" s="47"/>
      <c r="U210" s="47"/>
      <c r="V210" s="47"/>
      <c r="W210" s="47"/>
      <c r="X210" s="47"/>
      <c r="Y210" s="47"/>
      <c r="Z210" s="47"/>
      <c r="AA210" s="10"/>
      <c r="AB210" s="10"/>
      <c r="AC210" s="47"/>
      <c r="AD210" s="47"/>
      <c r="AE210" s="47"/>
      <c r="AF210" s="47"/>
      <c r="AG210" s="47"/>
      <c r="AH210" s="47"/>
      <c r="AI210" s="46"/>
      <c r="AJ210" s="46"/>
      <c r="AK210" s="46"/>
      <c r="AL210" s="7"/>
      <c r="AM210" s="49" t="str">
        <f aca="false">IF(OR(C210="",G210=""),"",IFERROR(DATEDIF(C210,G210,"m"),""))</f>
        <v/>
      </c>
      <c r="AN210" s="49" t="str">
        <f aca="false">IF(OR(Q210="",AM210=""),"",60+2*Q210-AM210)</f>
        <v/>
      </c>
      <c r="AO210" s="49" t="str">
        <f aca="false">IF(OR(G210="",AJ210=""),"",AJ210-G210)</f>
        <v/>
      </c>
      <c r="AP210" s="50" t="str">
        <f aca="false">IF(AND(A210="",B210=""),"",IF(J210="","Status needed",IF(OR(J210="Applied",J210="Visit booked",J210="Withdrawn"),"OK",IF(G210="","Date assessed needed",IF(C210="","Date of birth needed",IF(COUNTA(L210,M210,P210,U210,V210,X210)&lt;6,"Band missing",IF(AND(OR(J210="Decision confirmed",J210="Family told",J210="Enrolled"),AG210=""),"Recommendation needed",IF(AND(OR(J210="Family told",J210="Enrolled"),AJ210=""),"Date family told needed","OK"))))))))</f>
        <v/>
      </c>
    </row>
    <row r="211" customFormat="false" ht="15" hidden="false" customHeight="false" outlineLevel="0" collapsed="false">
      <c r="A211" s="7"/>
      <c r="B211" s="7"/>
      <c r="C211" s="46"/>
      <c r="D211" s="7"/>
      <c r="E211" s="47"/>
      <c r="F211" s="46"/>
      <c r="G211" s="46"/>
      <c r="H211" s="7"/>
      <c r="I211" s="7"/>
      <c r="J211" s="47"/>
      <c r="K211" s="47"/>
      <c r="L211" s="47"/>
      <c r="M211" s="47"/>
      <c r="N211" s="10"/>
      <c r="O211" s="47"/>
      <c r="P211" s="47"/>
      <c r="Q211" s="47"/>
      <c r="R211" s="48" t="str">
        <f aca="false">IF(Q211="","",IF(Q211=0,"below 5:00",IF(Q211&gt;=66,"16:00 or above",INT((60+2*Q211)/12)&amp;":"&amp;TEXT(MOD(60+2*Q211,12),"00"))))</f>
        <v/>
      </c>
      <c r="S211" s="47"/>
      <c r="T211" s="47"/>
      <c r="U211" s="47"/>
      <c r="V211" s="47"/>
      <c r="W211" s="47"/>
      <c r="X211" s="47"/>
      <c r="Y211" s="47"/>
      <c r="Z211" s="47"/>
      <c r="AA211" s="10"/>
      <c r="AB211" s="10"/>
      <c r="AC211" s="47"/>
      <c r="AD211" s="47"/>
      <c r="AE211" s="47"/>
      <c r="AF211" s="47"/>
      <c r="AG211" s="47"/>
      <c r="AH211" s="47"/>
      <c r="AI211" s="46"/>
      <c r="AJ211" s="46"/>
      <c r="AK211" s="46"/>
      <c r="AL211" s="7"/>
      <c r="AM211" s="49" t="str">
        <f aca="false">IF(OR(C211="",G211=""),"",IFERROR(DATEDIF(C211,G211,"m"),""))</f>
        <v/>
      </c>
      <c r="AN211" s="49" t="str">
        <f aca="false">IF(OR(Q211="",AM211=""),"",60+2*Q211-AM211)</f>
        <v/>
      </c>
      <c r="AO211" s="49" t="str">
        <f aca="false">IF(OR(G211="",AJ211=""),"",AJ211-G211)</f>
        <v/>
      </c>
      <c r="AP211" s="50" t="str">
        <f aca="false">IF(AND(A211="",B211=""),"",IF(J211="","Status needed",IF(OR(J211="Applied",J211="Visit booked",J211="Withdrawn"),"OK",IF(G211="","Date assessed needed",IF(C211="","Date of birth needed",IF(COUNTA(L211,M211,P211,U211,V211,X211)&lt;6,"Band missing",IF(AND(OR(J211="Decision confirmed",J211="Family told",J211="Enrolled"),AG211=""),"Recommendation needed",IF(AND(OR(J211="Family told",J211="Enrolled"),AJ211=""),"Date family told needed","OK"))))))))</f>
        <v/>
      </c>
    </row>
    <row r="212" customFormat="false" ht="15" hidden="false" customHeight="false" outlineLevel="0" collapsed="false">
      <c r="A212" s="7"/>
      <c r="B212" s="7"/>
      <c r="C212" s="46"/>
      <c r="D212" s="7"/>
      <c r="E212" s="47"/>
      <c r="F212" s="46"/>
      <c r="G212" s="46"/>
      <c r="H212" s="7"/>
      <c r="I212" s="7"/>
      <c r="J212" s="47"/>
      <c r="K212" s="47"/>
      <c r="L212" s="47"/>
      <c r="M212" s="47"/>
      <c r="N212" s="10"/>
      <c r="O212" s="47"/>
      <c r="P212" s="47"/>
      <c r="Q212" s="47"/>
      <c r="R212" s="48" t="str">
        <f aca="false">IF(Q212="","",IF(Q212=0,"below 5:00",IF(Q212&gt;=66,"16:00 or above",INT((60+2*Q212)/12)&amp;":"&amp;TEXT(MOD(60+2*Q212,12),"00"))))</f>
        <v/>
      </c>
      <c r="S212" s="47"/>
      <c r="T212" s="47"/>
      <c r="U212" s="47"/>
      <c r="V212" s="47"/>
      <c r="W212" s="47"/>
      <c r="X212" s="47"/>
      <c r="Y212" s="47"/>
      <c r="Z212" s="47"/>
      <c r="AA212" s="10"/>
      <c r="AB212" s="10"/>
      <c r="AC212" s="47"/>
      <c r="AD212" s="47"/>
      <c r="AE212" s="47"/>
      <c r="AF212" s="47"/>
      <c r="AG212" s="47"/>
      <c r="AH212" s="47"/>
      <c r="AI212" s="46"/>
      <c r="AJ212" s="46"/>
      <c r="AK212" s="46"/>
      <c r="AL212" s="7"/>
      <c r="AM212" s="49" t="str">
        <f aca="false">IF(OR(C212="",G212=""),"",IFERROR(DATEDIF(C212,G212,"m"),""))</f>
        <v/>
      </c>
      <c r="AN212" s="49" t="str">
        <f aca="false">IF(OR(Q212="",AM212=""),"",60+2*Q212-AM212)</f>
        <v/>
      </c>
      <c r="AO212" s="49" t="str">
        <f aca="false">IF(OR(G212="",AJ212=""),"",AJ212-G212)</f>
        <v/>
      </c>
      <c r="AP212" s="50" t="str">
        <f aca="false">IF(AND(A212="",B212=""),"",IF(J212="","Status needed",IF(OR(J212="Applied",J212="Visit booked",J212="Withdrawn"),"OK",IF(G212="","Date assessed needed",IF(C212="","Date of birth needed",IF(COUNTA(L212,M212,P212,U212,V212,X212)&lt;6,"Band missing",IF(AND(OR(J212="Decision confirmed",J212="Family told",J212="Enrolled"),AG212=""),"Recommendation needed",IF(AND(OR(J212="Family told",J212="Enrolled"),AJ212=""),"Date family told needed","OK"))))))))</f>
        <v/>
      </c>
    </row>
    <row r="213" customFormat="false" ht="15" hidden="false" customHeight="false" outlineLevel="0" collapsed="false">
      <c r="A213" s="7"/>
      <c r="B213" s="7"/>
      <c r="C213" s="46"/>
      <c r="D213" s="7"/>
      <c r="E213" s="47"/>
      <c r="F213" s="46"/>
      <c r="G213" s="46"/>
      <c r="H213" s="7"/>
      <c r="I213" s="7"/>
      <c r="J213" s="47"/>
      <c r="K213" s="47"/>
      <c r="L213" s="47"/>
      <c r="M213" s="47"/>
      <c r="N213" s="10"/>
      <c r="O213" s="47"/>
      <c r="P213" s="47"/>
      <c r="Q213" s="47"/>
      <c r="R213" s="48" t="str">
        <f aca="false">IF(Q213="","",IF(Q213=0,"below 5:00",IF(Q213&gt;=66,"16:00 or above",INT((60+2*Q213)/12)&amp;":"&amp;TEXT(MOD(60+2*Q213,12),"00"))))</f>
        <v/>
      </c>
      <c r="S213" s="47"/>
      <c r="T213" s="47"/>
      <c r="U213" s="47"/>
      <c r="V213" s="47"/>
      <c r="W213" s="47"/>
      <c r="X213" s="47"/>
      <c r="Y213" s="47"/>
      <c r="Z213" s="47"/>
      <c r="AA213" s="10"/>
      <c r="AB213" s="10"/>
      <c r="AC213" s="47"/>
      <c r="AD213" s="47"/>
      <c r="AE213" s="47"/>
      <c r="AF213" s="47"/>
      <c r="AG213" s="47"/>
      <c r="AH213" s="47"/>
      <c r="AI213" s="46"/>
      <c r="AJ213" s="46"/>
      <c r="AK213" s="46"/>
      <c r="AL213" s="7"/>
      <c r="AM213" s="49" t="str">
        <f aca="false">IF(OR(C213="",G213=""),"",IFERROR(DATEDIF(C213,G213,"m"),""))</f>
        <v/>
      </c>
      <c r="AN213" s="49" t="str">
        <f aca="false">IF(OR(Q213="",AM213=""),"",60+2*Q213-AM213)</f>
        <v/>
      </c>
      <c r="AO213" s="49" t="str">
        <f aca="false">IF(OR(G213="",AJ213=""),"",AJ213-G213)</f>
        <v/>
      </c>
      <c r="AP213" s="50" t="str">
        <f aca="false">IF(AND(A213="",B213=""),"",IF(J213="","Status needed",IF(OR(J213="Applied",J213="Visit booked",J213="Withdrawn"),"OK",IF(G213="","Date assessed needed",IF(C213="","Date of birth needed",IF(COUNTA(L213,M213,P213,U213,V213,X213)&lt;6,"Band missing",IF(AND(OR(J213="Decision confirmed",J213="Family told",J213="Enrolled"),AG213=""),"Recommendation needed",IF(AND(OR(J213="Family told",J213="Enrolled"),AJ213=""),"Date family told needed","OK"))))))))</f>
        <v/>
      </c>
    </row>
    <row r="214" customFormat="false" ht="15" hidden="false" customHeight="false" outlineLevel="0" collapsed="false">
      <c r="A214" s="7"/>
      <c r="B214" s="7"/>
      <c r="C214" s="46"/>
      <c r="D214" s="7"/>
      <c r="E214" s="47"/>
      <c r="F214" s="46"/>
      <c r="G214" s="46"/>
      <c r="H214" s="7"/>
      <c r="I214" s="7"/>
      <c r="J214" s="47"/>
      <c r="K214" s="47"/>
      <c r="L214" s="47"/>
      <c r="M214" s="47"/>
      <c r="N214" s="10"/>
      <c r="O214" s="47"/>
      <c r="P214" s="47"/>
      <c r="Q214" s="47"/>
      <c r="R214" s="48" t="str">
        <f aca="false">IF(Q214="","",IF(Q214=0,"below 5:00",IF(Q214&gt;=66,"16:00 or above",INT((60+2*Q214)/12)&amp;":"&amp;TEXT(MOD(60+2*Q214,12),"00"))))</f>
        <v/>
      </c>
      <c r="S214" s="47"/>
      <c r="T214" s="47"/>
      <c r="U214" s="47"/>
      <c r="V214" s="47"/>
      <c r="W214" s="47"/>
      <c r="X214" s="47"/>
      <c r="Y214" s="47"/>
      <c r="Z214" s="47"/>
      <c r="AA214" s="10"/>
      <c r="AB214" s="10"/>
      <c r="AC214" s="47"/>
      <c r="AD214" s="47"/>
      <c r="AE214" s="47"/>
      <c r="AF214" s="47"/>
      <c r="AG214" s="47"/>
      <c r="AH214" s="47"/>
      <c r="AI214" s="46"/>
      <c r="AJ214" s="46"/>
      <c r="AK214" s="46"/>
      <c r="AL214" s="7"/>
      <c r="AM214" s="49" t="str">
        <f aca="false">IF(OR(C214="",G214=""),"",IFERROR(DATEDIF(C214,G214,"m"),""))</f>
        <v/>
      </c>
      <c r="AN214" s="49" t="str">
        <f aca="false">IF(OR(Q214="",AM214=""),"",60+2*Q214-AM214)</f>
        <v/>
      </c>
      <c r="AO214" s="49" t="str">
        <f aca="false">IF(OR(G214="",AJ214=""),"",AJ214-G214)</f>
        <v/>
      </c>
      <c r="AP214" s="50" t="str">
        <f aca="false">IF(AND(A214="",B214=""),"",IF(J214="","Status needed",IF(OR(J214="Applied",J214="Visit booked",J214="Withdrawn"),"OK",IF(G214="","Date assessed needed",IF(C214="","Date of birth needed",IF(COUNTA(L214,M214,P214,U214,V214,X214)&lt;6,"Band missing",IF(AND(OR(J214="Decision confirmed",J214="Family told",J214="Enrolled"),AG214=""),"Recommendation needed",IF(AND(OR(J214="Family told",J214="Enrolled"),AJ214=""),"Date family told needed","OK"))))))))</f>
        <v/>
      </c>
    </row>
    <row r="215" customFormat="false" ht="15" hidden="false" customHeight="false" outlineLevel="0" collapsed="false">
      <c r="A215" s="7"/>
      <c r="B215" s="7"/>
      <c r="C215" s="46"/>
      <c r="D215" s="7"/>
      <c r="E215" s="47"/>
      <c r="F215" s="46"/>
      <c r="G215" s="46"/>
      <c r="H215" s="7"/>
      <c r="I215" s="7"/>
      <c r="J215" s="47"/>
      <c r="K215" s="47"/>
      <c r="L215" s="47"/>
      <c r="M215" s="47"/>
      <c r="N215" s="10"/>
      <c r="O215" s="47"/>
      <c r="P215" s="47"/>
      <c r="Q215" s="47"/>
      <c r="R215" s="48" t="str">
        <f aca="false">IF(Q215="","",IF(Q215=0,"below 5:00",IF(Q215&gt;=66,"16:00 or above",INT((60+2*Q215)/12)&amp;":"&amp;TEXT(MOD(60+2*Q215,12),"00"))))</f>
        <v/>
      </c>
      <c r="S215" s="47"/>
      <c r="T215" s="47"/>
      <c r="U215" s="47"/>
      <c r="V215" s="47"/>
      <c r="W215" s="47"/>
      <c r="X215" s="47"/>
      <c r="Y215" s="47"/>
      <c r="Z215" s="47"/>
      <c r="AA215" s="10"/>
      <c r="AB215" s="10"/>
      <c r="AC215" s="47"/>
      <c r="AD215" s="47"/>
      <c r="AE215" s="47"/>
      <c r="AF215" s="47"/>
      <c r="AG215" s="47"/>
      <c r="AH215" s="47"/>
      <c r="AI215" s="46"/>
      <c r="AJ215" s="46"/>
      <c r="AK215" s="46"/>
      <c r="AL215" s="7"/>
      <c r="AM215" s="49" t="str">
        <f aca="false">IF(OR(C215="",G215=""),"",IFERROR(DATEDIF(C215,G215,"m"),""))</f>
        <v/>
      </c>
      <c r="AN215" s="49" t="str">
        <f aca="false">IF(OR(Q215="",AM215=""),"",60+2*Q215-AM215)</f>
        <v/>
      </c>
      <c r="AO215" s="49" t="str">
        <f aca="false">IF(OR(G215="",AJ215=""),"",AJ215-G215)</f>
        <v/>
      </c>
      <c r="AP215" s="50" t="str">
        <f aca="false">IF(AND(A215="",B215=""),"",IF(J215="","Status needed",IF(OR(J215="Applied",J215="Visit booked",J215="Withdrawn"),"OK",IF(G215="","Date assessed needed",IF(C215="","Date of birth needed",IF(COUNTA(L215,M215,P215,U215,V215,X215)&lt;6,"Band missing",IF(AND(OR(J215="Decision confirmed",J215="Family told",J215="Enrolled"),AG215=""),"Recommendation needed",IF(AND(OR(J215="Family told",J215="Enrolled"),AJ215=""),"Date family told needed","OK"))))))))</f>
        <v/>
      </c>
    </row>
    <row r="216" customFormat="false" ht="15" hidden="false" customHeight="false" outlineLevel="0" collapsed="false">
      <c r="A216" s="7"/>
      <c r="B216" s="7"/>
      <c r="C216" s="46"/>
      <c r="D216" s="7"/>
      <c r="E216" s="47"/>
      <c r="F216" s="46"/>
      <c r="G216" s="46"/>
      <c r="H216" s="7"/>
      <c r="I216" s="7"/>
      <c r="J216" s="47"/>
      <c r="K216" s="47"/>
      <c r="L216" s="47"/>
      <c r="M216" s="47"/>
      <c r="N216" s="10"/>
      <c r="O216" s="47"/>
      <c r="P216" s="47"/>
      <c r="Q216" s="47"/>
      <c r="R216" s="48" t="str">
        <f aca="false">IF(Q216="","",IF(Q216=0,"below 5:00",IF(Q216&gt;=66,"16:00 or above",INT((60+2*Q216)/12)&amp;":"&amp;TEXT(MOD(60+2*Q216,12),"00"))))</f>
        <v/>
      </c>
      <c r="S216" s="47"/>
      <c r="T216" s="47"/>
      <c r="U216" s="47"/>
      <c r="V216" s="47"/>
      <c r="W216" s="47"/>
      <c r="X216" s="47"/>
      <c r="Y216" s="47"/>
      <c r="Z216" s="47"/>
      <c r="AA216" s="10"/>
      <c r="AB216" s="10"/>
      <c r="AC216" s="47"/>
      <c r="AD216" s="47"/>
      <c r="AE216" s="47"/>
      <c r="AF216" s="47"/>
      <c r="AG216" s="47"/>
      <c r="AH216" s="47"/>
      <c r="AI216" s="46"/>
      <c r="AJ216" s="46"/>
      <c r="AK216" s="46"/>
      <c r="AL216" s="7"/>
      <c r="AM216" s="49" t="str">
        <f aca="false">IF(OR(C216="",G216=""),"",IFERROR(DATEDIF(C216,G216,"m"),""))</f>
        <v/>
      </c>
      <c r="AN216" s="49" t="str">
        <f aca="false">IF(OR(Q216="",AM216=""),"",60+2*Q216-AM216)</f>
        <v/>
      </c>
      <c r="AO216" s="49" t="str">
        <f aca="false">IF(OR(G216="",AJ216=""),"",AJ216-G216)</f>
        <v/>
      </c>
      <c r="AP216" s="50" t="str">
        <f aca="false">IF(AND(A216="",B216=""),"",IF(J216="","Status needed",IF(OR(J216="Applied",J216="Visit booked",J216="Withdrawn"),"OK",IF(G216="","Date assessed needed",IF(C216="","Date of birth needed",IF(COUNTA(L216,M216,P216,U216,V216,X216)&lt;6,"Band missing",IF(AND(OR(J216="Decision confirmed",J216="Family told",J216="Enrolled"),AG216=""),"Recommendation needed",IF(AND(OR(J216="Family told",J216="Enrolled"),AJ216=""),"Date family told needed","OK"))))))))</f>
        <v/>
      </c>
    </row>
    <row r="217" customFormat="false" ht="15" hidden="false" customHeight="false" outlineLevel="0" collapsed="false">
      <c r="A217" s="7"/>
      <c r="B217" s="7"/>
      <c r="C217" s="46"/>
      <c r="D217" s="7"/>
      <c r="E217" s="47"/>
      <c r="F217" s="46"/>
      <c r="G217" s="46"/>
      <c r="H217" s="7"/>
      <c r="I217" s="7"/>
      <c r="J217" s="47"/>
      <c r="K217" s="47"/>
      <c r="L217" s="47"/>
      <c r="M217" s="47"/>
      <c r="N217" s="10"/>
      <c r="O217" s="47"/>
      <c r="P217" s="47"/>
      <c r="Q217" s="47"/>
      <c r="R217" s="48" t="str">
        <f aca="false">IF(Q217="","",IF(Q217=0,"below 5:00",IF(Q217&gt;=66,"16:00 or above",INT((60+2*Q217)/12)&amp;":"&amp;TEXT(MOD(60+2*Q217,12),"00"))))</f>
        <v/>
      </c>
      <c r="S217" s="47"/>
      <c r="T217" s="47"/>
      <c r="U217" s="47"/>
      <c r="V217" s="47"/>
      <c r="W217" s="47"/>
      <c r="X217" s="47"/>
      <c r="Y217" s="47"/>
      <c r="Z217" s="47"/>
      <c r="AA217" s="10"/>
      <c r="AB217" s="10"/>
      <c r="AC217" s="47"/>
      <c r="AD217" s="47"/>
      <c r="AE217" s="47"/>
      <c r="AF217" s="47"/>
      <c r="AG217" s="47"/>
      <c r="AH217" s="47"/>
      <c r="AI217" s="46"/>
      <c r="AJ217" s="46"/>
      <c r="AK217" s="46"/>
      <c r="AL217" s="7"/>
      <c r="AM217" s="49" t="str">
        <f aca="false">IF(OR(C217="",G217=""),"",IFERROR(DATEDIF(C217,G217,"m"),""))</f>
        <v/>
      </c>
      <c r="AN217" s="49" t="str">
        <f aca="false">IF(OR(Q217="",AM217=""),"",60+2*Q217-AM217)</f>
        <v/>
      </c>
      <c r="AO217" s="49" t="str">
        <f aca="false">IF(OR(G217="",AJ217=""),"",AJ217-G217)</f>
        <v/>
      </c>
      <c r="AP217" s="50" t="str">
        <f aca="false">IF(AND(A217="",B217=""),"",IF(J217="","Status needed",IF(OR(J217="Applied",J217="Visit booked",J217="Withdrawn"),"OK",IF(G217="","Date assessed needed",IF(C217="","Date of birth needed",IF(COUNTA(L217,M217,P217,U217,V217,X217)&lt;6,"Band missing",IF(AND(OR(J217="Decision confirmed",J217="Family told",J217="Enrolled"),AG217=""),"Recommendation needed",IF(AND(OR(J217="Family told",J217="Enrolled"),AJ217=""),"Date family told needed","OK"))))))))</f>
        <v/>
      </c>
    </row>
    <row r="218" customFormat="false" ht="15" hidden="false" customHeight="false" outlineLevel="0" collapsed="false">
      <c r="A218" s="7"/>
      <c r="B218" s="7"/>
      <c r="C218" s="46"/>
      <c r="D218" s="7"/>
      <c r="E218" s="47"/>
      <c r="F218" s="46"/>
      <c r="G218" s="46"/>
      <c r="H218" s="7"/>
      <c r="I218" s="7"/>
      <c r="J218" s="47"/>
      <c r="K218" s="47"/>
      <c r="L218" s="47"/>
      <c r="M218" s="47"/>
      <c r="N218" s="10"/>
      <c r="O218" s="47"/>
      <c r="P218" s="47"/>
      <c r="Q218" s="47"/>
      <c r="R218" s="48" t="str">
        <f aca="false">IF(Q218="","",IF(Q218=0,"below 5:00",IF(Q218&gt;=66,"16:00 or above",INT((60+2*Q218)/12)&amp;":"&amp;TEXT(MOD(60+2*Q218,12),"00"))))</f>
        <v/>
      </c>
      <c r="S218" s="47"/>
      <c r="T218" s="47"/>
      <c r="U218" s="47"/>
      <c r="V218" s="47"/>
      <c r="W218" s="47"/>
      <c r="X218" s="47"/>
      <c r="Y218" s="47"/>
      <c r="Z218" s="47"/>
      <c r="AA218" s="10"/>
      <c r="AB218" s="10"/>
      <c r="AC218" s="47"/>
      <c r="AD218" s="47"/>
      <c r="AE218" s="47"/>
      <c r="AF218" s="47"/>
      <c r="AG218" s="47"/>
      <c r="AH218" s="47"/>
      <c r="AI218" s="46"/>
      <c r="AJ218" s="46"/>
      <c r="AK218" s="46"/>
      <c r="AL218" s="7"/>
      <c r="AM218" s="49" t="str">
        <f aca="false">IF(OR(C218="",G218=""),"",IFERROR(DATEDIF(C218,G218,"m"),""))</f>
        <v/>
      </c>
      <c r="AN218" s="49" t="str">
        <f aca="false">IF(OR(Q218="",AM218=""),"",60+2*Q218-AM218)</f>
        <v/>
      </c>
      <c r="AO218" s="49" t="str">
        <f aca="false">IF(OR(G218="",AJ218=""),"",AJ218-G218)</f>
        <v/>
      </c>
      <c r="AP218" s="50" t="str">
        <f aca="false">IF(AND(A218="",B218=""),"",IF(J218="","Status needed",IF(OR(J218="Applied",J218="Visit booked",J218="Withdrawn"),"OK",IF(G218="","Date assessed needed",IF(C218="","Date of birth needed",IF(COUNTA(L218,M218,P218,U218,V218,X218)&lt;6,"Band missing",IF(AND(OR(J218="Decision confirmed",J218="Family told",J218="Enrolled"),AG218=""),"Recommendation needed",IF(AND(OR(J218="Family told",J218="Enrolled"),AJ218=""),"Date family told needed","OK"))))))))</f>
        <v/>
      </c>
    </row>
    <row r="219" customFormat="false" ht="15" hidden="false" customHeight="false" outlineLevel="0" collapsed="false">
      <c r="A219" s="7"/>
      <c r="B219" s="7"/>
      <c r="C219" s="46"/>
      <c r="D219" s="7"/>
      <c r="E219" s="47"/>
      <c r="F219" s="46"/>
      <c r="G219" s="46"/>
      <c r="H219" s="7"/>
      <c r="I219" s="7"/>
      <c r="J219" s="47"/>
      <c r="K219" s="47"/>
      <c r="L219" s="47"/>
      <c r="M219" s="47"/>
      <c r="N219" s="10"/>
      <c r="O219" s="47"/>
      <c r="P219" s="47"/>
      <c r="Q219" s="47"/>
      <c r="R219" s="48" t="str">
        <f aca="false">IF(Q219="","",IF(Q219=0,"below 5:00",IF(Q219&gt;=66,"16:00 or above",INT((60+2*Q219)/12)&amp;":"&amp;TEXT(MOD(60+2*Q219,12),"00"))))</f>
        <v/>
      </c>
      <c r="S219" s="47"/>
      <c r="T219" s="47"/>
      <c r="U219" s="47"/>
      <c r="V219" s="47"/>
      <c r="W219" s="47"/>
      <c r="X219" s="47"/>
      <c r="Y219" s="47"/>
      <c r="Z219" s="47"/>
      <c r="AA219" s="10"/>
      <c r="AB219" s="10"/>
      <c r="AC219" s="47"/>
      <c r="AD219" s="47"/>
      <c r="AE219" s="47"/>
      <c r="AF219" s="47"/>
      <c r="AG219" s="47"/>
      <c r="AH219" s="47"/>
      <c r="AI219" s="46"/>
      <c r="AJ219" s="46"/>
      <c r="AK219" s="46"/>
      <c r="AL219" s="7"/>
      <c r="AM219" s="49" t="str">
        <f aca="false">IF(OR(C219="",G219=""),"",IFERROR(DATEDIF(C219,G219,"m"),""))</f>
        <v/>
      </c>
      <c r="AN219" s="49" t="str">
        <f aca="false">IF(OR(Q219="",AM219=""),"",60+2*Q219-AM219)</f>
        <v/>
      </c>
      <c r="AO219" s="49" t="str">
        <f aca="false">IF(OR(G219="",AJ219=""),"",AJ219-G219)</f>
        <v/>
      </c>
      <c r="AP219" s="50" t="str">
        <f aca="false">IF(AND(A219="",B219=""),"",IF(J219="","Status needed",IF(OR(J219="Applied",J219="Visit booked",J219="Withdrawn"),"OK",IF(G219="","Date assessed needed",IF(C219="","Date of birth needed",IF(COUNTA(L219,M219,P219,U219,V219,X219)&lt;6,"Band missing",IF(AND(OR(J219="Decision confirmed",J219="Family told",J219="Enrolled"),AG219=""),"Recommendation needed",IF(AND(OR(J219="Family told",J219="Enrolled"),AJ219=""),"Date family told needed","OK"))))))))</f>
        <v/>
      </c>
    </row>
    <row r="220" customFormat="false" ht="15" hidden="false" customHeight="false" outlineLevel="0" collapsed="false">
      <c r="A220" s="7"/>
      <c r="B220" s="7"/>
      <c r="C220" s="46"/>
      <c r="D220" s="7"/>
      <c r="E220" s="47"/>
      <c r="F220" s="46"/>
      <c r="G220" s="46"/>
      <c r="H220" s="7"/>
      <c r="I220" s="7"/>
      <c r="J220" s="47"/>
      <c r="K220" s="47"/>
      <c r="L220" s="47"/>
      <c r="M220" s="47"/>
      <c r="N220" s="10"/>
      <c r="O220" s="47"/>
      <c r="P220" s="47"/>
      <c r="Q220" s="47"/>
      <c r="R220" s="48" t="str">
        <f aca="false">IF(Q220="","",IF(Q220=0,"below 5:00",IF(Q220&gt;=66,"16:00 or above",INT((60+2*Q220)/12)&amp;":"&amp;TEXT(MOD(60+2*Q220,12),"00"))))</f>
        <v/>
      </c>
      <c r="S220" s="47"/>
      <c r="T220" s="47"/>
      <c r="U220" s="47"/>
      <c r="V220" s="47"/>
      <c r="W220" s="47"/>
      <c r="X220" s="47"/>
      <c r="Y220" s="47"/>
      <c r="Z220" s="47"/>
      <c r="AA220" s="10"/>
      <c r="AB220" s="10"/>
      <c r="AC220" s="47"/>
      <c r="AD220" s="47"/>
      <c r="AE220" s="47"/>
      <c r="AF220" s="47"/>
      <c r="AG220" s="47"/>
      <c r="AH220" s="47"/>
      <c r="AI220" s="46"/>
      <c r="AJ220" s="46"/>
      <c r="AK220" s="46"/>
      <c r="AL220" s="7"/>
      <c r="AM220" s="49" t="str">
        <f aca="false">IF(OR(C220="",G220=""),"",IFERROR(DATEDIF(C220,G220,"m"),""))</f>
        <v/>
      </c>
      <c r="AN220" s="49" t="str">
        <f aca="false">IF(OR(Q220="",AM220=""),"",60+2*Q220-AM220)</f>
        <v/>
      </c>
      <c r="AO220" s="49" t="str">
        <f aca="false">IF(OR(G220="",AJ220=""),"",AJ220-G220)</f>
        <v/>
      </c>
      <c r="AP220" s="50" t="str">
        <f aca="false">IF(AND(A220="",B220=""),"",IF(J220="","Status needed",IF(OR(J220="Applied",J220="Visit booked",J220="Withdrawn"),"OK",IF(G220="","Date assessed needed",IF(C220="","Date of birth needed",IF(COUNTA(L220,M220,P220,U220,V220,X220)&lt;6,"Band missing",IF(AND(OR(J220="Decision confirmed",J220="Family told",J220="Enrolled"),AG220=""),"Recommendation needed",IF(AND(OR(J220="Family told",J220="Enrolled"),AJ220=""),"Date family told needed","OK"))))))))</f>
        <v/>
      </c>
    </row>
    <row r="221" customFormat="false" ht="15" hidden="false" customHeight="false" outlineLevel="0" collapsed="false">
      <c r="A221" s="7"/>
      <c r="B221" s="7"/>
      <c r="C221" s="46"/>
      <c r="D221" s="7"/>
      <c r="E221" s="47"/>
      <c r="F221" s="46"/>
      <c r="G221" s="46"/>
      <c r="H221" s="7"/>
      <c r="I221" s="7"/>
      <c r="J221" s="47"/>
      <c r="K221" s="47"/>
      <c r="L221" s="47"/>
      <c r="M221" s="47"/>
      <c r="N221" s="10"/>
      <c r="O221" s="47"/>
      <c r="P221" s="47"/>
      <c r="Q221" s="47"/>
      <c r="R221" s="48" t="str">
        <f aca="false">IF(Q221="","",IF(Q221=0,"below 5:00",IF(Q221&gt;=66,"16:00 or above",INT((60+2*Q221)/12)&amp;":"&amp;TEXT(MOD(60+2*Q221,12),"00"))))</f>
        <v/>
      </c>
      <c r="S221" s="47"/>
      <c r="T221" s="47"/>
      <c r="U221" s="47"/>
      <c r="V221" s="47"/>
      <c r="W221" s="47"/>
      <c r="X221" s="47"/>
      <c r="Y221" s="47"/>
      <c r="Z221" s="47"/>
      <c r="AA221" s="10"/>
      <c r="AB221" s="10"/>
      <c r="AC221" s="47"/>
      <c r="AD221" s="47"/>
      <c r="AE221" s="47"/>
      <c r="AF221" s="47"/>
      <c r="AG221" s="47"/>
      <c r="AH221" s="47"/>
      <c r="AI221" s="46"/>
      <c r="AJ221" s="46"/>
      <c r="AK221" s="46"/>
      <c r="AL221" s="7"/>
      <c r="AM221" s="49" t="str">
        <f aca="false">IF(OR(C221="",G221=""),"",IFERROR(DATEDIF(C221,G221,"m"),""))</f>
        <v/>
      </c>
      <c r="AN221" s="49" t="str">
        <f aca="false">IF(OR(Q221="",AM221=""),"",60+2*Q221-AM221)</f>
        <v/>
      </c>
      <c r="AO221" s="49" t="str">
        <f aca="false">IF(OR(G221="",AJ221=""),"",AJ221-G221)</f>
        <v/>
      </c>
      <c r="AP221" s="50" t="str">
        <f aca="false">IF(AND(A221="",B221=""),"",IF(J221="","Status needed",IF(OR(J221="Applied",J221="Visit booked",J221="Withdrawn"),"OK",IF(G221="","Date assessed needed",IF(C221="","Date of birth needed",IF(COUNTA(L221,M221,P221,U221,V221,X221)&lt;6,"Band missing",IF(AND(OR(J221="Decision confirmed",J221="Family told",J221="Enrolled"),AG221=""),"Recommendation needed",IF(AND(OR(J221="Family told",J221="Enrolled"),AJ221=""),"Date family told needed","OK"))))))))</f>
        <v/>
      </c>
    </row>
    <row r="222" customFormat="false" ht="15" hidden="false" customHeight="false" outlineLevel="0" collapsed="false">
      <c r="A222" s="7"/>
      <c r="B222" s="7"/>
      <c r="C222" s="46"/>
      <c r="D222" s="7"/>
      <c r="E222" s="47"/>
      <c r="F222" s="46"/>
      <c r="G222" s="46"/>
      <c r="H222" s="7"/>
      <c r="I222" s="7"/>
      <c r="J222" s="47"/>
      <c r="K222" s="47"/>
      <c r="L222" s="47"/>
      <c r="M222" s="47"/>
      <c r="N222" s="10"/>
      <c r="O222" s="47"/>
      <c r="P222" s="47"/>
      <c r="Q222" s="47"/>
      <c r="R222" s="48" t="str">
        <f aca="false">IF(Q222="","",IF(Q222=0,"below 5:00",IF(Q222&gt;=66,"16:00 or above",INT((60+2*Q222)/12)&amp;":"&amp;TEXT(MOD(60+2*Q222,12),"00"))))</f>
        <v/>
      </c>
      <c r="S222" s="47"/>
      <c r="T222" s="47"/>
      <c r="U222" s="47"/>
      <c r="V222" s="47"/>
      <c r="W222" s="47"/>
      <c r="X222" s="47"/>
      <c r="Y222" s="47"/>
      <c r="Z222" s="47"/>
      <c r="AA222" s="10"/>
      <c r="AB222" s="10"/>
      <c r="AC222" s="47"/>
      <c r="AD222" s="47"/>
      <c r="AE222" s="47"/>
      <c r="AF222" s="47"/>
      <c r="AG222" s="47"/>
      <c r="AH222" s="47"/>
      <c r="AI222" s="46"/>
      <c r="AJ222" s="46"/>
      <c r="AK222" s="46"/>
      <c r="AL222" s="7"/>
      <c r="AM222" s="49" t="str">
        <f aca="false">IF(OR(C222="",G222=""),"",IFERROR(DATEDIF(C222,G222,"m"),""))</f>
        <v/>
      </c>
      <c r="AN222" s="49" t="str">
        <f aca="false">IF(OR(Q222="",AM222=""),"",60+2*Q222-AM222)</f>
        <v/>
      </c>
      <c r="AO222" s="49" t="str">
        <f aca="false">IF(OR(G222="",AJ222=""),"",AJ222-G222)</f>
        <v/>
      </c>
      <c r="AP222" s="50" t="str">
        <f aca="false">IF(AND(A222="",B222=""),"",IF(J222="","Status needed",IF(OR(J222="Applied",J222="Visit booked",J222="Withdrawn"),"OK",IF(G222="","Date assessed needed",IF(C222="","Date of birth needed",IF(COUNTA(L222,M222,P222,U222,V222,X222)&lt;6,"Band missing",IF(AND(OR(J222="Decision confirmed",J222="Family told",J222="Enrolled"),AG222=""),"Recommendation needed",IF(AND(OR(J222="Family told",J222="Enrolled"),AJ222=""),"Date family told needed","OK"))))))))</f>
        <v/>
      </c>
    </row>
    <row r="223" customFormat="false" ht="15" hidden="false" customHeight="false" outlineLevel="0" collapsed="false">
      <c r="A223" s="7"/>
      <c r="B223" s="7"/>
      <c r="C223" s="46"/>
      <c r="D223" s="7"/>
      <c r="E223" s="47"/>
      <c r="F223" s="46"/>
      <c r="G223" s="46"/>
      <c r="H223" s="7"/>
      <c r="I223" s="7"/>
      <c r="J223" s="47"/>
      <c r="K223" s="47"/>
      <c r="L223" s="47"/>
      <c r="M223" s="47"/>
      <c r="N223" s="10"/>
      <c r="O223" s="47"/>
      <c r="P223" s="47"/>
      <c r="Q223" s="47"/>
      <c r="R223" s="48" t="str">
        <f aca="false">IF(Q223="","",IF(Q223=0,"below 5:00",IF(Q223&gt;=66,"16:00 or above",INT((60+2*Q223)/12)&amp;":"&amp;TEXT(MOD(60+2*Q223,12),"00"))))</f>
        <v/>
      </c>
      <c r="S223" s="47"/>
      <c r="T223" s="47"/>
      <c r="U223" s="47"/>
      <c r="V223" s="47"/>
      <c r="W223" s="47"/>
      <c r="X223" s="47"/>
      <c r="Y223" s="47"/>
      <c r="Z223" s="47"/>
      <c r="AA223" s="10"/>
      <c r="AB223" s="10"/>
      <c r="AC223" s="47"/>
      <c r="AD223" s="47"/>
      <c r="AE223" s="47"/>
      <c r="AF223" s="47"/>
      <c r="AG223" s="47"/>
      <c r="AH223" s="47"/>
      <c r="AI223" s="46"/>
      <c r="AJ223" s="46"/>
      <c r="AK223" s="46"/>
      <c r="AL223" s="7"/>
      <c r="AM223" s="49" t="str">
        <f aca="false">IF(OR(C223="",G223=""),"",IFERROR(DATEDIF(C223,G223,"m"),""))</f>
        <v/>
      </c>
      <c r="AN223" s="49" t="str">
        <f aca="false">IF(OR(Q223="",AM223=""),"",60+2*Q223-AM223)</f>
        <v/>
      </c>
      <c r="AO223" s="49" t="str">
        <f aca="false">IF(OR(G223="",AJ223=""),"",AJ223-G223)</f>
        <v/>
      </c>
      <c r="AP223" s="50" t="str">
        <f aca="false">IF(AND(A223="",B223=""),"",IF(J223="","Status needed",IF(OR(J223="Applied",J223="Visit booked",J223="Withdrawn"),"OK",IF(G223="","Date assessed needed",IF(C223="","Date of birth needed",IF(COUNTA(L223,M223,P223,U223,V223,X223)&lt;6,"Band missing",IF(AND(OR(J223="Decision confirmed",J223="Family told",J223="Enrolled"),AG223=""),"Recommendation needed",IF(AND(OR(J223="Family told",J223="Enrolled"),AJ223=""),"Date family told needed","OK"))))))))</f>
        <v/>
      </c>
    </row>
    <row r="224" customFormat="false" ht="15" hidden="false" customHeight="false" outlineLevel="0" collapsed="false">
      <c r="A224" s="7"/>
      <c r="B224" s="7"/>
      <c r="C224" s="46"/>
      <c r="D224" s="7"/>
      <c r="E224" s="47"/>
      <c r="F224" s="46"/>
      <c r="G224" s="46"/>
      <c r="H224" s="7"/>
      <c r="I224" s="7"/>
      <c r="J224" s="47"/>
      <c r="K224" s="47"/>
      <c r="L224" s="47"/>
      <c r="M224" s="47"/>
      <c r="N224" s="10"/>
      <c r="O224" s="47"/>
      <c r="P224" s="47"/>
      <c r="Q224" s="47"/>
      <c r="R224" s="48" t="str">
        <f aca="false">IF(Q224="","",IF(Q224=0,"below 5:00",IF(Q224&gt;=66,"16:00 or above",INT((60+2*Q224)/12)&amp;":"&amp;TEXT(MOD(60+2*Q224,12),"00"))))</f>
        <v/>
      </c>
      <c r="S224" s="47"/>
      <c r="T224" s="47"/>
      <c r="U224" s="47"/>
      <c r="V224" s="47"/>
      <c r="W224" s="47"/>
      <c r="X224" s="47"/>
      <c r="Y224" s="47"/>
      <c r="Z224" s="47"/>
      <c r="AA224" s="10"/>
      <c r="AB224" s="10"/>
      <c r="AC224" s="47"/>
      <c r="AD224" s="47"/>
      <c r="AE224" s="47"/>
      <c r="AF224" s="47"/>
      <c r="AG224" s="47"/>
      <c r="AH224" s="47"/>
      <c r="AI224" s="46"/>
      <c r="AJ224" s="46"/>
      <c r="AK224" s="46"/>
      <c r="AL224" s="7"/>
      <c r="AM224" s="49" t="str">
        <f aca="false">IF(OR(C224="",G224=""),"",IFERROR(DATEDIF(C224,G224,"m"),""))</f>
        <v/>
      </c>
      <c r="AN224" s="49" t="str">
        <f aca="false">IF(OR(Q224="",AM224=""),"",60+2*Q224-AM224)</f>
        <v/>
      </c>
      <c r="AO224" s="49" t="str">
        <f aca="false">IF(OR(G224="",AJ224=""),"",AJ224-G224)</f>
        <v/>
      </c>
      <c r="AP224" s="50" t="str">
        <f aca="false">IF(AND(A224="",B224=""),"",IF(J224="","Status needed",IF(OR(J224="Applied",J224="Visit booked",J224="Withdrawn"),"OK",IF(G224="","Date assessed needed",IF(C224="","Date of birth needed",IF(COUNTA(L224,M224,P224,U224,V224,X224)&lt;6,"Band missing",IF(AND(OR(J224="Decision confirmed",J224="Family told",J224="Enrolled"),AG224=""),"Recommendation needed",IF(AND(OR(J224="Family told",J224="Enrolled"),AJ224=""),"Date family told needed","OK"))))))))</f>
        <v/>
      </c>
    </row>
    <row r="225" customFormat="false" ht="15" hidden="false" customHeight="false" outlineLevel="0" collapsed="false">
      <c r="A225" s="7"/>
      <c r="B225" s="7"/>
      <c r="C225" s="46"/>
      <c r="D225" s="7"/>
      <c r="E225" s="47"/>
      <c r="F225" s="46"/>
      <c r="G225" s="46"/>
      <c r="H225" s="7"/>
      <c r="I225" s="7"/>
      <c r="J225" s="47"/>
      <c r="K225" s="47"/>
      <c r="L225" s="47"/>
      <c r="M225" s="47"/>
      <c r="N225" s="10"/>
      <c r="O225" s="47"/>
      <c r="P225" s="47"/>
      <c r="Q225" s="47"/>
      <c r="R225" s="48" t="str">
        <f aca="false">IF(Q225="","",IF(Q225=0,"below 5:00",IF(Q225&gt;=66,"16:00 or above",INT((60+2*Q225)/12)&amp;":"&amp;TEXT(MOD(60+2*Q225,12),"00"))))</f>
        <v/>
      </c>
      <c r="S225" s="47"/>
      <c r="T225" s="47"/>
      <c r="U225" s="47"/>
      <c r="V225" s="47"/>
      <c r="W225" s="47"/>
      <c r="X225" s="47"/>
      <c r="Y225" s="47"/>
      <c r="Z225" s="47"/>
      <c r="AA225" s="10"/>
      <c r="AB225" s="10"/>
      <c r="AC225" s="47"/>
      <c r="AD225" s="47"/>
      <c r="AE225" s="47"/>
      <c r="AF225" s="47"/>
      <c r="AG225" s="47"/>
      <c r="AH225" s="47"/>
      <c r="AI225" s="46"/>
      <c r="AJ225" s="46"/>
      <c r="AK225" s="46"/>
      <c r="AL225" s="7"/>
      <c r="AM225" s="49" t="str">
        <f aca="false">IF(OR(C225="",G225=""),"",IFERROR(DATEDIF(C225,G225,"m"),""))</f>
        <v/>
      </c>
      <c r="AN225" s="49" t="str">
        <f aca="false">IF(OR(Q225="",AM225=""),"",60+2*Q225-AM225)</f>
        <v/>
      </c>
      <c r="AO225" s="49" t="str">
        <f aca="false">IF(OR(G225="",AJ225=""),"",AJ225-G225)</f>
        <v/>
      </c>
      <c r="AP225" s="50" t="str">
        <f aca="false">IF(AND(A225="",B225=""),"",IF(J225="","Status needed",IF(OR(J225="Applied",J225="Visit booked",J225="Withdrawn"),"OK",IF(G225="","Date assessed needed",IF(C225="","Date of birth needed",IF(COUNTA(L225,M225,P225,U225,V225,X225)&lt;6,"Band missing",IF(AND(OR(J225="Decision confirmed",J225="Family told",J225="Enrolled"),AG225=""),"Recommendation needed",IF(AND(OR(J225="Family told",J225="Enrolled"),AJ225=""),"Date family told needed","OK"))))))))</f>
        <v/>
      </c>
    </row>
    <row r="226" customFormat="false" ht="15" hidden="false" customHeight="false" outlineLevel="0" collapsed="false">
      <c r="A226" s="7"/>
      <c r="B226" s="7"/>
      <c r="C226" s="46"/>
      <c r="D226" s="7"/>
      <c r="E226" s="47"/>
      <c r="F226" s="46"/>
      <c r="G226" s="46"/>
      <c r="H226" s="7"/>
      <c r="I226" s="7"/>
      <c r="J226" s="47"/>
      <c r="K226" s="47"/>
      <c r="L226" s="47"/>
      <c r="M226" s="47"/>
      <c r="N226" s="10"/>
      <c r="O226" s="47"/>
      <c r="P226" s="47"/>
      <c r="Q226" s="47"/>
      <c r="R226" s="48" t="str">
        <f aca="false">IF(Q226="","",IF(Q226=0,"below 5:00",IF(Q226&gt;=66,"16:00 or above",INT((60+2*Q226)/12)&amp;":"&amp;TEXT(MOD(60+2*Q226,12),"00"))))</f>
        <v/>
      </c>
      <c r="S226" s="47"/>
      <c r="T226" s="47"/>
      <c r="U226" s="47"/>
      <c r="V226" s="47"/>
      <c r="W226" s="47"/>
      <c r="X226" s="47"/>
      <c r="Y226" s="47"/>
      <c r="Z226" s="47"/>
      <c r="AA226" s="10"/>
      <c r="AB226" s="10"/>
      <c r="AC226" s="47"/>
      <c r="AD226" s="47"/>
      <c r="AE226" s="47"/>
      <c r="AF226" s="47"/>
      <c r="AG226" s="47"/>
      <c r="AH226" s="47"/>
      <c r="AI226" s="46"/>
      <c r="AJ226" s="46"/>
      <c r="AK226" s="46"/>
      <c r="AL226" s="7"/>
      <c r="AM226" s="49" t="str">
        <f aca="false">IF(OR(C226="",G226=""),"",IFERROR(DATEDIF(C226,G226,"m"),""))</f>
        <v/>
      </c>
      <c r="AN226" s="49" t="str">
        <f aca="false">IF(OR(Q226="",AM226=""),"",60+2*Q226-AM226)</f>
        <v/>
      </c>
      <c r="AO226" s="49" t="str">
        <f aca="false">IF(OR(G226="",AJ226=""),"",AJ226-G226)</f>
        <v/>
      </c>
      <c r="AP226" s="50" t="str">
        <f aca="false">IF(AND(A226="",B226=""),"",IF(J226="","Status needed",IF(OR(J226="Applied",J226="Visit booked",J226="Withdrawn"),"OK",IF(G226="","Date assessed needed",IF(C226="","Date of birth needed",IF(COUNTA(L226,M226,P226,U226,V226,X226)&lt;6,"Band missing",IF(AND(OR(J226="Decision confirmed",J226="Family told",J226="Enrolled"),AG226=""),"Recommendation needed",IF(AND(OR(J226="Family told",J226="Enrolled"),AJ226=""),"Date family told needed","OK"))))))))</f>
        <v/>
      </c>
    </row>
    <row r="227" customFormat="false" ht="15" hidden="false" customHeight="false" outlineLevel="0" collapsed="false">
      <c r="A227" s="7"/>
      <c r="B227" s="7"/>
      <c r="C227" s="46"/>
      <c r="D227" s="7"/>
      <c r="E227" s="47"/>
      <c r="F227" s="46"/>
      <c r="G227" s="46"/>
      <c r="H227" s="7"/>
      <c r="I227" s="7"/>
      <c r="J227" s="47"/>
      <c r="K227" s="47"/>
      <c r="L227" s="47"/>
      <c r="M227" s="47"/>
      <c r="N227" s="10"/>
      <c r="O227" s="47"/>
      <c r="P227" s="47"/>
      <c r="Q227" s="47"/>
      <c r="R227" s="48" t="str">
        <f aca="false">IF(Q227="","",IF(Q227=0,"below 5:00",IF(Q227&gt;=66,"16:00 or above",INT((60+2*Q227)/12)&amp;":"&amp;TEXT(MOD(60+2*Q227,12),"00"))))</f>
        <v/>
      </c>
      <c r="S227" s="47"/>
      <c r="T227" s="47"/>
      <c r="U227" s="47"/>
      <c r="V227" s="47"/>
      <c r="W227" s="47"/>
      <c r="X227" s="47"/>
      <c r="Y227" s="47"/>
      <c r="Z227" s="47"/>
      <c r="AA227" s="10"/>
      <c r="AB227" s="10"/>
      <c r="AC227" s="47"/>
      <c r="AD227" s="47"/>
      <c r="AE227" s="47"/>
      <c r="AF227" s="47"/>
      <c r="AG227" s="47"/>
      <c r="AH227" s="47"/>
      <c r="AI227" s="46"/>
      <c r="AJ227" s="46"/>
      <c r="AK227" s="46"/>
      <c r="AL227" s="7"/>
      <c r="AM227" s="49" t="str">
        <f aca="false">IF(OR(C227="",G227=""),"",IFERROR(DATEDIF(C227,G227,"m"),""))</f>
        <v/>
      </c>
      <c r="AN227" s="49" t="str">
        <f aca="false">IF(OR(Q227="",AM227=""),"",60+2*Q227-AM227)</f>
        <v/>
      </c>
      <c r="AO227" s="49" t="str">
        <f aca="false">IF(OR(G227="",AJ227=""),"",AJ227-G227)</f>
        <v/>
      </c>
      <c r="AP227" s="50" t="str">
        <f aca="false">IF(AND(A227="",B227=""),"",IF(J227="","Status needed",IF(OR(J227="Applied",J227="Visit booked",J227="Withdrawn"),"OK",IF(G227="","Date assessed needed",IF(C227="","Date of birth needed",IF(COUNTA(L227,M227,P227,U227,V227,X227)&lt;6,"Band missing",IF(AND(OR(J227="Decision confirmed",J227="Family told",J227="Enrolled"),AG227=""),"Recommendation needed",IF(AND(OR(J227="Family told",J227="Enrolled"),AJ227=""),"Date family told needed","OK"))))))))</f>
        <v/>
      </c>
    </row>
    <row r="228" customFormat="false" ht="15" hidden="false" customHeight="false" outlineLevel="0" collapsed="false">
      <c r="A228" s="7"/>
      <c r="B228" s="7"/>
      <c r="C228" s="46"/>
      <c r="D228" s="7"/>
      <c r="E228" s="47"/>
      <c r="F228" s="46"/>
      <c r="G228" s="46"/>
      <c r="H228" s="7"/>
      <c r="I228" s="7"/>
      <c r="J228" s="47"/>
      <c r="K228" s="47"/>
      <c r="L228" s="47"/>
      <c r="M228" s="47"/>
      <c r="N228" s="10"/>
      <c r="O228" s="47"/>
      <c r="P228" s="47"/>
      <c r="Q228" s="47"/>
      <c r="R228" s="48" t="str">
        <f aca="false">IF(Q228="","",IF(Q228=0,"below 5:00",IF(Q228&gt;=66,"16:00 or above",INT((60+2*Q228)/12)&amp;":"&amp;TEXT(MOD(60+2*Q228,12),"00"))))</f>
        <v/>
      </c>
      <c r="S228" s="47"/>
      <c r="T228" s="47"/>
      <c r="U228" s="47"/>
      <c r="V228" s="47"/>
      <c r="W228" s="47"/>
      <c r="X228" s="47"/>
      <c r="Y228" s="47"/>
      <c r="Z228" s="47"/>
      <c r="AA228" s="10"/>
      <c r="AB228" s="10"/>
      <c r="AC228" s="47"/>
      <c r="AD228" s="47"/>
      <c r="AE228" s="47"/>
      <c r="AF228" s="47"/>
      <c r="AG228" s="47"/>
      <c r="AH228" s="47"/>
      <c r="AI228" s="46"/>
      <c r="AJ228" s="46"/>
      <c r="AK228" s="46"/>
      <c r="AL228" s="7"/>
      <c r="AM228" s="49" t="str">
        <f aca="false">IF(OR(C228="",G228=""),"",IFERROR(DATEDIF(C228,G228,"m"),""))</f>
        <v/>
      </c>
      <c r="AN228" s="49" t="str">
        <f aca="false">IF(OR(Q228="",AM228=""),"",60+2*Q228-AM228)</f>
        <v/>
      </c>
      <c r="AO228" s="49" t="str">
        <f aca="false">IF(OR(G228="",AJ228=""),"",AJ228-G228)</f>
        <v/>
      </c>
      <c r="AP228" s="50" t="str">
        <f aca="false">IF(AND(A228="",B228=""),"",IF(J228="","Status needed",IF(OR(J228="Applied",J228="Visit booked",J228="Withdrawn"),"OK",IF(G228="","Date assessed needed",IF(C228="","Date of birth needed",IF(COUNTA(L228,M228,P228,U228,V228,X228)&lt;6,"Band missing",IF(AND(OR(J228="Decision confirmed",J228="Family told",J228="Enrolled"),AG228=""),"Recommendation needed",IF(AND(OR(J228="Family told",J228="Enrolled"),AJ228=""),"Date family told needed","OK"))))))))</f>
        <v/>
      </c>
    </row>
    <row r="229" customFormat="false" ht="15" hidden="false" customHeight="false" outlineLevel="0" collapsed="false">
      <c r="A229" s="7"/>
      <c r="B229" s="7"/>
      <c r="C229" s="46"/>
      <c r="D229" s="7"/>
      <c r="E229" s="47"/>
      <c r="F229" s="46"/>
      <c r="G229" s="46"/>
      <c r="H229" s="7"/>
      <c r="I229" s="7"/>
      <c r="J229" s="47"/>
      <c r="K229" s="47"/>
      <c r="L229" s="47"/>
      <c r="M229" s="47"/>
      <c r="N229" s="10"/>
      <c r="O229" s="47"/>
      <c r="P229" s="47"/>
      <c r="Q229" s="47"/>
      <c r="R229" s="48" t="str">
        <f aca="false">IF(Q229="","",IF(Q229=0,"below 5:00",IF(Q229&gt;=66,"16:00 or above",INT((60+2*Q229)/12)&amp;":"&amp;TEXT(MOD(60+2*Q229,12),"00"))))</f>
        <v/>
      </c>
      <c r="S229" s="47"/>
      <c r="T229" s="47"/>
      <c r="U229" s="47"/>
      <c r="V229" s="47"/>
      <c r="W229" s="47"/>
      <c r="X229" s="47"/>
      <c r="Y229" s="47"/>
      <c r="Z229" s="47"/>
      <c r="AA229" s="10"/>
      <c r="AB229" s="10"/>
      <c r="AC229" s="47"/>
      <c r="AD229" s="47"/>
      <c r="AE229" s="47"/>
      <c r="AF229" s="47"/>
      <c r="AG229" s="47"/>
      <c r="AH229" s="47"/>
      <c r="AI229" s="46"/>
      <c r="AJ229" s="46"/>
      <c r="AK229" s="46"/>
      <c r="AL229" s="7"/>
      <c r="AM229" s="49" t="str">
        <f aca="false">IF(OR(C229="",G229=""),"",IFERROR(DATEDIF(C229,G229,"m"),""))</f>
        <v/>
      </c>
      <c r="AN229" s="49" t="str">
        <f aca="false">IF(OR(Q229="",AM229=""),"",60+2*Q229-AM229)</f>
        <v/>
      </c>
      <c r="AO229" s="49" t="str">
        <f aca="false">IF(OR(G229="",AJ229=""),"",AJ229-G229)</f>
        <v/>
      </c>
      <c r="AP229" s="50" t="str">
        <f aca="false">IF(AND(A229="",B229=""),"",IF(J229="","Status needed",IF(OR(J229="Applied",J229="Visit booked",J229="Withdrawn"),"OK",IF(G229="","Date assessed needed",IF(C229="","Date of birth needed",IF(COUNTA(L229,M229,P229,U229,V229,X229)&lt;6,"Band missing",IF(AND(OR(J229="Decision confirmed",J229="Family told",J229="Enrolled"),AG229=""),"Recommendation needed",IF(AND(OR(J229="Family told",J229="Enrolled"),AJ229=""),"Date family told needed","OK"))))))))</f>
        <v/>
      </c>
    </row>
    <row r="230" customFormat="false" ht="15" hidden="false" customHeight="false" outlineLevel="0" collapsed="false">
      <c r="A230" s="7"/>
      <c r="B230" s="7"/>
      <c r="C230" s="46"/>
      <c r="D230" s="7"/>
      <c r="E230" s="47"/>
      <c r="F230" s="46"/>
      <c r="G230" s="46"/>
      <c r="H230" s="7"/>
      <c r="I230" s="7"/>
      <c r="J230" s="47"/>
      <c r="K230" s="47"/>
      <c r="L230" s="47"/>
      <c r="M230" s="47"/>
      <c r="N230" s="10"/>
      <c r="O230" s="47"/>
      <c r="P230" s="47"/>
      <c r="Q230" s="47"/>
      <c r="R230" s="48" t="str">
        <f aca="false">IF(Q230="","",IF(Q230=0,"below 5:00",IF(Q230&gt;=66,"16:00 or above",INT((60+2*Q230)/12)&amp;":"&amp;TEXT(MOD(60+2*Q230,12),"00"))))</f>
        <v/>
      </c>
      <c r="S230" s="47"/>
      <c r="T230" s="47"/>
      <c r="U230" s="47"/>
      <c r="V230" s="47"/>
      <c r="W230" s="47"/>
      <c r="X230" s="47"/>
      <c r="Y230" s="47"/>
      <c r="Z230" s="47"/>
      <c r="AA230" s="10"/>
      <c r="AB230" s="10"/>
      <c r="AC230" s="47"/>
      <c r="AD230" s="47"/>
      <c r="AE230" s="47"/>
      <c r="AF230" s="47"/>
      <c r="AG230" s="47"/>
      <c r="AH230" s="47"/>
      <c r="AI230" s="46"/>
      <c r="AJ230" s="46"/>
      <c r="AK230" s="46"/>
      <c r="AL230" s="7"/>
      <c r="AM230" s="49" t="str">
        <f aca="false">IF(OR(C230="",G230=""),"",IFERROR(DATEDIF(C230,G230,"m"),""))</f>
        <v/>
      </c>
      <c r="AN230" s="49" t="str">
        <f aca="false">IF(OR(Q230="",AM230=""),"",60+2*Q230-AM230)</f>
        <v/>
      </c>
      <c r="AO230" s="49" t="str">
        <f aca="false">IF(OR(G230="",AJ230=""),"",AJ230-G230)</f>
        <v/>
      </c>
      <c r="AP230" s="50" t="str">
        <f aca="false">IF(AND(A230="",B230=""),"",IF(J230="","Status needed",IF(OR(J230="Applied",J230="Visit booked",J230="Withdrawn"),"OK",IF(G230="","Date assessed needed",IF(C230="","Date of birth needed",IF(COUNTA(L230,M230,P230,U230,V230,X230)&lt;6,"Band missing",IF(AND(OR(J230="Decision confirmed",J230="Family told",J230="Enrolled"),AG230=""),"Recommendation needed",IF(AND(OR(J230="Family told",J230="Enrolled"),AJ230=""),"Date family told needed","OK"))))))))</f>
        <v/>
      </c>
    </row>
    <row r="231" customFormat="false" ht="15" hidden="false" customHeight="false" outlineLevel="0" collapsed="false">
      <c r="A231" s="7"/>
      <c r="B231" s="7"/>
      <c r="C231" s="46"/>
      <c r="D231" s="7"/>
      <c r="E231" s="47"/>
      <c r="F231" s="46"/>
      <c r="G231" s="46"/>
      <c r="H231" s="7"/>
      <c r="I231" s="7"/>
      <c r="J231" s="47"/>
      <c r="K231" s="47"/>
      <c r="L231" s="47"/>
      <c r="M231" s="47"/>
      <c r="N231" s="10"/>
      <c r="O231" s="47"/>
      <c r="P231" s="47"/>
      <c r="Q231" s="47"/>
      <c r="R231" s="48" t="str">
        <f aca="false">IF(Q231="","",IF(Q231=0,"below 5:00",IF(Q231&gt;=66,"16:00 or above",INT((60+2*Q231)/12)&amp;":"&amp;TEXT(MOD(60+2*Q231,12),"00"))))</f>
        <v/>
      </c>
      <c r="S231" s="47"/>
      <c r="T231" s="47"/>
      <c r="U231" s="47"/>
      <c r="V231" s="47"/>
      <c r="W231" s="47"/>
      <c r="X231" s="47"/>
      <c r="Y231" s="47"/>
      <c r="Z231" s="47"/>
      <c r="AA231" s="10"/>
      <c r="AB231" s="10"/>
      <c r="AC231" s="47"/>
      <c r="AD231" s="47"/>
      <c r="AE231" s="47"/>
      <c r="AF231" s="47"/>
      <c r="AG231" s="47"/>
      <c r="AH231" s="47"/>
      <c r="AI231" s="46"/>
      <c r="AJ231" s="46"/>
      <c r="AK231" s="46"/>
      <c r="AL231" s="7"/>
      <c r="AM231" s="49" t="str">
        <f aca="false">IF(OR(C231="",G231=""),"",IFERROR(DATEDIF(C231,G231,"m"),""))</f>
        <v/>
      </c>
      <c r="AN231" s="49" t="str">
        <f aca="false">IF(OR(Q231="",AM231=""),"",60+2*Q231-AM231)</f>
        <v/>
      </c>
      <c r="AO231" s="49" t="str">
        <f aca="false">IF(OR(G231="",AJ231=""),"",AJ231-G231)</f>
        <v/>
      </c>
      <c r="AP231" s="50" t="str">
        <f aca="false">IF(AND(A231="",B231=""),"",IF(J231="","Status needed",IF(OR(J231="Applied",J231="Visit booked",J231="Withdrawn"),"OK",IF(G231="","Date assessed needed",IF(C231="","Date of birth needed",IF(COUNTA(L231,M231,P231,U231,V231,X231)&lt;6,"Band missing",IF(AND(OR(J231="Decision confirmed",J231="Family told",J231="Enrolled"),AG231=""),"Recommendation needed",IF(AND(OR(J231="Family told",J231="Enrolled"),AJ231=""),"Date family told needed","OK"))))))))</f>
        <v/>
      </c>
    </row>
    <row r="232" customFormat="false" ht="15" hidden="false" customHeight="false" outlineLevel="0" collapsed="false">
      <c r="A232" s="7"/>
      <c r="B232" s="7"/>
      <c r="C232" s="46"/>
      <c r="D232" s="7"/>
      <c r="E232" s="47"/>
      <c r="F232" s="46"/>
      <c r="G232" s="46"/>
      <c r="H232" s="7"/>
      <c r="I232" s="7"/>
      <c r="J232" s="47"/>
      <c r="K232" s="47"/>
      <c r="L232" s="47"/>
      <c r="M232" s="47"/>
      <c r="N232" s="10"/>
      <c r="O232" s="47"/>
      <c r="P232" s="47"/>
      <c r="Q232" s="47"/>
      <c r="R232" s="48" t="str">
        <f aca="false">IF(Q232="","",IF(Q232=0,"below 5:00",IF(Q232&gt;=66,"16:00 or above",INT((60+2*Q232)/12)&amp;":"&amp;TEXT(MOD(60+2*Q232,12),"00"))))</f>
        <v/>
      </c>
      <c r="S232" s="47"/>
      <c r="T232" s="47"/>
      <c r="U232" s="47"/>
      <c r="V232" s="47"/>
      <c r="W232" s="47"/>
      <c r="X232" s="47"/>
      <c r="Y232" s="47"/>
      <c r="Z232" s="47"/>
      <c r="AA232" s="10"/>
      <c r="AB232" s="10"/>
      <c r="AC232" s="47"/>
      <c r="AD232" s="47"/>
      <c r="AE232" s="47"/>
      <c r="AF232" s="47"/>
      <c r="AG232" s="47"/>
      <c r="AH232" s="47"/>
      <c r="AI232" s="46"/>
      <c r="AJ232" s="46"/>
      <c r="AK232" s="46"/>
      <c r="AL232" s="7"/>
      <c r="AM232" s="49" t="str">
        <f aca="false">IF(OR(C232="",G232=""),"",IFERROR(DATEDIF(C232,G232,"m"),""))</f>
        <v/>
      </c>
      <c r="AN232" s="49" t="str">
        <f aca="false">IF(OR(Q232="",AM232=""),"",60+2*Q232-AM232)</f>
        <v/>
      </c>
      <c r="AO232" s="49" t="str">
        <f aca="false">IF(OR(G232="",AJ232=""),"",AJ232-G232)</f>
        <v/>
      </c>
      <c r="AP232" s="50" t="str">
        <f aca="false">IF(AND(A232="",B232=""),"",IF(J232="","Status needed",IF(OR(J232="Applied",J232="Visit booked",J232="Withdrawn"),"OK",IF(G232="","Date assessed needed",IF(C232="","Date of birth needed",IF(COUNTA(L232,M232,P232,U232,V232,X232)&lt;6,"Band missing",IF(AND(OR(J232="Decision confirmed",J232="Family told",J232="Enrolled"),AG232=""),"Recommendation needed",IF(AND(OR(J232="Family told",J232="Enrolled"),AJ232=""),"Date family told needed","OK"))))))))</f>
        <v/>
      </c>
    </row>
    <row r="233" customFormat="false" ht="15" hidden="false" customHeight="false" outlineLevel="0" collapsed="false">
      <c r="A233" s="7"/>
      <c r="B233" s="7"/>
      <c r="C233" s="46"/>
      <c r="D233" s="7"/>
      <c r="E233" s="47"/>
      <c r="F233" s="46"/>
      <c r="G233" s="46"/>
      <c r="H233" s="7"/>
      <c r="I233" s="7"/>
      <c r="J233" s="47"/>
      <c r="K233" s="47"/>
      <c r="L233" s="47"/>
      <c r="M233" s="47"/>
      <c r="N233" s="10"/>
      <c r="O233" s="47"/>
      <c r="P233" s="47"/>
      <c r="Q233" s="47"/>
      <c r="R233" s="48" t="str">
        <f aca="false">IF(Q233="","",IF(Q233=0,"below 5:00",IF(Q233&gt;=66,"16:00 or above",INT((60+2*Q233)/12)&amp;":"&amp;TEXT(MOD(60+2*Q233,12),"00"))))</f>
        <v/>
      </c>
      <c r="S233" s="47"/>
      <c r="T233" s="47"/>
      <c r="U233" s="47"/>
      <c r="V233" s="47"/>
      <c r="W233" s="47"/>
      <c r="X233" s="47"/>
      <c r="Y233" s="47"/>
      <c r="Z233" s="47"/>
      <c r="AA233" s="10"/>
      <c r="AB233" s="10"/>
      <c r="AC233" s="47"/>
      <c r="AD233" s="47"/>
      <c r="AE233" s="47"/>
      <c r="AF233" s="47"/>
      <c r="AG233" s="47"/>
      <c r="AH233" s="47"/>
      <c r="AI233" s="46"/>
      <c r="AJ233" s="46"/>
      <c r="AK233" s="46"/>
      <c r="AL233" s="7"/>
      <c r="AM233" s="49" t="str">
        <f aca="false">IF(OR(C233="",G233=""),"",IFERROR(DATEDIF(C233,G233,"m"),""))</f>
        <v/>
      </c>
      <c r="AN233" s="49" t="str">
        <f aca="false">IF(OR(Q233="",AM233=""),"",60+2*Q233-AM233)</f>
        <v/>
      </c>
      <c r="AO233" s="49" t="str">
        <f aca="false">IF(OR(G233="",AJ233=""),"",AJ233-G233)</f>
        <v/>
      </c>
      <c r="AP233" s="50" t="str">
        <f aca="false">IF(AND(A233="",B233=""),"",IF(J233="","Status needed",IF(OR(J233="Applied",J233="Visit booked",J233="Withdrawn"),"OK",IF(G233="","Date assessed needed",IF(C233="","Date of birth needed",IF(COUNTA(L233,M233,P233,U233,V233,X233)&lt;6,"Band missing",IF(AND(OR(J233="Decision confirmed",J233="Family told",J233="Enrolled"),AG233=""),"Recommendation needed",IF(AND(OR(J233="Family told",J233="Enrolled"),AJ233=""),"Date family told needed","OK"))))))))</f>
        <v/>
      </c>
    </row>
    <row r="234" customFormat="false" ht="15" hidden="false" customHeight="false" outlineLevel="0" collapsed="false">
      <c r="A234" s="7"/>
      <c r="B234" s="7"/>
      <c r="C234" s="46"/>
      <c r="D234" s="7"/>
      <c r="E234" s="47"/>
      <c r="F234" s="46"/>
      <c r="G234" s="46"/>
      <c r="H234" s="7"/>
      <c r="I234" s="7"/>
      <c r="J234" s="47"/>
      <c r="K234" s="47"/>
      <c r="L234" s="47"/>
      <c r="M234" s="47"/>
      <c r="N234" s="10"/>
      <c r="O234" s="47"/>
      <c r="P234" s="47"/>
      <c r="Q234" s="47"/>
      <c r="R234" s="48" t="str">
        <f aca="false">IF(Q234="","",IF(Q234=0,"below 5:00",IF(Q234&gt;=66,"16:00 or above",INT((60+2*Q234)/12)&amp;":"&amp;TEXT(MOD(60+2*Q234,12),"00"))))</f>
        <v/>
      </c>
      <c r="S234" s="47"/>
      <c r="T234" s="47"/>
      <c r="U234" s="47"/>
      <c r="V234" s="47"/>
      <c r="W234" s="47"/>
      <c r="X234" s="47"/>
      <c r="Y234" s="47"/>
      <c r="Z234" s="47"/>
      <c r="AA234" s="10"/>
      <c r="AB234" s="10"/>
      <c r="AC234" s="47"/>
      <c r="AD234" s="47"/>
      <c r="AE234" s="47"/>
      <c r="AF234" s="47"/>
      <c r="AG234" s="47"/>
      <c r="AH234" s="47"/>
      <c r="AI234" s="46"/>
      <c r="AJ234" s="46"/>
      <c r="AK234" s="46"/>
      <c r="AL234" s="7"/>
      <c r="AM234" s="49" t="str">
        <f aca="false">IF(OR(C234="",G234=""),"",IFERROR(DATEDIF(C234,G234,"m"),""))</f>
        <v/>
      </c>
      <c r="AN234" s="49" t="str">
        <f aca="false">IF(OR(Q234="",AM234=""),"",60+2*Q234-AM234)</f>
        <v/>
      </c>
      <c r="AO234" s="49" t="str">
        <f aca="false">IF(OR(G234="",AJ234=""),"",AJ234-G234)</f>
        <v/>
      </c>
      <c r="AP234" s="50" t="str">
        <f aca="false">IF(AND(A234="",B234=""),"",IF(J234="","Status needed",IF(OR(J234="Applied",J234="Visit booked",J234="Withdrawn"),"OK",IF(G234="","Date assessed needed",IF(C234="","Date of birth needed",IF(COUNTA(L234,M234,P234,U234,V234,X234)&lt;6,"Band missing",IF(AND(OR(J234="Decision confirmed",J234="Family told",J234="Enrolled"),AG234=""),"Recommendation needed",IF(AND(OR(J234="Family told",J234="Enrolled"),AJ234=""),"Date family told needed","OK"))))))))</f>
        <v/>
      </c>
    </row>
    <row r="235" customFormat="false" ht="15" hidden="false" customHeight="false" outlineLevel="0" collapsed="false">
      <c r="A235" s="7"/>
      <c r="B235" s="7"/>
      <c r="C235" s="46"/>
      <c r="D235" s="7"/>
      <c r="E235" s="47"/>
      <c r="F235" s="46"/>
      <c r="G235" s="46"/>
      <c r="H235" s="7"/>
      <c r="I235" s="7"/>
      <c r="J235" s="47"/>
      <c r="K235" s="47"/>
      <c r="L235" s="47"/>
      <c r="M235" s="47"/>
      <c r="N235" s="10"/>
      <c r="O235" s="47"/>
      <c r="P235" s="47"/>
      <c r="Q235" s="47"/>
      <c r="R235" s="48" t="str">
        <f aca="false">IF(Q235="","",IF(Q235=0,"below 5:00",IF(Q235&gt;=66,"16:00 or above",INT((60+2*Q235)/12)&amp;":"&amp;TEXT(MOD(60+2*Q235,12),"00"))))</f>
        <v/>
      </c>
      <c r="S235" s="47"/>
      <c r="T235" s="47"/>
      <c r="U235" s="47"/>
      <c r="V235" s="47"/>
      <c r="W235" s="47"/>
      <c r="X235" s="47"/>
      <c r="Y235" s="47"/>
      <c r="Z235" s="47"/>
      <c r="AA235" s="10"/>
      <c r="AB235" s="10"/>
      <c r="AC235" s="47"/>
      <c r="AD235" s="47"/>
      <c r="AE235" s="47"/>
      <c r="AF235" s="47"/>
      <c r="AG235" s="47"/>
      <c r="AH235" s="47"/>
      <c r="AI235" s="46"/>
      <c r="AJ235" s="46"/>
      <c r="AK235" s="46"/>
      <c r="AL235" s="7"/>
      <c r="AM235" s="49" t="str">
        <f aca="false">IF(OR(C235="",G235=""),"",IFERROR(DATEDIF(C235,G235,"m"),""))</f>
        <v/>
      </c>
      <c r="AN235" s="49" t="str">
        <f aca="false">IF(OR(Q235="",AM235=""),"",60+2*Q235-AM235)</f>
        <v/>
      </c>
      <c r="AO235" s="49" t="str">
        <f aca="false">IF(OR(G235="",AJ235=""),"",AJ235-G235)</f>
        <v/>
      </c>
      <c r="AP235" s="50" t="str">
        <f aca="false">IF(AND(A235="",B235=""),"",IF(J235="","Status needed",IF(OR(J235="Applied",J235="Visit booked",J235="Withdrawn"),"OK",IF(G235="","Date assessed needed",IF(C235="","Date of birth needed",IF(COUNTA(L235,M235,P235,U235,V235,X235)&lt;6,"Band missing",IF(AND(OR(J235="Decision confirmed",J235="Family told",J235="Enrolled"),AG235=""),"Recommendation needed",IF(AND(OR(J235="Family told",J235="Enrolled"),AJ235=""),"Date family told needed","OK"))))))))</f>
        <v/>
      </c>
    </row>
    <row r="236" customFormat="false" ht="15" hidden="false" customHeight="false" outlineLevel="0" collapsed="false">
      <c r="A236" s="7"/>
      <c r="B236" s="7"/>
      <c r="C236" s="46"/>
      <c r="D236" s="7"/>
      <c r="E236" s="47"/>
      <c r="F236" s="46"/>
      <c r="G236" s="46"/>
      <c r="H236" s="7"/>
      <c r="I236" s="7"/>
      <c r="J236" s="47"/>
      <c r="K236" s="47"/>
      <c r="L236" s="47"/>
      <c r="M236" s="47"/>
      <c r="N236" s="10"/>
      <c r="O236" s="47"/>
      <c r="P236" s="47"/>
      <c r="Q236" s="47"/>
      <c r="R236" s="48" t="str">
        <f aca="false">IF(Q236="","",IF(Q236=0,"below 5:00",IF(Q236&gt;=66,"16:00 or above",INT((60+2*Q236)/12)&amp;":"&amp;TEXT(MOD(60+2*Q236,12),"00"))))</f>
        <v/>
      </c>
      <c r="S236" s="47"/>
      <c r="T236" s="47"/>
      <c r="U236" s="47"/>
      <c r="V236" s="47"/>
      <c r="W236" s="47"/>
      <c r="X236" s="47"/>
      <c r="Y236" s="47"/>
      <c r="Z236" s="47"/>
      <c r="AA236" s="10"/>
      <c r="AB236" s="10"/>
      <c r="AC236" s="47"/>
      <c r="AD236" s="47"/>
      <c r="AE236" s="47"/>
      <c r="AF236" s="47"/>
      <c r="AG236" s="47"/>
      <c r="AH236" s="47"/>
      <c r="AI236" s="46"/>
      <c r="AJ236" s="46"/>
      <c r="AK236" s="46"/>
      <c r="AL236" s="7"/>
      <c r="AM236" s="49" t="str">
        <f aca="false">IF(OR(C236="",G236=""),"",IFERROR(DATEDIF(C236,G236,"m"),""))</f>
        <v/>
      </c>
      <c r="AN236" s="49" t="str">
        <f aca="false">IF(OR(Q236="",AM236=""),"",60+2*Q236-AM236)</f>
        <v/>
      </c>
      <c r="AO236" s="49" t="str">
        <f aca="false">IF(OR(G236="",AJ236=""),"",AJ236-G236)</f>
        <v/>
      </c>
      <c r="AP236" s="50" t="str">
        <f aca="false">IF(AND(A236="",B236=""),"",IF(J236="","Status needed",IF(OR(J236="Applied",J236="Visit booked",J236="Withdrawn"),"OK",IF(G236="","Date assessed needed",IF(C236="","Date of birth needed",IF(COUNTA(L236,M236,P236,U236,V236,X236)&lt;6,"Band missing",IF(AND(OR(J236="Decision confirmed",J236="Family told",J236="Enrolled"),AG236=""),"Recommendation needed",IF(AND(OR(J236="Family told",J236="Enrolled"),AJ236=""),"Date family told needed","OK"))))))))</f>
        <v/>
      </c>
    </row>
    <row r="237" customFormat="false" ht="15" hidden="false" customHeight="false" outlineLevel="0" collapsed="false">
      <c r="A237" s="7"/>
      <c r="B237" s="7"/>
      <c r="C237" s="46"/>
      <c r="D237" s="7"/>
      <c r="E237" s="47"/>
      <c r="F237" s="46"/>
      <c r="G237" s="46"/>
      <c r="H237" s="7"/>
      <c r="I237" s="7"/>
      <c r="J237" s="47"/>
      <c r="K237" s="47"/>
      <c r="L237" s="47"/>
      <c r="M237" s="47"/>
      <c r="N237" s="10"/>
      <c r="O237" s="47"/>
      <c r="P237" s="47"/>
      <c r="Q237" s="47"/>
      <c r="R237" s="48" t="str">
        <f aca="false">IF(Q237="","",IF(Q237=0,"below 5:00",IF(Q237&gt;=66,"16:00 or above",INT((60+2*Q237)/12)&amp;":"&amp;TEXT(MOD(60+2*Q237,12),"00"))))</f>
        <v/>
      </c>
      <c r="S237" s="47"/>
      <c r="T237" s="47"/>
      <c r="U237" s="47"/>
      <c r="V237" s="47"/>
      <c r="W237" s="47"/>
      <c r="X237" s="47"/>
      <c r="Y237" s="47"/>
      <c r="Z237" s="47"/>
      <c r="AA237" s="10"/>
      <c r="AB237" s="10"/>
      <c r="AC237" s="47"/>
      <c r="AD237" s="47"/>
      <c r="AE237" s="47"/>
      <c r="AF237" s="47"/>
      <c r="AG237" s="47"/>
      <c r="AH237" s="47"/>
      <c r="AI237" s="46"/>
      <c r="AJ237" s="46"/>
      <c r="AK237" s="46"/>
      <c r="AL237" s="7"/>
      <c r="AM237" s="49" t="str">
        <f aca="false">IF(OR(C237="",G237=""),"",IFERROR(DATEDIF(C237,G237,"m"),""))</f>
        <v/>
      </c>
      <c r="AN237" s="49" t="str">
        <f aca="false">IF(OR(Q237="",AM237=""),"",60+2*Q237-AM237)</f>
        <v/>
      </c>
      <c r="AO237" s="49" t="str">
        <f aca="false">IF(OR(G237="",AJ237=""),"",AJ237-G237)</f>
        <v/>
      </c>
      <c r="AP237" s="50" t="str">
        <f aca="false">IF(AND(A237="",B237=""),"",IF(J237="","Status needed",IF(OR(J237="Applied",J237="Visit booked",J237="Withdrawn"),"OK",IF(G237="","Date assessed needed",IF(C237="","Date of birth needed",IF(COUNTA(L237,M237,P237,U237,V237,X237)&lt;6,"Band missing",IF(AND(OR(J237="Decision confirmed",J237="Family told",J237="Enrolled"),AG237=""),"Recommendation needed",IF(AND(OR(J237="Family told",J237="Enrolled"),AJ237=""),"Date family told needed","OK"))))))))</f>
        <v/>
      </c>
    </row>
    <row r="238" customFormat="false" ht="15" hidden="false" customHeight="false" outlineLevel="0" collapsed="false">
      <c r="A238" s="7"/>
      <c r="B238" s="7"/>
      <c r="C238" s="46"/>
      <c r="D238" s="7"/>
      <c r="E238" s="47"/>
      <c r="F238" s="46"/>
      <c r="G238" s="46"/>
      <c r="H238" s="7"/>
      <c r="I238" s="7"/>
      <c r="J238" s="47"/>
      <c r="K238" s="47"/>
      <c r="L238" s="47"/>
      <c r="M238" s="47"/>
      <c r="N238" s="10"/>
      <c r="O238" s="47"/>
      <c r="P238" s="47"/>
      <c r="Q238" s="47"/>
      <c r="R238" s="48" t="str">
        <f aca="false">IF(Q238="","",IF(Q238=0,"below 5:00",IF(Q238&gt;=66,"16:00 or above",INT((60+2*Q238)/12)&amp;":"&amp;TEXT(MOD(60+2*Q238,12),"00"))))</f>
        <v/>
      </c>
      <c r="S238" s="47"/>
      <c r="T238" s="47"/>
      <c r="U238" s="47"/>
      <c r="V238" s="47"/>
      <c r="W238" s="47"/>
      <c r="X238" s="47"/>
      <c r="Y238" s="47"/>
      <c r="Z238" s="47"/>
      <c r="AA238" s="10"/>
      <c r="AB238" s="10"/>
      <c r="AC238" s="47"/>
      <c r="AD238" s="47"/>
      <c r="AE238" s="47"/>
      <c r="AF238" s="47"/>
      <c r="AG238" s="47"/>
      <c r="AH238" s="47"/>
      <c r="AI238" s="46"/>
      <c r="AJ238" s="46"/>
      <c r="AK238" s="46"/>
      <c r="AL238" s="7"/>
      <c r="AM238" s="49" t="str">
        <f aca="false">IF(OR(C238="",G238=""),"",IFERROR(DATEDIF(C238,G238,"m"),""))</f>
        <v/>
      </c>
      <c r="AN238" s="49" t="str">
        <f aca="false">IF(OR(Q238="",AM238=""),"",60+2*Q238-AM238)</f>
        <v/>
      </c>
      <c r="AO238" s="49" t="str">
        <f aca="false">IF(OR(G238="",AJ238=""),"",AJ238-G238)</f>
        <v/>
      </c>
      <c r="AP238" s="50" t="str">
        <f aca="false">IF(AND(A238="",B238=""),"",IF(J238="","Status needed",IF(OR(J238="Applied",J238="Visit booked",J238="Withdrawn"),"OK",IF(G238="","Date assessed needed",IF(C238="","Date of birth needed",IF(COUNTA(L238,M238,P238,U238,V238,X238)&lt;6,"Band missing",IF(AND(OR(J238="Decision confirmed",J238="Family told",J238="Enrolled"),AG238=""),"Recommendation needed",IF(AND(OR(J238="Family told",J238="Enrolled"),AJ238=""),"Date family told needed","OK"))))))))</f>
        <v/>
      </c>
    </row>
    <row r="239" customFormat="false" ht="15" hidden="false" customHeight="false" outlineLevel="0" collapsed="false">
      <c r="A239" s="7"/>
      <c r="B239" s="7"/>
      <c r="C239" s="46"/>
      <c r="D239" s="7"/>
      <c r="E239" s="47"/>
      <c r="F239" s="46"/>
      <c r="G239" s="46"/>
      <c r="H239" s="7"/>
      <c r="I239" s="7"/>
      <c r="J239" s="47"/>
      <c r="K239" s="47"/>
      <c r="L239" s="47"/>
      <c r="M239" s="47"/>
      <c r="N239" s="10"/>
      <c r="O239" s="47"/>
      <c r="P239" s="47"/>
      <c r="Q239" s="47"/>
      <c r="R239" s="48" t="str">
        <f aca="false">IF(Q239="","",IF(Q239=0,"below 5:00",IF(Q239&gt;=66,"16:00 or above",INT((60+2*Q239)/12)&amp;":"&amp;TEXT(MOD(60+2*Q239,12),"00"))))</f>
        <v/>
      </c>
      <c r="S239" s="47"/>
      <c r="T239" s="47"/>
      <c r="U239" s="47"/>
      <c r="V239" s="47"/>
      <c r="W239" s="47"/>
      <c r="X239" s="47"/>
      <c r="Y239" s="47"/>
      <c r="Z239" s="47"/>
      <c r="AA239" s="10"/>
      <c r="AB239" s="10"/>
      <c r="AC239" s="47"/>
      <c r="AD239" s="47"/>
      <c r="AE239" s="47"/>
      <c r="AF239" s="47"/>
      <c r="AG239" s="47"/>
      <c r="AH239" s="47"/>
      <c r="AI239" s="46"/>
      <c r="AJ239" s="46"/>
      <c r="AK239" s="46"/>
      <c r="AL239" s="7"/>
      <c r="AM239" s="49" t="str">
        <f aca="false">IF(OR(C239="",G239=""),"",IFERROR(DATEDIF(C239,G239,"m"),""))</f>
        <v/>
      </c>
      <c r="AN239" s="49" t="str">
        <f aca="false">IF(OR(Q239="",AM239=""),"",60+2*Q239-AM239)</f>
        <v/>
      </c>
      <c r="AO239" s="49" t="str">
        <f aca="false">IF(OR(G239="",AJ239=""),"",AJ239-G239)</f>
        <v/>
      </c>
      <c r="AP239" s="50" t="str">
        <f aca="false">IF(AND(A239="",B239=""),"",IF(J239="","Status needed",IF(OR(J239="Applied",J239="Visit booked",J239="Withdrawn"),"OK",IF(G239="","Date assessed needed",IF(C239="","Date of birth needed",IF(COUNTA(L239,M239,P239,U239,V239,X239)&lt;6,"Band missing",IF(AND(OR(J239="Decision confirmed",J239="Family told",J239="Enrolled"),AG239=""),"Recommendation needed",IF(AND(OR(J239="Family told",J239="Enrolled"),AJ239=""),"Date family told needed","OK"))))))))</f>
        <v/>
      </c>
    </row>
    <row r="240" customFormat="false" ht="15" hidden="false" customHeight="false" outlineLevel="0" collapsed="false">
      <c r="A240" s="7"/>
      <c r="B240" s="7"/>
      <c r="C240" s="46"/>
      <c r="D240" s="7"/>
      <c r="E240" s="47"/>
      <c r="F240" s="46"/>
      <c r="G240" s="46"/>
      <c r="H240" s="7"/>
      <c r="I240" s="7"/>
      <c r="J240" s="47"/>
      <c r="K240" s="47"/>
      <c r="L240" s="47"/>
      <c r="M240" s="47"/>
      <c r="N240" s="10"/>
      <c r="O240" s="47"/>
      <c r="P240" s="47"/>
      <c r="Q240" s="47"/>
      <c r="R240" s="48" t="str">
        <f aca="false">IF(Q240="","",IF(Q240=0,"below 5:00",IF(Q240&gt;=66,"16:00 or above",INT((60+2*Q240)/12)&amp;":"&amp;TEXT(MOD(60+2*Q240,12),"00"))))</f>
        <v/>
      </c>
      <c r="S240" s="47"/>
      <c r="T240" s="47"/>
      <c r="U240" s="47"/>
      <c r="V240" s="47"/>
      <c r="W240" s="47"/>
      <c r="X240" s="47"/>
      <c r="Y240" s="47"/>
      <c r="Z240" s="47"/>
      <c r="AA240" s="10"/>
      <c r="AB240" s="10"/>
      <c r="AC240" s="47"/>
      <c r="AD240" s="47"/>
      <c r="AE240" s="47"/>
      <c r="AF240" s="47"/>
      <c r="AG240" s="47"/>
      <c r="AH240" s="47"/>
      <c r="AI240" s="46"/>
      <c r="AJ240" s="46"/>
      <c r="AK240" s="46"/>
      <c r="AL240" s="7"/>
      <c r="AM240" s="49" t="str">
        <f aca="false">IF(OR(C240="",G240=""),"",IFERROR(DATEDIF(C240,G240,"m"),""))</f>
        <v/>
      </c>
      <c r="AN240" s="49" t="str">
        <f aca="false">IF(OR(Q240="",AM240=""),"",60+2*Q240-AM240)</f>
        <v/>
      </c>
      <c r="AO240" s="49" t="str">
        <f aca="false">IF(OR(G240="",AJ240=""),"",AJ240-G240)</f>
        <v/>
      </c>
      <c r="AP240" s="50" t="str">
        <f aca="false">IF(AND(A240="",B240=""),"",IF(J240="","Status needed",IF(OR(J240="Applied",J240="Visit booked",J240="Withdrawn"),"OK",IF(G240="","Date assessed needed",IF(C240="","Date of birth needed",IF(COUNTA(L240,M240,P240,U240,V240,X240)&lt;6,"Band missing",IF(AND(OR(J240="Decision confirmed",J240="Family told",J240="Enrolled"),AG240=""),"Recommendation needed",IF(AND(OR(J240="Family told",J240="Enrolled"),AJ240=""),"Date family told needed","OK"))))))))</f>
        <v/>
      </c>
    </row>
    <row r="241" customFormat="false" ht="15" hidden="false" customHeight="false" outlineLevel="0" collapsed="false">
      <c r="A241" s="7"/>
      <c r="B241" s="7"/>
      <c r="C241" s="46"/>
      <c r="D241" s="7"/>
      <c r="E241" s="47"/>
      <c r="F241" s="46"/>
      <c r="G241" s="46"/>
      <c r="H241" s="7"/>
      <c r="I241" s="7"/>
      <c r="J241" s="47"/>
      <c r="K241" s="47"/>
      <c r="L241" s="47"/>
      <c r="M241" s="47"/>
      <c r="N241" s="10"/>
      <c r="O241" s="47"/>
      <c r="P241" s="47"/>
      <c r="Q241" s="47"/>
      <c r="R241" s="48" t="str">
        <f aca="false">IF(Q241="","",IF(Q241=0,"below 5:00",IF(Q241&gt;=66,"16:00 or above",INT((60+2*Q241)/12)&amp;":"&amp;TEXT(MOD(60+2*Q241,12),"00"))))</f>
        <v/>
      </c>
      <c r="S241" s="47"/>
      <c r="T241" s="47"/>
      <c r="U241" s="47"/>
      <c r="V241" s="47"/>
      <c r="W241" s="47"/>
      <c r="X241" s="47"/>
      <c r="Y241" s="47"/>
      <c r="Z241" s="47"/>
      <c r="AA241" s="10"/>
      <c r="AB241" s="10"/>
      <c r="AC241" s="47"/>
      <c r="AD241" s="47"/>
      <c r="AE241" s="47"/>
      <c r="AF241" s="47"/>
      <c r="AG241" s="47"/>
      <c r="AH241" s="47"/>
      <c r="AI241" s="46"/>
      <c r="AJ241" s="46"/>
      <c r="AK241" s="46"/>
      <c r="AL241" s="7"/>
      <c r="AM241" s="49" t="str">
        <f aca="false">IF(OR(C241="",G241=""),"",IFERROR(DATEDIF(C241,G241,"m"),""))</f>
        <v/>
      </c>
      <c r="AN241" s="49" t="str">
        <f aca="false">IF(OR(Q241="",AM241=""),"",60+2*Q241-AM241)</f>
        <v/>
      </c>
      <c r="AO241" s="49" t="str">
        <f aca="false">IF(OR(G241="",AJ241=""),"",AJ241-G241)</f>
        <v/>
      </c>
      <c r="AP241" s="50" t="str">
        <f aca="false">IF(AND(A241="",B241=""),"",IF(J241="","Status needed",IF(OR(J241="Applied",J241="Visit booked",J241="Withdrawn"),"OK",IF(G241="","Date assessed needed",IF(C241="","Date of birth needed",IF(COUNTA(L241,M241,P241,U241,V241,X241)&lt;6,"Band missing",IF(AND(OR(J241="Decision confirmed",J241="Family told",J241="Enrolled"),AG241=""),"Recommendation needed",IF(AND(OR(J241="Family told",J241="Enrolled"),AJ241=""),"Date family told needed","OK"))))))))</f>
        <v/>
      </c>
    </row>
    <row r="242" customFormat="false" ht="15" hidden="false" customHeight="false" outlineLevel="0" collapsed="false">
      <c r="A242" s="7"/>
      <c r="B242" s="7"/>
      <c r="C242" s="46"/>
      <c r="D242" s="7"/>
      <c r="E242" s="47"/>
      <c r="F242" s="46"/>
      <c r="G242" s="46"/>
      <c r="H242" s="7"/>
      <c r="I242" s="7"/>
      <c r="J242" s="47"/>
      <c r="K242" s="47"/>
      <c r="L242" s="47"/>
      <c r="M242" s="47"/>
      <c r="N242" s="10"/>
      <c r="O242" s="47"/>
      <c r="P242" s="47"/>
      <c r="Q242" s="47"/>
      <c r="R242" s="48" t="str">
        <f aca="false">IF(Q242="","",IF(Q242=0,"below 5:00",IF(Q242&gt;=66,"16:00 or above",INT((60+2*Q242)/12)&amp;":"&amp;TEXT(MOD(60+2*Q242,12),"00"))))</f>
        <v/>
      </c>
      <c r="S242" s="47"/>
      <c r="T242" s="47"/>
      <c r="U242" s="47"/>
      <c r="V242" s="47"/>
      <c r="W242" s="47"/>
      <c r="X242" s="47"/>
      <c r="Y242" s="47"/>
      <c r="Z242" s="47"/>
      <c r="AA242" s="10"/>
      <c r="AB242" s="10"/>
      <c r="AC242" s="47"/>
      <c r="AD242" s="47"/>
      <c r="AE242" s="47"/>
      <c r="AF242" s="47"/>
      <c r="AG242" s="47"/>
      <c r="AH242" s="47"/>
      <c r="AI242" s="46"/>
      <c r="AJ242" s="46"/>
      <c r="AK242" s="46"/>
      <c r="AL242" s="7"/>
      <c r="AM242" s="49" t="str">
        <f aca="false">IF(OR(C242="",G242=""),"",IFERROR(DATEDIF(C242,G242,"m"),""))</f>
        <v/>
      </c>
      <c r="AN242" s="49" t="str">
        <f aca="false">IF(OR(Q242="",AM242=""),"",60+2*Q242-AM242)</f>
        <v/>
      </c>
      <c r="AO242" s="49" t="str">
        <f aca="false">IF(OR(G242="",AJ242=""),"",AJ242-G242)</f>
        <v/>
      </c>
      <c r="AP242" s="50" t="str">
        <f aca="false">IF(AND(A242="",B242=""),"",IF(J242="","Status needed",IF(OR(J242="Applied",J242="Visit booked",J242="Withdrawn"),"OK",IF(G242="","Date assessed needed",IF(C242="","Date of birth needed",IF(COUNTA(L242,M242,P242,U242,V242,X242)&lt;6,"Band missing",IF(AND(OR(J242="Decision confirmed",J242="Family told",J242="Enrolled"),AG242=""),"Recommendation needed",IF(AND(OR(J242="Family told",J242="Enrolled"),AJ242=""),"Date family told needed","OK"))))))))</f>
        <v/>
      </c>
    </row>
    <row r="243" customFormat="false" ht="15" hidden="false" customHeight="false" outlineLevel="0" collapsed="false">
      <c r="A243" s="7"/>
      <c r="B243" s="7"/>
      <c r="C243" s="46"/>
      <c r="D243" s="7"/>
      <c r="E243" s="47"/>
      <c r="F243" s="46"/>
      <c r="G243" s="46"/>
      <c r="H243" s="7"/>
      <c r="I243" s="7"/>
      <c r="J243" s="47"/>
      <c r="K243" s="47"/>
      <c r="L243" s="47"/>
      <c r="M243" s="47"/>
      <c r="N243" s="10"/>
      <c r="O243" s="47"/>
      <c r="P243" s="47"/>
      <c r="Q243" s="47"/>
      <c r="R243" s="48" t="str">
        <f aca="false">IF(Q243="","",IF(Q243=0,"below 5:00",IF(Q243&gt;=66,"16:00 or above",INT((60+2*Q243)/12)&amp;":"&amp;TEXT(MOD(60+2*Q243,12),"00"))))</f>
        <v/>
      </c>
      <c r="S243" s="47"/>
      <c r="T243" s="47"/>
      <c r="U243" s="47"/>
      <c r="V243" s="47"/>
      <c r="W243" s="47"/>
      <c r="X243" s="47"/>
      <c r="Y243" s="47"/>
      <c r="Z243" s="47"/>
      <c r="AA243" s="10"/>
      <c r="AB243" s="10"/>
      <c r="AC243" s="47"/>
      <c r="AD243" s="47"/>
      <c r="AE243" s="47"/>
      <c r="AF243" s="47"/>
      <c r="AG243" s="47"/>
      <c r="AH243" s="47"/>
      <c r="AI243" s="46"/>
      <c r="AJ243" s="46"/>
      <c r="AK243" s="46"/>
      <c r="AL243" s="7"/>
      <c r="AM243" s="49" t="str">
        <f aca="false">IF(OR(C243="",G243=""),"",IFERROR(DATEDIF(C243,G243,"m"),""))</f>
        <v/>
      </c>
      <c r="AN243" s="49" t="str">
        <f aca="false">IF(OR(Q243="",AM243=""),"",60+2*Q243-AM243)</f>
        <v/>
      </c>
      <c r="AO243" s="49" t="str">
        <f aca="false">IF(OR(G243="",AJ243=""),"",AJ243-G243)</f>
        <v/>
      </c>
      <c r="AP243" s="50" t="str">
        <f aca="false">IF(AND(A243="",B243=""),"",IF(J243="","Status needed",IF(OR(J243="Applied",J243="Visit booked",J243="Withdrawn"),"OK",IF(G243="","Date assessed needed",IF(C243="","Date of birth needed",IF(COUNTA(L243,M243,P243,U243,V243,X243)&lt;6,"Band missing",IF(AND(OR(J243="Decision confirmed",J243="Family told",J243="Enrolled"),AG243=""),"Recommendation needed",IF(AND(OR(J243="Family told",J243="Enrolled"),AJ243=""),"Date family told needed","OK"))))))))</f>
        <v/>
      </c>
    </row>
    <row r="244" customFormat="false" ht="15" hidden="false" customHeight="false" outlineLevel="0" collapsed="false">
      <c r="A244" s="7"/>
      <c r="B244" s="7"/>
      <c r="C244" s="46"/>
      <c r="D244" s="7"/>
      <c r="E244" s="47"/>
      <c r="F244" s="46"/>
      <c r="G244" s="46"/>
      <c r="H244" s="7"/>
      <c r="I244" s="7"/>
      <c r="J244" s="47"/>
      <c r="K244" s="47"/>
      <c r="L244" s="47"/>
      <c r="M244" s="47"/>
      <c r="N244" s="10"/>
      <c r="O244" s="47"/>
      <c r="P244" s="47"/>
      <c r="Q244" s="47"/>
      <c r="R244" s="48" t="str">
        <f aca="false">IF(Q244="","",IF(Q244=0,"below 5:00",IF(Q244&gt;=66,"16:00 or above",INT((60+2*Q244)/12)&amp;":"&amp;TEXT(MOD(60+2*Q244,12),"00"))))</f>
        <v/>
      </c>
      <c r="S244" s="47"/>
      <c r="T244" s="47"/>
      <c r="U244" s="47"/>
      <c r="V244" s="47"/>
      <c r="W244" s="47"/>
      <c r="X244" s="47"/>
      <c r="Y244" s="47"/>
      <c r="Z244" s="47"/>
      <c r="AA244" s="10"/>
      <c r="AB244" s="10"/>
      <c r="AC244" s="47"/>
      <c r="AD244" s="47"/>
      <c r="AE244" s="47"/>
      <c r="AF244" s="47"/>
      <c r="AG244" s="47"/>
      <c r="AH244" s="47"/>
      <c r="AI244" s="46"/>
      <c r="AJ244" s="46"/>
      <c r="AK244" s="46"/>
      <c r="AL244" s="7"/>
      <c r="AM244" s="49" t="str">
        <f aca="false">IF(OR(C244="",G244=""),"",IFERROR(DATEDIF(C244,G244,"m"),""))</f>
        <v/>
      </c>
      <c r="AN244" s="49" t="str">
        <f aca="false">IF(OR(Q244="",AM244=""),"",60+2*Q244-AM244)</f>
        <v/>
      </c>
      <c r="AO244" s="49" t="str">
        <f aca="false">IF(OR(G244="",AJ244=""),"",AJ244-G244)</f>
        <v/>
      </c>
      <c r="AP244" s="50" t="str">
        <f aca="false">IF(AND(A244="",B244=""),"",IF(J244="","Status needed",IF(OR(J244="Applied",J244="Visit booked",J244="Withdrawn"),"OK",IF(G244="","Date assessed needed",IF(C244="","Date of birth needed",IF(COUNTA(L244,M244,P244,U244,V244,X244)&lt;6,"Band missing",IF(AND(OR(J244="Decision confirmed",J244="Family told",J244="Enrolled"),AG244=""),"Recommendation needed",IF(AND(OR(J244="Family told",J244="Enrolled"),AJ244=""),"Date family told needed","OK"))))))))</f>
        <v/>
      </c>
    </row>
    <row r="245" customFormat="false" ht="15" hidden="false" customHeight="false" outlineLevel="0" collapsed="false">
      <c r="A245" s="7"/>
      <c r="B245" s="7"/>
      <c r="C245" s="46"/>
      <c r="D245" s="7"/>
      <c r="E245" s="47"/>
      <c r="F245" s="46"/>
      <c r="G245" s="46"/>
      <c r="H245" s="7"/>
      <c r="I245" s="7"/>
      <c r="J245" s="47"/>
      <c r="K245" s="47"/>
      <c r="L245" s="47"/>
      <c r="M245" s="47"/>
      <c r="N245" s="10"/>
      <c r="O245" s="47"/>
      <c r="P245" s="47"/>
      <c r="Q245" s="47"/>
      <c r="R245" s="48" t="str">
        <f aca="false">IF(Q245="","",IF(Q245=0,"below 5:00",IF(Q245&gt;=66,"16:00 or above",INT((60+2*Q245)/12)&amp;":"&amp;TEXT(MOD(60+2*Q245,12),"00"))))</f>
        <v/>
      </c>
      <c r="S245" s="47"/>
      <c r="T245" s="47"/>
      <c r="U245" s="47"/>
      <c r="V245" s="47"/>
      <c r="W245" s="47"/>
      <c r="X245" s="47"/>
      <c r="Y245" s="47"/>
      <c r="Z245" s="47"/>
      <c r="AA245" s="10"/>
      <c r="AB245" s="10"/>
      <c r="AC245" s="47"/>
      <c r="AD245" s="47"/>
      <c r="AE245" s="47"/>
      <c r="AF245" s="47"/>
      <c r="AG245" s="47"/>
      <c r="AH245" s="47"/>
      <c r="AI245" s="46"/>
      <c r="AJ245" s="46"/>
      <c r="AK245" s="46"/>
      <c r="AL245" s="7"/>
      <c r="AM245" s="49" t="str">
        <f aca="false">IF(OR(C245="",G245=""),"",IFERROR(DATEDIF(C245,G245,"m"),""))</f>
        <v/>
      </c>
      <c r="AN245" s="49" t="str">
        <f aca="false">IF(OR(Q245="",AM245=""),"",60+2*Q245-AM245)</f>
        <v/>
      </c>
      <c r="AO245" s="49" t="str">
        <f aca="false">IF(OR(G245="",AJ245=""),"",AJ245-G245)</f>
        <v/>
      </c>
      <c r="AP245" s="50" t="str">
        <f aca="false">IF(AND(A245="",B245=""),"",IF(J245="","Status needed",IF(OR(J245="Applied",J245="Visit booked",J245="Withdrawn"),"OK",IF(G245="","Date assessed needed",IF(C245="","Date of birth needed",IF(COUNTA(L245,M245,P245,U245,V245,X245)&lt;6,"Band missing",IF(AND(OR(J245="Decision confirmed",J245="Family told",J245="Enrolled"),AG245=""),"Recommendation needed",IF(AND(OR(J245="Family told",J245="Enrolled"),AJ245=""),"Date family told needed","OK"))))))))</f>
        <v/>
      </c>
    </row>
    <row r="246" customFormat="false" ht="15" hidden="false" customHeight="false" outlineLevel="0" collapsed="false">
      <c r="A246" s="7"/>
      <c r="B246" s="7"/>
      <c r="C246" s="46"/>
      <c r="D246" s="7"/>
      <c r="E246" s="47"/>
      <c r="F246" s="46"/>
      <c r="G246" s="46"/>
      <c r="H246" s="7"/>
      <c r="I246" s="7"/>
      <c r="J246" s="47"/>
      <c r="K246" s="47"/>
      <c r="L246" s="47"/>
      <c r="M246" s="47"/>
      <c r="N246" s="10"/>
      <c r="O246" s="47"/>
      <c r="P246" s="47"/>
      <c r="Q246" s="47"/>
      <c r="R246" s="48" t="str">
        <f aca="false">IF(Q246="","",IF(Q246=0,"below 5:00",IF(Q246&gt;=66,"16:00 or above",INT((60+2*Q246)/12)&amp;":"&amp;TEXT(MOD(60+2*Q246,12),"00"))))</f>
        <v/>
      </c>
      <c r="S246" s="47"/>
      <c r="T246" s="47"/>
      <c r="U246" s="47"/>
      <c r="V246" s="47"/>
      <c r="W246" s="47"/>
      <c r="X246" s="47"/>
      <c r="Y246" s="47"/>
      <c r="Z246" s="47"/>
      <c r="AA246" s="10"/>
      <c r="AB246" s="10"/>
      <c r="AC246" s="47"/>
      <c r="AD246" s="47"/>
      <c r="AE246" s="47"/>
      <c r="AF246" s="47"/>
      <c r="AG246" s="47"/>
      <c r="AH246" s="47"/>
      <c r="AI246" s="46"/>
      <c r="AJ246" s="46"/>
      <c r="AK246" s="46"/>
      <c r="AL246" s="7"/>
      <c r="AM246" s="49" t="str">
        <f aca="false">IF(OR(C246="",G246=""),"",IFERROR(DATEDIF(C246,G246,"m"),""))</f>
        <v/>
      </c>
      <c r="AN246" s="49" t="str">
        <f aca="false">IF(OR(Q246="",AM246=""),"",60+2*Q246-AM246)</f>
        <v/>
      </c>
      <c r="AO246" s="49" t="str">
        <f aca="false">IF(OR(G246="",AJ246=""),"",AJ246-G246)</f>
        <v/>
      </c>
      <c r="AP246" s="50" t="str">
        <f aca="false">IF(AND(A246="",B246=""),"",IF(J246="","Status needed",IF(OR(J246="Applied",J246="Visit booked",J246="Withdrawn"),"OK",IF(G246="","Date assessed needed",IF(C246="","Date of birth needed",IF(COUNTA(L246,M246,P246,U246,V246,X246)&lt;6,"Band missing",IF(AND(OR(J246="Decision confirmed",J246="Family told",J246="Enrolled"),AG246=""),"Recommendation needed",IF(AND(OR(J246="Family told",J246="Enrolled"),AJ246=""),"Date family told needed","OK"))))))))</f>
        <v/>
      </c>
    </row>
    <row r="247" customFormat="false" ht="15" hidden="false" customHeight="false" outlineLevel="0" collapsed="false">
      <c r="A247" s="7"/>
      <c r="B247" s="7"/>
      <c r="C247" s="46"/>
      <c r="D247" s="7"/>
      <c r="E247" s="47"/>
      <c r="F247" s="46"/>
      <c r="G247" s="46"/>
      <c r="H247" s="7"/>
      <c r="I247" s="7"/>
      <c r="J247" s="47"/>
      <c r="K247" s="47"/>
      <c r="L247" s="47"/>
      <c r="M247" s="47"/>
      <c r="N247" s="10"/>
      <c r="O247" s="47"/>
      <c r="P247" s="47"/>
      <c r="Q247" s="47"/>
      <c r="R247" s="48" t="str">
        <f aca="false">IF(Q247="","",IF(Q247=0,"below 5:00",IF(Q247&gt;=66,"16:00 or above",INT((60+2*Q247)/12)&amp;":"&amp;TEXT(MOD(60+2*Q247,12),"00"))))</f>
        <v/>
      </c>
      <c r="S247" s="47"/>
      <c r="T247" s="47"/>
      <c r="U247" s="47"/>
      <c r="V247" s="47"/>
      <c r="W247" s="47"/>
      <c r="X247" s="47"/>
      <c r="Y247" s="47"/>
      <c r="Z247" s="47"/>
      <c r="AA247" s="10"/>
      <c r="AB247" s="10"/>
      <c r="AC247" s="47"/>
      <c r="AD247" s="47"/>
      <c r="AE247" s="47"/>
      <c r="AF247" s="47"/>
      <c r="AG247" s="47"/>
      <c r="AH247" s="47"/>
      <c r="AI247" s="46"/>
      <c r="AJ247" s="46"/>
      <c r="AK247" s="46"/>
      <c r="AL247" s="7"/>
      <c r="AM247" s="49" t="str">
        <f aca="false">IF(OR(C247="",G247=""),"",IFERROR(DATEDIF(C247,G247,"m"),""))</f>
        <v/>
      </c>
      <c r="AN247" s="49" t="str">
        <f aca="false">IF(OR(Q247="",AM247=""),"",60+2*Q247-AM247)</f>
        <v/>
      </c>
      <c r="AO247" s="49" t="str">
        <f aca="false">IF(OR(G247="",AJ247=""),"",AJ247-G247)</f>
        <v/>
      </c>
      <c r="AP247" s="50" t="str">
        <f aca="false">IF(AND(A247="",B247=""),"",IF(J247="","Status needed",IF(OR(J247="Applied",J247="Visit booked",J247="Withdrawn"),"OK",IF(G247="","Date assessed needed",IF(C247="","Date of birth needed",IF(COUNTA(L247,M247,P247,U247,V247,X247)&lt;6,"Band missing",IF(AND(OR(J247="Decision confirmed",J247="Family told",J247="Enrolled"),AG247=""),"Recommendation needed",IF(AND(OR(J247="Family told",J247="Enrolled"),AJ247=""),"Date family told needed","OK"))))))))</f>
        <v/>
      </c>
    </row>
    <row r="248" customFormat="false" ht="15" hidden="false" customHeight="false" outlineLevel="0" collapsed="false">
      <c r="A248" s="7"/>
      <c r="B248" s="7"/>
      <c r="C248" s="46"/>
      <c r="D248" s="7"/>
      <c r="E248" s="47"/>
      <c r="F248" s="46"/>
      <c r="G248" s="46"/>
      <c r="H248" s="7"/>
      <c r="I248" s="7"/>
      <c r="J248" s="47"/>
      <c r="K248" s="47"/>
      <c r="L248" s="47"/>
      <c r="M248" s="47"/>
      <c r="N248" s="10"/>
      <c r="O248" s="47"/>
      <c r="P248" s="47"/>
      <c r="Q248" s="47"/>
      <c r="R248" s="48" t="str">
        <f aca="false">IF(Q248="","",IF(Q248=0,"below 5:00",IF(Q248&gt;=66,"16:00 or above",INT((60+2*Q248)/12)&amp;":"&amp;TEXT(MOD(60+2*Q248,12),"00"))))</f>
        <v/>
      </c>
      <c r="S248" s="47"/>
      <c r="T248" s="47"/>
      <c r="U248" s="47"/>
      <c r="V248" s="47"/>
      <c r="W248" s="47"/>
      <c r="X248" s="47"/>
      <c r="Y248" s="47"/>
      <c r="Z248" s="47"/>
      <c r="AA248" s="10"/>
      <c r="AB248" s="10"/>
      <c r="AC248" s="47"/>
      <c r="AD248" s="47"/>
      <c r="AE248" s="47"/>
      <c r="AF248" s="47"/>
      <c r="AG248" s="47"/>
      <c r="AH248" s="47"/>
      <c r="AI248" s="46"/>
      <c r="AJ248" s="46"/>
      <c r="AK248" s="46"/>
      <c r="AL248" s="7"/>
      <c r="AM248" s="49" t="str">
        <f aca="false">IF(OR(C248="",G248=""),"",IFERROR(DATEDIF(C248,G248,"m"),""))</f>
        <v/>
      </c>
      <c r="AN248" s="49" t="str">
        <f aca="false">IF(OR(Q248="",AM248=""),"",60+2*Q248-AM248)</f>
        <v/>
      </c>
      <c r="AO248" s="49" t="str">
        <f aca="false">IF(OR(G248="",AJ248=""),"",AJ248-G248)</f>
        <v/>
      </c>
      <c r="AP248" s="50" t="str">
        <f aca="false">IF(AND(A248="",B248=""),"",IF(J248="","Status needed",IF(OR(J248="Applied",J248="Visit booked",J248="Withdrawn"),"OK",IF(G248="","Date assessed needed",IF(C248="","Date of birth needed",IF(COUNTA(L248,M248,P248,U248,V248,X248)&lt;6,"Band missing",IF(AND(OR(J248="Decision confirmed",J248="Family told",J248="Enrolled"),AG248=""),"Recommendation needed",IF(AND(OR(J248="Family told",J248="Enrolled"),AJ248=""),"Date family told needed","OK"))))))))</f>
        <v/>
      </c>
    </row>
    <row r="249" customFormat="false" ht="15" hidden="false" customHeight="false" outlineLevel="0" collapsed="false">
      <c r="A249" s="7"/>
      <c r="B249" s="7"/>
      <c r="C249" s="46"/>
      <c r="D249" s="7"/>
      <c r="E249" s="47"/>
      <c r="F249" s="46"/>
      <c r="G249" s="46"/>
      <c r="H249" s="7"/>
      <c r="I249" s="7"/>
      <c r="J249" s="47"/>
      <c r="K249" s="47"/>
      <c r="L249" s="47"/>
      <c r="M249" s="47"/>
      <c r="N249" s="10"/>
      <c r="O249" s="47"/>
      <c r="P249" s="47"/>
      <c r="Q249" s="47"/>
      <c r="R249" s="48" t="str">
        <f aca="false">IF(Q249="","",IF(Q249=0,"below 5:00",IF(Q249&gt;=66,"16:00 or above",INT((60+2*Q249)/12)&amp;":"&amp;TEXT(MOD(60+2*Q249,12),"00"))))</f>
        <v/>
      </c>
      <c r="S249" s="47"/>
      <c r="T249" s="47"/>
      <c r="U249" s="47"/>
      <c r="V249" s="47"/>
      <c r="W249" s="47"/>
      <c r="X249" s="47"/>
      <c r="Y249" s="47"/>
      <c r="Z249" s="47"/>
      <c r="AA249" s="10"/>
      <c r="AB249" s="10"/>
      <c r="AC249" s="47"/>
      <c r="AD249" s="47"/>
      <c r="AE249" s="47"/>
      <c r="AF249" s="47"/>
      <c r="AG249" s="47"/>
      <c r="AH249" s="47"/>
      <c r="AI249" s="46"/>
      <c r="AJ249" s="46"/>
      <c r="AK249" s="46"/>
      <c r="AL249" s="7"/>
      <c r="AM249" s="49" t="str">
        <f aca="false">IF(OR(C249="",G249=""),"",IFERROR(DATEDIF(C249,G249,"m"),""))</f>
        <v/>
      </c>
      <c r="AN249" s="49" t="str">
        <f aca="false">IF(OR(Q249="",AM249=""),"",60+2*Q249-AM249)</f>
        <v/>
      </c>
      <c r="AO249" s="49" t="str">
        <f aca="false">IF(OR(G249="",AJ249=""),"",AJ249-G249)</f>
        <v/>
      </c>
      <c r="AP249" s="50" t="str">
        <f aca="false">IF(AND(A249="",B249=""),"",IF(J249="","Status needed",IF(OR(J249="Applied",J249="Visit booked",J249="Withdrawn"),"OK",IF(G249="","Date assessed needed",IF(C249="","Date of birth needed",IF(COUNTA(L249,M249,P249,U249,V249,X249)&lt;6,"Band missing",IF(AND(OR(J249="Decision confirmed",J249="Family told",J249="Enrolled"),AG249=""),"Recommendation needed",IF(AND(OR(J249="Family told",J249="Enrolled"),AJ249=""),"Date family told needed","OK"))))))))</f>
        <v/>
      </c>
    </row>
    <row r="250" customFormat="false" ht="15" hidden="false" customHeight="false" outlineLevel="0" collapsed="false">
      <c r="A250" s="7"/>
      <c r="B250" s="7"/>
      <c r="C250" s="46"/>
      <c r="D250" s="7"/>
      <c r="E250" s="47"/>
      <c r="F250" s="46"/>
      <c r="G250" s="46"/>
      <c r="H250" s="7"/>
      <c r="I250" s="7"/>
      <c r="J250" s="47"/>
      <c r="K250" s="47"/>
      <c r="L250" s="47"/>
      <c r="M250" s="47"/>
      <c r="N250" s="10"/>
      <c r="O250" s="47"/>
      <c r="P250" s="47"/>
      <c r="Q250" s="47"/>
      <c r="R250" s="48" t="str">
        <f aca="false">IF(Q250="","",IF(Q250=0,"below 5:00",IF(Q250&gt;=66,"16:00 or above",INT((60+2*Q250)/12)&amp;":"&amp;TEXT(MOD(60+2*Q250,12),"00"))))</f>
        <v/>
      </c>
      <c r="S250" s="47"/>
      <c r="T250" s="47"/>
      <c r="U250" s="47"/>
      <c r="V250" s="47"/>
      <c r="W250" s="47"/>
      <c r="X250" s="47"/>
      <c r="Y250" s="47"/>
      <c r="Z250" s="47"/>
      <c r="AA250" s="10"/>
      <c r="AB250" s="10"/>
      <c r="AC250" s="47"/>
      <c r="AD250" s="47"/>
      <c r="AE250" s="47"/>
      <c r="AF250" s="47"/>
      <c r="AG250" s="47"/>
      <c r="AH250" s="47"/>
      <c r="AI250" s="46"/>
      <c r="AJ250" s="46"/>
      <c r="AK250" s="46"/>
      <c r="AL250" s="7"/>
      <c r="AM250" s="49" t="str">
        <f aca="false">IF(OR(C250="",G250=""),"",IFERROR(DATEDIF(C250,G250,"m"),""))</f>
        <v/>
      </c>
      <c r="AN250" s="49" t="str">
        <f aca="false">IF(OR(Q250="",AM250=""),"",60+2*Q250-AM250)</f>
        <v/>
      </c>
      <c r="AO250" s="49" t="str">
        <f aca="false">IF(OR(G250="",AJ250=""),"",AJ250-G250)</f>
        <v/>
      </c>
      <c r="AP250" s="50" t="str">
        <f aca="false">IF(AND(A250="",B250=""),"",IF(J250="","Status needed",IF(OR(J250="Applied",J250="Visit booked",J250="Withdrawn"),"OK",IF(G250="","Date assessed needed",IF(C250="","Date of birth needed",IF(COUNTA(L250,M250,P250,U250,V250,X250)&lt;6,"Band missing",IF(AND(OR(J250="Decision confirmed",J250="Family told",J250="Enrolled"),AG250=""),"Recommendation needed",IF(AND(OR(J250="Family told",J250="Enrolled"),AJ250=""),"Date family told needed","OK"))))))))</f>
        <v/>
      </c>
    </row>
    <row r="251" customFormat="false" ht="15" hidden="false" customHeight="false" outlineLevel="0" collapsed="false">
      <c r="A251" s="7"/>
      <c r="B251" s="7"/>
      <c r="C251" s="46"/>
      <c r="D251" s="7"/>
      <c r="E251" s="47"/>
      <c r="F251" s="46"/>
      <c r="G251" s="46"/>
      <c r="H251" s="7"/>
      <c r="I251" s="7"/>
      <c r="J251" s="47"/>
      <c r="K251" s="47"/>
      <c r="L251" s="47"/>
      <c r="M251" s="47"/>
      <c r="N251" s="10"/>
      <c r="O251" s="47"/>
      <c r="P251" s="47"/>
      <c r="Q251" s="47"/>
      <c r="R251" s="48" t="str">
        <f aca="false">IF(Q251="","",IF(Q251=0,"below 5:00",IF(Q251&gt;=66,"16:00 or above",INT((60+2*Q251)/12)&amp;":"&amp;TEXT(MOD(60+2*Q251,12),"00"))))</f>
        <v/>
      </c>
      <c r="S251" s="47"/>
      <c r="T251" s="47"/>
      <c r="U251" s="47"/>
      <c r="V251" s="47"/>
      <c r="W251" s="47"/>
      <c r="X251" s="47"/>
      <c r="Y251" s="47"/>
      <c r="Z251" s="47"/>
      <c r="AA251" s="10"/>
      <c r="AB251" s="10"/>
      <c r="AC251" s="47"/>
      <c r="AD251" s="47"/>
      <c r="AE251" s="47"/>
      <c r="AF251" s="47"/>
      <c r="AG251" s="47"/>
      <c r="AH251" s="47"/>
      <c r="AI251" s="46"/>
      <c r="AJ251" s="46"/>
      <c r="AK251" s="46"/>
      <c r="AL251" s="7"/>
      <c r="AM251" s="49" t="str">
        <f aca="false">IF(OR(C251="",G251=""),"",IFERROR(DATEDIF(C251,G251,"m"),""))</f>
        <v/>
      </c>
      <c r="AN251" s="49" t="str">
        <f aca="false">IF(OR(Q251="",AM251=""),"",60+2*Q251-AM251)</f>
        <v/>
      </c>
      <c r="AO251" s="49" t="str">
        <f aca="false">IF(OR(G251="",AJ251=""),"",AJ251-G251)</f>
        <v/>
      </c>
      <c r="AP251" s="50" t="str">
        <f aca="false">IF(AND(A251="",B251=""),"",IF(J251="","Status needed",IF(OR(J251="Applied",J251="Visit booked",J251="Withdrawn"),"OK",IF(G251="","Date assessed needed",IF(C251="","Date of birth needed",IF(COUNTA(L251,M251,P251,U251,V251,X251)&lt;6,"Band missing",IF(AND(OR(J251="Decision confirmed",J251="Family told",J251="Enrolled"),AG251=""),"Recommendation needed",IF(AND(OR(J251="Family told",J251="Enrolled"),AJ251=""),"Date family told needed","OK"))))))))</f>
        <v/>
      </c>
    </row>
    <row r="252" customFormat="false" ht="15" hidden="false" customHeight="false" outlineLevel="0" collapsed="false">
      <c r="A252" s="7"/>
      <c r="B252" s="7"/>
      <c r="C252" s="46"/>
      <c r="D252" s="7"/>
      <c r="E252" s="47"/>
      <c r="F252" s="46"/>
      <c r="G252" s="46"/>
      <c r="H252" s="7"/>
      <c r="I252" s="7"/>
      <c r="J252" s="47"/>
      <c r="K252" s="47"/>
      <c r="L252" s="47"/>
      <c r="M252" s="47"/>
      <c r="N252" s="10"/>
      <c r="O252" s="47"/>
      <c r="P252" s="47"/>
      <c r="Q252" s="47"/>
      <c r="R252" s="48" t="str">
        <f aca="false">IF(Q252="","",IF(Q252=0,"below 5:00",IF(Q252&gt;=66,"16:00 or above",INT((60+2*Q252)/12)&amp;":"&amp;TEXT(MOD(60+2*Q252,12),"00"))))</f>
        <v/>
      </c>
      <c r="S252" s="47"/>
      <c r="T252" s="47"/>
      <c r="U252" s="47"/>
      <c r="V252" s="47"/>
      <c r="W252" s="47"/>
      <c r="X252" s="47"/>
      <c r="Y252" s="47"/>
      <c r="Z252" s="47"/>
      <c r="AA252" s="10"/>
      <c r="AB252" s="10"/>
      <c r="AC252" s="47"/>
      <c r="AD252" s="47"/>
      <c r="AE252" s="47"/>
      <c r="AF252" s="47"/>
      <c r="AG252" s="47"/>
      <c r="AH252" s="47"/>
      <c r="AI252" s="46"/>
      <c r="AJ252" s="46"/>
      <c r="AK252" s="46"/>
      <c r="AL252" s="7"/>
      <c r="AM252" s="49" t="str">
        <f aca="false">IF(OR(C252="",G252=""),"",IFERROR(DATEDIF(C252,G252,"m"),""))</f>
        <v/>
      </c>
      <c r="AN252" s="49" t="str">
        <f aca="false">IF(OR(Q252="",AM252=""),"",60+2*Q252-AM252)</f>
        <v/>
      </c>
      <c r="AO252" s="49" t="str">
        <f aca="false">IF(OR(G252="",AJ252=""),"",AJ252-G252)</f>
        <v/>
      </c>
      <c r="AP252" s="50" t="str">
        <f aca="false">IF(AND(A252="",B252=""),"",IF(J252="","Status needed",IF(OR(J252="Applied",J252="Visit booked",J252="Withdrawn"),"OK",IF(G252="","Date assessed needed",IF(C252="","Date of birth needed",IF(COUNTA(L252,M252,P252,U252,V252,X252)&lt;6,"Band missing",IF(AND(OR(J252="Decision confirmed",J252="Family told",J252="Enrolled"),AG252=""),"Recommendation needed",IF(AND(OR(J252="Family told",J252="Enrolled"),AJ252=""),"Date family told needed","OK"))))))))</f>
        <v/>
      </c>
    </row>
    <row r="253" customFormat="false" ht="15" hidden="false" customHeight="false" outlineLevel="0" collapsed="false">
      <c r="A253" s="7"/>
      <c r="B253" s="7"/>
      <c r="C253" s="46"/>
      <c r="D253" s="7"/>
      <c r="E253" s="47"/>
      <c r="F253" s="46"/>
      <c r="G253" s="46"/>
      <c r="H253" s="7"/>
      <c r="I253" s="7"/>
      <c r="J253" s="47"/>
      <c r="K253" s="47"/>
      <c r="L253" s="47"/>
      <c r="M253" s="47"/>
      <c r="N253" s="10"/>
      <c r="O253" s="47"/>
      <c r="P253" s="47"/>
      <c r="Q253" s="47"/>
      <c r="R253" s="48" t="str">
        <f aca="false">IF(Q253="","",IF(Q253=0,"below 5:00",IF(Q253&gt;=66,"16:00 or above",INT((60+2*Q253)/12)&amp;":"&amp;TEXT(MOD(60+2*Q253,12),"00"))))</f>
        <v/>
      </c>
      <c r="S253" s="47"/>
      <c r="T253" s="47"/>
      <c r="U253" s="47"/>
      <c r="V253" s="47"/>
      <c r="W253" s="47"/>
      <c r="X253" s="47"/>
      <c r="Y253" s="47"/>
      <c r="Z253" s="47"/>
      <c r="AA253" s="10"/>
      <c r="AB253" s="10"/>
      <c r="AC253" s="47"/>
      <c r="AD253" s="47"/>
      <c r="AE253" s="47"/>
      <c r="AF253" s="47"/>
      <c r="AG253" s="47"/>
      <c r="AH253" s="47"/>
      <c r="AI253" s="46"/>
      <c r="AJ253" s="46"/>
      <c r="AK253" s="46"/>
      <c r="AL253" s="7"/>
      <c r="AM253" s="49" t="str">
        <f aca="false">IF(OR(C253="",G253=""),"",IFERROR(DATEDIF(C253,G253,"m"),""))</f>
        <v/>
      </c>
      <c r="AN253" s="49" t="str">
        <f aca="false">IF(OR(Q253="",AM253=""),"",60+2*Q253-AM253)</f>
        <v/>
      </c>
      <c r="AO253" s="49" t="str">
        <f aca="false">IF(OR(G253="",AJ253=""),"",AJ253-G253)</f>
        <v/>
      </c>
      <c r="AP253" s="50" t="str">
        <f aca="false">IF(AND(A253="",B253=""),"",IF(J253="","Status needed",IF(OR(J253="Applied",J253="Visit booked",J253="Withdrawn"),"OK",IF(G253="","Date assessed needed",IF(C253="","Date of birth needed",IF(COUNTA(L253,M253,P253,U253,V253,X253)&lt;6,"Band missing",IF(AND(OR(J253="Decision confirmed",J253="Family told",J253="Enrolled"),AG253=""),"Recommendation needed",IF(AND(OR(J253="Family told",J253="Enrolled"),AJ253=""),"Date family told needed","OK"))))))))</f>
        <v/>
      </c>
    </row>
    <row r="254" customFormat="false" ht="15" hidden="false" customHeight="false" outlineLevel="0" collapsed="false">
      <c r="A254" s="7"/>
      <c r="B254" s="7"/>
      <c r="C254" s="46"/>
      <c r="D254" s="7"/>
      <c r="E254" s="47"/>
      <c r="F254" s="46"/>
      <c r="G254" s="46"/>
      <c r="H254" s="7"/>
      <c r="I254" s="7"/>
      <c r="J254" s="47"/>
      <c r="K254" s="47"/>
      <c r="L254" s="47"/>
      <c r="M254" s="47"/>
      <c r="N254" s="10"/>
      <c r="O254" s="47"/>
      <c r="P254" s="47"/>
      <c r="Q254" s="47"/>
      <c r="R254" s="48" t="str">
        <f aca="false">IF(Q254="","",IF(Q254=0,"below 5:00",IF(Q254&gt;=66,"16:00 or above",INT((60+2*Q254)/12)&amp;":"&amp;TEXT(MOD(60+2*Q254,12),"00"))))</f>
        <v/>
      </c>
      <c r="S254" s="47"/>
      <c r="T254" s="47"/>
      <c r="U254" s="47"/>
      <c r="V254" s="47"/>
      <c r="W254" s="47"/>
      <c r="X254" s="47"/>
      <c r="Y254" s="47"/>
      <c r="Z254" s="47"/>
      <c r="AA254" s="10"/>
      <c r="AB254" s="10"/>
      <c r="AC254" s="47"/>
      <c r="AD254" s="47"/>
      <c r="AE254" s="47"/>
      <c r="AF254" s="47"/>
      <c r="AG254" s="47"/>
      <c r="AH254" s="47"/>
      <c r="AI254" s="46"/>
      <c r="AJ254" s="46"/>
      <c r="AK254" s="46"/>
      <c r="AL254" s="7"/>
      <c r="AM254" s="49" t="str">
        <f aca="false">IF(OR(C254="",G254=""),"",IFERROR(DATEDIF(C254,G254,"m"),""))</f>
        <v/>
      </c>
      <c r="AN254" s="49" t="str">
        <f aca="false">IF(OR(Q254="",AM254=""),"",60+2*Q254-AM254)</f>
        <v/>
      </c>
      <c r="AO254" s="49" t="str">
        <f aca="false">IF(OR(G254="",AJ254=""),"",AJ254-G254)</f>
        <v/>
      </c>
      <c r="AP254" s="50" t="str">
        <f aca="false">IF(AND(A254="",B254=""),"",IF(J254="","Status needed",IF(OR(J254="Applied",J254="Visit booked",J254="Withdrawn"),"OK",IF(G254="","Date assessed needed",IF(C254="","Date of birth needed",IF(COUNTA(L254,M254,P254,U254,V254,X254)&lt;6,"Band missing",IF(AND(OR(J254="Decision confirmed",J254="Family told",J254="Enrolled"),AG254=""),"Recommendation needed",IF(AND(OR(J254="Family told",J254="Enrolled"),AJ254=""),"Date family told needed","OK"))))))))</f>
        <v/>
      </c>
    </row>
    <row r="255" customFormat="false" ht="15" hidden="false" customHeight="false" outlineLevel="0" collapsed="false">
      <c r="A255" s="7"/>
      <c r="B255" s="7"/>
      <c r="C255" s="46"/>
      <c r="D255" s="7"/>
      <c r="E255" s="47"/>
      <c r="F255" s="46"/>
      <c r="G255" s="46"/>
      <c r="H255" s="7"/>
      <c r="I255" s="7"/>
      <c r="J255" s="47"/>
      <c r="K255" s="47"/>
      <c r="L255" s="47"/>
      <c r="M255" s="47"/>
      <c r="N255" s="10"/>
      <c r="O255" s="47"/>
      <c r="P255" s="47"/>
      <c r="Q255" s="47"/>
      <c r="R255" s="48" t="str">
        <f aca="false">IF(Q255="","",IF(Q255=0,"below 5:00",IF(Q255&gt;=66,"16:00 or above",INT((60+2*Q255)/12)&amp;":"&amp;TEXT(MOD(60+2*Q255,12),"00"))))</f>
        <v/>
      </c>
      <c r="S255" s="47"/>
      <c r="T255" s="47"/>
      <c r="U255" s="47"/>
      <c r="V255" s="47"/>
      <c r="W255" s="47"/>
      <c r="X255" s="47"/>
      <c r="Y255" s="47"/>
      <c r="Z255" s="47"/>
      <c r="AA255" s="10"/>
      <c r="AB255" s="10"/>
      <c r="AC255" s="47"/>
      <c r="AD255" s="47"/>
      <c r="AE255" s="47"/>
      <c r="AF255" s="47"/>
      <c r="AG255" s="47"/>
      <c r="AH255" s="47"/>
      <c r="AI255" s="46"/>
      <c r="AJ255" s="46"/>
      <c r="AK255" s="46"/>
      <c r="AL255" s="7"/>
      <c r="AM255" s="49" t="str">
        <f aca="false">IF(OR(C255="",G255=""),"",IFERROR(DATEDIF(C255,G255,"m"),""))</f>
        <v/>
      </c>
      <c r="AN255" s="49" t="str">
        <f aca="false">IF(OR(Q255="",AM255=""),"",60+2*Q255-AM255)</f>
        <v/>
      </c>
      <c r="AO255" s="49" t="str">
        <f aca="false">IF(OR(G255="",AJ255=""),"",AJ255-G255)</f>
        <v/>
      </c>
      <c r="AP255" s="50" t="str">
        <f aca="false">IF(AND(A255="",B255=""),"",IF(J255="","Status needed",IF(OR(J255="Applied",J255="Visit booked",J255="Withdrawn"),"OK",IF(G255="","Date assessed needed",IF(C255="","Date of birth needed",IF(COUNTA(L255,M255,P255,U255,V255,X255)&lt;6,"Band missing",IF(AND(OR(J255="Decision confirmed",J255="Family told",J255="Enrolled"),AG255=""),"Recommendation needed",IF(AND(OR(J255="Family told",J255="Enrolled"),AJ255=""),"Date family told needed","OK"))))))))</f>
        <v/>
      </c>
    </row>
    <row r="256" customFormat="false" ht="15" hidden="false" customHeight="false" outlineLevel="0" collapsed="false">
      <c r="A256" s="7"/>
      <c r="B256" s="7"/>
      <c r="C256" s="46"/>
      <c r="D256" s="7"/>
      <c r="E256" s="47"/>
      <c r="F256" s="46"/>
      <c r="G256" s="46"/>
      <c r="H256" s="7"/>
      <c r="I256" s="7"/>
      <c r="J256" s="47"/>
      <c r="K256" s="47"/>
      <c r="L256" s="47"/>
      <c r="M256" s="47"/>
      <c r="N256" s="10"/>
      <c r="O256" s="47"/>
      <c r="P256" s="47"/>
      <c r="Q256" s="47"/>
      <c r="R256" s="48" t="str">
        <f aca="false">IF(Q256="","",IF(Q256=0,"below 5:00",IF(Q256&gt;=66,"16:00 or above",INT((60+2*Q256)/12)&amp;":"&amp;TEXT(MOD(60+2*Q256,12),"00"))))</f>
        <v/>
      </c>
      <c r="S256" s="47"/>
      <c r="T256" s="47"/>
      <c r="U256" s="47"/>
      <c r="V256" s="47"/>
      <c r="W256" s="47"/>
      <c r="X256" s="47"/>
      <c r="Y256" s="47"/>
      <c r="Z256" s="47"/>
      <c r="AA256" s="10"/>
      <c r="AB256" s="10"/>
      <c r="AC256" s="47"/>
      <c r="AD256" s="47"/>
      <c r="AE256" s="47"/>
      <c r="AF256" s="47"/>
      <c r="AG256" s="47"/>
      <c r="AH256" s="47"/>
      <c r="AI256" s="46"/>
      <c r="AJ256" s="46"/>
      <c r="AK256" s="46"/>
      <c r="AL256" s="7"/>
      <c r="AM256" s="49" t="str">
        <f aca="false">IF(OR(C256="",G256=""),"",IFERROR(DATEDIF(C256,G256,"m"),""))</f>
        <v/>
      </c>
      <c r="AN256" s="49" t="str">
        <f aca="false">IF(OR(Q256="",AM256=""),"",60+2*Q256-AM256)</f>
        <v/>
      </c>
      <c r="AO256" s="49" t="str">
        <f aca="false">IF(OR(G256="",AJ256=""),"",AJ256-G256)</f>
        <v/>
      </c>
      <c r="AP256" s="50" t="str">
        <f aca="false">IF(AND(A256="",B256=""),"",IF(J256="","Status needed",IF(OR(J256="Applied",J256="Visit booked",J256="Withdrawn"),"OK",IF(G256="","Date assessed needed",IF(C256="","Date of birth needed",IF(COUNTA(L256,M256,P256,U256,V256,X256)&lt;6,"Band missing",IF(AND(OR(J256="Decision confirmed",J256="Family told",J256="Enrolled"),AG256=""),"Recommendation needed",IF(AND(OR(J256="Family told",J256="Enrolled"),AJ256=""),"Date family told needed","OK"))))))))</f>
        <v/>
      </c>
    </row>
    <row r="257" customFormat="false" ht="15" hidden="false" customHeight="false" outlineLevel="0" collapsed="false">
      <c r="A257" s="7"/>
      <c r="B257" s="7"/>
      <c r="C257" s="46"/>
      <c r="D257" s="7"/>
      <c r="E257" s="47"/>
      <c r="F257" s="46"/>
      <c r="G257" s="46"/>
      <c r="H257" s="7"/>
      <c r="I257" s="7"/>
      <c r="J257" s="47"/>
      <c r="K257" s="47"/>
      <c r="L257" s="47"/>
      <c r="M257" s="47"/>
      <c r="N257" s="10"/>
      <c r="O257" s="47"/>
      <c r="P257" s="47"/>
      <c r="Q257" s="47"/>
      <c r="R257" s="48" t="str">
        <f aca="false">IF(Q257="","",IF(Q257=0,"below 5:00",IF(Q257&gt;=66,"16:00 or above",INT((60+2*Q257)/12)&amp;":"&amp;TEXT(MOD(60+2*Q257,12),"00"))))</f>
        <v/>
      </c>
      <c r="S257" s="47"/>
      <c r="T257" s="47"/>
      <c r="U257" s="47"/>
      <c r="V257" s="47"/>
      <c r="W257" s="47"/>
      <c r="X257" s="47"/>
      <c r="Y257" s="47"/>
      <c r="Z257" s="47"/>
      <c r="AA257" s="10"/>
      <c r="AB257" s="10"/>
      <c r="AC257" s="47"/>
      <c r="AD257" s="47"/>
      <c r="AE257" s="47"/>
      <c r="AF257" s="47"/>
      <c r="AG257" s="47"/>
      <c r="AH257" s="47"/>
      <c r="AI257" s="46"/>
      <c r="AJ257" s="46"/>
      <c r="AK257" s="46"/>
      <c r="AL257" s="7"/>
      <c r="AM257" s="49" t="str">
        <f aca="false">IF(OR(C257="",G257=""),"",IFERROR(DATEDIF(C257,G257,"m"),""))</f>
        <v/>
      </c>
      <c r="AN257" s="49" t="str">
        <f aca="false">IF(OR(Q257="",AM257=""),"",60+2*Q257-AM257)</f>
        <v/>
      </c>
      <c r="AO257" s="49" t="str">
        <f aca="false">IF(OR(G257="",AJ257=""),"",AJ257-G257)</f>
        <v/>
      </c>
      <c r="AP257" s="50" t="str">
        <f aca="false">IF(AND(A257="",B257=""),"",IF(J257="","Status needed",IF(OR(J257="Applied",J257="Visit booked",J257="Withdrawn"),"OK",IF(G257="","Date assessed needed",IF(C257="","Date of birth needed",IF(COUNTA(L257,M257,P257,U257,V257,X257)&lt;6,"Band missing",IF(AND(OR(J257="Decision confirmed",J257="Family told",J257="Enrolled"),AG257=""),"Recommendation needed",IF(AND(OR(J257="Family told",J257="Enrolled"),AJ257=""),"Date family told needed","OK"))))))))</f>
        <v/>
      </c>
    </row>
    <row r="258" customFormat="false" ht="15" hidden="false" customHeight="false" outlineLevel="0" collapsed="false">
      <c r="A258" s="7"/>
      <c r="B258" s="7"/>
      <c r="C258" s="46"/>
      <c r="D258" s="7"/>
      <c r="E258" s="47"/>
      <c r="F258" s="46"/>
      <c r="G258" s="46"/>
      <c r="H258" s="7"/>
      <c r="I258" s="7"/>
      <c r="J258" s="47"/>
      <c r="K258" s="47"/>
      <c r="L258" s="47"/>
      <c r="M258" s="47"/>
      <c r="N258" s="10"/>
      <c r="O258" s="47"/>
      <c r="P258" s="47"/>
      <c r="Q258" s="47"/>
      <c r="R258" s="48" t="str">
        <f aca="false">IF(Q258="","",IF(Q258=0,"below 5:00",IF(Q258&gt;=66,"16:00 or above",INT((60+2*Q258)/12)&amp;":"&amp;TEXT(MOD(60+2*Q258,12),"00"))))</f>
        <v/>
      </c>
      <c r="S258" s="47"/>
      <c r="T258" s="47"/>
      <c r="U258" s="47"/>
      <c r="V258" s="47"/>
      <c r="W258" s="47"/>
      <c r="X258" s="47"/>
      <c r="Y258" s="47"/>
      <c r="Z258" s="47"/>
      <c r="AA258" s="10"/>
      <c r="AB258" s="10"/>
      <c r="AC258" s="47"/>
      <c r="AD258" s="47"/>
      <c r="AE258" s="47"/>
      <c r="AF258" s="47"/>
      <c r="AG258" s="47"/>
      <c r="AH258" s="47"/>
      <c r="AI258" s="46"/>
      <c r="AJ258" s="46"/>
      <c r="AK258" s="46"/>
      <c r="AL258" s="7"/>
      <c r="AM258" s="49" t="str">
        <f aca="false">IF(OR(C258="",G258=""),"",IFERROR(DATEDIF(C258,G258,"m"),""))</f>
        <v/>
      </c>
      <c r="AN258" s="49" t="str">
        <f aca="false">IF(OR(Q258="",AM258=""),"",60+2*Q258-AM258)</f>
        <v/>
      </c>
      <c r="AO258" s="49" t="str">
        <f aca="false">IF(OR(G258="",AJ258=""),"",AJ258-G258)</f>
        <v/>
      </c>
      <c r="AP258" s="50" t="str">
        <f aca="false">IF(AND(A258="",B258=""),"",IF(J258="","Status needed",IF(OR(J258="Applied",J258="Visit booked",J258="Withdrawn"),"OK",IF(G258="","Date assessed needed",IF(C258="","Date of birth needed",IF(COUNTA(L258,M258,P258,U258,V258,X258)&lt;6,"Band missing",IF(AND(OR(J258="Decision confirmed",J258="Family told",J258="Enrolled"),AG258=""),"Recommendation needed",IF(AND(OR(J258="Family told",J258="Enrolled"),AJ258=""),"Date family told needed","OK"))))))))</f>
        <v/>
      </c>
    </row>
    <row r="259" customFormat="false" ht="15" hidden="false" customHeight="false" outlineLevel="0" collapsed="false">
      <c r="A259" s="7"/>
      <c r="B259" s="7"/>
      <c r="C259" s="46"/>
      <c r="D259" s="7"/>
      <c r="E259" s="47"/>
      <c r="F259" s="46"/>
      <c r="G259" s="46"/>
      <c r="H259" s="7"/>
      <c r="I259" s="7"/>
      <c r="J259" s="47"/>
      <c r="K259" s="47"/>
      <c r="L259" s="47"/>
      <c r="M259" s="47"/>
      <c r="N259" s="10"/>
      <c r="O259" s="47"/>
      <c r="P259" s="47"/>
      <c r="Q259" s="47"/>
      <c r="R259" s="48" t="str">
        <f aca="false">IF(Q259="","",IF(Q259=0,"below 5:00",IF(Q259&gt;=66,"16:00 or above",INT((60+2*Q259)/12)&amp;":"&amp;TEXT(MOD(60+2*Q259,12),"00"))))</f>
        <v/>
      </c>
      <c r="S259" s="47"/>
      <c r="T259" s="47"/>
      <c r="U259" s="47"/>
      <c r="V259" s="47"/>
      <c r="W259" s="47"/>
      <c r="X259" s="47"/>
      <c r="Y259" s="47"/>
      <c r="Z259" s="47"/>
      <c r="AA259" s="10"/>
      <c r="AB259" s="10"/>
      <c r="AC259" s="47"/>
      <c r="AD259" s="47"/>
      <c r="AE259" s="47"/>
      <c r="AF259" s="47"/>
      <c r="AG259" s="47"/>
      <c r="AH259" s="47"/>
      <c r="AI259" s="46"/>
      <c r="AJ259" s="46"/>
      <c r="AK259" s="46"/>
      <c r="AL259" s="7"/>
      <c r="AM259" s="49" t="str">
        <f aca="false">IF(OR(C259="",G259=""),"",IFERROR(DATEDIF(C259,G259,"m"),""))</f>
        <v/>
      </c>
      <c r="AN259" s="49" t="str">
        <f aca="false">IF(OR(Q259="",AM259=""),"",60+2*Q259-AM259)</f>
        <v/>
      </c>
      <c r="AO259" s="49" t="str">
        <f aca="false">IF(OR(G259="",AJ259=""),"",AJ259-G259)</f>
        <v/>
      </c>
      <c r="AP259" s="50" t="str">
        <f aca="false">IF(AND(A259="",B259=""),"",IF(J259="","Status needed",IF(OR(J259="Applied",J259="Visit booked",J259="Withdrawn"),"OK",IF(G259="","Date assessed needed",IF(C259="","Date of birth needed",IF(COUNTA(L259,M259,P259,U259,V259,X259)&lt;6,"Band missing",IF(AND(OR(J259="Decision confirmed",J259="Family told",J259="Enrolled"),AG259=""),"Recommendation needed",IF(AND(OR(J259="Family told",J259="Enrolled"),AJ259=""),"Date family told needed","OK"))))))))</f>
        <v/>
      </c>
    </row>
    <row r="260" customFormat="false" ht="15" hidden="false" customHeight="false" outlineLevel="0" collapsed="false">
      <c r="A260" s="7"/>
      <c r="B260" s="7"/>
      <c r="C260" s="46"/>
      <c r="D260" s="7"/>
      <c r="E260" s="47"/>
      <c r="F260" s="46"/>
      <c r="G260" s="46"/>
      <c r="H260" s="7"/>
      <c r="I260" s="7"/>
      <c r="J260" s="47"/>
      <c r="K260" s="47"/>
      <c r="L260" s="47"/>
      <c r="M260" s="47"/>
      <c r="N260" s="10"/>
      <c r="O260" s="47"/>
      <c r="P260" s="47"/>
      <c r="Q260" s="47"/>
      <c r="R260" s="48" t="str">
        <f aca="false">IF(Q260="","",IF(Q260=0,"below 5:00",IF(Q260&gt;=66,"16:00 or above",INT((60+2*Q260)/12)&amp;":"&amp;TEXT(MOD(60+2*Q260,12),"00"))))</f>
        <v/>
      </c>
      <c r="S260" s="47"/>
      <c r="T260" s="47"/>
      <c r="U260" s="47"/>
      <c r="V260" s="47"/>
      <c r="W260" s="47"/>
      <c r="X260" s="47"/>
      <c r="Y260" s="47"/>
      <c r="Z260" s="47"/>
      <c r="AA260" s="10"/>
      <c r="AB260" s="10"/>
      <c r="AC260" s="47"/>
      <c r="AD260" s="47"/>
      <c r="AE260" s="47"/>
      <c r="AF260" s="47"/>
      <c r="AG260" s="47"/>
      <c r="AH260" s="47"/>
      <c r="AI260" s="46"/>
      <c r="AJ260" s="46"/>
      <c r="AK260" s="46"/>
      <c r="AL260" s="7"/>
      <c r="AM260" s="49" t="str">
        <f aca="false">IF(OR(C260="",G260=""),"",IFERROR(DATEDIF(C260,G260,"m"),""))</f>
        <v/>
      </c>
      <c r="AN260" s="49" t="str">
        <f aca="false">IF(OR(Q260="",AM260=""),"",60+2*Q260-AM260)</f>
        <v/>
      </c>
      <c r="AO260" s="49" t="str">
        <f aca="false">IF(OR(G260="",AJ260=""),"",AJ260-G260)</f>
        <v/>
      </c>
      <c r="AP260" s="50" t="str">
        <f aca="false">IF(AND(A260="",B260=""),"",IF(J260="","Status needed",IF(OR(J260="Applied",J260="Visit booked",J260="Withdrawn"),"OK",IF(G260="","Date assessed needed",IF(C260="","Date of birth needed",IF(COUNTA(L260,M260,P260,U260,V260,X260)&lt;6,"Band missing",IF(AND(OR(J260="Decision confirmed",J260="Family told",J260="Enrolled"),AG260=""),"Recommendation needed",IF(AND(OR(J260="Family told",J260="Enrolled"),AJ260=""),"Date family told needed","OK"))))))))</f>
        <v/>
      </c>
    </row>
    <row r="261" customFormat="false" ht="15" hidden="false" customHeight="false" outlineLevel="0" collapsed="false">
      <c r="A261" s="7"/>
      <c r="B261" s="7"/>
      <c r="C261" s="46"/>
      <c r="D261" s="7"/>
      <c r="E261" s="47"/>
      <c r="F261" s="46"/>
      <c r="G261" s="46"/>
      <c r="H261" s="7"/>
      <c r="I261" s="7"/>
      <c r="J261" s="47"/>
      <c r="K261" s="47"/>
      <c r="L261" s="47"/>
      <c r="M261" s="47"/>
      <c r="N261" s="10"/>
      <c r="O261" s="47"/>
      <c r="P261" s="47"/>
      <c r="Q261" s="47"/>
      <c r="R261" s="48" t="str">
        <f aca="false">IF(Q261="","",IF(Q261=0,"below 5:00",IF(Q261&gt;=66,"16:00 or above",INT((60+2*Q261)/12)&amp;":"&amp;TEXT(MOD(60+2*Q261,12),"00"))))</f>
        <v/>
      </c>
      <c r="S261" s="47"/>
      <c r="T261" s="47"/>
      <c r="U261" s="47"/>
      <c r="V261" s="47"/>
      <c r="W261" s="47"/>
      <c r="X261" s="47"/>
      <c r="Y261" s="47"/>
      <c r="Z261" s="47"/>
      <c r="AA261" s="10"/>
      <c r="AB261" s="10"/>
      <c r="AC261" s="47"/>
      <c r="AD261" s="47"/>
      <c r="AE261" s="47"/>
      <c r="AF261" s="47"/>
      <c r="AG261" s="47"/>
      <c r="AH261" s="47"/>
      <c r="AI261" s="46"/>
      <c r="AJ261" s="46"/>
      <c r="AK261" s="46"/>
      <c r="AL261" s="7"/>
      <c r="AM261" s="49" t="str">
        <f aca="false">IF(OR(C261="",G261=""),"",IFERROR(DATEDIF(C261,G261,"m"),""))</f>
        <v/>
      </c>
      <c r="AN261" s="49" t="str">
        <f aca="false">IF(OR(Q261="",AM261=""),"",60+2*Q261-AM261)</f>
        <v/>
      </c>
      <c r="AO261" s="49" t="str">
        <f aca="false">IF(OR(G261="",AJ261=""),"",AJ261-G261)</f>
        <v/>
      </c>
      <c r="AP261" s="50" t="str">
        <f aca="false">IF(AND(A261="",B261=""),"",IF(J261="","Status needed",IF(OR(J261="Applied",J261="Visit booked",J261="Withdrawn"),"OK",IF(G261="","Date assessed needed",IF(C261="","Date of birth needed",IF(COUNTA(L261,M261,P261,U261,V261,X261)&lt;6,"Band missing",IF(AND(OR(J261="Decision confirmed",J261="Family told",J261="Enrolled"),AG261=""),"Recommendation needed",IF(AND(OR(J261="Family told",J261="Enrolled"),AJ261=""),"Date family told needed","OK"))))))))</f>
        <v/>
      </c>
    </row>
    <row r="262" customFormat="false" ht="15" hidden="false" customHeight="false" outlineLevel="0" collapsed="false">
      <c r="A262" s="7"/>
      <c r="B262" s="7"/>
      <c r="C262" s="46"/>
      <c r="D262" s="7"/>
      <c r="E262" s="47"/>
      <c r="F262" s="46"/>
      <c r="G262" s="46"/>
      <c r="H262" s="7"/>
      <c r="I262" s="7"/>
      <c r="J262" s="47"/>
      <c r="K262" s="47"/>
      <c r="L262" s="47"/>
      <c r="M262" s="47"/>
      <c r="N262" s="10"/>
      <c r="O262" s="47"/>
      <c r="P262" s="47"/>
      <c r="Q262" s="47"/>
      <c r="R262" s="48" t="str">
        <f aca="false">IF(Q262="","",IF(Q262=0,"below 5:00",IF(Q262&gt;=66,"16:00 or above",INT((60+2*Q262)/12)&amp;":"&amp;TEXT(MOD(60+2*Q262,12),"00"))))</f>
        <v/>
      </c>
      <c r="S262" s="47"/>
      <c r="T262" s="47"/>
      <c r="U262" s="47"/>
      <c r="V262" s="47"/>
      <c r="W262" s="47"/>
      <c r="X262" s="47"/>
      <c r="Y262" s="47"/>
      <c r="Z262" s="47"/>
      <c r="AA262" s="10"/>
      <c r="AB262" s="10"/>
      <c r="AC262" s="47"/>
      <c r="AD262" s="47"/>
      <c r="AE262" s="47"/>
      <c r="AF262" s="47"/>
      <c r="AG262" s="47"/>
      <c r="AH262" s="47"/>
      <c r="AI262" s="46"/>
      <c r="AJ262" s="46"/>
      <c r="AK262" s="46"/>
      <c r="AL262" s="7"/>
      <c r="AM262" s="49" t="str">
        <f aca="false">IF(OR(C262="",G262=""),"",IFERROR(DATEDIF(C262,G262,"m"),""))</f>
        <v/>
      </c>
      <c r="AN262" s="49" t="str">
        <f aca="false">IF(OR(Q262="",AM262=""),"",60+2*Q262-AM262)</f>
        <v/>
      </c>
      <c r="AO262" s="49" t="str">
        <f aca="false">IF(OR(G262="",AJ262=""),"",AJ262-G262)</f>
        <v/>
      </c>
      <c r="AP262" s="50" t="str">
        <f aca="false">IF(AND(A262="",B262=""),"",IF(J262="","Status needed",IF(OR(J262="Applied",J262="Visit booked",J262="Withdrawn"),"OK",IF(G262="","Date assessed needed",IF(C262="","Date of birth needed",IF(COUNTA(L262,M262,P262,U262,V262,X262)&lt;6,"Band missing",IF(AND(OR(J262="Decision confirmed",J262="Family told",J262="Enrolled"),AG262=""),"Recommendation needed",IF(AND(OR(J262="Family told",J262="Enrolled"),AJ262=""),"Date family told needed","OK"))))))))</f>
        <v/>
      </c>
    </row>
    <row r="263" customFormat="false" ht="15" hidden="false" customHeight="false" outlineLevel="0" collapsed="false">
      <c r="A263" s="7"/>
      <c r="B263" s="7"/>
      <c r="C263" s="46"/>
      <c r="D263" s="7"/>
      <c r="E263" s="47"/>
      <c r="F263" s="46"/>
      <c r="G263" s="46"/>
      <c r="H263" s="7"/>
      <c r="I263" s="7"/>
      <c r="J263" s="47"/>
      <c r="K263" s="47"/>
      <c r="L263" s="47"/>
      <c r="M263" s="47"/>
      <c r="N263" s="10"/>
      <c r="O263" s="47"/>
      <c r="P263" s="47"/>
      <c r="Q263" s="47"/>
      <c r="R263" s="48" t="str">
        <f aca="false">IF(Q263="","",IF(Q263=0,"below 5:00",IF(Q263&gt;=66,"16:00 or above",INT((60+2*Q263)/12)&amp;":"&amp;TEXT(MOD(60+2*Q263,12),"00"))))</f>
        <v/>
      </c>
      <c r="S263" s="47"/>
      <c r="T263" s="47"/>
      <c r="U263" s="47"/>
      <c r="V263" s="47"/>
      <c r="W263" s="47"/>
      <c r="X263" s="47"/>
      <c r="Y263" s="47"/>
      <c r="Z263" s="47"/>
      <c r="AA263" s="10"/>
      <c r="AB263" s="10"/>
      <c r="AC263" s="47"/>
      <c r="AD263" s="47"/>
      <c r="AE263" s="47"/>
      <c r="AF263" s="47"/>
      <c r="AG263" s="47"/>
      <c r="AH263" s="47"/>
      <c r="AI263" s="46"/>
      <c r="AJ263" s="46"/>
      <c r="AK263" s="46"/>
      <c r="AL263" s="7"/>
      <c r="AM263" s="49" t="str">
        <f aca="false">IF(OR(C263="",G263=""),"",IFERROR(DATEDIF(C263,G263,"m"),""))</f>
        <v/>
      </c>
      <c r="AN263" s="49" t="str">
        <f aca="false">IF(OR(Q263="",AM263=""),"",60+2*Q263-AM263)</f>
        <v/>
      </c>
      <c r="AO263" s="49" t="str">
        <f aca="false">IF(OR(G263="",AJ263=""),"",AJ263-G263)</f>
        <v/>
      </c>
      <c r="AP263" s="50" t="str">
        <f aca="false">IF(AND(A263="",B263=""),"",IF(J263="","Status needed",IF(OR(J263="Applied",J263="Visit booked",J263="Withdrawn"),"OK",IF(G263="","Date assessed needed",IF(C263="","Date of birth needed",IF(COUNTA(L263,M263,P263,U263,V263,X263)&lt;6,"Band missing",IF(AND(OR(J263="Decision confirmed",J263="Family told",J263="Enrolled"),AG263=""),"Recommendation needed",IF(AND(OR(J263="Family told",J263="Enrolled"),AJ263=""),"Date family told needed","OK"))))))))</f>
        <v/>
      </c>
    </row>
    <row r="264" customFormat="false" ht="15" hidden="false" customHeight="false" outlineLevel="0" collapsed="false">
      <c r="A264" s="7"/>
      <c r="B264" s="7"/>
      <c r="C264" s="46"/>
      <c r="D264" s="7"/>
      <c r="E264" s="47"/>
      <c r="F264" s="46"/>
      <c r="G264" s="46"/>
      <c r="H264" s="7"/>
      <c r="I264" s="7"/>
      <c r="J264" s="47"/>
      <c r="K264" s="47"/>
      <c r="L264" s="47"/>
      <c r="M264" s="47"/>
      <c r="N264" s="10"/>
      <c r="O264" s="47"/>
      <c r="P264" s="47"/>
      <c r="Q264" s="47"/>
      <c r="R264" s="48" t="str">
        <f aca="false">IF(Q264="","",IF(Q264=0,"below 5:00",IF(Q264&gt;=66,"16:00 or above",INT((60+2*Q264)/12)&amp;":"&amp;TEXT(MOD(60+2*Q264,12),"00"))))</f>
        <v/>
      </c>
      <c r="S264" s="47"/>
      <c r="T264" s="47"/>
      <c r="U264" s="47"/>
      <c r="V264" s="47"/>
      <c r="W264" s="47"/>
      <c r="X264" s="47"/>
      <c r="Y264" s="47"/>
      <c r="Z264" s="47"/>
      <c r="AA264" s="10"/>
      <c r="AB264" s="10"/>
      <c r="AC264" s="47"/>
      <c r="AD264" s="47"/>
      <c r="AE264" s="47"/>
      <c r="AF264" s="47"/>
      <c r="AG264" s="47"/>
      <c r="AH264" s="47"/>
      <c r="AI264" s="46"/>
      <c r="AJ264" s="46"/>
      <c r="AK264" s="46"/>
      <c r="AL264" s="7"/>
      <c r="AM264" s="49" t="str">
        <f aca="false">IF(OR(C264="",G264=""),"",IFERROR(DATEDIF(C264,G264,"m"),""))</f>
        <v/>
      </c>
      <c r="AN264" s="49" t="str">
        <f aca="false">IF(OR(Q264="",AM264=""),"",60+2*Q264-AM264)</f>
        <v/>
      </c>
      <c r="AO264" s="49" t="str">
        <f aca="false">IF(OR(G264="",AJ264=""),"",AJ264-G264)</f>
        <v/>
      </c>
      <c r="AP264" s="50" t="str">
        <f aca="false">IF(AND(A264="",B264=""),"",IF(J264="","Status needed",IF(OR(J264="Applied",J264="Visit booked",J264="Withdrawn"),"OK",IF(G264="","Date assessed needed",IF(C264="","Date of birth needed",IF(COUNTA(L264,M264,P264,U264,V264,X264)&lt;6,"Band missing",IF(AND(OR(J264="Decision confirmed",J264="Family told",J264="Enrolled"),AG264=""),"Recommendation needed",IF(AND(OR(J264="Family told",J264="Enrolled"),AJ264=""),"Date family told needed","OK"))))))))</f>
        <v/>
      </c>
    </row>
    <row r="265" customFormat="false" ht="15" hidden="false" customHeight="false" outlineLevel="0" collapsed="false">
      <c r="A265" s="7"/>
      <c r="B265" s="7"/>
      <c r="C265" s="46"/>
      <c r="D265" s="7"/>
      <c r="E265" s="47"/>
      <c r="F265" s="46"/>
      <c r="G265" s="46"/>
      <c r="H265" s="7"/>
      <c r="I265" s="7"/>
      <c r="J265" s="47"/>
      <c r="K265" s="47"/>
      <c r="L265" s="47"/>
      <c r="M265" s="47"/>
      <c r="N265" s="10"/>
      <c r="O265" s="47"/>
      <c r="P265" s="47"/>
      <c r="Q265" s="47"/>
      <c r="R265" s="48" t="str">
        <f aca="false">IF(Q265="","",IF(Q265=0,"below 5:00",IF(Q265&gt;=66,"16:00 or above",INT((60+2*Q265)/12)&amp;":"&amp;TEXT(MOD(60+2*Q265,12),"00"))))</f>
        <v/>
      </c>
      <c r="S265" s="47"/>
      <c r="T265" s="47"/>
      <c r="U265" s="47"/>
      <c r="V265" s="47"/>
      <c r="W265" s="47"/>
      <c r="X265" s="47"/>
      <c r="Y265" s="47"/>
      <c r="Z265" s="47"/>
      <c r="AA265" s="10"/>
      <c r="AB265" s="10"/>
      <c r="AC265" s="47"/>
      <c r="AD265" s="47"/>
      <c r="AE265" s="47"/>
      <c r="AF265" s="47"/>
      <c r="AG265" s="47"/>
      <c r="AH265" s="47"/>
      <c r="AI265" s="46"/>
      <c r="AJ265" s="46"/>
      <c r="AK265" s="46"/>
      <c r="AL265" s="7"/>
      <c r="AM265" s="49" t="str">
        <f aca="false">IF(OR(C265="",G265=""),"",IFERROR(DATEDIF(C265,G265,"m"),""))</f>
        <v/>
      </c>
      <c r="AN265" s="49" t="str">
        <f aca="false">IF(OR(Q265="",AM265=""),"",60+2*Q265-AM265)</f>
        <v/>
      </c>
      <c r="AO265" s="49" t="str">
        <f aca="false">IF(OR(G265="",AJ265=""),"",AJ265-G265)</f>
        <v/>
      </c>
      <c r="AP265" s="50" t="str">
        <f aca="false">IF(AND(A265="",B265=""),"",IF(J265="","Status needed",IF(OR(J265="Applied",J265="Visit booked",J265="Withdrawn"),"OK",IF(G265="","Date assessed needed",IF(C265="","Date of birth needed",IF(COUNTA(L265,M265,P265,U265,V265,X265)&lt;6,"Band missing",IF(AND(OR(J265="Decision confirmed",J265="Family told",J265="Enrolled"),AG265=""),"Recommendation needed",IF(AND(OR(J265="Family told",J265="Enrolled"),AJ265=""),"Date family told needed","OK"))))))))</f>
        <v/>
      </c>
    </row>
    <row r="266" customFormat="false" ht="15" hidden="false" customHeight="false" outlineLevel="0" collapsed="false">
      <c r="A266" s="7"/>
      <c r="B266" s="7"/>
      <c r="C266" s="46"/>
      <c r="D266" s="7"/>
      <c r="E266" s="47"/>
      <c r="F266" s="46"/>
      <c r="G266" s="46"/>
      <c r="H266" s="7"/>
      <c r="I266" s="7"/>
      <c r="J266" s="47"/>
      <c r="K266" s="47"/>
      <c r="L266" s="47"/>
      <c r="M266" s="47"/>
      <c r="N266" s="10"/>
      <c r="O266" s="47"/>
      <c r="P266" s="47"/>
      <c r="Q266" s="47"/>
      <c r="R266" s="48" t="str">
        <f aca="false">IF(Q266="","",IF(Q266=0,"below 5:00",IF(Q266&gt;=66,"16:00 or above",INT((60+2*Q266)/12)&amp;":"&amp;TEXT(MOD(60+2*Q266,12),"00"))))</f>
        <v/>
      </c>
      <c r="S266" s="47"/>
      <c r="T266" s="47"/>
      <c r="U266" s="47"/>
      <c r="V266" s="47"/>
      <c r="W266" s="47"/>
      <c r="X266" s="47"/>
      <c r="Y266" s="47"/>
      <c r="Z266" s="47"/>
      <c r="AA266" s="10"/>
      <c r="AB266" s="10"/>
      <c r="AC266" s="47"/>
      <c r="AD266" s="47"/>
      <c r="AE266" s="47"/>
      <c r="AF266" s="47"/>
      <c r="AG266" s="47"/>
      <c r="AH266" s="47"/>
      <c r="AI266" s="46"/>
      <c r="AJ266" s="46"/>
      <c r="AK266" s="46"/>
      <c r="AL266" s="7"/>
      <c r="AM266" s="49" t="str">
        <f aca="false">IF(OR(C266="",G266=""),"",IFERROR(DATEDIF(C266,G266,"m"),""))</f>
        <v/>
      </c>
      <c r="AN266" s="49" t="str">
        <f aca="false">IF(OR(Q266="",AM266=""),"",60+2*Q266-AM266)</f>
        <v/>
      </c>
      <c r="AO266" s="49" t="str">
        <f aca="false">IF(OR(G266="",AJ266=""),"",AJ266-G266)</f>
        <v/>
      </c>
      <c r="AP266" s="50" t="str">
        <f aca="false">IF(AND(A266="",B266=""),"",IF(J266="","Status needed",IF(OR(J266="Applied",J266="Visit booked",J266="Withdrawn"),"OK",IF(G266="","Date assessed needed",IF(C266="","Date of birth needed",IF(COUNTA(L266,M266,P266,U266,V266,X266)&lt;6,"Band missing",IF(AND(OR(J266="Decision confirmed",J266="Family told",J266="Enrolled"),AG266=""),"Recommendation needed",IF(AND(OR(J266="Family told",J266="Enrolled"),AJ266=""),"Date family told needed","OK"))))))))</f>
        <v/>
      </c>
    </row>
    <row r="267" customFormat="false" ht="15" hidden="false" customHeight="false" outlineLevel="0" collapsed="false">
      <c r="A267" s="7"/>
      <c r="B267" s="7"/>
      <c r="C267" s="46"/>
      <c r="D267" s="7"/>
      <c r="E267" s="47"/>
      <c r="F267" s="46"/>
      <c r="G267" s="46"/>
      <c r="H267" s="7"/>
      <c r="I267" s="7"/>
      <c r="J267" s="47"/>
      <c r="K267" s="47"/>
      <c r="L267" s="47"/>
      <c r="M267" s="47"/>
      <c r="N267" s="10"/>
      <c r="O267" s="47"/>
      <c r="P267" s="47"/>
      <c r="Q267" s="47"/>
      <c r="R267" s="48" t="str">
        <f aca="false">IF(Q267="","",IF(Q267=0,"below 5:00",IF(Q267&gt;=66,"16:00 or above",INT((60+2*Q267)/12)&amp;":"&amp;TEXT(MOD(60+2*Q267,12),"00"))))</f>
        <v/>
      </c>
      <c r="S267" s="47"/>
      <c r="T267" s="47"/>
      <c r="U267" s="47"/>
      <c r="V267" s="47"/>
      <c r="W267" s="47"/>
      <c r="X267" s="47"/>
      <c r="Y267" s="47"/>
      <c r="Z267" s="47"/>
      <c r="AA267" s="10"/>
      <c r="AB267" s="10"/>
      <c r="AC267" s="47"/>
      <c r="AD267" s="47"/>
      <c r="AE267" s="47"/>
      <c r="AF267" s="47"/>
      <c r="AG267" s="47"/>
      <c r="AH267" s="47"/>
      <c r="AI267" s="46"/>
      <c r="AJ267" s="46"/>
      <c r="AK267" s="46"/>
      <c r="AL267" s="7"/>
      <c r="AM267" s="49" t="str">
        <f aca="false">IF(OR(C267="",G267=""),"",IFERROR(DATEDIF(C267,G267,"m"),""))</f>
        <v/>
      </c>
      <c r="AN267" s="49" t="str">
        <f aca="false">IF(OR(Q267="",AM267=""),"",60+2*Q267-AM267)</f>
        <v/>
      </c>
      <c r="AO267" s="49" t="str">
        <f aca="false">IF(OR(G267="",AJ267=""),"",AJ267-G267)</f>
        <v/>
      </c>
      <c r="AP267" s="50" t="str">
        <f aca="false">IF(AND(A267="",B267=""),"",IF(J267="","Status needed",IF(OR(J267="Applied",J267="Visit booked",J267="Withdrawn"),"OK",IF(G267="","Date assessed needed",IF(C267="","Date of birth needed",IF(COUNTA(L267,M267,P267,U267,V267,X267)&lt;6,"Band missing",IF(AND(OR(J267="Decision confirmed",J267="Family told",J267="Enrolled"),AG267=""),"Recommendation needed",IF(AND(OR(J267="Family told",J267="Enrolled"),AJ267=""),"Date family told needed","OK"))))))))</f>
        <v/>
      </c>
    </row>
    <row r="268" customFormat="false" ht="15" hidden="false" customHeight="false" outlineLevel="0" collapsed="false">
      <c r="A268" s="7"/>
      <c r="B268" s="7"/>
      <c r="C268" s="46"/>
      <c r="D268" s="7"/>
      <c r="E268" s="47"/>
      <c r="F268" s="46"/>
      <c r="G268" s="46"/>
      <c r="H268" s="7"/>
      <c r="I268" s="7"/>
      <c r="J268" s="47"/>
      <c r="K268" s="47"/>
      <c r="L268" s="47"/>
      <c r="M268" s="47"/>
      <c r="N268" s="10"/>
      <c r="O268" s="47"/>
      <c r="P268" s="47"/>
      <c r="Q268" s="47"/>
      <c r="R268" s="48" t="str">
        <f aca="false">IF(Q268="","",IF(Q268=0,"below 5:00",IF(Q268&gt;=66,"16:00 or above",INT((60+2*Q268)/12)&amp;":"&amp;TEXT(MOD(60+2*Q268,12),"00"))))</f>
        <v/>
      </c>
      <c r="S268" s="47"/>
      <c r="T268" s="47"/>
      <c r="U268" s="47"/>
      <c r="V268" s="47"/>
      <c r="W268" s="47"/>
      <c r="X268" s="47"/>
      <c r="Y268" s="47"/>
      <c r="Z268" s="47"/>
      <c r="AA268" s="10"/>
      <c r="AB268" s="10"/>
      <c r="AC268" s="47"/>
      <c r="AD268" s="47"/>
      <c r="AE268" s="47"/>
      <c r="AF268" s="47"/>
      <c r="AG268" s="47"/>
      <c r="AH268" s="47"/>
      <c r="AI268" s="46"/>
      <c r="AJ268" s="46"/>
      <c r="AK268" s="46"/>
      <c r="AL268" s="7"/>
      <c r="AM268" s="49" t="str">
        <f aca="false">IF(OR(C268="",G268=""),"",IFERROR(DATEDIF(C268,G268,"m"),""))</f>
        <v/>
      </c>
      <c r="AN268" s="49" t="str">
        <f aca="false">IF(OR(Q268="",AM268=""),"",60+2*Q268-AM268)</f>
        <v/>
      </c>
      <c r="AO268" s="49" t="str">
        <f aca="false">IF(OR(G268="",AJ268=""),"",AJ268-G268)</f>
        <v/>
      </c>
      <c r="AP268" s="50" t="str">
        <f aca="false">IF(AND(A268="",B268=""),"",IF(J268="","Status needed",IF(OR(J268="Applied",J268="Visit booked",J268="Withdrawn"),"OK",IF(G268="","Date assessed needed",IF(C268="","Date of birth needed",IF(COUNTA(L268,M268,P268,U268,V268,X268)&lt;6,"Band missing",IF(AND(OR(J268="Decision confirmed",J268="Family told",J268="Enrolled"),AG268=""),"Recommendation needed",IF(AND(OR(J268="Family told",J268="Enrolled"),AJ268=""),"Date family told needed","OK"))))))))</f>
        <v/>
      </c>
    </row>
    <row r="269" customFormat="false" ht="15" hidden="false" customHeight="false" outlineLevel="0" collapsed="false">
      <c r="A269" s="7"/>
      <c r="B269" s="7"/>
      <c r="C269" s="46"/>
      <c r="D269" s="7"/>
      <c r="E269" s="47"/>
      <c r="F269" s="46"/>
      <c r="G269" s="46"/>
      <c r="H269" s="7"/>
      <c r="I269" s="7"/>
      <c r="J269" s="47"/>
      <c r="K269" s="47"/>
      <c r="L269" s="47"/>
      <c r="M269" s="47"/>
      <c r="N269" s="10"/>
      <c r="O269" s="47"/>
      <c r="P269" s="47"/>
      <c r="Q269" s="47"/>
      <c r="R269" s="48" t="str">
        <f aca="false">IF(Q269="","",IF(Q269=0,"below 5:00",IF(Q269&gt;=66,"16:00 or above",INT((60+2*Q269)/12)&amp;":"&amp;TEXT(MOD(60+2*Q269,12),"00"))))</f>
        <v/>
      </c>
      <c r="S269" s="47"/>
      <c r="T269" s="47"/>
      <c r="U269" s="47"/>
      <c r="V269" s="47"/>
      <c r="W269" s="47"/>
      <c r="X269" s="47"/>
      <c r="Y269" s="47"/>
      <c r="Z269" s="47"/>
      <c r="AA269" s="10"/>
      <c r="AB269" s="10"/>
      <c r="AC269" s="47"/>
      <c r="AD269" s="47"/>
      <c r="AE269" s="47"/>
      <c r="AF269" s="47"/>
      <c r="AG269" s="47"/>
      <c r="AH269" s="47"/>
      <c r="AI269" s="46"/>
      <c r="AJ269" s="46"/>
      <c r="AK269" s="46"/>
      <c r="AL269" s="7"/>
      <c r="AM269" s="49" t="str">
        <f aca="false">IF(OR(C269="",G269=""),"",IFERROR(DATEDIF(C269,G269,"m"),""))</f>
        <v/>
      </c>
      <c r="AN269" s="49" t="str">
        <f aca="false">IF(OR(Q269="",AM269=""),"",60+2*Q269-AM269)</f>
        <v/>
      </c>
      <c r="AO269" s="49" t="str">
        <f aca="false">IF(OR(G269="",AJ269=""),"",AJ269-G269)</f>
        <v/>
      </c>
      <c r="AP269" s="50" t="str">
        <f aca="false">IF(AND(A269="",B269=""),"",IF(J269="","Status needed",IF(OR(J269="Applied",J269="Visit booked",J269="Withdrawn"),"OK",IF(G269="","Date assessed needed",IF(C269="","Date of birth needed",IF(COUNTA(L269,M269,P269,U269,V269,X269)&lt;6,"Band missing",IF(AND(OR(J269="Decision confirmed",J269="Family told",J269="Enrolled"),AG269=""),"Recommendation needed",IF(AND(OR(J269="Family told",J269="Enrolled"),AJ269=""),"Date family told needed","OK"))))))))</f>
        <v/>
      </c>
    </row>
    <row r="270" customFormat="false" ht="15" hidden="false" customHeight="false" outlineLevel="0" collapsed="false">
      <c r="A270" s="7"/>
      <c r="B270" s="7"/>
      <c r="C270" s="46"/>
      <c r="D270" s="7"/>
      <c r="E270" s="47"/>
      <c r="F270" s="46"/>
      <c r="G270" s="46"/>
      <c r="H270" s="7"/>
      <c r="I270" s="7"/>
      <c r="J270" s="47"/>
      <c r="K270" s="47"/>
      <c r="L270" s="47"/>
      <c r="M270" s="47"/>
      <c r="N270" s="10"/>
      <c r="O270" s="47"/>
      <c r="P270" s="47"/>
      <c r="Q270" s="47"/>
      <c r="R270" s="48" t="str">
        <f aca="false">IF(Q270="","",IF(Q270=0,"below 5:00",IF(Q270&gt;=66,"16:00 or above",INT((60+2*Q270)/12)&amp;":"&amp;TEXT(MOD(60+2*Q270,12),"00"))))</f>
        <v/>
      </c>
      <c r="S270" s="47"/>
      <c r="T270" s="47"/>
      <c r="U270" s="47"/>
      <c r="V270" s="47"/>
      <c r="W270" s="47"/>
      <c r="X270" s="47"/>
      <c r="Y270" s="47"/>
      <c r="Z270" s="47"/>
      <c r="AA270" s="10"/>
      <c r="AB270" s="10"/>
      <c r="AC270" s="47"/>
      <c r="AD270" s="47"/>
      <c r="AE270" s="47"/>
      <c r="AF270" s="47"/>
      <c r="AG270" s="47"/>
      <c r="AH270" s="47"/>
      <c r="AI270" s="46"/>
      <c r="AJ270" s="46"/>
      <c r="AK270" s="46"/>
      <c r="AL270" s="7"/>
      <c r="AM270" s="49" t="str">
        <f aca="false">IF(OR(C270="",G270=""),"",IFERROR(DATEDIF(C270,G270,"m"),""))</f>
        <v/>
      </c>
      <c r="AN270" s="49" t="str">
        <f aca="false">IF(OR(Q270="",AM270=""),"",60+2*Q270-AM270)</f>
        <v/>
      </c>
      <c r="AO270" s="49" t="str">
        <f aca="false">IF(OR(G270="",AJ270=""),"",AJ270-G270)</f>
        <v/>
      </c>
      <c r="AP270" s="50" t="str">
        <f aca="false">IF(AND(A270="",B270=""),"",IF(J270="","Status needed",IF(OR(J270="Applied",J270="Visit booked",J270="Withdrawn"),"OK",IF(G270="","Date assessed needed",IF(C270="","Date of birth needed",IF(COUNTA(L270,M270,P270,U270,V270,X270)&lt;6,"Band missing",IF(AND(OR(J270="Decision confirmed",J270="Family told",J270="Enrolled"),AG270=""),"Recommendation needed",IF(AND(OR(J270="Family told",J270="Enrolled"),AJ270=""),"Date family told needed","OK"))))))))</f>
        <v/>
      </c>
    </row>
    <row r="271" customFormat="false" ht="15" hidden="false" customHeight="false" outlineLevel="0" collapsed="false">
      <c r="A271" s="7"/>
      <c r="B271" s="7"/>
      <c r="C271" s="46"/>
      <c r="D271" s="7"/>
      <c r="E271" s="47"/>
      <c r="F271" s="46"/>
      <c r="G271" s="46"/>
      <c r="H271" s="7"/>
      <c r="I271" s="7"/>
      <c r="J271" s="47"/>
      <c r="K271" s="47"/>
      <c r="L271" s="47"/>
      <c r="M271" s="47"/>
      <c r="N271" s="10"/>
      <c r="O271" s="47"/>
      <c r="P271" s="47"/>
      <c r="Q271" s="47"/>
      <c r="R271" s="48" t="str">
        <f aca="false">IF(Q271="","",IF(Q271=0,"below 5:00",IF(Q271&gt;=66,"16:00 or above",INT((60+2*Q271)/12)&amp;":"&amp;TEXT(MOD(60+2*Q271,12),"00"))))</f>
        <v/>
      </c>
      <c r="S271" s="47"/>
      <c r="T271" s="47"/>
      <c r="U271" s="47"/>
      <c r="V271" s="47"/>
      <c r="W271" s="47"/>
      <c r="X271" s="47"/>
      <c r="Y271" s="47"/>
      <c r="Z271" s="47"/>
      <c r="AA271" s="10"/>
      <c r="AB271" s="10"/>
      <c r="AC271" s="47"/>
      <c r="AD271" s="47"/>
      <c r="AE271" s="47"/>
      <c r="AF271" s="47"/>
      <c r="AG271" s="47"/>
      <c r="AH271" s="47"/>
      <c r="AI271" s="46"/>
      <c r="AJ271" s="46"/>
      <c r="AK271" s="46"/>
      <c r="AL271" s="7"/>
      <c r="AM271" s="49" t="str">
        <f aca="false">IF(OR(C271="",G271=""),"",IFERROR(DATEDIF(C271,G271,"m"),""))</f>
        <v/>
      </c>
      <c r="AN271" s="49" t="str">
        <f aca="false">IF(OR(Q271="",AM271=""),"",60+2*Q271-AM271)</f>
        <v/>
      </c>
      <c r="AO271" s="49" t="str">
        <f aca="false">IF(OR(G271="",AJ271=""),"",AJ271-G271)</f>
        <v/>
      </c>
      <c r="AP271" s="50" t="str">
        <f aca="false">IF(AND(A271="",B271=""),"",IF(J271="","Status needed",IF(OR(J271="Applied",J271="Visit booked",J271="Withdrawn"),"OK",IF(G271="","Date assessed needed",IF(C271="","Date of birth needed",IF(COUNTA(L271,M271,P271,U271,V271,X271)&lt;6,"Band missing",IF(AND(OR(J271="Decision confirmed",J271="Family told",J271="Enrolled"),AG271=""),"Recommendation needed",IF(AND(OR(J271="Family told",J271="Enrolled"),AJ271=""),"Date family told needed","OK"))))))))</f>
        <v/>
      </c>
    </row>
    <row r="272" customFormat="false" ht="15" hidden="false" customHeight="false" outlineLevel="0" collapsed="false">
      <c r="A272" s="7"/>
      <c r="B272" s="7"/>
      <c r="C272" s="46"/>
      <c r="D272" s="7"/>
      <c r="E272" s="47"/>
      <c r="F272" s="46"/>
      <c r="G272" s="46"/>
      <c r="H272" s="7"/>
      <c r="I272" s="7"/>
      <c r="J272" s="47"/>
      <c r="K272" s="47"/>
      <c r="L272" s="47"/>
      <c r="M272" s="47"/>
      <c r="N272" s="10"/>
      <c r="O272" s="47"/>
      <c r="P272" s="47"/>
      <c r="Q272" s="47"/>
      <c r="R272" s="48" t="str">
        <f aca="false">IF(Q272="","",IF(Q272=0,"below 5:00",IF(Q272&gt;=66,"16:00 or above",INT((60+2*Q272)/12)&amp;":"&amp;TEXT(MOD(60+2*Q272,12),"00"))))</f>
        <v/>
      </c>
      <c r="S272" s="47"/>
      <c r="T272" s="47"/>
      <c r="U272" s="47"/>
      <c r="V272" s="47"/>
      <c r="W272" s="47"/>
      <c r="X272" s="47"/>
      <c r="Y272" s="47"/>
      <c r="Z272" s="47"/>
      <c r="AA272" s="10"/>
      <c r="AB272" s="10"/>
      <c r="AC272" s="47"/>
      <c r="AD272" s="47"/>
      <c r="AE272" s="47"/>
      <c r="AF272" s="47"/>
      <c r="AG272" s="47"/>
      <c r="AH272" s="47"/>
      <c r="AI272" s="46"/>
      <c r="AJ272" s="46"/>
      <c r="AK272" s="46"/>
      <c r="AL272" s="7"/>
      <c r="AM272" s="49" t="str">
        <f aca="false">IF(OR(C272="",G272=""),"",IFERROR(DATEDIF(C272,G272,"m"),""))</f>
        <v/>
      </c>
      <c r="AN272" s="49" t="str">
        <f aca="false">IF(OR(Q272="",AM272=""),"",60+2*Q272-AM272)</f>
        <v/>
      </c>
      <c r="AO272" s="49" t="str">
        <f aca="false">IF(OR(G272="",AJ272=""),"",AJ272-G272)</f>
        <v/>
      </c>
      <c r="AP272" s="50" t="str">
        <f aca="false">IF(AND(A272="",B272=""),"",IF(J272="","Status needed",IF(OR(J272="Applied",J272="Visit booked",J272="Withdrawn"),"OK",IF(G272="","Date assessed needed",IF(C272="","Date of birth needed",IF(COUNTA(L272,M272,P272,U272,V272,X272)&lt;6,"Band missing",IF(AND(OR(J272="Decision confirmed",J272="Family told",J272="Enrolled"),AG272=""),"Recommendation needed",IF(AND(OR(J272="Family told",J272="Enrolled"),AJ272=""),"Date family told needed","OK"))))))))</f>
        <v/>
      </c>
    </row>
    <row r="273" customFormat="false" ht="15" hidden="false" customHeight="false" outlineLevel="0" collapsed="false">
      <c r="A273" s="7"/>
      <c r="B273" s="7"/>
      <c r="C273" s="46"/>
      <c r="D273" s="7"/>
      <c r="E273" s="47"/>
      <c r="F273" s="46"/>
      <c r="G273" s="46"/>
      <c r="H273" s="7"/>
      <c r="I273" s="7"/>
      <c r="J273" s="47"/>
      <c r="K273" s="47"/>
      <c r="L273" s="47"/>
      <c r="M273" s="47"/>
      <c r="N273" s="10"/>
      <c r="O273" s="47"/>
      <c r="P273" s="47"/>
      <c r="Q273" s="47"/>
      <c r="R273" s="48" t="str">
        <f aca="false">IF(Q273="","",IF(Q273=0,"below 5:00",IF(Q273&gt;=66,"16:00 or above",INT((60+2*Q273)/12)&amp;":"&amp;TEXT(MOD(60+2*Q273,12),"00"))))</f>
        <v/>
      </c>
      <c r="S273" s="47"/>
      <c r="T273" s="47"/>
      <c r="U273" s="47"/>
      <c r="V273" s="47"/>
      <c r="W273" s="47"/>
      <c r="X273" s="47"/>
      <c r="Y273" s="47"/>
      <c r="Z273" s="47"/>
      <c r="AA273" s="10"/>
      <c r="AB273" s="10"/>
      <c r="AC273" s="47"/>
      <c r="AD273" s="47"/>
      <c r="AE273" s="47"/>
      <c r="AF273" s="47"/>
      <c r="AG273" s="47"/>
      <c r="AH273" s="47"/>
      <c r="AI273" s="46"/>
      <c r="AJ273" s="46"/>
      <c r="AK273" s="46"/>
      <c r="AL273" s="7"/>
      <c r="AM273" s="49" t="str">
        <f aca="false">IF(OR(C273="",G273=""),"",IFERROR(DATEDIF(C273,G273,"m"),""))</f>
        <v/>
      </c>
      <c r="AN273" s="49" t="str">
        <f aca="false">IF(OR(Q273="",AM273=""),"",60+2*Q273-AM273)</f>
        <v/>
      </c>
      <c r="AO273" s="49" t="str">
        <f aca="false">IF(OR(G273="",AJ273=""),"",AJ273-G273)</f>
        <v/>
      </c>
      <c r="AP273" s="50" t="str">
        <f aca="false">IF(AND(A273="",B273=""),"",IF(J273="","Status needed",IF(OR(J273="Applied",J273="Visit booked",J273="Withdrawn"),"OK",IF(G273="","Date assessed needed",IF(C273="","Date of birth needed",IF(COUNTA(L273,M273,P273,U273,V273,X273)&lt;6,"Band missing",IF(AND(OR(J273="Decision confirmed",J273="Family told",J273="Enrolled"),AG273=""),"Recommendation needed",IF(AND(OR(J273="Family told",J273="Enrolled"),AJ273=""),"Date family told needed","OK"))))))))</f>
        <v/>
      </c>
    </row>
    <row r="274" customFormat="false" ht="15" hidden="false" customHeight="false" outlineLevel="0" collapsed="false">
      <c r="A274" s="7"/>
      <c r="B274" s="7"/>
      <c r="C274" s="46"/>
      <c r="D274" s="7"/>
      <c r="E274" s="47"/>
      <c r="F274" s="46"/>
      <c r="G274" s="46"/>
      <c r="H274" s="7"/>
      <c r="I274" s="7"/>
      <c r="J274" s="47"/>
      <c r="K274" s="47"/>
      <c r="L274" s="47"/>
      <c r="M274" s="47"/>
      <c r="N274" s="10"/>
      <c r="O274" s="47"/>
      <c r="P274" s="47"/>
      <c r="Q274" s="47"/>
      <c r="R274" s="48" t="str">
        <f aca="false">IF(Q274="","",IF(Q274=0,"below 5:00",IF(Q274&gt;=66,"16:00 or above",INT((60+2*Q274)/12)&amp;":"&amp;TEXT(MOD(60+2*Q274,12),"00"))))</f>
        <v/>
      </c>
      <c r="S274" s="47"/>
      <c r="T274" s="47"/>
      <c r="U274" s="47"/>
      <c r="V274" s="47"/>
      <c r="W274" s="47"/>
      <c r="X274" s="47"/>
      <c r="Y274" s="47"/>
      <c r="Z274" s="47"/>
      <c r="AA274" s="10"/>
      <c r="AB274" s="10"/>
      <c r="AC274" s="47"/>
      <c r="AD274" s="47"/>
      <c r="AE274" s="47"/>
      <c r="AF274" s="47"/>
      <c r="AG274" s="47"/>
      <c r="AH274" s="47"/>
      <c r="AI274" s="46"/>
      <c r="AJ274" s="46"/>
      <c r="AK274" s="46"/>
      <c r="AL274" s="7"/>
      <c r="AM274" s="49" t="str">
        <f aca="false">IF(OR(C274="",G274=""),"",IFERROR(DATEDIF(C274,G274,"m"),""))</f>
        <v/>
      </c>
      <c r="AN274" s="49" t="str">
        <f aca="false">IF(OR(Q274="",AM274=""),"",60+2*Q274-AM274)</f>
        <v/>
      </c>
      <c r="AO274" s="49" t="str">
        <f aca="false">IF(OR(G274="",AJ274=""),"",AJ274-G274)</f>
        <v/>
      </c>
      <c r="AP274" s="50" t="str">
        <f aca="false">IF(AND(A274="",B274=""),"",IF(J274="","Status needed",IF(OR(J274="Applied",J274="Visit booked",J274="Withdrawn"),"OK",IF(G274="","Date assessed needed",IF(C274="","Date of birth needed",IF(COUNTA(L274,M274,P274,U274,V274,X274)&lt;6,"Band missing",IF(AND(OR(J274="Decision confirmed",J274="Family told",J274="Enrolled"),AG274=""),"Recommendation needed",IF(AND(OR(J274="Family told",J274="Enrolled"),AJ274=""),"Date family told needed","OK"))))))))</f>
        <v/>
      </c>
    </row>
    <row r="275" customFormat="false" ht="15" hidden="false" customHeight="false" outlineLevel="0" collapsed="false">
      <c r="A275" s="7"/>
      <c r="B275" s="7"/>
      <c r="C275" s="46"/>
      <c r="D275" s="7"/>
      <c r="E275" s="47"/>
      <c r="F275" s="46"/>
      <c r="G275" s="46"/>
      <c r="H275" s="7"/>
      <c r="I275" s="7"/>
      <c r="J275" s="47"/>
      <c r="K275" s="47"/>
      <c r="L275" s="47"/>
      <c r="M275" s="47"/>
      <c r="N275" s="10"/>
      <c r="O275" s="47"/>
      <c r="P275" s="47"/>
      <c r="Q275" s="47"/>
      <c r="R275" s="48" t="str">
        <f aca="false">IF(Q275="","",IF(Q275=0,"below 5:00",IF(Q275&gt;=66,"16:00 or above",INT((60+2*Q275)/12)&amp;":"&amp;TEXT(MOD(60+2*Q275,12),"00"))))</f>
        <v/>
      </c>
      <c r="S275" s="47"/>
      <c r="T275" s="47"/>
      <c r="U275" s="47"/>
      <c r="V275" s="47"/>
      <c r="W275" s="47"/>
      <c r="X275" s="47"/>
      <c r="Y275" s="47"/>
      <c r="Z275" s="47"/>
      <c r="AA275" s="10"/>
      <c r="AB275" s="10"/>
      <c r="AC275" s="47"/>
      <c r="AD275" s="47"/>
      <c r="AE275" s="47"/>
      <c r="AF275" s="47"/>
      <c r="AG275" s="47"/>
      <c r="AH275" s="47"/>
      <c r="AI275" s="46"/>
      <c r="AJ275" s="46"/>
      <c r="AK275" s="46"/>
      <c r="AL275" s="7"/>
      <c r="AM275" s="49" t="str">
        <f aca="false">IF(OR(C275="",G275=""),"",IFERROR(DATEDIF(C275,G275,"m"),""))</f>
        <v/>
      </c>
      <c r="AN275" s="49" t="str">
        <f aca="false">IF(OR(Q275="",AM275=""),"",60+2*Q275-AM275)</f>
        <v/>
      </c>
      <c r="AO275" s="49" t="str">
        <f aca="false">IF(OR(G275="",AJ275=""),"",AJ275-G275)</f>
        <v/>
      </c>
      <c r="AP275" s="50" t="str">
        <f aca="false">IF(AND(A275="",B275=""),"",IF(J275="","Status needed",IF(OR(J275="Applied",J275="Visit booked",J275="Withdrawn"),"OK",IF(G275="","Date assessed needed",IF(C275="","Date of birth needed",IF(COUNTA(L275,M275,P275,U275,V275,X275)&lt;6,"Band missing",IF(AND(OR(J275="Decision confirmed",J275="Family told",J275="Enrolled"),AG275=""),"Recommendation needed",IF(AND(OR(J275="Family told",J275="Enrolled"),AJ275=""),"Date family told needed","OK"))))))))</f>
        <v/>
      </c>
    </row>
    <row r="276" customFormat="false" ht="15" hidden="false" customHeight="false" outlineLevel="0" collapsed="false">
      <c r="A276" s="7"/>
      <c r="B276" s="7"/>
      <c r="C276" s="46"/>
      <c r="D276" s="7"/>
      <c r="E276" s="47"/>
      <c r="F276" s="46"/>
      <c r="G276" s="46"/>
      <c r="H276" s="7"/>
      <c r="I276" s="7"/>
      <c r="J276" s="47"/>
      <c r="K276" s="47"/>
      <c r="L276" s="47"/>
      <c r="M276" s="47"/>
      <c r="N276" s="10"/>
      <c r="O276" s="47"/>
      <c r="P276" s="47"/>
      <c r="Q276" s="47"/>
      <c r="R276" s="48" t="str">
        <f aca="false">IF(Q276="","",IF(Q276=0,"below 5:00",IF(Q276&gt;=66,"16:00 or above",INT((60+2*Q276)/12)&amp;":"&amp;TEXT(MOD(60+2*Q276,12),"00"))))</f>
        <v/>
      </c>
      <c r="S276" s="47"/>
      <c r="T276" s="47"/>
      <c r="U276" s="47"/>
      <c r="V276" s="47"/>
      <c r="W276" s="47"/>
      <c r="X276" s="47"/>
      <c r="Y276" s="47"/>
      <c r="Z276" s="47"/>
      <c r="AA276" s="10"/>
      <c r="AB276" s="10"/>
      <c r="AC276" s="47"/>
      <c r="AD276" s="47"/>
      <c r="AE276" s="47"/>
      <c r="AF276" s="47"/>
      <c r="AG276" s="47"/>
      <c r="AH276" s="47"/>
      <c r="AI276" s="46"/>
      <c r="AJ276" s="46"/>
      <c r="AK276" s="46"/>
      <c r="AL276" s="7"/>
      <c r="AM276" s="49" t="str">
        <f aca="false">IF(OR(C276="",G276=""),"",IFERROR(DATEDIF(C276,G276,"m"),""))</f>
        <v/>
      </c>
      <c r="AN276" s="49" t="str">
        <f aca="false">IF(OR(Q276="",AM276=""),"",60+2*Q276-AM276)</f>
        <v/>
      </c>
      <c r="AO276" s="49" t="str">
        <f aca="false">IF(OR(G276="",AJ276=""),"",AJ276-G276)</f>
        <v/>
      </c>
      <c r="AP276" s="50" t="str">
        <f aca="false">IF(AND(A276="",B276=""),"",IF(J276="","Status needed",IF(OR(J276="Applied",J276="Visit booked",J276="Withdrawn"),"OK",IF(G276="","Date assessed needed",IF(C276="","Date of birth needed",IF(COUNTA(L276,M276,P276,U276,V276,X276)&lt;6,"Band missing",IF(AND(OR(J276="Decision confirmed",J276="Family told",J276="Enrolled"),AG276=""),"Recommendation needed",IF(AND(OR(J276="Family told",J276="Enrolled"),AJ276=""),"Date family told needed","OK"))))))))</f>
        <v/>
      </c>
    </row>
    <row r="277" customFormat="false" ht="15" hidden="false" customHeight="false" outlineLevel="0" collapsed="false">
      <c r="A277" s="7"/>
      <c r="B277" s="7"/>
      <c r="C277" s="46"/>
      <c r="D277" s="7"/>
      <c r="E277" s="47"/>
      <c r="F277" s="46"/>
      <c r="G277" s="46"/>
      <c r="H277" s="7"/>
      <c r="I277" s="7"/>
      <c r="J277" s="47"/>
      <c r="K277" s="47"/>
      <c r="L277" s="47"/>
      <c r="M277" s="47"/>
      <c r="N277" s="10"/>
      <c r="O277" s="47"/>
      <c r="P277" s="47"/>
      <c r="Q277" s="47"/>
      <c r="R277" s="48" t="str">
        <f aca="false">IF(Q277="","",IF(Q277=0,"below 5:00",IF(Q277&gt;=66,"16:00 or above",INT((60+2*Q277)/12)&amp;":"&amp;TEXT(MOD(60+2*Q277,12),"00"))))</f>
        <v/>
      </c>
      <c r="S277" s="47"/>
      <c r="T277" s="47"/>
      <c r="U277" s="47"/>
      <c r="V277" s="47"/>
      <c r="W277" s="47"/>
      <c r="X277" s="47"/>
      <c r="Y277" s="47"/>
      <c r="Z277" s="47"/>
      <c r="AA277" s="10"/>
      <c r="AB277" s="10"/>
      <c r="AC277" s="47"/>
      <c r="AD277" s="47"/>
      <c r="AE277" s="47"/>
      <c r="AF277" s="47"/>
      <c r="AG277" s="47"/>
      <c r="AH277" s="47"/>
      <c r="AI277" s="46"/>
      <c r="AJ277" s="46"/>
      <c r="AK277" s="46"/>
      <c r="AL277" s="7"/>
      <c r="AM277" s="49" t="str">
        <f aca="false">IF(OR(C277="",G277=""),"",IFERROR(DATEDIF(C277,G277,"m"),""))</f>
        <v/>
      </c>
      <c r="AN277" s="49" t="str">
        <f aca="false">IF(OR(Q277="",AM277=""),"",60+2*Q277-AM277)</f>
        <v/>
      </c>
      <c r="AO277" s="49" t="str">
        <f aca="false">IF(OR(G277="",AJ277=""),"",AJ277-G277)</f>
        <v/>
      </c>
      <c r="AP277" s="50" t="str">
        <f aca="false">IF(AND(A277="",B277=""),"",IF(J277="","Status needed",IF(OR(J277="Applied",J277="Visit booked",J277="Withdrawn"),"OK",IF(G277="","Date assessed needed",IF(C277="","Date of birth needed",IF(COUNTA(L277,M277,P277,U277,V277,X277)&lt;6,"Band missing",IF(AND(OR(J277="Decision confirmed",J277="Family told",J277="Enrolled"),AG277=""),"Recommendation needed",IF(AND(OR(J277="Family told",J277="Enrolled"),AJ277=""),"Date family told needed","OK"))))))))</f>
        <v/>
      </c>
    </row>
    <row r="278" customFormat="false" ht="15" hidden="false" customHeight="false" outlineLevel="0" collapsed="false">
      <c r="A278" s="7"/>
      <c r="B278" s="7"/>
      <c r="C278" s="46"/>
      <c r="D278" s="7"/>
      <c r="E278" s="47"/>
      <c r="F278" s="46"/>
      <c r="G278" s="46"/>
      <c r="H278" s="7"/>
      <c r="I278" s="7"/>
      <c r="J278" s="47"/>
      <c r="K278" s="47"/>
      <c r="L278" s="47"/>
      <c r="M278" s="47"/>
      <c r="N278" s="10"/>
      <c r="O278" s="47"/>
      <c r="P278" s="47"/>
      <c r="Q278" s="47"/>
      <c r="R278" s="48" t="str">
        <f aca="false">IF(Q278="","",IF(Q278=0,"below 5:00",IF(Q278&gt;=66,"16:00 or above",INT((60+2*Q278)/12)&amp;":"&amp;TEXT(MOD(60+2*Q278,12),"00"))))</f>
        <v/>
      </c>
      <c r="S278" s="47"/>
      <c r="T278" s="47"/>
      <c r="U278" s="47"/>
      <c r="V278" s="47"/>
      <c r="W278" s="47"/>
      <c r="X278" s="47"/>
      <c r="Y278" s="47"/>
      <c r="Z278" s="47"/>
      <c r="AA278" s="10"/>
      <c r="AB278" s="10"/>
      <c r="AC278" s="47"/>
      <c r="AD278" s="47"/>
      <c r="AE278" s="47"/>
      <c r="AF278" s="47"/>
      <c r="AG278" s="47"/>
      <c r="AH278" s="47"/>
      <c r="AI278" s="46"/>
      <c r="AJ278" s="46"/>
      <c r="AK278" s="46"/>
      <c r="AL278" s="7"/>
      <c r="AM278" s="49" t="str">
        <f aca="false">IF(OR(C278="",G278=""),"",IFERROR(DATEDIF(C278,G278,"m"),""))</f>
        <v/>
      </c>
      <c r="AN278" s="49" t="str">
        <f aca="false">IF(OR(Q278="",AM278=""),"",60+2*Q278-AM278)</f>
        <v/>
      </c>
      <c r="AO278" s="49" t="str">
        <f aca="false">IF(OR(G278="",AJ278=""),"",AJ278-G278)</f>
        <v/>
      </c>
      <c r="AP278" s="50" t="str">
        <f aca="false">IF(AND(A278="",B278=""),"",IF(J278="","Status needed",IF(OR(J278="Applied",J278="Visit booked",J278="Withdrawn"),"OK",IF(G278="","Date assessed needed",IF(C278="","Date of birth needed",IF(COUNTA(L278,M278,P278,U278,V278,X278)&lt;6,"Band missing",IF(AND(OR(J278="Decision confirmed",J278="Family told",J278="Enrolled"),AG278=""),"Recommendation needed",IF(AND(OR(J278="Family told",J278="Enrolled"),AJ278=""),"Date family told needed","OK"))))))))</f>
        <v/>
      </c>
    </row>
    <row r="279" customFormat="false" ht="15" hidden="false" customHeight="false" outlineLevel="0" collapsed="false">
      <c r="A279" s="7"/>
      <c r="B279" s="7"/>
      <c r="C279" s="46"/>
      <c r="D279" s="7"/>
      <c r="E279" s="47"/>
      <c r="F279" s="46"/>
      <c r="G279" s="46"/>
      <c r="H279" s="7"/>
      <c r="I279" s="7"/>
      <c r="J279" s="47"/>
      <c r="K279" s="47"/>
      <c r="L279" s="47"/>
      <c r="M279" s="47"/>
      <c r="N279" s="10"/>
      <c r="O279" s="47"/>
      <c r="P279" s="47"/>
      <c r="Q279" s="47"/>
      <c r="R279" s="48" t="str">
        <f aca="false">IF(Q279="","",IF(Q279=0,"below 5:00",IF(Q279&gt;=66,"16:00 or above",INT((60+2*Q279)/12)&amp;":"&amp;TEXT(MOD(60+2*Q279,12),"00"))))</f>
        <v/>
      </c>
      <c r="S279" s="47"/>
      <c r="T279" s="47"/>
      <c r="U279" s="47"/>
      <c r="V279" s="47"/>
      <c r="W279" s="47"/>
      <c r="X279" s="47"/>
      <c r="Y279" s="47"/>
      <c r="Z279" s="47"/>
      <c r="AA279" s="10"/>
      <c r="AB279" s="10"/>
      <c r="AC279" s="47"/>
      <c r="AD279" s="47"/>
      <c r="AE279" s="47"/>
      <c r="AF279" s="47"/>
      <c r="AG279" s="47"/>
      <c r="AH279" s="47"/>
      <c r="AI279" s="46"/>
      <c r="AJ279" s="46"/>
      <c r="AK279" s="46"/>
      <c r="AL279" s="7"/>
      <c r="AM279" s="49" t="str">
        <f aca="false">IF(OR(C279="",G279=""),"",IFERROR(DATEDIF(C279,G279,"m"),""))</f>
        <v/>
      </c>
      <c r="AN279" s="49" t="str">
        <f aca="false">IF(OR(Q279="",AM279=""),"",60+2*Q279-AM279)</f>
        <v/>
      </c>
      <c r="AO279" s="49" t="str">
        <f aca="false">IF(OR(G279="",AJ279=""),"",AJ279-G279)</f>
        <v/>
      </c>
      <c r="AP279" s="50" t="str">
        <f aca="false">IF(AND(A279="",B279=""),"",IF(J279="","Status needed",IF(OR(J279="Applied",J279="Visit booked",J279="Withdrawn"),"OK",IF(G279="","Date assessed needed",IF(C279="","Date of birth needed",IF(COUNTA(L279,M279,P279,U279,V279,X279)&lt;6,"Band missing",IF(AND(OR(J279="Decision confirmed",J279="Family told",J279="Enrolled"),AG279=""),"Recommendation needed",IF(AND(OR(J279="Family told",J279="Enrolled"),AJ279=""),"Date family told needed","OK"))))))))</f>
        <v/>
      </c>
    </row>
    <row r="280" customFormat="false" ht="15" hidden="false" customHeight="false" outlineLevel="0" collapsed="false">
      <c r="A280" s="7"/>
      <c r="B280" s="7"/>
      <c r="C280" s="46"/>
      <c r="D280" s="7"/>
      <c r="E280" s="47"/>
      <c r="F280" s="46"/>
      <c r="G280" s="46"/>
      <c r="H280" s="7"/>
      <c r="I280" s="7"/>
      <c r="J280" s="47"/>
      <c r="K280" s="47"/>
      <c r="L280" s="47"/>
      <c r="M280" s="47"/>
      <c r="N280" s="10"/>
      <c r="O280" s="47"/>
      <c r="P280" s="47"/>
      <c r="Q280" s="47"/>
      <c r="R280" s="48" t="str">
        <f aca="false">IF(Q280="","",IF(Q280=0,"below 5:00",IF(Q280&gt;=66,"16:00 or above",INT((60+2*Q280)/12)&amp;":"&amp;TEXT(MOD(60+2*Q280,12),"00"))))</f>
        <v/>
      </c>
      <c r="S280" s="47"/>
      <c r="T280" s="47"/>
      <c r="U280" s="47"/>
      <c r="V280" s="47"/>
      <c r="W280" s="47"/>
      <c r="X280" s="47"/>
      <c r="Y280" s="47"/>
      <c r="Z280" s="47"/>
      <c r="AA280" s="10"/>
      <c r="AB280" s="10"/>
      <c r="AC280" s="47"/>
      <c r="AD280" s="47"/>
      <c r="AE280" s="47"/>
      <c r="AF280" s="47"/>
      <c r="AG280" s="47"/>
      <c r="AH280" s="47"/>
      <c r="AI280" s="46"/>
      <c r="AJ280" s="46"/>
      <c r="AK280" s="46"/>
      <c r="AL280" s="7"/>
      <c r="AM280" s="49" t="str">
        <f aca="false">IF(OR(C280="",G280=""),"",IFERROR(DATEDIF(C280,G280,"m"),""))</f>
        <v/>
      </c>
      <c r="AN280" s="49" t="str">
        <f aca="false">IF(OR(Q280="",AM280=""),"",60+2*Q280-AM280)</f>
        <v/>
      </c>
      <c r="AO280" s="49" t="str">
        <f aca="false">IF(OR(G280="",AJ280=""),"",AJ280-G280)</f>
        <v/>
      </c>
      <c r="AP280" s="50" t="str">
        <f aca="false">IF(AND(A280="",B280=""),"",IF(J280="","Status needed",IF(OR(J280="Applied",J280="Visit booked",J280="Withdrawn"),"OK",IF(G280="","Date assessed needed",IF(C280="","Date of birth needed",IF(COUNTA(L280,M280,P280,U280,V280,X280)&lt;6,"Band missing",IF(AND(OR(J280="Decision confirmed",J280="Family told",J280="Enrolled"),AG280=""),"Recommendation needed",IF(AND(OR(J280="Family told",J280="Enrolled"),AJ280=""),"Date family told needed","OK"))))))))</f>
        <v/>
      </c>
    </row>
    <row r="281" customFormat="false" ht="15" hidden="false" customHeight="false" outlineLevel="0" collapsed="false">
      <c r="A281" s="7"/>
      <c r="B281" s="7"/>
      <c r="C281" s="46"/>
      <c r="D281" s="7"/>
      <c r="E281" s="47"/>
      <c r="F281" s="46"/>
      <c r="G281" s="46"/>
      <c r="H281" s="7"/>
      <c r="I281" s="7"/>
      <c r="J281" s="47"/>
      <c r="K281" s="47"/>
      <c r="L281" s="47"/>
      <c r="M281" s="47"/>
      <c r="N281" s="10"/>
      <c r="O281" s="47"/>
      <c r="P281" s="47"/>
      <c r="Q281" s="47"/>
      <c r="R281" s="48" t="str">
        <f aca="false">IF(Q281="","",IF(Q281=0,"below 5:00",IF(Q281&gt;=66,"16:00 or above",INT((60+2*Q281)/12)&amp;":"&amp;TEXT(MOD(60+2*Q281,12),"00"))))</f>
        <v/>
      </c>
      <c r="S281" s="47"/>
      <c r="T281" s="47"/>
      <c r="U281" s="47"/>
      <c r="V281" s="47"/>
      <c r="W281" s="47"/>
      <c r="X281" s="47"/>
      <c r="Y281" s="47"/>
      <c r="Z281" s="47"/>
      <c r="AA281" s="10"/>
      <c r="AB281" s="10"/>
      <c r="AC281" s="47"/>
      <c r="AD281" s="47"/>
      <c r="AE281" s="47"/>
      <c r="AF281" s="47"/>
      <c r="AG281" s="47"/>
      <c r="AH281" s="47"/>
      <c r="AI281" s="46"/>
      <c r="AJ281" s="46"/>
      <c r="AK281" s="46"/>
      <c r="AL281" s="7"/>
      <c r="AM281" s="49" t="str">
        <f aca="false">IF(OR(C281="",G281=""),"",IFERROR(DATEDIF(C281,G281,"m"),""))</f>
        <v/>
      </c>
      <c r="AN281" s="49" t="str">
        <f aca="false">IF(OR(Q281="",AM281=""),"",60+2*Q281-AM281)</f>
        <v/>
      </c>
      <c r="AO281" s="49" t="str">
        <f aca="false">IF(OR(G281="",AJ281=""),"",AJ281-G281)</f>
        <v/>
      </c>
      <c r="AP281" s="50" t="str">
        <f aca="false">IF(AND(A281="",B281=""),"",IF(J281="","Status needed",IF(OR(J281="Applied",J281="Visit booked",J281="Withdrawn"),"OK",IF(G281="","Date assessed needed",IF(C281="","Date of birth needed",IF(COUNTA(L281,M281,P281,U281,V281,X281)&lt;6,"Band missing",IF(AND(OR(J281="Decision confirmed",J281="Family told",J281="Enrolled"),AG281=""),"Recommendation needed",IF(AND(OR(J281="Family told",J281="Enrolled"),AJ281=""),"Date family told needed","OK"))))))))</f>
        <v/>
      </c>
    </row>
    <row r="282" customFormat="false" ht="15" hidden="false" customHeight="false" outlineLevel="0" collapsed="false">
      <c r="A282" s="7"/>
      <c r="B282" s="7"/>
      <c r="C282" s="46"/>
      <c r="D282" s="7"/>
      <c r="E282" s="47"/>
      <c r="F282" s="46"/>
      <c r="G282" s="46"/>
      <c r="H282" s="7"/>
      <c r="I282" s="7"/>
      <c r="J282" s="47"/>
      <c r="K282" s="47"/>
      <c r="L282" s="47"/>
      <c r="M282" s="47"/>
      <c r="N282" s="10"/>
      <c r="O282" s="47"/>
      <c r="P282" s="47"/>
      <c r="Q282" s="47"/>
      <c r="R282" s="48" t="str">
        <f aca="false">IF(Q282="","",IF(Q282=0,"below 5:00",IF(Q282&gt;=66,"16:00 or above",INT((60+2*Q282)/12)&amp;":"&amp;TEXT(MOD(60+2*Q282,12),"00"))))</f>
        <v/>
      </c>
      <c r="S282" s="47"/>
      <c r="T282" s="47"/>
      <c r="U282" s="47"/>
      <c r="V282" s="47"/>
      <c r="W282" s="47"/>
      <c r="X282" s="47"/>
      <c r="Y282" s="47"/>
      <c r="Z282" s="47"/>
      <c r="AA282" s="10"/>
      <c r="AB282" s="10"/>
      <c r="AC282" s="47"/>
      <c r="AD282" s="47"/>
      <c r="AE282" s="47"/>
      <c r="AF282" s="47"/>
      <c r="AG282" s="47"/>
      <c r="AH282" s="47"/>
      <c r="AI282" s="46"/>
      <c r="AJ282" s="46"/>
      <c r="AK282" s="46"/>
      <c r="AL282" s="7"/>
      <c r="AM282" s="49" t="str">
        <f aca="false">IF(OR(C282="",G282=""),"",IFERROR(DATEDIF(C282,G282,"m"),""))</f>
        <v/>
      </c>
      <c r="AN282" s="49" t="str">
        <f aca="false">IF(OR(Q282="",AM282=""),"",60+2*Q282-AM282)</f>
        <v/>
      </c>
      <c r="AO282" s="49" t="str">
        <f aca="false">IF(OR(G282="",AJ282=""),"",AJ282-G282)</f>
        <v/>
      </c>
      <c r="AP282" s="50" t="str">
        <f aca="false">IF(AND(A282="",B282=""),"",IF(J282="","Status needed",IF(OR(J282="Applied",J282="Visit booked",J282="Withdrawn"),"OK",IF(G282="","Date assessed needed",IF(C282="","Date of birth needed",IF(COUNTA(L282,M282,P282,U282,V282,X282)&lt;6,"Band missing",IF(AND(OR(J282="Decision confirmed",J282="Family told",J282="Enrolled"),AG282=""),"Recommendation needed",IF(AND(OR(J282="Family told",J282="Enrolled"),AJ282=""),"Date family told needed","OK"))))))))</f>
        <v/>
      </c>
    </row>
    <row r="283" customFormat="false" ht="15" hidden="false" customHeight="false" outlineLevel="0" collapsed="false">
      <c r="A283" s="7"/>
      <c r="B283" s="7"/>
      <c r="C283" s="46"/>
      <c r="D283" s="7"/>
      <c r="E283" s="47"/>
      <c r="F283" s="46"/>
      <c r="G283" s="46"/>
      <c r="H283" s="7"/>
      <c r="I283" s="7"/>
      <c r="J283" s="47"/>
      <c r="K283" s="47"/>
      <c r="L283" s="47"/>
      <c r="M283" s="47"/>
      <c r="N283" s="10"/>
      <c r="O283" s="47"/>
      <c r="P283" s="47"/>
      <c r="Q283" s="47"/>
      <c r="R283" s="48" t="str">
        <f aca="false">IF(Q283="","",IF(Q283=0,"below 5:00",IF(Q283&gt;=66,"16:00 or above",INT((60+2*Q283)/12)&amp;":"&amp;TEXT(MOD(60+2*Q283,12),"00"))))</f>
        <v/>
      </c>
      <c r="S283" s="47"/>
      <c r="T283" s="47"/>
      <c r="U283" s="47"/>
      <c r="V283" s="47"/>
      <c r="W283" s="47"/>
      <c r="X283" s="47"/>
      <c r="Y283" s="47"/>
      <c r="Z283" s="47"/>
      <c r="AA283" s="10"/>
      <c r="AB283" s="10"/>
      <c r="AC283" s="47"/>
      <c r="AD283" s="47"/>
      <c r="AE283" s="47"/>
      <c r="AF283" s="47"/>
      <c r="AG283" s="47"/>
      <c r="AH283" s="47"/>
      <c r="AI283" s="46"/>
      <c r="AJ283" s="46"/>
      <c r="AK283" s="46"/>
      <c r="AL283" s="7"/>
      <c r="AM283" s="49" t="str">
        <f aca="false">IF(OR(C283="",G283=""),"",IFERROR(DATEDIF(C283,G283,"m"),""))</f>
        <v/>
      </c>
      <c r="AN283" s="49" t="str">
        <f aca="false">IF(OR(Q283="",AM283=""),"",60+2*Q283-AM283)</f>
        <v/>
      </c>
      <c r="AO283" s="49" t="str">
        <f aca="false">IF(OR(G283="",AJ283=""),"",AJ283-G283)</f>
        <v/>
      </c>
      <c r="AP283" s="50" t="str">
        <f aca="false">IF(AND(A283="",B283=""),"",IF(J283="","Status needed",IF(OR(J283="Applied",J283="Visit booked",J283="Withdrawn"),"OK",IF(G283="","Date assessed needed",IF(C283="","Date of birth needed",IF(COUNTA(L283,M283,P283,U283,V283,X283)&lt;6,"Band missing",IF(AND(OR(J283="Decision confirmed",J283="Family told",J283="Enrolled"),AG283=""),"Recommendation needed",IF(AND(OR(J283="Family told",J283="Enrolled"),AJ283=""),"Date family told needed","OK"))))))))</f>
        <v/>
      </c>
    </row>
    <row r="284" customFormat="false" ht="15" hidden="false" customHeight="false" outlineLevel="0" collapsed="false">
      <c r="A284" s="7"/>
      <c r="B284" s="7"/>
      <c r="C284" s="46"/>
      <c r="D284" s="7"/>
      <c r="E284" s="47"/>
      <c r="F284" s="46"/>
      <c r="G284" s="46"/>
      <c r="H284" s="7"/>
      <c r="I284" s="7"/>
      <c r="J284" s="47"/>
      <c r="K284" s="47"/>
      <c r="L284" s="47"/>
      <c r="M284" s="47"/>
      <c r="N284" s="10"/>
      <c r="O284" s="47"/>
      <c r="P284" s="47"/>
      <c r="Q284" s="47"/>
      <c r="R284" s="48" t="str">
        <f aca="false">IF(Q284="","",IF(Q284=0,"below 5:00",IF(Q284&gt;=66,"16:00 or above",INT((60+2*Q284)/12)&amp;":"&amp;TEXT(MOD(60+2*Q284,12),"00"))))</f>
        <v/>
      </c>
      <c r="S284" s="47"/>
      <c r="T284" s="47"/>
      <c r="U284" s="47"/>
      <c r="V284" s="47"/>
      <c r="W284" s="47"/>
      <c r="X284" s="47"/>
      <c r="Y284" s="47"/>
      <c r="Z284" s="47"/>
      <c r="AA284" s="10"/>
      <c r="AB284" s="10"/>
      <c r="AC284" s="47"/>
      <c r="AD284" s="47"/>
      <c r="AE284" s="47"/>
      <c r="AF284" s="47"/>
      <c r="AG284" s="47"/>
      <c r="AH284" s="47"/>
      <c r="AI284" s="46"/>
      <c r="AJ284" s="46"/>
      <c r="AK284" s="46"/>
      <c r="AL284" s="7"/>
      <c r="AM284" s="49" t="str">
        <f aca="false">IF(OR(C284="",G284=""),"",IFERROR(DATEDIF(C284,G284,"m"),""))</f>
        <v/>
      </c>
      <c r="AN284" s="49" t="str">
        <f aca="false">IF(OR(Q284="",AM284=""),"",60+2*Q284-AM284)</f>
        <v/>
      </c>
      <c r="AO284" s="49" t="str">
        <f aca="false">IF(OR(G284="",AJ284=""),"",AJ284-G284)</f>
        <v/>
      </c>
      <c r="AP284" s="50" t="str">
        <f aca="false">IF(AND(A284="",B284=""),"",IF(J284="","Status needed",IF(OR(J284="Applied",J284="Visit booked",J284="Withdrawn"),"OK",IF(G284="","Date assessed needed",IF(C284="","Date of birth needed",IF(COUNTA(L284,M284,P284,U284,V284,X284)&lt;6,"Band missing",IF(AND(OR(J284="Decision confirmed",J284="Family told",J284="Enrolled"),AG284=""),"Recommendation needed",IF(AND(OR(J284="Family told",J284="Enrolled"),AJ284=""),"Date family told needed","OK"))))))))</f>
        <v/>
      </c>
    </row>
    <row r="285" customFormat="false" ht="15" hidden="false" customHeight="false" outlineLevel="0" collapsed="false">
      <c r="A285" s="7"/>
      <c r="B285" s="7"/>
      <c r="C285" s="46"/>
      <c r="D285" s="7"/>
      <c r="E285" s="47"/>
      <c r="F285" s="46"/>
      <c r="G285" s="46"/>
      <c r="H285" s="7"/>
      <c r="I285" s="7"/>
      <c r="J285" s="47"/>
      <c r="K285" s="47"/>
      <c r="L285" s="47"/>
      <c r="M285" s="47"/>
      <c r="N285" s="10"/>
      <c r="O285" s="47"/>
      <c r="P285" s="47"/>
      <c r="Q285" s="47"/>
      <c r="R285" s="48" t="str">
        <f aca="false">IF(Q285="","",IF(Q285=0,"below 5:00",IF(Q285&gt;=66,"16:00 or above",INT((60+2*Q285)/12)&amp;":"&amp;TEXT(MOD(60+2*Q285,12),"00"))))</f>
        <v/>
      </c>
      <c r="S285" s="47"/>
      <c r="T285" s="47"/>
      <c r="U285" s="47"/>
      <c r="V285" s="47"/>
      <c r="W285" s="47"/>
      <c r="X285" s="47"/>
      <c r="Y285" s="47"/>
      <c r="Z285" s="47"/>
      <c r="AA285" s="10"/>
      <c r="AB285" s="10"/>
      <c r="AC285" s="47"/>
      <c r="AD285" s="47"/>
      <c r="AE285" s="47"/>
      <c r="AF285" s="47"/>
      <c r="AG285" s="47"/>
      <c r="AH285" s="47"/>
      <c r="AI285" s="46"/>
      <c r="AJ285" s="46"/>
      <c r="AK285" s="46"/>
      <c r="AL285" s="7"/>
      <c r="AM285" s="49" t="str">
        <f aca="false">IF(OR(C285="",G285=""),"",IFERROR(DATEDIF(C285,G285,"m"),""))</f>
        <v/>
      </c>
      <c r="AN285" s="49" t="str">
        <f aca="false">IF(OR(Q285="",AM285=""),"",60+2*Q285-AM285)</f>
        <v/>
      </c>
      <c r="AO285" s="49" t="str">
        <f aca="false">IF(OR(G285="",AJ285=""),"",AJ285-G285)</f>
        <v/>
      </c>
      <c r="AP285" s="50" t="str">
        <f aca="false">IF(AND(A285="",B285=""),"",IF(J285="","Status needed",IF(OR(J285="Applied",J285="Visit booked",J285="Withdrawn"),"OK",IF(G285="","Date assessed needed",IF(C285="","Date of birth needed",IF(COUNTA(L285,M285,P285,U285,V285,X285)&lt;6,"Band missing",IF(AND(OR(J285="Decision confirmed",J285="Family told",J285="Enrolled"),AG285=""),"Recommendation needed",IF(AND(OR(J285="Family told",J285="Enrolled"),AJ285=""),"Date family told needed","OK"))))))))</f>
        <v/>
      </c>
    </row>
    <row r="286" customFormat="false" ht="15" hidden="false" customHeight="false" outlineLevel="0" collapsed="false">
      <c r="A286" s="7"/>
      <c r="B286" s="7"/>
      <c r="C286" s="46"/>
      <c r="D286" s="7"/>
      <c r="E286" s="47"/>
      <c r="F286" s="46"/>
      <c r="G286" s="46"/>
      <c r="H286" s="7"/>
      <c r="I286" s="7"/>
      <c r="J286" s="47"/>
      <c r="K286" s="47"/>
      <c r="L286" s="47"/>
      <c r="M286" s="47"/>
      <c r="N286" s="10"/>
      <c r="O286" s="47"/>
      <c r="P286" s="47"/>
      <c r="Q286" s="47"/>
      <c r="R286" s="48" t="str">
        <f aca="false">IF(Q286="","",IF(Q286=0,"below 5:00",IF(Q286&gt;=66,"16:00 or above",INT((60+2*Q286)/12)&amp;":"&amp;TEXT(MOD(60+2*Q286,12),"00"))))</f>
        <v/>
      </c>
      <c r="S286" s="47"/>
      <c r="T286" s="47"/>
      <c r="U286" s="47"/>
      <c r="V286" s="47"/>
      <c r="W286" s="47"/>
      <c r="X286" s="47"/>
      <c r="Y286" s="47"/>
      <c r="Z286" s="47"/>
      <c r="AA286" s="10"/>
      <c r="AB286" s="10"/>
      <c r="AC286" s="47"/>
      <c r="AD286" s="47"/>
      <c r="AE286" s="47"/>
      <c r="AF286" s="47"/>
      <c r="AG286" s="47"/>
      <c r="AH286" s="47"/>
      <c r="AI286" s="46"/>
      <c r="AJ286" s="46"/>
      <c r="AK286" s="46"/>
      <c r="AL286" s="7"/>
      <c r="AM286" s="49" t="str">
        <f aca="false">IF(OR(C286="",G286=""),"",IFERROR(DATEDIF(C286,G286,"m"),""))</f>
        <v/>
      </c>
      <c r="AN286" s="49" t="str">
        <f aca="false">IF(OR(Q286="",AM286=""),"",60+2*Q286-AM286)</f>
        <v/>
      </c>
      <c r="AO286" s="49" t="str">
        <f aca="false">IF(OR(G286="",AJ286=""),"",AJ286-G286)</f>
        <v/>
      </c>
      <c r="AP286" s="50" t="str">
        <f aca="false">IF(AND(A286="",B286=""),"",IF(J286="","Status needed",IF(OR(J286="Applied",J286="Visit booked",J286="Withdrawn"),"OK",IF(G286="","Date assessed needed",IF(C286="","Date of birth needed",IF(COUNTA(L286,M286,P286,U286,V286,X286)&lt;6,"Band missing",IF(AND(OR(J286="Decision confirmed",J286="Family told",J286="Enrolled"),AG286=""),"Recommendation needed",IF(AND(OR(J286="Family told",J286="Enrolled"),AJ286=""),"Date family told needed","OK"))))))))</f>
        <v/>
      </c>
    </row>
    <row r="287" customFormat="false" ht="15" hidden="false" customHeight="false" outlineLevel="0" collapsed="false">
      <c r="A287" s="7"/>
      <c r="B287" s="7"/>
      <c r="C287" s="46"/>
      <c r="D287" s="7"/>
      <c r="E287" s="47"/>
      <c r="F287" s="46"/>
      <c r="G287" s="46"/>
      <c r="H287" s="7"/>
      <c r="I287" s="7"/>
      <c r="J287" s="47"/>
      <c r="K287" s="47"/>
      <c r="L287" s="47"/>
      <c r="M287" s="47"/>
      <c r="N287" s="10"/>
      <c r="O287" s="47"/>
      <c r="P287" s="47"/>
      <c r="Q287" s="47"/>
      <c r="R287" s="48" t="str">
        <f aca="false">IF(Q287="","",IF(Q287=0,"below 5:00",IF(Q287&gt;=66,"16:00 or above",INT((60+2*Q287)/12)&amp;":"&amp;TEXT(MOD(60+2*Q287,12),"00"))))</f>
        <v/>
      </c>
      <c r="S287" s="47"/>
      <c r="T287" s="47"/>
      <c r="U287" s="47"/>
      <c r="V287" s="47"/>
      <c r="W287" s="47"/>
      <c r="X287" s="47"/>
      <c r="Y287" s="47"/>
      <c r="Z287" s="47"/>
      <c r="AA287" s="10"/>
      <c r="AB287" s="10"/>
      <c r="AC287" s="47"/>
      <c r="AD287" s="47"/>
      <c r="AE287" s="47"/>
      <c r="AF287" s="47"/>
      <c r="AG287" s="47"/>
      <c r="AH287" s="47"/>
      <c r="AI287" s="46"/>
      <c r="AJ287" s="46"/>
      <c r="AK287" s="46"/>
      <c r="AL287" s="7"/>
      <c r="AM287" s="49" t="str">
        <f aca="false">IF(OR(C287="",G287=""),"",IFERROR(DATEDIF(C287,G287,"m"),""))</f>
        <v/>
      </c>
      <c r="AN287" s="49" t="str">
        <f aca="false">IF(OR(Q287="",AM287=""),"",60+2*Q287-AM287)</f>
        <v/>
      </c>
      <c r="AO287" s="49" t="str">
        <f aca="false">IF(OR(G287="",AJ287=""),"",AJ287-G287)</f>
        <v/>
      </c>
      <c r="AP287" s="50" t="str">
        <f aca="false">IF(AND(A287="",B287=""),"",IF(J287="","Status needed",IF(OR(J287="Applied",J287="Visit booked",J287="Withdrawn"),"OK",IF(G287="","Date assessed needed",IF(C287="","Date of birth needed",IF(COUNTA(L287,M287,P287,U287,V287,X287)&lt;6,"Band missing",IF(AND(OR(J287="Decision confirmed",J287="Family told",J287="Enrolled"),AG287=""),"Recommendation needed",IF(AND(OR(J287="Family told",J287="Enrolled"),AJ287=""),"Date family told needed","OK"))))))))</f>
        <v/>
      </c>
    </row>
    <row r="288" customFormat="false" ht="15" hidden="false" customHeight="false" outlineLevel="0" collapsed="false">
      <c r="A288" s="7"/>
      <c r="B288" s="7"/>
      <c r="C288" s="46"/>
      <c r="D288" s="7"/>
      <c r="E288" s="47"/>
      <c r="F288" s="46"/>
      <c r="G288" s="46"/>
      <c r="H288" s="7"/>
      <c r="I288" s="7"/>
      <c r="J288" s="47"/>
      <c r="K288" s="47"/>
      <c r="L288" s="47"/>
      <c r="M288" s="47"/>
      <c r="N288" s="10"/>
      <c r="O288" s="47"/>
      <c r="P288" s="47"/>
      <c r="Q288" s="47"/>
      <c r="R288" s="48" t="str">
        <f aca="false">IF(Q288="","",IF(Q288=0,"below 5:00",IF(Q288&gt;=66,"16:00 or above",INT((60+2*Q288)/12)&amp;":"&amp;TEXT(MOD(60+2*Q288,12),"00"))))</f>
        <v/>
      </c>
      <c r="S288" s="47"/>
      <c r="T288" s="47"/>
      <c r="U288" s="47"/>
      <c r="V288" s="47"/>
      <c r="W288" s="47"/>
      <c r="X288" s="47"/>
      <c r="Y288" s="47"/>
      <c r="Z288" s="47"/>
      <c r="AA288" s="10"/>
      <c r="AB288" s="10"/>
      <c r="AC288" s="47"/>
      <c r="AD288" s="47"/>
      <c r="AE288" s="47"/>
      <c r="AF288" s="47"/>
      <c r="AG288" s="47"/>
      <c r="AH288" s="47"/>
      <c r="AI288" s="46"/>
      <c r="AJ288" s="46"/>
      <c r="AK288" s="46"/>
      <c r="AL288" s="7"/>
      <c r="AM288" s="49" t="str">
        <f aca="false">IF(OR(C288="",G288=""),"",IFERROR(DATEDIF(C288,G288,"m"),""))</f>
        <v/>
      </c>
      <c r="AN288" s="49" t="str">
        <f aca="false">IF(OR(Q288="",AM288=""),"",60+2*Q288-AM288)</f>
        <v/>
      </c>
      <c r="AO288" s="49" t="str">
        <f aca="false">IF(OR(G288="",AJ288=""),"",AJ288-G288)</f>
        <v/>
      </c>
      <c r="AP288" s="50" t="str">
        <f aca="false">IF(AND(A288="",B288=""),"",IF(J288="","Status needed",IF(OR(J288="Applied",J288="Visit booked",J288="Withdrawn"),"OK",IF(G288="","Date assessed needed",IF(C288="","Date of birth needed",IF(COUNTA(L288,M288,P288,U288,V288,X288)&lt;6,"Band missing",IF(AND(OR(J288="Decision confirmed",J288="Family told",J288="Enrolled"),AG288=""),"Recommendation needed",IF(AND(OR(J288="Family told",J288="Enrolled"),AJ288=""),"Date family told needed","OK"))))))))</f>
        <v/>
      </c>
    </row>
    <row r="289" customFormat="false" ht="15" hidden="false" customHeight="false" outlineLevel="0" collapsed="false">
      <c r="A289" s="7"/>
      <c r="B289" s="7"/>
      <c r="C289" s="46"/>
      <c r="D289" s="7"/>
      <c r="E289" s="47"/>
      <c r="F289" s="46"/>
      <c r="G289" s="46"/>
      <c r="H289" s="7"/>
      <c r="I289" s="7"/>
      <c r="J289" s="47"/>
      <c r="K289" s="47"/>
      <c r="L289" s="47"/>
      <c r="M289" s="47"/>
      <c r="N289" s="10"/>
      <c r="O289" s="47"/>
      <c r="P289" s="47"/>
      <c r="Q289" s="47"/>
      <c r="R289" s="48" t="str">
        <f aca="false">IF(Q289="","",IF(Q289=0,"below 5:00",IF(Q289&gt;=66,"16:00 or above",INT((60+2*Q289)/12)&amp;":"&amp;TEXT(MOD(60+2*Q289,12),"00"))))</f>
        <v/>
      </c>
      <c r="S289" s="47"/>
      <c r="T289" s="47"/>
      <c r="U289" s="47"/>
      <c r="V289" s="47"/>
      <c r="W289" s="47"/>
      <c r="X289" s="47"/>
      <c r="Y289" s="47"/>
      <c r="Z289" s="47"/>
      <c r="AA289" s="10"/>
      <c r="AB289" s="10"/>
      <c r="AC289" s="47"/>
      <c r="AD289" s="47"/>
      <c r="AE289" s="47"/>
      <c r="AF289" s="47"/>
      <c r="AG289" s="47"/>
      <c r="AH289" s="47"/>
      <c r="AI289" s="46"/>
      <c r="AJ289" s="46"/>
      <c r="AK289" s="46"/>
      <c r="AL289" s="7"/>
      <c r="AM289" s="49" t="str">
        <f aca="false">IF(OR(C289="",G289=""),"",IFERROR(DATEDIF(C289,G289,"m"),""))</f>
        <v/>
      </c>
      <c r="AN289" s="49" t="str">
        <f aca="false">IF(OR(Q289="",AM289=""),"",60+2*Q289-AM289)</f>
        <v/>
      </c>
      <c r="AO289" s="49" t="str">
        <f aca="false">IF(OR(G289="",AJ289=""),"",AJ289-G289)</f>
        <v/>
      </c>
      <c r="AP289" s="50" t="str">
        <f aca="false">IF(AND(A289="",B289=""),"",IF(J289="","Status needed",IF(OR(J289="Applied",J289="Visit booked",J289="Withdrawn"),"OK",IF(G289="","Date assessed needed",IF(C289="","Date of birth needed",IF(COUNTA(L289,M289,P289,U289,V289,X289)&lt;6,"Band missing",IF(AND(OR(J289="Decision confirmed",J289="Family told",J289="Enrolled"),AG289=""),"Recommendation needed",IF(AND(OR(J289="Family told",J289="Enrolled"),AJ289=""),"Date family told needed","OK"))))))))</f>
        <v/>
      </c>
    </row>
    <row r="290" customFormat="false" ht="15" hidden="false" customHeight="false" outlineLevel="0" collapsed="false">
      <c r="A290" s="7"/>
      <c r="B290" s="7"/>
      <c r="C290" s="46"/>
      <c r="D290" s="7"/>
      <c r="E290" s="47"/>
      <c r="F290" s="46"/>
      <c r="G290" s="46"/>
      <c r="H290" s="7"/>
      <c r="I290" s="7"/>
      <c r="J290" s="47"/>
      <c r="K290" s="47"/>
      <c r="L290" s="47"/>
      <c r="M290" s="47"/>
      <c r="N290" s="10"/>
      <c r="O290" s="47"/>
      <c r="P290" s="47"/>
      <c r="Q290" s="47"/>
      <c r="R290" s="48" t="str">
        <f aca="false">IF(Q290="","",IF(Q290=0,"below 5:00",IF(Q290&gt;=66,"16:00 or above",INT((60+2*Q290)/12)&amp;":"&amp;TEXT(MOD(60+2*Q290,12),"00"))))</f>
        <v/>
      </c>
      <c r="S290" s="47"/>
      <c r="T290" s="47"/>
      <c r="U290" s="47"/>
      <c r="V290" s="47"/>
      <c r="W290" s="47"/>
      <c r="X290" s="47"/>
      <c r="Y290" s="47"/>
      <c r="Z290" s="47"/>
      <c r="AA290" s="10"/>
      <c r="AB290" s="10"/>
      <c r="AC290" s="47"/>
      <c r="AD290" s="47"/>
      <c r="AE290" s="47"/>
      <c r="AF290" s="47"/>
      <c r="AG290" s="47"/>
      <c r="AH290" s="47"/>
      <c r="AI290" s="46"/>
      <c r="AJ290" s="46"/>
      <c r="AK290" s="46"/>
      <c r="AL290" s="7"/>
      <c r="AM290" s="49" t="str">
        <f aca="false">IF(OR(C290="",G290=""),"",IFERROR(DATEDIF(C290,G290,"m"),""))</f>
        <v/>
      </c>
      <c r="AN290" s="49" t="str">
        <f aca="false">IF(OR(Q290="",AM290=""),"",60+2*Q290-AM290)</f>
        <v/>
      </c>
      <c r="AO290" s="49" t="str">
        <f aca="false">IF(OR(G290="",AJ290=""),"",AJ290-G290)</f>
        <v/>
      </c>
      <c r="AP290" s="50" t="str">
        <f aca="false">IF(AND(A290="",B290=""),"",IF(J290="","Status needed",IF(OR(J290="Applied",J290="Visit booked",J290="Withdrawn"),"OK",IF(G290="","Date assessed needed",IF(C290="","Date of birth needed",IF(COUNTA(L290,M290,P290,U290,V290,X290)&lt;6,"Band missing",IF(AND(OR(J290="Decision confirmed",J290="Family told",J290="Enrolled"),AG290=""),"Recommendation needed",IF(AND(OR(J290="Family told",J290="Enrolled"),AJ290=""),"Date family told needed","OK"))))))))</f>
        <v/>
      </c>
    </row>
    <row r="291" customFormat="false" ht="15" hidden="false" customHeight="false" outlineLevel="0" collapsed="false">
      <c r="A291" s="7"/>
      <c r="B291" s="7"/>
      <c r="C291" s="46"/>
      <c r="D291" s="7"/>
      <c r="E291" s="47"/>
      <c r="F291" s="46"/>
      <c r="G291" s="46"/>
      <c r="H291" s="7"/>
      <c r="I291" s="7"/>
      <c r="J291" s="47"/>
      <c r="K291" s="47"/>
      <c r="L291" s="47"/>
      <c r="M291" s="47"/>
      <c r="N291" s="10"/>
      <c r="O291" s="47"/>
      <c r="P291" s="47"/>
      <c r="Q291" s="47"/>
      <c r="R291" s="48" t="str">
        <f aca="false">IF(Q291="","",IF(Q291=0,"below 5:00",IF(Q291&gt;=66,"16:00 or above",INT((60+2*Q291)/12)&amp;":"&amp;TEXT(MOD(60+2*Q291,12),"00"))))</f>
        <v/>
      </c>
      <c r="S291" s="47"/>
      <c r="T291" s="47"/>
      <c r="U291" s="47"/>
      <c r="V291" s="47"/>
      <c r="W291" s="47"/>
      <c r="X291" s="47"/>
      <c r="Y291" s="47"/>
      <c r="Z291" s="47"/>
      <c r="AA291" s="10"/>
      <c r="AB291" s="10"/>
      <c r="AC291" s="47"/>
      <c r="AD291" s="47"/>
      <c r="AE291" s="47"/>
      <c r="AF291" s="47"/>
      <c r="AG291" s="47"/>
      <c r="AH291" s="47"/>
      <c r="AI291" s="46"/>
      <c r="AJ291" s="46"/>
      <c r="AK291" s="46"/>
      <c r="AL291" s="7"/>
      <c r="AM291" s="49" t="str">
        <f aca="false">IF(OR(C291="",G291=""),"",IFERROR(DATEDIF(C291,G291,"m"),""))</f>
        <v/>
      </c>
      <c r="AN291" s="49" t="str">
        <f aca="false">IF(OR(Q291="",AM291=""),"",60+2*Q291-AM291)</f>
        <v/>
      </c>
      <c r="AO291" s="49" t="str">
        <f aca="false">IF(OR(G291="",AJ291=""),"",AJ291-G291)</f>
        <v/>
      </c>
      <c r="AP291" s="50" t="str">
        <f aca="false">IF(AND(A291="",B291=""),"",IF(J291="","Status needed",IF(OR(J291="Applied",J291="Visit booked",J291="Withdrawn"),"OK",IF(G291="","Date assessed needed",IF(C291="","Date of birth needed",IF(COUNTA(L291,M291,P291,U291,V291,X291)&lt;6,"Band missing",IF(AND(OR(J291="Decision confirmed",J291="Family told",J291="Enrolled"),AG291=""),"Recommendation needed",IF(AND(OR(J291="Family told",J291="Enrolled"),AJ291=""),"Date family told needed","OK"))))))))</f>
        <v/>
      </c>
    </row>
    <row r="292" customFormat="false" ht="15" hidden="false" customHeight="false" outlineLevel="0" collapsed="false">
      <c r="A292" s="7"/>
      <c r="B292" s="7"/>
      <c r="C292" s="46"/>
      <c r="D292" s="7"/>
      <c r="E292" s="47"/>
      <c r="F292" s="46"/>
      <c r="G292" s="46"/>
      <c r="H292" s="7"/>
      <c r="I292" s="7"/>
      <c r="J292" s="47"/>
      <c r="K292" s="47"/>
      <c r="L292" s="47"/>
      <c r="M292" s="47"/>
      <c r="N292" s="10"/>
      <c r="O292" s="47"/>
      <c r="P292" s="47"/>
      <c r="Q292" s="47"/>
      <c r="R292" s="48" t="str">
        <f aca="false">IF(Q292="","",IF(Q292=0,"below 5:00",IF(Q292&gt;=66,"16:00 or above",INT((60+2*Q292)/12)&amp;":"&amp;TEXT(MOD(60+2*Q292,12),"00"))))</f>
        <v/>
      </c>
      <c r="S292" s="47"/>
      <c r="T292" s="47"/>
      <c r="U292" s="47"/>
      <c r="V292" s="47"/>
      <c r="W292" s="47"/>
      <c r="X292" s="47"/>
      <c r="Y292" s="47"/>
      <c r="Z292" s="47"/>
      <c r="AA292" s="10"/>
      <c r="AB292" s="10"/>
      <c r="AC292" s="47"/>
      <c r="AD292" s="47"/>
      <c r="AE292" s="47"/>
      <c r="AF292" s="47"/>
      <c r="AG292" s="47"/>
      <c r="AH292" s="47"/>
      <c r="AI292" s="46"/>
      <c r="AJ292" s="46"/>
      <c r="AK292" s="46"/>
      <c r="AL292" s="7"/>
      <c r="AM292" s="49" t="str">
        <f aca="false">IF(OR(C292="",G292=""),"",IFERROR(DATEDIF(C292,G292,"m"),""))</f>
        <v/>
      </c>
      <c r="AN292" s="49" t="str">
        <f aca="false">IF(OR(Q292="",AM292=""),"",60+2*Q292-AM292)</f>
        <v/>
      </c>
      <c r="AO292" s="49" t="str">
        <f aca="false">IF(OR(G292="",AJ292=""),"",AJ292-G292)</f>
        <v/>
      </c>
      <c r="AP292" s="50" t="str">
        <f aca="false">IF(AND(A292="",B292=""),"",IF(J292="","Status needed",IF(OR(J292="Applied",J292="Visit booked",J292="Withdrawn"),"OK",IF(G292="","Date assessed needed",IF(C292="","Date of birth needed",IF(COUNTA(L292,M292,P292,U292,V292,X292)&lt;6,"Band missing",IF(AND(OR(J292="Decision confirmed",J292="Family told",J292="Enrolled"),AG292=""),"Recommendation needed",IF(AND(OR(J292="Family told",J292="Enrolled"),AJ292=""),"Date family told needed","OK"))))))))</f>
        <v/>
      </c>
    </row>
    <row r="293" customFormat="false" ht="15" hidden="false" customHeight="false" outlineLevel="0" collapsed="false">
      <c r="A293" s="7"/>
      <c r="B293" s="7"/>
      <c r="C293" s="46"/>
      <c r="D293" s="7"/>
      <c r="E293" s="47"/>
      <c r="F293" s="46"/>
      <c r="G293" s="46"/>
      <c r="H293" s="7"/>
      <c r="I293" s="7"/>
      <c r="J293" s="47"/>
      <c r="K293" s="47"/>
      <c r="L293" s="47"/>
      <c r="M293" s="47"/>
      <c r="N293" s="10"/>
      <c r="O293" s="47"/>
      <c r="P293" s="47"/>
      <c r="Q293" s="47"/>
      <c r="R293" s="48" t="str">
        <f aca="false">IF(Q293="","",IF(Q293=0,"below 5:00",IF(Q293&gt;=66,"16:00 or above",INT((60+2*Q293)/12)&amp;":"&amp;TEXT(MOD(60+2*Q293,12),"00"))))</f>
        <v/>
      </c>
      <c r="S293" s="47"/>
      <c r="T293" s="47"/>
      <c r="U293" s="47"/>
      <c r="V293" s="47"/>
      <c r="W293" s="47"/>
      <c r="X293" s="47"/>
      <c r="Y293" s="47"/>
      <c r="Z293" s="47"/>
      <c r="AA293" s="10"/>
      <c r="AB293" s="10"/>
      <c r="AC293" s="47"/>
      <c r="AD293" s="47"/>
      <c r="AE293" s="47"/>
      <c r="AF293" s="47"/>
      <c r="AG293" s="47"/>
      <c r="AH293" s="47"/>
      <c r="AI293" s="46"/>
      <c r="AJ293" s="46"/>
      <c r="AK293" s="46"/>
      <c r="AL293" s="7"/>
      <c r="AM293" s="49" t="str">
        <f aca="false">IF(OR(C293="",G293=""),"",IFERROR(DATEDIF(C293,G293,"m"),""))</f>
        <v/>
      </c>
      <c r="AN293" s="49" t="str">
        <f aca="false">IF(OR(Q293="",AM293=""),"",60+2*Q293-AM293)</f>
        <v/>
      </c>
      <c r="AO293" s="49" t="str">
        <f aca="false">IF(OR(G293="",AJ293=""),"",AJ293-G293)</f>
        <v/>
      </c>
      <c r="AP293" s="50" t="str">
        <f aca="false">IF(AND(A293="",B293=""),"",IF(J293="","Status needed",IF(OR(J293="Applied",J293="Visit booked",J293="Withdrawn"),"OK",IF(G293="","Date assessed needed",IF(C293="","Date of birth needed",IF(COUNTA(L293,M293,P293,U293,V293,X293)&lt;6,"Band missing",IF(AND(OR(J293="Decision confirmed",J293="Family told",J293="Enrolled"),AG293=""),"Recommendation needed",IF(AND(OR(J293="Family told",J293="Enrolled"),AJ293=""),"Date family told needed","OK"))))))))</f>
        <v/>
      </c>
    </row>
    <row r="294" customFormat="false" ht="15" hidden="false" customHeight="false" outlineLevel="0" collapsed="false">
      <c r="A294" s="7"/>
      <c r="B294" s="7"/>
      <c r="C294" s="46"/>
      <c r="D294" s="7"/>
      <c r="E294" s="47"/>
      <c r="F294" s="46"/>
      <c r="G294" s="46"/>
      <c r="H294" s="7"/>
      <c r="I294" s="7"/>
      <c r="J294" s="47"/>
      <c r="K294" s="47"/>
      <c r="L294" s="47"/>
      <c r="M294" s="47"/>
      <c r="N294" s="10"/>
      <c r="O294" s="47"/>
      <c r="P294" s="47"/>
      <c r="Q294" s="47"/>
      <c r="R294" s="48" t="str">
        <f aca="false">IF(Q294="","",IF(Q294=0,"below 5:00",IF(Q294&gt;=66,"16:00 or above",INT((60+2*Q294)/12)&amp;":"&amp;TEXT(MOD(60+2*Q294,12),"00"))))</f>
        <v/>
      </c>
      <c r="S294" s="47"/>
      <c r="T294" s="47"/>
      <c r="U294" s="47"/>
      <c r="V294" s="47"/>
      <c r="W294" s="47"/>
      <c r="X294" s="47"/>
      <c r="Y294" s="47"/>
      <c r="Z294" s="47"/>
      <c r="AA294" s="10"/>
      <c r="AB294" s="10"/>
      <c r="AC294" s="47"/>
      <c r="AD294" s="47"/>
      <c r="AE294" s="47"/>
      <c r="AF294" s="47"/>
      <c r="AG294" s="47"/>
      <c r="AH294" s="47"/>
      <c r="AI294" s="46"/>
      <c r="AJ294" s="46"/>
      <c r="AK294" s="46"/>
      <c r="AL294" s="7"/>
      <c r="AM294" s="49" t="str">
        <f aca="false">IF(OR(C294="",G294=""),"",IFERROR(DATEDIF(C294,G294,"m"),""))</f>
        <v/>
      </c>
      <c r="AN294" s="49" t="str">
        <f aca="false">IF(OR(Q294="",AM294=""),"",60+2*Q294-AM294)</f>
        <v/>
      </c>
      <c r="AO294" s="49" t="str">
        <f aca="false">IF(OR(G294="",AJ294=""),"",AJ294-G294)</f>
        <v/>
      </c>
      <c r="AP294" s="50" t="str">
        <f aca="false">IF(AND(A294="",B294=""),"",IF(J294="","Status needed",IF(OR(J294="Applied",J294="Visit booked",J294="Withdrawn"),"OK",IF(G294="","Date assessed needed",IF(C294="","Date of birth needed",IF(COUNTA(L294,M294,P294,U294,V294,X294)&lt;6,"Band missing",IF(AND(OR(J294="Decision confirmed",J294="Family told",J294="Enrolled"),AG294=""),"Recommendation needed",IF(AND(OR(J294="Family told",J294="Enrolled"),AJ294=""),"Date family told needed","OK"))))))))</f>
        <v/>
      </c>
    </row>
    <row r="295" customFormat="false" ht="15" hidden="false" customHeight="false" outlineLevel="0" collapsed="false">
      <c r="A295" s="7"/>
      <c r="B295" s="7"/>
      <c r="C295" s="46"/>
      <c r="D295" s="7"/>
      <c r="E295" s="47"/>
      <c r="F295" s="46"/>
      <c r="G295" s="46"/>
      <c r="H295" s="7"/>
      <c r="I295" s="7"/>
      <c r="J295" s="47"/>
      <c r="K295" s="47"/>
      <c r="L295" s="47"/>
      <c r="M295" s="47"/>
      <c r="N295" s="10"/>
      <c r="O295" s="47"/>
      <c r="P295" s="47"/>
      <c r="Q295" s="47"/>
      <c r="R295" s="48" t="str">
        <f aca="false">IF(Q295="","",IF(Q295=0,"below 5:00",IF(Q295&gt;=66,"16:00 or above",INT((60+2*Q295)/12)&amp;":"&amp;TEXT(MOD(60+2*Q295,12),"00"))))</f>
        <v/>
      </c>
      <c r="S295" s="47"/>
      <c r="T295" s="47"/>
      <c r="U295" s="47"/>
      <c r="V295" s="47"/>
      <c r="W295" s="47"/>
      <c r="X295" s="47"/>
      <c r="Y295" s="47"/>
      <c r="Z295" s="47"/>
      <c r="AA295" s="10"/>
      <c r="AB295" s="10"/>
      <c r="AC295" s="47"/>
      <c r="AD295" s="47"/>
      <c r="AE295" s="47"/>
      <c r="AF295" s="47"/>
      <c r="AG295" s="47"/>
      <c r="AH295" s="47"/>
      <c r="AI295" s="46"/>
      <c r="AJ295" s="46"/>
      <c r="AK295" s="46"/>
      <c r="AL295" s="7"/>
      <c r="AM295" s="49" t="str">
        <f aca="false">IF(OR(C295="",G295=""),"",IFERROR(DATEDIF(C295,G295,"m"),""))</f>
        <v/>
      </c>
      <c r="AN295" s="49" t="str">
        <f aca="false">IF(OR(Q295="",AM295=""),"",60+2*Q295-AM295)</f>
        <v/>
      </c>
      <c r="AO295" s="49" t="str">
        <f aca="false">IF(OR(G295="",AJ295=""),"",AJ295-G295)</f>
        <v/>
      </c>
      <c r="AP295" s="50" t="str">
        <f aca="false">IF(AND(A295="",B295=""),"",IF(J295="","Status needed",IF(OR(J295="Applied",J295="Visit booked",J295="Withdrawn"),"OK",IF(G295="","Date assessed needed",IF(C295="","Date of birth needed",IF(COUNTA(L295,M295,P295,U295,V295,X295)&lt;6,"Band missing",IF(AND(OR(J295="Decision confirmed",J295="Family told",J295="Enrolled"),AG295=""),"Recommendation needed",IF(AND(OR(J295="Family told",J295="Enrolled"),AJ295=""),"Date family told needed","OK"))))))))</f>
        <v/>
      </c>
    </row>
    <row r="296" customFormat="false" ht="15" hidden="false" customHeight="false" outlineLevel="0" collapsed="false">
      <c r="A296" s="7"/>
      <c r="B296" s="7"/>
      <c r="C296" s="46"/>
      <c r="D296" s="7"/>
      <c r="E296" s="47"/>
      <c r="F296" s="46"/>
      <c r="G296" s="46"/>
      <c r="H296" s="7"/>
      <c r="I296" s="7"/>
      <c r="J296" s="47"/>
      <c r="K296" s="47"/>
      <c r="L296" s="47"/>
      <c r="M296" s="47"/>
      <c r="N296" s="10"/>
      <c r="O296" s="47"/>
      <c r="P296" s="47"/>
      <c r="Q296" s="47"/>
      <c r="R296" s="48" t="str">
        <f aca="false">IF(Q296="","",IF(Q296=0,"below 5:00",IF(Q296&gt;=66,"16:00 or above",INT((60+2*Q296)/12)&amp;":"&amp;TEXT(MOD(60+2*Q296,12),"00"))))</f>
        <v/>
      </c>
      <c r="S296" s="47"/>
      <c r="T296" s="47"/>
      <c r="U296" s="47"/>
      <c r="V296" s="47"/>
      <c r="W296" s="47"/>
      <c r="X296" s="47"/>
      <c r="Y296" s="47"/>
      <c r="Z296" s="47"/>
      <c r="AA296" s="10"/>
      <c r="AB296" s="10"/>
      <c r="AC296" s="47"/>
      <c r="AD296" s="47"/>
      <c r="AE296" s="47"/>
      <c r="AF296" s="47"/>
      <c r="AG296" s="47"/>
      <c r="AH296" s="47"/>
      <c r="AI296" s="46"/>
      <c r="AJ296" s="46"/>
      <c r="AK296" s="46"/>
      <c r="AL296" s="7"/>
      <c r="AM296" s="49" t="str">
        <f aca="false">IF(OR(C296="",G296=""),"",IFERROR(DATEDIF(C296,G296,"m"),""))</f>
        <v/>
      </c>
      <c r="AN296" s="49" t="str">
        <f aca="false">IF(OR(Q296="",AM296=""),"",60+2*Q296-AM296)</f>
        <v/>
      </c>
      <c r="AO296" s="49" t="str">
        <f aca="false">IF(OR(G296="",AJ296=""),"",AJ296-G296)</f>
        <v/>
      </c>
      <c r="AP296" s="50" t="str">
        <f aca="false">IF(AND(A296="",B296=""),"",IF(J296="","Status needed",IF(OR(J296="Applied",J296="Visit booked",J296="Withdrawn"),"OK",IF(G296="","Date assessed needed",IF(C296="","Date of birth needed",IF(COUNTA(L296,M296,P296,U296,V296,X296)&lt;6,"Band missing",IF(AND(OR(J296="Decision confirmed",J296="Family told",J296="Enrolled"),AG296=""),"Recommendation needed",IF(AND(OR(J296="Family told",J296="Enrolled"),AJ296=""),"Date family told needed","OK"))))))))</f>
        <v/>
      </c>
    </row>
    <row r="297" customFormat="false" ht="15" hidden="false" customHeight="false" outlineLevel="0" collapsed="false">
      <c r="A297" s="7"/>
      <c r="B297" s="7"/>
      <c r="C297" s="46"/>
      <c r="D297" s="7"/>
      <c r="E297" s="47"/>
      <c r="F297" s="46"/>
      <c r="G297" s="46"/>
      <c r="H297" s="7"/>
      <c r="I297" s="7"/>
      <c r="J297" s="47"/>
      <c r="K297" s="47"/>
      <c r="L297" s="47"/>
      <c r="M297" s="47"/>
      <c r="N297" s="10"/>
      <c r="O297" s="47"/>
      <c r="P297" s="47"/>
      <c r="Q297" s="47"/>
      <c r="R297" s="48" t="str">
        <f aca="false">IF(Q297="","",IF(Q297=0,"below 5:00",IF(Q297&gt;=66,"16:00 or above",INT((60+2*Q297)/12)&amp;":"&amp;TEXT(MOD(60+2*Q297,12),"00"))))</f>
        <v/>
      </c>
      <c r="S297" s="47"/>
      <c r="T297" s="47"/>
      <c r="U297" s="47"/>
      <c r="V297" s="47"/>
      <c r="W297" s="47"/>
      <c r="X297" s="47"/>
      <c r="Y297" s="47"/>
      <c r="Z297" s="47"/>
      <c r="AA297" s="10"/>
      <c r="AB297" s="10"/>
      <c r="AC297" s="47"/>
      <c r="AD297" s="47"/>
      <c r="AE297" s="47"/>
      <c r="AF297" s="47"/>
      <c r="AG297" s="47"/>
      <c r="AH297" s="47"/>
      <c r="AI297" s="46"/>
      <c r="AJ297" s="46"/>
      <c r="AK297" s="46"/>
      <c r="AL297" s="7"/>
      <c r="AM297" s="49" t="str">
        <f aca="false">IF(OR(C297="",G297=""),"",IFERROR(DATEDIF(C297,G297,"m"),""))</f>
        <v/>
      </c>
      <c r="AN297" s="49" t="str">
        <f aca="false">IF(OR(Q297="",AM297=""),"",60+2*Q297-AM297)</f>
        <v/>
      </c>
      <c r="AO297" s="49" t="str">
        <f aca="false">IF(OR(G297="",AJ297=""),"",AJ297-G297)</f>
        <v/>
      </c>
      <c r="AP297" s="50" t="str">
        <f aca="false">IF(AND(A297="",B297=""),"",IF(J297="","Status needed",IF(OR(J297="Applied",J297="Visit booked",J297="Withdrawn"),"OK",IF(G297="","Date assessed needed",IF(C297="","Date of birth needed",IF(COUNTA(L297,M297,P297,U297,V297,X297)&lt;6,"Band missing",IF(AND(OR(J297="Decision confirmed",J297="Family told",J297="Enrolled"),AG297=""),"Recommendation needed",IF(AND(OR(J297="Family told",J297="Enrolled"),AJ297=""),"Date family told needed","OK"))))))))</f>
        <v/>
      </c>
    </row>
    <row r="298" customFormat="false" ht="15" hidden="false" customHeight="false" outlineLevel="0" collapsed="false">
      <c r="A298" s="7"/>
      <c r="B298" s="7"/>
      <c r="C298" s="46"/>
      <c r="D298" s="7"/>
      <c r="E298" s="47"/>
      <c r="F298" s="46"/>
      <c r="G298" s="46"/>
      <c r="H298" s="7"/>
      <c r="I298" s="7"/>
      <c r="J298" s="47"/>
      <c r="K298" s="47"/>
      <c r="L298" s="47"/>
      <c r="M298" s="47"/>
      <c r="N298" s="10"/>
      <c r="O298" s="47"/>
      <c r="P298" s="47"/>
      <c r="Q298" s="47"/>
      <c r="R298" s="48" t="str">
        <f aca="false">IF(Q298="","",IF(Q298=0,"below 5:00",IF(Q298&gt;=66,"16:00 or above",INT((60+2*Q298)/12)&amp;":"&amp;TEXT(MOD(60+2*Q298,12),"00"))))</f>
        <v/>
      </c>
      <c r="S298" s="47"/>
      <c r="T298" s="47"/>
      <c r="U298" s="47"/>
      <c r="V298" s="47"/>
      <c r="W298" s="47"/>
      <c r="X298" s="47"/>
      <c r="Y298" s="47"/>
      <c r="Z298" s="47"/>
      <c r="AA298" s="10"/>
      <c r="AB298" s="10"/>
      <c r="AC298" s="47"/>
      <c r="AD298" s="47"/>
      <c r="AE298" s="47"/>
      <c r="AF298" s="47"/>
      <c r="AG298" s="47"/>
      <c r="AH298" s="47"/>
      <c r="AI298" s="46"/>
      <c r="AJ298" s="46"/>
      <c r="AK298" s="46"/>
      <c r="AL298" s="7"/>
      <c r="AM298" s="49" t="str">
        <f aca="false">IF(OR(C298="",G298=""),"",IFERROR(DATEDIF(C298,G298,"m"),""))</f>
        <v/>
      </c>
      <c r="AN298" s="49" t="str">
        <f aca="false">IF(OR(Q298="",AM298=""),"",60+2*Q298-AM298)</f>
        <v/>
      </c>
      <c r="AO298" s="49" t="str">
        <f aca="false">IF(OR(G298="",AJ298=""),"",AJ298-G298)</f>
        <v/>
      </c>
      <c r="AP298" s="50" t="str">
        <f aca="false">IF(AND(A298="",B298=""),"",IF(J298="","Status needed",IF(OR(J298="Applied",J298="Visit booked",J298="Withdrawn"),"OK",IF(G298="","Date assessed needed",IF(C298="","Date of birth needed",IF(COUNTA(L298,M298,P298,U298,V298,X298)&lt;6,"Band missing",IF(AND(OR(J298="Decision confirmed",J298="Family told",J298="Enrolled"),AG298=""),"Recommendation needed",IF(AND(OR(J298="Family told",J298="Enrolled"),AJ298=""),"Date family told needed","OK"))))))))</f>
        <v/>
      </c>
    </row>
    <row r="299" customFormat="false" ht="15" hidden="false" customHeight="false" outlineLevel="0" collapsed="false">
      <c r="A299" s="7"/>
      <c r="B299" s="7"/>
      <c r="C299" s="46"/>
      <c r="D299" s="7"/>
      <c r="E299" s="47"/>
      <c r="F299" s="46"/>
      <c r="G299" s="46"/>
      <c r="H299" s="7"/>
      <c r="I299" s="7"/>
      <c r="J299" s="47"/>
      <c r="K299" s="47"/>
      <c r="L299" s="47"/>
      <c r="M299" s="47"/>
      <c r="N299" s="10"/>
      <c r="O299" s="47"/>
      <c r="P299" s="47"/>
      <c r="Q299" s="47"/>
      <c r="R299" s="48" t="str">
        <f aca="false">IF(Q299="","",IF(Q299=0,"below 5:00",IF(Q299&gt;=66,"16:00 or above",INT((60+2*Q299)/12)&amp;":"&amp;TEXT(MOD(60+2*Q299,12),"00"))))</f>
        <v/>
      </c>
      <c r="S299" s="47"/>
      <c r="T299" s="47"/>
      <c r="U299" s="47"/>
      <c r="V299" s="47"/>
      <c r="W299" s="47"/>
      <c r="X299" s="47"/>
      <c r="Y299" s="47"/>
      <c r="Z299" s="47"/>
      <c r="AA299" s="10"/>
      <c r="AB299" s="10"/>
      <c r="AC299" s="47"/>
      <c r="AD299" s="47"/>
      <c r="AE299" s="47"/>
      <c r="AF299" s="47"/>
      <c r="AG299" s="47"/>
      <c r="AH299" s="47"/>
      <c r="AI299" s="46"/>
      <c r="AJ299" s="46"/>
      <c r="AK299" s="46"/>
      <c r="AL299" s="7"/>
      <c r="AM299" s="49" t="str">
        <f aca="false">IF(OR(C299="",G299=""),"",IFERROR(DATEDIF(C299,G299,"m"),""))</f>
        <v/>
      </c>
      <c r="AN299" s="49" t="str">
        <f aca="false">IF(OR(Q299="",AM299=""),"",60+2*Q299-AM299)</f>
        <v/>
      </c>
      <c r="AO299" s="49" t="str">
        <f aca="false">IF(OR(G299="",AJ299=""),"",AJ299-G299)</f>
        <v/>
      </c>
      <c r="AP299" s="50" t="str">
        <f aca="false">IF(AND(A299="",B299=""),"",IF(J299="","Status needed",IF(OR(J299="Applied",J299="Visit booked",J299="Withdrawn"),"OK",IF(G299="","Date assessed needed",IF(C299="","Date of birth needed",IF(COUNTA(L299,M299,P299,U299,V299,X299)&lt;6,"Band missing",IF(AND(OR(J299="Decision confirmed",J299="Family told",J299="Enrolled"),AG299=""),"Recommendation needed",IF(AND(OR(J299="Family told",J299="Enrolled"),AJ299=""),"Date family told needed","OK"))))))))</f>
        <v/>
      </c>
    </row>
    <row r="300" customFormat="false" ht="15" hidden="false" customHeight="false" outlineLevel="0" collapsed="false">
      <c r="A300" s="7"/>
      <c r="B300" s="7"/>
      <c r="C300" s="46"/>
      <c r="D300" s="7"/>
      <c r="E300" s="47"/>
      <c r="F300" s="46"/>
      <c r="G300" s="46"/>
      <c r="H300" s="7"/>
      <c r="I300" s="7"/>
      <c r="J300" s="47"/>
      <c r="K300" s="47"/>
      <c r="L300" s="47"/>
      <c r="M300" s="47"/>
      <c r="N300" s="10"/>
      <c r="O300" s="47"/>
      <c r="P300" s="47"/>
      <c r="Q300" s="47"/>
      <c r="R300" s="48" t="str">
        <f aca="false">IF(Q300="","",IF(Q300=0,"below 5:00",IF(Q300&gt;=66,"16:00 or above",INT((60+2*Q300)/12)&amp;":"&amp;TEXT(MOD(60+2*Q300,12),"00"))))</f>
        <v/>
      </c>
      <c r="S300" s="47"/>
      <c r="T300" s="47"/>
      <c r="U300" s="47"/>
      <c r="V300" s="47"/>
      <c r="W300" s="47"/>
      <c r="X300" s="47"/>
      <c r="Y300" s="47"/>
      <c r="Z300" s="47"/>
      <c r="AA300" s="10"/>
      <c r="AB300" s="10"/>
      <c r="AC300" s="47"/>
      <c r="AD300" s="47"/>
      <c r="AE300" s="47"/>
      <c r="AF300" s="47"/>
      <c r="AG300" s="47"/>
      <c r="AH300" s="47"/>
      <c r="AI300" s="46"/>
      <c r="AJ300" s="46"/>
      <c r="AK300" s="46"/>
      <c r="AL300" s="7"/>
      <c r="AM300" s="49" t="str">
        <f aca="false">IF(OR(C300="",G300=""),"",IFERROR(DATEDIF(C300,G300,"m"),""))</f>
        <v/>
      </c>
      <c r="AN300" s="49" t="str">
        <f aca="false">IF(OR(Q300="",AM300=""),"",60+2*Q300-AM300)</f>
        <v/>
      </c>
      <c r="AO300" s="49" t="str">
        <f aca="false">IF(OR(G300="",AJ300=""),"",AJ300-G300)</f>
        <v/>
      </c>
      <c r="AP300" s="50" t="str">
        <f aca="false">IF(AND(A300="",B300=""),"",IF(J300="","Status needed",IF(OR(J300="Applied",J300="Visit booked",J300="Withdrawn"),"OK",IF(G300="","Date assessed needed",IF(C300="","Date of birth needed",IF(COUNTA(L300,M300,P300,U300,V300,X300)&lt;6,"Band missing",IF(AND(OR(J300="Decision confirmed",J300="Family told",J300="Enrolled"),AG300=""),"Recommendation needed",IF(AND(OR(J300="Family told",J300="Enrolled"),AJ300=""),"Date family told needed","OK"))))))))</f>
        <v/>
      </c>
    </row>
    <row r="301" customFormat="false" ht="15" hidden="false" customHeight="false" outlineLevel="0" collapsed="false">
      <c r="A301" s="7"/>
      <c r="B301" s="7"/>
      <c r="C301" s="46"/>
      <c r="D301" s="7"/>
      <c r="E301" s="47"/>
      <c r="F301" s="46"/>
      <c r="G301" s="46"/>
      <c r="H301" s="7"/>
      <c r="I301" s="7"/>
      <c r="J301" s="47"/>
      <c r="K301" s="47"/>
      <c r="L301" s="47"/>
      <c r="M301" s="47"/>
      <c r="N301" s="10"/>
      <c r="O301" s="47"/>
      <c r="P301" s="47"/>
      <c r="Q301" s="47"/>
      <c r="R301" s="48" t="str">
        <f aca="false">IF(Q301="","",IF(Q301=0,"below 5:00",IF(Q301&gt;=66,"16:00 or above",INT((60+2*Q301)/12)&amp;":"&amp;TEXT(MOD(60+2*Q301,12),"00"))))</f>
        <v/>
      </c>
      <c r="S301" s="47"/>
      <c r="T301" s="47"/>
      <c r="U301" s="47"/>
      <c r="V301" s="47"/>
      <c r="W301" s="47"/>
      <c r="X301" s="47"/>
      <c r="Y301" s="47"/>
      <c r="Z301" s="47"/>
      <c r="AA301" s="10"/>
      <c r="AB301" s="10"/>
      <c r="AC301" s="47"/>
      <c r="AD301" s="47"/>
      <c r="AE301" s="47"/>
      <c r="AF301" s="47"/>
      <c r="AG301" s="47"/>
      <c r="AH301" s="47"/>
      <c r="AI301" s="46"/>
      <c r="AJ301" s="46"/>
      <c r="AK301" s="46"/>
      <c r="AL301" s="7"/>
      <c r="AM301" s="49" t="str">
        <f aca="false">IF(OR(C301="",G301=""),"",IFERROR(DATEDIF(C301,G301,"m"),""))</f>
        <v/>
      </c>
      <c r="AN301" s="49" t="str">
        <f aca="false">IF(OR(Q301="",AM301=""),"",60+2*Q301-AM301)</f>
        <v/>
      </c>
      <c r="AO301" s="49" t="str">
        <f aca="false">IF(OR(G301="",AJ301=""),"",AJ301-G301)</f>
        <v/>
      </c>
      <c r="AP301" s="50" t="str">
        <f aca="false">IF(AND(A301="",B301=""),"",IF(J301="","Status needed",IF(OR(J301="Applied",J301="Visit booked",J301="Withdrawn"),"OK",IF(G301="","Date assessed needed",IF(C301="","Date of birth needed",IF(COUNTA(L301,M301,P301,U301,V301,X301)&lt;6,"Band missing",IF(AND(OR(J301="Decision confirmed",J301="Family told",J301="Enrolled"),AG301=""),"Recommendation needed",IF(AND(OR(J301="Family told",J301="Enrolled"),AJ301=""),"Date family told needed","OK"))))))))</f>
        <v/>
      </c>
    </row>
    <row r="302" customFormat="false" ht="15" hidden="false" customHeight="false" outlineLevel="0" collapsed="false">
      <c r="A302" s="7"/>
      <c r="B302" s="7"/>
      <c r="C302" s="46"/>
      <c r="D302" s="7"/>
      <c r="E302" s="47"/>
      <c r="F302" s="46"/>
      <c r="G302" s="46"/>
      <c r="H302" s="7"/>
      <c r="I302" s="7"/>
      <c r="J302" s="47"/>
      <c r="K302" s="47"/>
      <c r="L302" s="47"/>
      <c r="M302" s="47"/>
      <c r="N302" s="10"/>
      <c r="O302" s="47"/>
      <c r="P302" s="47"/>
      <c r="Q302" s="47"/>
      <c r="R302" s="48" t="str">
        <f aca="false">IF(Q302="","",IF(Q302=0,"below 5:00",IF(Q302&gt;=66,"16:00 or above",INT((60+2*Q302)/12)&amp;":"&amp;TEXT(MOD(60+2*Q302,12),"00"))))</f>
        <v/>
      </c>
      <c r="S302" s="47"/>
      <c r="T302" s="47"/>
      <c r="U302" s="47"/>
      <c r="V302" s="47"/>
      <c r="W302" s="47"/>
      <c r="X302" s="47"/>
      <c r="Y302" s="47"/>
      <c r="Z302" s="47"/>
      <c r="AA302" s="10"/>
      <c r="AB302" s="10"/>
      <c r="AC302" s="47"/>
      <c r="AD302" s="47"/>
      <c r="AE302" s="47"/>
      <c r="AF302" s="47"/>
      <c r="AG302" s="47"/>
      <c r="AH302" s="47"/>
      <c r="AI302" s="46"/>
      <c r="AJ302" s="46"/>
      <c r="AK302" s="46"/>
      <c r="AL302" s="7"/>
      <c r="AM302" s="49" t="str">
        <f aca="false">IF(OR(C302="",G302=""),"",IFERROR(DATEDIF(C302,G302,"m"),""))</f>
        <v/>
      </c>
      <c r="AN302" s="49" t="str">
        <f aca="false">IF(OR(Q302="",AM302=""),"",60+2*Q302-AM302)</f>
        <v/>
      </c>
      <c r="AO302" s="49" t="str">
        <f aca="false">IF(OR(G302="",AJ302=""),"",AJ302-G302)</f>
        <v/>
      </c>
      <c r="AP302" s="50" t="str">
        <f aca="false">IF(AND(A302="",B302=""),"",IF(J302="","Status needed",IF(OR(J302="Applied",J302="Visit booked",J302="Withdrawn"),"OK",IF(G302="","Date assessed needed",IF(C302="","Date of birth needed",IF(COUNTA(L302,M302,P302,U302,V302,X302)&lt;6,"Band missing",IF(AND(OR(J302="Decision confirmed",J302="Family told",J302="Enrolled"),AG302=""),"Recommendation needed",IF(AND(OR(J302="Family told",J302="Enrolled"),AJ302=""),"Date family told needed","OK"))))))))</f>
        <v/>
      </c>
    </row>
    <row r="303" customFormat="false" ht="15" hidden="false" customHeight="false" outlineLevel="0" collapsed="false">
      <c r="A303" s="7"/>
      <c r="B303" s="7"/>
      <c r="C303" s="46"/>
      <c r="D303" s="7"/>
      <c r="E303" s="47"/>
      <c r="F303" s="46"/>
      <c r="G303" s="46"/>
      <c r="H303" s="7"/>
      <c r="I303" s="7"/>
      <c r="J303" s="47"/>
      <c r="K303" s="47"/>
      <c r="L303" s="47"/>
      <c r="M303" s="47"/>
      <c r="N303" s="10"/>
      <c r="O303" s="47"/>
      <c r="P303" s="47"/>
      <c r="Q303" s="47"/>
      <c r="R303" s="48" t="str">
        <f aca="false">IF(Q303="","",IF(Q303=0,"below 5:00",IF(Q303&gt;=66,"16:00 or above",INT((60+2*Q303)/12)&amp;":"&amp;TEXT(MOD(60+2*Q303,12),"00"))))</f>
        <v/>
      </c>
      <c r="S303" s="47"/>
      <c r="T303" s="47"/>
      <c r="U303" s="47"/>
      <c r="V303" s="47"/>
      <c r="W303" s="47"/>
      <c r="X303" s="47"/>
      <c r="Y303" s="47"/>
      <c r="Z303" s="47"/>
      <c r="AA303" s="10"/>
      <c r="AB303" s="10"/>
      <c r="AC303" s="47"/>
      <c r="AD303" s="47"/>
      <c r="AE303" s="47"/>
      <c r="AF303" s="47"/>
      <c r="AG303" s="47"/>
      <c r="AH303" s="47"/>
      <c r="AI303" s="46"/>
      <c r="AJ303" s="46"/>
      <c r="AK303" s="46"/>
      <c r="AL303" s="7"/>
      <c r="AM303" s="49" t="str">
        <f aca="false">IF(OR(C303="",G303=""),"",IFERROR(DATEDIF(C303,G303,"m"),""))</f>
        <v/>
      </c>
      <c r="AN303" s="49" t="str">
        <f aca="false">IF(OR(Q303="",AM303=""),"",60+2*Q303-AM303)</f>
        <v/>
      </c>
      <c r="AO303" s="49" t="str">
        <f aca="false">IF(OR(G303="",AJ303=""),"",AJ303-G303)</f>
        <v/>
      </c>
      <c r="AP303" s="50" t="str">
        <f aca="false">IF(AND(A303="",B303=""),"",IF(J303="","Status needed",IF(OR(J303="Applied",J303="Visit booked",J303="Withdrawn"),"OK",IF(G303="","Date assessed needed",IF(C303="","Date of birth needed",IF(COUNTA(L303,M303,P303,U303,V303,X303)&lt;6,"Band missing",IF(AND(OR(J303="Decision confirmed",J303="Family told",J303="Enrolled"),AG303=""),"Recommendation needed",IF(AND(OR(J303="Family told",J303="Enrolled"),AJ303=""),"Date family told needed","OK"))))))))</f>
        <v/>
      </c>
    </row>
    <row r="304" customFormat="false" ht="15" hidden="false" customHeight="false" outlineLevel="0" collapsed="false">
      <c r="A304" s="7"/>
      <c r="B304" s="7"/>
      <c r="C304" s="46"/>
      <c r="D304" s="7"/>
      <c r="E304" s="47"/>
      <c r="F304" s="46"/>
      <c r="G304" s="46"/>
      <c r="H304" s="7"/>
      <c r="I304" s="7"/>
      <c r="J304" s="47"/>
      <c r="K304" s="47"/>
      <c r="L304" s="47"/>
      <c r="M304" s="47"/>
      <c r="N304" s="10"/>
      <c r="O304" s="47"/>
      <c r="P304" s="47"/>
      <c r="Q304" s="47"/>
      <c r="R304" s="48" t="str">
        <f aca="false">IF(Q304="","",IF(Q304=0,"below 5:00",IF(Q304&gt;=66,"16:00 or above",INT((60+2*Q304)/12)&amp;":"&amp;TEXT(MOD(60+2*Q304,12),"00"))))</f>
        <v/>
      </c>
      <c r="S304" s="47"/>
      <c r="T304" s="47"/>
      <c r="U304" s="47"/>
      <c r="V304" s="47"/>
      <c r="W304" s="47"/>
      <c r="X304" s="47"/>
      <c r="Y304" s="47"/>
      <c r="Z304" s="47"/>
      <c r="AA304" s="10"/>
      <c r="AB304" s="10"/>
      <c r="AC304" s="47"/>
      <c r="AD304" s="47"/>
      <c r="AE304" s="47"/>
      <c r="AF304" s="47"/>
      <c r="AG304" s="47"/>
      <c r="AH304" s="47"/>
      <c r="AI304" s="46"/>
      <c r="AJ304" s="46"/>
      <c r="AK304" s="46"/>
      <c r="AL304" s="7"/>
      <c r="AM304" s="49" t="str">
        <f aca="false">IF(OR(C304="",G304=""),"",IFERROR(DATEDIF(C304,G304,"m"),""))</f>
        <v/>
      </c>
      <c r="AN304" s="49" t="str">
        <f aca="false">IF(OR(Q304="",AM304=""),"",60+2*Q304-AM304)</f>
        <v/>
      </c>
      <c r="AO304" s="49" t="str">
        <f aca="false">IF(OR(G304="",AJ304=""),"",AJ304-G304)</f>
        <v/>
      </c>
      <c r="AP304" s="50" t="str">
        <f aca="false">IF(AND(A304="",B304=""),"",IF(J304="","Status needed",IF(OR(J304="Applied",J304="Visit booked",J304="Withdrawn"),"OK",IF(G304="","Date assessed needed",IF(C304="","Date of birth needed",IF(COUNTA(L304,M304,P304,U304,V304,X304)&lt;6,"Band missing",IF(AND(OR(J304="Decision confirmed",J304="Family told",J304="Enrolled"),AG304=""),"Recommendation needed",IF(AND(OR(J304="Family told",J304="Enrolled"),AJ304=""),"Date family told needed","OK"))))))))</f>
        <v/>
      </c>
    </row>
    <row r="305" customFormat="false" ht="15" hidden="false" customHeight="false" outlineLevel="0" collapsed="false">
      <c r="A305" s="7"/>
      <c r="B305" s="7"/>
      <c r="C305" s="46"/>
      <c r="D305" s="7"/>
      <c r="E305" s="47"/>
      <c r="F305" s="46"/>
      <c r="G305" s="46"/>
      <c r="H305" s="7"/>
      <c r="I305" s="7"/>
      <c r="J305" s="47"/>
      <c r="K305" s="47"/>
      <c r="L305" s="47"/>
      <c r="M305" s="47"/>
      <c r="N305" s="10"/>
      <c r="O305" s="47"/>
      <c r="P305" s="47"/>
      <c r="Q305" s="47"/>
      <c r="R305" s="48" t="str">
        <f aca="false">IF(Q305="","",IF(Q305=0,"below 5:00",IF(Q305&gt;=66,"16:00 or above",INT((60+2*Q305)/12)&amp;":"&amp;TEXT(MOD(60+2*Q305,12),"00"))))</f>
        <v/>
      </c>
      <c r="S305" s="47"/>
      <c r="T305" s="47"/>
      <c r="U305" s="47"/>
      <c r="V305" s="47"/>
      <c r="W305" s="47"/>
      <c r="X305" s="47"/>
      <c r="Y305" s="47"/>
      <c r="Z305" s="47"/>
      <c r="AA305" s="10"/>
      <c r="AB305" s="10"/>
      <c r="AC305" s="47"/>
      <c r="AD305" s="47"/>
      <c r="AE305" s="47"/>
      <c r="AF305" s="47"/>
      <c r="AG305" s="47"/>
      <c r="AH305" s="47"/>
      <c r="AI305" s="46"/>
      <c r="AJ305" s="46"/>
      <c r="AK305" s="46"/>
      <c r="AL305" s="7"/>
      <c r="AM305" s="49" t="str">
        <f aca="false">IF(OR(C305="",G305=""),"",IFERROR(DATEDIF(C305,G305,"m"),""))</f>
        <v/>
      </c>
      <c r="AN305" s="49" t="str">
        <f aca="false">IF(OR(Q305="",AM305=""),"",60+2*Q305-AM305)</f>
        <v/>
      </c>
      <c r="AO305" s="49" t="str">
        <f aca="false">IF(OR(G305="",AJ305=""),"",AJ305-G305)</f>
        <v/>
      </c>
      <c r="AP305" s="50" t="str">
        <f aca="false">IF(AND(A305="",B305=""),"",IF(J305="","Status needed",IF(OR(J305="Applied",J305="Visit booked",J305="Withdrawn"),"OK",IF(G305="","Date assessed needed",IF(C305="","Date of birth needed",IF(COUNTA(L305,M305,P305,U305,V305,X305)&lt;6,"Band missing",IF(AND(OR(J305="Decision confirmed",J305="Family told",J305="Enrolled"),AG305=""),"Recommendation needed",IF(AND(OR(J305="Family told",J305="Enrolled"),AJ305=""),"Date family told needed","OK"))))))))</f>
        <v/>
      </c>
    </row>
  </sheetData>
  <autoFilter ref="A5:AP305"/>
  <mergeCells count="7">
    <mergeCell ref="A4:E4"/>
    <mergeCell ref="F4:J4"/>
    <mergeCell ref="K4:V4"/>
    <mergeCell ref="W4:AB4"/>
    <mergeCell ref="AC4:AF4"/>
    <mergeCell ref="AG4:AL4"/>
    <mergeCell ref="AM4:AP4"/>
  </mergeCells>
  <conditionalFormatting sqref="L6:L305">
    <cfRule type="cellIs" priority="2" operator="equal" aboveAverage="0" equalAverage="0" bottom="0" percent="0" rank="0" text="" dxfId="13">
      <formula>"A"</formula>
    </cfRule>
    <cfRule type="cellIs" priority="3" operator="equal" aboveAverage="0" equalAverage="0" bottom="0" percent="0" rank="0" text="" dxfId="14">
      <formula>"B"</formula>
    </cfRule>
    <cfRule type="cellIs" priority="4" operator="equal" aboveAverage="0" equalAverage="0" bottom="0" percent="0" rank="0" text="" dxfId="15">
      <formula>"C"</formula>
    </cfRule>
    <cfRule type="cellIs" priority="5" operator="equal" aboveAverage="0" equalAverage="0" bottom="0" percent="0" rank="0" text="" dxfId="16">
      <formula>"D"</formula>
    </cfRule>
    <cfRule type="cellIs" priority="6" operator="equal" aboveAverage="0" equalAverage="0" bottom="0" percent="0" rank="0" text="" dxfId="17">
      <formula>"E"</formula>
    </cfRule>
  </conditionalFormatting>
  <conditionalFormatting sqref="M6:M305">
    <cfRule type="cellIs" priority="7" operator="equal" aboveAverage="0" equalAverage="0" bottom="0" percent="0" rank="0" text="" dxfId="13">
      <formula>"A"</formula>
    </cfRule>
    <cfRule type="cellIs" priority="8" operator="equal" aboveAverage="0" equalAverage="0" bottom="0" percent="0" rank="0" text="" dxfId="14">
      <formula>"B"</formula>
    </cfRule>
    <cfRule type="cellIs" priority="9" operator="equal" aboveAverage="0" equalAverage="0" bottom="0" percent="0" rank="0" text="" dxfId="15">
      <formula>"C"</formula>
    </cfRule>
    <cfRule type="cellIs" priority="10" operator="equal" aboveAverage="0" equalAverage="0" bottom="0" percent="0" rank="0" text="" dxfId="16">
      <formula>"D"</formula>
    </cfRule>
    <cfRule type="cellIs" priority="11" operator="equal" aboveAverage="0" equalAverage="0" bottom="0" percent="0" rank="0" text="" dxfId="17">
      <formula>"E"</formula>
    </cfRule>
  </conditionalFormatting>
  <conditionalFormatting sqref="P6:P305">
    <cfRule type="cellIs" priority="12" operator="equal" aboveAverage="0" equalAverage="0" bottom="0" percent="0" rank="0" text="" dxfId="13">
      <formula>"A"</formula>
    </cfRule>
    <cfRule type="cellIs" priority="13" operator="equal" aboveAverage="0" equalAverage="0" bottom="0" percent="0" rank="0" text="" dxfId="14">
      <formula>"B"</formula>
    </cfRule>
    <cfRule type="cellIs" priority="14" operator="equal" aboveAverage="0" equalAverage="0" bottom="0" percent="0" rank="0" text="" dxfId="15">
      <formula>"C"</formula>
    </cfRule>
    <cfRule type="cellIs" priority="15" operator="equal" aboveAverage="0" equalAverage="0" bottom="0" percent="0" rank="0" text="" dxfId="16">
      <formula>"D"</formula>
    </cfRule>
    <cfRule type="cellIs" priority="16" operator="equal" aboveAverage="0" equalAverage="0" bottom="0" percent="0" rank="0" text="" dxfId="17">
      <formula>"E"</formula>
    </cfRule>
  </conditionalFormatting>
  <conditionalFormatting sqref="S6:S305">
    <cfRule type="cellIs" priority="17" operator="equal" aboveAverage="0" equalAverage="0" bottom="0" percent="0" rank="0" text="" dxfId="13">
      <formula>"A"</formula>
    </cfRule>
    <cfRule type="cellIs" priority="18" operator="equal" aboveAverage="0" equalAverage="0" bottom="0" percent="0" rank="0" text="" dxfId="14">
      <formula>"B"</formula>
    </cfRule>
    <cfRule type="cellIs" priority="19" operator="equal" aboveAverage="0" equalAverage="0" bottom="0" percent="0" rank="0" text="" dxfId="15">
      <formula>"C"</formula>
    </cfRule>
    <cfRule type="cellIs" priority="20" operator="equal" aboveAverage="0" equalAverage="0" bottom="0" percent="0" rank="0" text="" dxfId="16">
      <formula>"D"</formula>
    </cfRule>
    <cfRule type="cellIs" priority="21" operator="equal" aboveAverage="0" equalAverage="0" bottom="0" percent="0" rank="0" text="" dxfId="17">
      <formula>"E"</formula>
    </cfRule>
  </conditionalFormatting>
  <conditionalFormatting sqref="U6:U305">
    <cfRule type="cellIs" priority="22" operator="equal" aboveAverage="0" equalAverage="0" bottom="0" percent="0" rank="0" text="" dxfId="13">
      <formula>"A"</formula>
    </cfRule>
    <cfRule type="cellIs" priority="23" operator="equal" aboveAverage="0" equalAverage="0" bottom="0" percent="0" rank="0" text="" dxfId="14">
      <formula>"B"</formula>
    </cfRule>
    <cfRule type="cellIs" priority="24" operator="equal" aboveAverage="0" equalAverage="0" bottom="0" percent="0" rank="0" text="" dxfId="15">
      <formula>"C"</formula>
    </cfRule>
    <cfRule type="cellIs" priority="25" operator="equal" aboveAverage="0" equalAverage="0" bottom="0" percent="0" rank="0" text="" dxfId="16">
      <formula>"D"</formula>
    </cfRule>
    <cfRule type="cellIs" priority="26" operator="equal" aboveAverage="0" equalAverage="0" bottom="0" percent="0" rank="0" text="" dxfId="17">
      <formula>"E"</formula>
    </cfRule>
  </conditionalFormatting>
  <conditionalFormatting sqref="V6:V305">
    <cfRule type="cellIs" priority="27" operator="equal" aboveAverage="0" equalAverage="0" bottom="0" percent="0" rank="0" text="" dxfId="13">
      <formula>"A"</formula>
    </cfRule>
    <cfRule type="cellIs" priority="28" operator="equal" aboveAverage="0" equalAverage="0" bottom="0" percent="0" rank="0" text="" dxfId="14">
      <formula>"B"</formula>
    </cfRule>
    <cfRule type="cellIs" priority="29" operator="equal" aboveAverage="0" equalAverage="0" bottom="0" percent="0" rank="0" text="" dxfId="15">
      <formula>"C"</formula>
    </cfRule>
    <cfRule type="cellIs" priority="30" operator="equal" aboveAverage="0" equalAverage="0" bottom="0" percent="0" rank="0" text="" dxfId="16">
      <formula>"D"</formula>
    </cfRule>
    <cfRule type="cellIs" priority="31" operator="equal" aboveAverage="0" equalAverage="0" bottom="0" percent="0" rank="0" text="" dxfId="17">
      <formula>"E"</formula>
    </cfRule>
  </conditionalFormatting>
  <conditionalFormatting sqref="X6:X305">
    <cfRule type="cellIs" priority="32" operator="equal" aboveAverage="0" equalAverage="0" bottom="0" percent="0" rank="0" text="" dxfId="13">
      <formula>1</formula>
    </cfRule>
    <cfRule type="cellIs" priority="33" operator="equal" aboveAverage="0" equalAverage="0" bottom="0" percent="0" rank="0" text="" dxfId="14">
      <formula>2</formula>
    </cfRule>
    <cfRule type="cellIs" priority="34" operator="equal" aboveAverage="0" equalAverage="0" bottom="0" percent="0" rank="0" text="" dxfId="16">
      <formula>3</formula>
    </cfRule>
    <cfRule type="cellIs" priority="35" operator="equal" aboveAverage="0" equalAverage="0" bottom="0" percent="0" rank="0" text="" dxfId="17">
      <formula>4</formula>
    </cfRule>
  </conditionalFormatting>
  <conditionalFormatting sqref="AC6:AC305">
    <cfRule type="cellIs" priority="36" operator="equal" aboveAverage="0" equalAverage="0" bottom="0" percent="0" rank="0" text="" dxfId="13">
      <formula>1</formula>
    </cfRule>
    <cfRule type="cellIs" priority="37" operator="equal" aboveAverage="0" equalAverage="0" bottom="0" percent="0" rank="0" text="" dxfId="14">
      <formula>2</formula>
    </cfRule>
  </conditionalFormatting>
  <conditionalFormatting sqref="AD6:AD305">
    <cfRule type="cellIs" priority="38" operator="equal" aboveAverage="0" equalAverage="0" bottom="0" percent="0" rank="0" text="" dxfId="14">
      <formula>"Y"</formula>
    </cfRule>
  </conditionalFormatting>
  <conditionalFormatting sqref="AE6:AE305">
    <cfRule type="cellIs" priority="39" operator="equal" aboveAverage="0" equalAverage="0" bottom="0" percent="0" rank="0" text="" dxfId="14">
      <formula>"Y"</formula>
    </cfRule>
  </conditionalFormatting>
  <conditionalFormatting sqref="AF6:AF305">
    <cfRule type="cellIs" priority="40" operator="equal" aboveAverage="0" equalAverage="0" bottom="0" percent="0" rank="0" text="" dxfId="14">
      <formula>"Y"</formula>
    </cfRule>
  </conditionalFormatting>
  <conditionalFormatting sqref="Z6:Z305">
    <cfRule type="cellIs" priority="41" operator="equal" aboveAverage="0" equalAverage="0" bottom="0" percent="0" rank="0" text="" dxfId="14">
      <formula>"Yes"</formula>
    </cfRule>
  </conditionalFormatting>
  <conditionalFormatting sqref="AN6:AN305">
    <cfRule type="cellIs" priority="42" operator="lessThanOrEqual" aboveAverage="0" equalAverage="0" bottom="0" percent="0" rank="0" text="" dxfId="14">
      <formula>-12</formula>
    </cfRule>
  </conditionalFormatting>
  <conditionalFormatting sqref="J6:J305">
    <cfRule type="cellIs" priority="43" operator="equal" aboveAverage="0" equalAverage="0" bottom="0" percent="0" rank="0" text="" dxfId="18">
      <formula>"Withdrawn"</formula>
    </cfRule>
  </conditionalFormatting>
  <conditionalFormatting sqref="AP6:AP305">
    <cfRule type="expression" priority="44" aboveAverage="0" equalAverage="0" bottom="0" percent="0" rank="0" text="" dxfId="19">
      <formula>AND(AP6&lt;&gt;"",AP6&lt;&gt;"OK")</formula>
    </cfRule>
    <cfRule type="expression" priority="45" aboveAverage="0" equalAverage="0" bottom="0" percent="0" rank="0" text="" dxfId="20">
      <formula>AP6="OK"</formula>
    </cfRule>
  </conditionalFormatting>
  <dataValidations count="23">
    <dataValidation allowBlank="true" error="Enter a date, day first, for example 14/10/2026." errorStyle="stop" errorTitle="Date" operator="between" showDropDown="false" showErrorMessage="true" showInputMessage="false" sqref="C6:C305 F6:G305 AI6:AK305" type="date">
      <formula1>36526</formula1>
      <formula2>73050</formula2>
    </dataValidation>
    <dataValidation allowBlank="true" error="Enter the lowest strand rating on the Interview sheet: 1, 2, 3 or 4." errorStyle="stop" errorTitle="Rating" operator="between" showDropDown="false" showErrorMessage="true" showInputMessage="false" sqref="AC6:AC305" type="whole">
      <formula1>1</formula1>
      <formula2>4</formula2>
    </dataValidation>
    <dataValidation allowBlank="true" error="Enter Y or N, or leave blank." errorStyle="stop" errorTitle="Y or N" operator="between" showDropDown="false" showErrorMessage="true" showInputMessage="false" sqref="E6:E305" type="list">
      <formula1>"Y,N"</formula1>
      <formula2>0</formula2>
    </dataValidation>
    <dataValidation allowBlank="true" error="Choose a status from the list." errorStyle="stop" errorTitle="Status" operator="between" showDropDown="false" showErrorMessage="true" showInputMessage="false" sqref="J6:J305" type="list">
      <formula1>Lists!$A$2:$A$8</formula1>
      <formula2>0</formula2>
    </dataValidation>
    <dataValidation allowBlank="true" error="Enter a whole number from 0 to the maximum shown in row 3 of this column." errorStyle="stop" errorTitle="Score" operator="between" showDropDown="false" showErrorMessage="true" showInputMessage="false" sqref="K6:K305" type="whole">
      <formula1>0</formula1>
      <formula2>$K$3</formula2>
    </dataValidation>
    <dataValidation allowBlank="true" error="Enter a band from the list: A, B, C, D or E." errorStyle="stop" errorTitle="Band" operator="between" showDropDown="false" showErrorMessage="true" showInputMessage="false" sqref="L6:L305" type="list">
      <formula1>"A,B,C,D,E"</formula1>
      <formula2>0</formula2>
    </dataValidation>
    <dataValidation allowBlank="true" error="Enter a band from the list: A, B, C, D or E." errorStyle="stop" errorTitle="Band" operator="between" showDropDown="false" showErrorMessage="true" showInputMessage="false" sqref="M6:M305" type="list">
      <formula1>"A,B,C,D,E"</formula1>
      <formula2>0</formula2>
    </dataValidation>
    <dataValidation allowBlank="true" error="Enter a whole number from 0 to the maximum shown in row 3 of this column." errorStyle="stop" errorTitle="Score" operator="between" showDropDown="false" showErrorMessage="true" showInputMessage="false" sqref="O6:O305" type="whole">
      <formula1>0</formula1>
      <formula2>$O$3</formula2>
    </dataValidation>
    <dataValidation allowBlank="true" error="Enter a band from the list: A, B, C, D or E." errorStyle="stop" errorTitle="Band" operator="between" showDropDown="false" showErrorMessage="true" showInputMessage="false" sqref="P6:P305" type="list">
      <formula1>"A,B,C,D,E"</formula1>
      <formula2>0</formula2>
    </dataValidation>
    <dataValidation allowBlank="true" error="Enter a whole number from 0 to the maximum shown in row 3 of this column." errorStyle="stop" errorTitle="Score" operator="between" showDropDown="false" showErrorMessage="true" showInputMessage="false" sqref="Q6:Q305" type="whole">
      <formula1>0</formula1>
      <formula2>$Q$3</formula2>
    </dataValidation>
    <dataValidation allowBlank="true" error="Enter a band from the list: A, B, C, D or E." errorStyle="stop" errorTitle="Band" operator="between" showDropDown="false" showErrorMessage="true" showInputMessage="false" sqref="S6:S305" type="list">
      <formula1>"A,B,C,D,E"</formula1>
      <formula2>0</formula2>
    </dataValidation>
    <dataValidation allowBlank="true" error="Enter a whole number from 0 to the maximum shown in row 3 of this column." errorStyle="stop" errorTitle="Score" operator="between" showDropDown="false" showErrorMessage="true" showInputMessage="false" sqref="T6:T305" type="whole">
      <formula1>0</formula1>
      <formula2>$T$3</formula2>
    </dataValidation>
    <dataValidation allowBlank="true" error="Enter a band from the list: A, B, C, D or E." errorStyle="stop" errorTitle="Band" operator="between" showDropDown="false" showErrorMessage="true" showInputMessage="false" sqref="U6:U305" type="list">
      <formula1>"A,B,C,D,E"</formula1>
      <formula2>0</formula2>
    </dataValidation>
    <dataValidation allowBlank="true" error="Enter a band from the list: A, B, C, D or E." errorStyle="stop" errorTitle="Band" operator="between" showDropDown="false" showErrorMessage="true" showInputMessage="false" sqref="V6:V305" type="list">
      <formula1>"A,B,C,D,E"</formula1>
      <formula2>0</formula2>
    </dataValidation>
    <dataValidation allowBlank="true" error="Enter a whole number from 0 to the maximum shown in row 3 of this column." errorStyle="stop" errorTitle="Score" operator="between" showDropDown="false" showErrorMessage="true" showInputMessage="false" sqref="W6:W305" type="whole">
      <formula1>0</formula1>
      <formula2>$W$3</formula2>
    </dataValidation>
    <dataValidation allowBlank="true" error="Enter a band from the list: 1, 2, 3 or 4." errorStyle="stop" errorTitle="Band" operator="between" showDropDown="false" showErrorMessage="true" showInputMessage="false" sqref="X6:X305" type="list">
      <formula1>"1,2,3,4"</formula1>
      <formula2>0</formula2>
    </dataValidation>
    <dataValidation allowBlank="true" error="Enter a whole number from 0 to the maximum shown in row 3 of this column." errorStyle="stop" errorTitle="Score" operator="between" showDropDown="false" showErrorMessage="true" showInputMessage="false" sqref="Y6:Y305" type="whole">
      <formula1>0</formula1>
      <formula2>$Y$3</formula2>
    </dataValidation>
    <dataValidation allowBlank="true" error="Choose Yes, No or Unsure." errorStyle="stop" errorTitle="English barrier in maths" operator="between" showDropDown="false" showErrorMessage="true" showInputMessage="false" sqref="Z6:Z305" type="list">
      <formula1>Lists!$E$2:$E$4</formula1>
      <formula2>0</formula2>
    </dataValidation>
    <dataValidation allowBlank="true" error="Enter Y or N, or leave blank." errorStyle="stop" errorTitle="Y or N" operator="between" showDropDown="false" showErrorMessage="true" showInputMessage="false" sqref="AD6:AD305" type="list">
      <formula1>"Y,N"</formula1>
      <formula2>0</formula2>
    </dataValidation>
    <dataValidation allowBlank="true" error="Enter Y or N, or leave blank." errorStyle="stop" errorTitle="Y or N" operator="between" showDropDown="false" showErrorMessage="true" showInputMessage="false" sqref="AE6:AE305" type="list">
      <formula1>"Y,N"</formula1>
      <formula2>0</formula2>
    </dataValidation>
    <dataValidation allowBlank="true" error="Enter Y or N, or leave blank." errorStyle="stop" errorTitle="Y or N" operator="between" showDropDown="false" showErrorMessage="true" showInputMessage="false" sqref="AF6:AF305" type="list">
      <formula1>"Y,N"</formula1>
      <formula2>0</formula2>
    </dataValidation>
    <dataValidation allowBlank="true" error="Choose a recommendation from the list." errorStyle="stop" errorTitle="Recommendation" operator="between" showDropDown="false" showErrorMessage="true" showInputMessage="false" sqref="AG6:AG305" type="list">
      <formula1>Lists!$B$2:$B$6</formula1>
      <formula2>0</formula2>
    </dataValidation>
    <dataValidation allowBlank="true" error="Choose a support level from the list." errorStyle="stop" errorTitle="English support level" operator="between" showDropDown="false" showErrorMessage="true" showInputMessage="false" sqref="AH6:AH305" type="list">
      <formula1>Lists!$C$2:$C$5</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78D6"/>
    <pageSetUpPr fitToPage="true"/>
  </sheetPr>
  <dimension ref="A1:AP3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4"/>
    <col collapsed="false" customWidth="true" hidden="false" outlineLevel="0" max="3" min="3" style="0" width="12"/>
    <col collapsed="false" customWidth="true" hidden="false" outlineLevel="0" max="4" min="4" style="0" width="24"/>
    <col collapsed="false" customWidth="true" hidden="false" outlineLevel="0" max="5" min="5" style="0" width="9"/>
    <col collapsed="false" customWidth="true" hidden="false" outlineLevel="0" max="7" min="6" style="0" width="12"/>
    <col collapsed="false" customWidth="true" hidden="false" outlineLevel="0" max="8" min="8" style="0" width="10"/>
    <col collapsed="false" customWidth="true" hidden="false" outlineLevel="0" max="9" min="9" style="0" width="9"/>
    <col collapsed="false" customWidth="true" hidden="false" outlineLevel="0" max="10" min="10" style="0" width="18"/>
    <col collapsed="false" customWidth="true" hidden="false" outlineLevel="0" max="13" min="11" style="0" width="9"/>
    <col collapsed="false" customWidth="true" hidden="false" outlineLevel="0" max="14" min="14" style="0" width="17"/>
    <col collapsed="false" customWidth="true" hidden="false" outlineLevel="0" max="15" min="15" style="0" width="10"/>
    <col collapsed="false" customWidth="true" hidden="false" outlineLevel="0" max="16" min="16" style="0" width="9"/>
    <col collapsed="false" customWidth="true" hidden="false" outlineLevel="0" max="17" min="17" style="0" width="10"/>
    <col collapsed="false" customWidth="true" hidden="false" outlineLevel="0" max="18" min="18" style="0" width="11"/>
    <col collapsed="false" customWidth="true" hidden="false" outlineLevel="0" max="19" min="19" style="0" width="10"/>
    <col collapsed="false" customWidth="true" hidden="false" outlineLevel="0" max="24" min="20" style="0" width="9"/>
    <col collapsed="false" customWidth="true" hidden="false" outlineLevel="0" max="25" min="25" style="0" width="10"/>
    <col collapsed="false" customWidth="true" hidden="false" outlineLevel="0" max="26" min="26" style="0" width="11"/>
    <col collapsed="false" customWidth="true" hidden="false" outlineLevel="0" max="28" min="27" style="0" width="9"/>
    <col collapsed="false" customWidth="true" hidden="false" outlineLevel="0" max="29" min="29" style="0" width="11"/>
    <col collapsed="false" customWidth="true" hidden="false" outlineLevel="0" max="31" min="30" style="0" width="10"/>
    <col collapsed="false" customWidth="true" hidden="false" outlineLevel="0" max="32" min="32" style="0" width="11"/>
    <col collapsed="false" customWidth="true" hidden="false" outlineLevel="0" max="33" min="33" style="0" width="32"/>
    <col collapsed="false" customWidth="true" hidden="false" outlineLevel="0" max="34" min="34" style="0" width="28"/>
    <col collapsed="false" customWidth="true" hidden="false" outlineLevel="0" max="37" min="35" style="0" width="12"/>
    <col collapsed="false" customWidth="true" hidden="false" outlineLevel="0" max="38" min="38" style="0" width="36"/>
    <col collapsed="false" customWidth="true" hidden="false" outlineLevel="0" max="39" min="39" style="0" width="11"/>
    <col collapsed="false" customWidth="true" hidden="false" outlineLevel="0" max="41" min="40" style="0" width="12"/>
    <col collapsed="false" customWidth="true" hidden="false" outlineLevel="0" max="42" min="42" style="0" width="26"/>
  </cols>
  <sheetData>
    <row r="1" customFormat="false" ht="17.35" hidden="false" customHeight="false" outlineLevel="0" collapsed="false">
      <c r="A1" s="38" t="s">
        <v>374</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row>
    <row r="2" customFormat="false" ht="15" hidden="false" customHeight="false" outlineLevel="0" collapsed="false">
      <c r="A2" s="18" t="s">
        <v>286</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row>
    <row r="3" customFormat="false" ht="15" hidden="false" customHeight="false" outlineLevel="0" collapsed="false">
      <c r="A3" s="1"/>
      <c r="B3" s="39" t="s">
        <v>375</v>
      </c>
      <c r="C3" s="1"/>
      <c r="D3" s="1"/>
      <c r="E3" s="1"/>
      <c r="F3" s="1"/>
      <c r="G3" s="1"/>
      <c r="H3" s="1"/>
      <c r="I3" s="1"/>
      <c r="J3" s="1"/>
      <c r="K3" s="40" t="n">
        <v>8</v>
      </c>
      <c r="L3" s="1"/>
      <c r="M3" s="1"/>
      <c r="N3" s="41" t="s">
        <v>288</v>
      </c>
      <c r="O3" s="40" t="n">
        <v>24</v>
      </c>
      <c r="P3" s="1"/>
      <c r="Q3" s="40" t="n">
        <v>72</v>
      </c>
      <c r="R3" s="1"/>
      <c r="S3" s="1"/>
      <c r="T3" s="40" t="n">
        <v>16</v>
      </c>
      <c r="U3" s="1"/>
      <c r="V3" s="1"/>
      <c r="W3" s="40" t="n">
        <v>25</v>
      </c>
      <c r="X3" s="1"/>
      <c r="Y3" s="40" t="n">
        <v>5</v>
      </c>
      <c r="Z3" s="1"/>
      <c r="AA3" s="40" t="n">
        <v>10</v>
      </c>
      <c r="AB3" s="1"/>
      <c r="AC3" s="1"/>
      <c r="AD3" s="1"/>
      <c r="AE3" s="1"/>
      <c r="AF3" s="1"/>
      <c r="AG3" s="1"/>
      <c r="AH3" s="1"/>
      <c r="AI3" s="1"/>
      <c r="AJ3" s="1"/>
      <c r="AK3" s="1"/>
      <c r="AL3" s="1"/>
      <c r="AM3" s="1"/>
      <c r="AN3" s="1"/>
      <c r="AO3" s="1"/>
      <c r="AP3" s="1"/>
    </row>
    <row r="4" customFormat="false" ht="19.5" hidden="false" customHeight="true" outlineLevel="0" collapsed="false">
      <c r="A4" s="42" t="s">
        <v>289</v>
      </c>
      <c r="B4" s="42"/>
      <c r="C4" s="42"/>
      <c r="D4" s="42"/>
      <c r="E4" s="42"/>
      <c r="F4" s="42" t="s">
        <v>290</v>
      </c>
      <c r="G4" s="42"/>
      <c r="H4" s="42"/>
      <c r="I4" s="42"/>
      <c r="J4" s="42"/>
      <c r="K4" s="42" t="s">
        <v>291</v>
      </c>
      <c r="L4" s="42"/>
      <c r="M4" s="42"/>
      <c r="N4" s="42"/>
      <c r="O4" s="42"/>
      <c r="P4" s="42"/>
      <c r="Q4" s="42"/>
      <c r="R4" s="42"/>
      <c r="S4" s="42"/>
      <c r="T4" s="42"/>
      <c r="U4" s="42"/>
      <c r="V4" s="42"/>
      <c r="W4" s="42" t="s">
        <v>292</v>
      </c>
      <c r="X4" s="42"/>
      <c r="Y4" s="42"/>
      <c r="Z4" s="42"/>
      <c r="AA4" s="42"/>
      <c r="AB4" s="42"/>
      <c r="AC4" s="42" t="s">
        <v>293</v>
      </c>
      <c r="AD4" s="42"/>
      <c r="AE4" s="42"/>
      <c r="AF4" s="42"/>
      <c r="AG4" s="42" t="s">
        <v>294</v>
      </c>
      <c r="AH4" s="42"/>
      <c r="AI4" s="42"/>
      <c r="AJ4" s="42"/>
      <c r="AK4" s="42"/>
      <c r="AL4" s="42"/>
      <c r="AM4" s="43" t="s">
        <v>295</v>
      </c>
      <c r="AN4" s="43"/>
      <c r="AO4" s="43"/>
      <c r="AP4" s="43"/>
    </row>
    <row r="5" customFormat="false" ht="61.5" hidden="false" customHeight="true" outlineLevel="0" collapsed="false">
      <c r="A5" s="44" t="s">
        <v>55</v>
      </c>
      <c r="B5" s="44" t="s">
        <v>59</v>
      </c>
      <c r="C5" s="44" t="s">
        <v>62</v>
      </c>
      <c r="D5" s="44" t="s">
        <v>65</v>
      </c>
      <c r="E5" s="44" t="s">
        <v>68</v>
      </c>
      <c r="F5" s="44" t="s">
        <v>72</v>
      </c>
      <c r="G5" s="44" t="s">
        <v>76</v>
      </c>
      <c r="H5" s="44" t="s">
        <v>79</v>
      </c>
      <c r="I5" s="44" t="s">
        <v>83</v>
      </c>
      <c r="J5" s="44" t="s">
        <v>86</v>
      </c>
      <c r="K5" s="44" t="s">
        <v>88</v>
      </c>
      <c r="L5" s="44" t="s">
        <v>91</v>
      </c>
      <c r="M5" s="44" t="s">
        <v>95</v>
      </c>
      <c r="N5" s="45" t="s">
        <v>98</v>
      </c>
      <c r="O5" s="44" t="s">
        <v>102</v>
      </c>
      <c r="P5" s="44" t="s">
        <v>106</v>
      </c>
      <c r="Q5" s="44" t="s">
        <v>109</v>
      </c>
      <c r="R5" s="44" t="s">
        <v>113</v>
      </c>
      <c r="S5" s="44" t="s">
        <v>117</v>
      </c>
      <c r="T5" s="44" t="s">
        <v>120</v>
      </c>
      <c r="U5" s="44" t="s">
        <v>123</v>
      </c>
      <c r="V5" s="44" t="s">
        <v>125</v>
      </c>
      <c r="W5" s="44" t="s">
        <v>127</v>
      </c>
      <c r="X5" s="44" t="s">
        <v>130</v>
      </c>
      <c r="Y5" s="44" t="s">
        <v>134</v>
      </c>
      <c r="Z5" s="44" t="s">
        <v>136</v>
      </c>
      <c r="AA5" s="44" t="s">
        <v>139</v>
      </c>
      <c r="AB5" s="44" t="s">
        <v>141</v>
      </c>
      <c r="AC5" s="44" t="s">
        <v>143</v>
      </c>
      <c r="AD5" s="44" t="s">
        <v>146</v>
      </c>
      <c r="AE5" s="44" t="s">
        <v>149</v>
      </c>
      <c r="AF5" s="44" t="s">
        <v>151</v>
      </c>
      <c r="AG5" s="44" t="s">
        <v>48</v>
      </c>
      <c r="AH5" s="44" t="s">
        <v>156</v>
      </c>
      <c r="AI5" s="44" t="s">
        <v>160</v>
      </c>
      <c r="AJ5" s="44" t="s">
        <v>164</v>
      </c>
      <c r="AK5" s="44" t="s">
        <v>167</v>
      </c>
      <c r="AL5" s="44" t="s">
        <v>170</v>
      </c>
      <c r="AM5" s="44" t="s">
        <v>173</v>
      </c>
      <c r="AN5" s="44" t="s">
        <v>176</v>
      </c>
      <c r="AO5" s="44" t="s">
        <v>179</v>
      </c>
      <c r="AP5" s="44" t="s">
        <v>181</v>
      </c>
    </row>
    <row r="6" customFormat="false" ht="15" hidden="false" customHeight="false" outlineLevel="0" collapsed="false">
      <c r="A6" s="7" t="s">
        <v>376</v>
      </c>
      <c r="B6" s="7" t="s">
        <v>377</v>
      </c>
      <c r="C6" s="46" t="n">
        <v>42688</v>
      </c>
      <c r="D6" s="7" t="s">
        <v>298</v>
      </c>
      <c r="E6" s="47" t="s">
        <v>69</v>
      </c>
      <c r="F6" s="46" t="n">
        <v>46227</v>
      </c>
      <c r="G6" s="46" t="n">
        <v>46276</v>
      </c>
      <c r="H6" s="7" t="s">
        <v>299</v>
      </c>
      <c r="I6" s="7" t="s">
        <v>84</v>
      </c>
      <c r="J6" s="47" t="s">
        <v>31</v>
      </c>
      <c r="K6" s="47" t="n">
        <v>4</v>
      </c>
      <c r="L6" s="47" t="s">
        <v>92</v>
      </c>
      <c r="M6" s="47"/>
      <c r="N6" s="10"/>
      <c r="O6" s="47" t="n">
        <v>12</v>
      </c>
      <c r="P6" s="47" t="s">
        <v>92</v>
      </c>
      <c r="Q6" s="47" t="n">
        <v>20</v>
      </c>
      <c r="R6" s="48" t="str">
        <f aca="false">IF(Q6="","",IF(Q6=0,"below 5:00",IF(Q6&gt;=66,"16:00 or above",INT((60+2*Q6)/12)&amp;":"&amp;TEXT(MOD(60+2*Q6,12),"00"))))</f>
        <v>8:04</v>
      </c>
      <c r="S6" s="47" t="s">
        <v>92</v>
      </c>
      <c r="T6" s="47" t="n">
        <v>11</v>
      </c>
      <c r="U6" s="47" t="s">
        <v>118</v>
      </c>
      <c r="V6" s="47" t="s">
        <v>92</v>
      </c>
      <c r="W6" s="47" t="n">
        <v>14</v>
      </c>
      <c r="X6" s="47" t="n">
        <v>3</v>
      </c>
      <c r="Y6" s="47" t="n">
        <v>2</v>
      </c>
      <c r="Z6" s="47" t="s">
        <v>137</v>
      </c>
      <c r="AA6" s="47" t="n">
        <v>5</v>
      </c>
      <c r="AB6" s="47" t="n">
        <v>2</v>
      </c>
      <c r="AC6" s="47" t="n">
        <v>3</v>
      </c>
      <c r="AD6" s="47"/>
      <c r="AE6" s="47" t="s">
        <v>311</v>
      </c>
      <c r="AF6" s="47"/>
      <c r="AG6" s="47"/>
      <c r="AH6" s="47"/>
      <c r="AI6" s="46"/>
      <c r="AJ6" s="46"/>
      <c r="AK6" s="46"/>
      <c r="AL6" s="7"/>
      <c r="AM6" s="49" t="n">
        <f aca="false">IF(OR(C6="",G6=""),"",IFERROR(DATEDIF(C6,G6,"m"),""))</f>
        <v>117</v>
      </c>
      <c r="AN6" s="49" t="n">
        <f aca="false">IF(OR(Q6="",AM6=""),"",60+2*Q6-AM6)</f>
        <v>-17</v>
      </c>
      <c r="AO6" s="49" t="str">
        <f aca="false">IF(OR(G6="",AJ6=""),"",AJ6-G6)</f>
        <v/>
      </c>
      <c r="AP6" s="50" t="str">
        <f aca="false">IF(AND(A6="",B6=""),"",IF(J6="","Status needed",IF(OR(J6="Applied",J6="Visit booked",J6="Withdrawn"),"OK",IF(G6="","Date assessed needed",IF(C6="","Date of birth needed",IF(COUNTA(L6,M6,P6,U6,V6,X6,AB6)&lt;7,"Band missing",IF(AND(OR(J6="Decision confirmed",J6="Family told",J6="Enrolled"),AG6=""),"Recommendation needed",IF(AND(OR(J6="Family told",J6="Enrolled"),AJ6=""),"Date family told needed","OK"))))))))</f>
        <v>Band missing</v>
      </c>
    </row>
    <row r="7" customFormat="false" ht="15" hidden="false" customHeight="false" outlineLevel="0" collapsed="false">
      <c r="A7" s="7" t="s">
        <v>378</v>
      </c>
      <c r="B7" s="7" t="s">
        <v>379</v>
      </c>
      <c r="C7" s="46" t="n">
        <v>42742</v>
      </c>
      <c r="D7" s="7" t="s">
        <v>361</v>
      </c>
      <c r="E7" s="47" t="s">
        <v>69</v>
      </c>
      <c r="F7" s="46" t="n">
        <v>46229</v>
      </c>
      <c r="G7" s="46"/>
      <c r="H7" s="7"/>
      <c r="I7" s="7" t="s">
        <v>84</v>
      </c>
      <c r="J7" s="47" t="s">
        <v>39</v>
      </c>
      <c r="K7" s="47"/>
      <c r="L7" s="47"/>
      <c r="M7" s="47"/>
      <c r="N7" s="10"/>
      <c r="O7" s="47"/>
      <c r="P7" s="47"/>
      <c r="Q7" s="47"/>
      <c r="R7" s="48" t="str">
        <f aca="false">IF(Q7="","",IF(Q7=0,"below 5:00",IF(Q7&gt;=66,"16:00 or above",INT((60+2*Q7)/12)&amp;":"&amp;TEXT(MOD(60+2*Q7,12),"00"))))</f>
        <v/>
      </c>
      <c r="S7" s="47"/>
      <c r="T7" s="47"/>
      <c r="U7" s="47"/>
      <c r="V7" s="47"/>
      <c r="W7" s="47"/>
      <c r="X7" s="47"/>
      <c r="Y7" s="47"/>
      <c r="Z7" s="47"/>
      <c r="AA7" s="47"/>
      <c r="AB7" s="47"/>
      <c r="AC7" s="47"/>
      <c r="AD7" s="47"/>
      <c r="AE7" s="47"/>
      <c r="AF7" s="47"/>
      <c r="AG7" s="47"/>
      <c r="AH7" s="47"/>
      <c r="AI7" s="46"/>
      <c r="AJ7" s="46"/>
      <c r="AK7" s="46"/>
      <c r="AL7" s="7" t="s">
        <v>333</v>
      </c>
      <c r="AM7" s="49" t="str">
        <f aca="false">IF(OR(C7="",G7=""),"",IFERROR(DATEDIF(C7,G7,"m"),""))</f>
        <v/>
      </c>
      <c r="AN7" s="49" t="str">
        <f aca="false">IF(OR(Q7="",AM7=""),"",60+2*Q7-AM7)</f>
        <v/>
      </c>
      <c r="AO7" s="49" t="str">
        <f aca="false">IF(OR(G7="",AJ7=""),"",AJ7-G7)</f>
        <v/>
      </c>
      <c r="AP7" s="50" t="str">
        <f aca="false">IF(AND(A7="",B7=""),"",IF(J7="","Status needed",IF(OR(J7="Applied",J7="Visit booked",J7="Withdrawn"),"OK",IF(G7="","Date assessed needed",IF(C7="","Date of birth needed",IF(COUNTA(L7,M7,P7,U7,V7,X7,AB7)&lt;7,"Band missing",IF(AND(OR(J7="Decision confirmed",J7="Family told",J7="Enrolled"),AG7=""),"Recommendation needed",IF(AND(OR(J7="Family told",J7="Enrolled"),AJ7=""),"Date family told needed","OK"))))))))</f>
        <v>OK</v>
      </c>
    </row>
    <row r="8" customFormat="false" ht="15" hidden="false" customHeight="false" outlineLevel="0" collapsed="false">
      <c r="A8" s="7" t="s">
        <v>380</v>
      </c>
      <c r="B8" s="7" t="s">
        <v>381</v>
      </c>
      <c r="C8" s="46" t="n">
        <v>42769</v>
      </c>
      <c r="D8" s="7" t="s">
        <v>361</v>
      </c>
      <c r="E8" s="47" t="s">
        <v>69</v>
      </c>
      <c r="F8" s="46" t="n">
        <v>46222</v>
      </c>
      <c r="G8" s="46" t="n">
        <v>46280</v>
      </c>
      <c r="H8" s="7" t="s">
        <v>314</v>
      </c>
      <c r="I8" s="7" t="s">
        <v>84</v>
      </c>
      <c r="J8" s="47" t="s">
        <v>31</v>
      </c>
      <c r="K8" s="47" t="n">
        <v>1</v>
      </c>
      <c r="L8" s="47" t="s">
        <v>220</v>
      </c>
      <c r="M8" s="47" t="s">
        <v>220</v>
      </c>
      <c r="N8" s="10"/>
      <c r="O8" s="47" t="n">
        <v>1</v>
      </c>
      <c r="P8" s="47" t="s">
        <v>220</v>
      </c>
      <c r="Q8" s="47" t="n">
        <v>0</v>
      </c>
      <c r="R8" s="48" t="str">
        <f aca="false">IF(Q8="","",IF(Q8=0,"below 5:00",IF(Q8&gt;=66,"16:00 or above",INT((60+2*Q8)/12)&amp;":"&amp;TEXT(MOD(60+2*Q8,12),"00"))))</f>
        <v>below 5:00</v>
      </c>
      <c r="S8" s="47" t="s">
        <v>220</v>
      </c>
      <c r="T8" s="47" t="n">
        <v>2</v>
      </c>
      <c r="U8" s="47" t="s">
        <v>220</v>
      </c>
      <c r="V8" s="47" t="s">
        <v>220</v>
      </c>
      <c r="W8" s="47" t="n">
        <v>11</v>
      </c>
      <c r="X8" s="47" t="n">
        <v>2</v>
      </c>
      <c r="Y8" s="47" t="n">
        <v>0</v>
      </c>
      <c r="Z8" s="47" t="s">
        <v>382</v>
      </c>
      <c r="AA8" s="47" t="n">
        <v>2</v>
      </c>
      <c r="AB8" s="47" t="n">
        <v>1</v>
      </c>
      <c r="AC8" s="47" t="n">
        <v>4</v>
      </c>
      <c r="AD8" s="47"/>
      <c r="AE8" s="47"/>
      <c r="AF8" s="47"/>
      <c r="AG8" s="47"/>
      <c r="AH8" s="47"/>
      <c r="AI8" s="46"/>
      <c r="AJ8" s="46"/>
      <c r="AK8" s="46"/>
      <c r="AL8" s="7"/>
      <c r="AM8" s="49" t="n">
        <f aca="false">IF(OR(C8="",G8=""),"",IFERROR(DATEDIF(C8,G8,"m"),""))</f>
        <v>115</v>
      </c>
      <c r="AN8" s="49" t="n">
        <f aca="false">IF(OR(Q8="",AM8=""),"",60+2*Q8-AM8)</f>
        <v>-55</v>
      </c>
      <c r="AO8" s="49" t="str">
        <f aca="false">IF(OR(G8="",AJ8=""),"",AJ8-G8)</f>
        <v/>
      </c>
      <c r="AP8" s="50" t="str">
        <f aca="false">IF(AND(A8="",B8=""),"",IF(J8="","Status needed",IF(OR(J8="Applied",J8="Visit booked",J8="Withdrawn"),"OK",IF(G8="","Date assessed needed",IF(C8="","Date of birth needed",IF(COUNTA(L8,M8,P8,U8,V8,X8,AB8)&lt;7,"Band missing",IF(AND(OR(J8="Decision confirmed",J8="Family told",J8="Enrolled"),AG8=""),"Recommendation needed",IF(AND(OR(J8="Family told",J8="Enrolled"),AJ8=""),"Date family told needed","OK"))))))))</f>
        <v>OK</v>
      </c>
    </row>
    <row r="9" customFormat="false" ht="15" hidden="false" customHeight="false" outlineLevel="0" collapsed="false">
      <c r="A9" s="7" t="s">
        <v>383</v>
      </c>
      <c r="B9" s="7" t="s">
        <v>384</v>
      </c>
      <c r="C9" s="46" t="n">
        <v>42677</v>
      </c>
      <c r="D9" s="7" t="s">
        <v>361</v>
      </c>
      <c r="E9" s="47" t="s">
        <v>69</v>
      </c>
      <c r="F9" s="46" t="n">
        <v>46221</v>
      </c>
      <c r="G9" s="46" t="n">
        <v>46289</v>
      </c>
      <c r="H9" s="7" t="s">
        <v>80</v>
      </c>
      <c r="I9" s="7" t="s">
        <v>84</v>
      </c>
      <c r="J9" s="47" t="s">
        <v>35</v>
      </c>
      <c r="K9" s="47" t="n">
        <v>3</v>
      </c>
      <c r="L9" s="47" t="s">
        <v>221</v>
      </c>
      <c r="M9" s="47" t="s">
        <v>92</v>
      </c>
      <c r="N9" s="10"/>
      <c r="O9" s="47" t="n">
        <v>16</v>
      </c>
      <c r="P9" s="47" t="s">
        <v>118</v>
      </c>
      <c r="Q9" s="47" t="n">
        <v>27</v>
      </c>
      <c r="R9" s="48" t="str">
        <f aca="false">IF(Q9="","",IF(Q9=0,"below 5:00",IF(Q9&gt;=66,"16:00 or above",INT((60+2*Q9)/12)&amp;":"&amp;TEXT(MOD(60+2*Q9,12),"00"))))</f>
        <v>9:06</v>
      </c>
      <c r="S9" s="47" t="s">
        <v>222</v>
      </c>
      <c r="T9" s="47" t="n">
        <v>8</v>
      </c>
      <c r="U9" s="47" t="s">
        <v>92</v>
      </c>
      <c r="V9" s="47" t="s">
        <v>92</v>
      </c>
      <c r="W9" s="47" t="n">
        <v>17</v>
      </c>
      <c r="X9" s="47" t="n">
        <v>3</v>
      </c>
      <c r="Y9" s="47" t="n">
        <v>4</v>
      </c>
      <c r="Z9" s="47" t="s">
        <v>137</v>
      </c>
      <c r="AA9" s="47" t="n">
        <v>6</v>
      </c>
      <c r="AB9" s="47" t="n">
        <v>3</v>
      </c>
      <c r="AC9" s="47" t="n">
        <v>3</v>
      </c>
      <c r="AD9" s="47"/>
      <c r="AE9" s="47"/>
      <c r="AF9" s="47"/>
      <c r="AG9" s="47" t="s">
        <v>153</v>
      </c>
      <c r="AH9" s="47" t="s">
        <v>157</v>
      </c>
      <c r="AI9" s="46" t="n">
        <v>46295</v>
      </c>
      <c r="AJ9" s="46" t="n">
        <v>46298</v>
      </c>
      <c r="AK9" s="46" t="n">
        <v>46298</v>
      </c>
      <c r="AL9" s="7"/>
      <c r="AM9" s="49" t="n">
        <f aca="false">IF(OR(C9="",G9=""),"",IFERROR(DATEDIF(C9,G9,"m"),""))</f>
        <v>118</v>
      </c>
      <c r="AN9" s="49" t="n">
        <f aca="false">IF(OR(Q9="",AM9=""),"",60+2*Q9-AM9)</f>
        <v>-4</v>
      </c>
      <c r="AO9" s="49" t="n">
        <f aca="false">IF(OR(G9="",AJ9=""),"",AJ9-G9)</f>
        <v>9</v>
      </c>
      <c r="AP9" s="50" t="str">
        <f aca="false">IF(AND(A9="",B9=""),"",IF(J9="","Status needed",IF(OR(J9="Applied",J9="Visit booked",J9="Withdrawn"),"OK",IF(G9="","Date assessed needed",IF(C9="","Date of birth needed",IF(COUNTA(L9,M9,P9,U9,V9,X9,AB9)&lt;7,"Band missing",IF(AND(OR(J9="Decision confirmed",J9="Family told",J9="Enrolled"),AG9=""),"Recommendation needed",IF(AND(OR(J9="Family told",J9="Enrolled"),AJ9=""),"Date family told needed","OK"))))))))</f>
        <v>OK</v>
      </c>
    </row>
    <row r="10" customFormat="false" ht="15" hidden="false" customHeight="false" outlineLevel="0" collapsed="false">
      <c r="A10" s="7" t="s">
        <v>385</v>
      </c>
      <c r="B10" s="7" t="s">
        <v>386</v>
      </c>
      <c r="C10" s="46" t="n">
        <v>42779</v>
      </c>
      <c r="D10" s="7" t="s">
        <v>298</v>
      </c>
      <c r="E10" s="47" t="s">
        <v>69</v>
      </c>
      <c r="F10" s="46" t="n">
        <v>46263</v>
      </c>
      <c r="G10" s="46" t="n">
        <v>46274</v>
      </c>
      <c r="H10" s="7" t="s">
        <v>80</v>
      </c>
      <c r="I10" s="7" t="s">
        <v>84</v>
      </c>
      <c r="J10" s="47" t="s">
        <v>37</v>
      </c>
      <c r="K10" s="47" t="n">
        <v>3</v>
      </c>
      <c r="L10" s="47" t="s">
        <v>221</v>
      </c>
      <c r="M10" s="47" t="s">
        <v>221</v>
      </c>
      <c r="N10" s="10"/>
      <c r="O10" s="47" t="n">
        <v>13</v>
      </c>
      <c r="P10" s="47" t="s">
        <v>92</v>
      </c>
      <c r="Q10" s="47" t="n">
        <v>11</v>
      </c>
      <c r="R10" s="48" t="str">
        <f aca="false">IF(Q10="","",IF(Q10=0,"below 5:00",IF(Q10&gt;=66,"16:00 or above",INT((60+2*Q10)/12)&amp;":"&amp;TEXT(MOD(60+2*Q10,12),"00"))))</f>
        <v>6:10</v>
      </c>
      <c r="S10" s="47" t="s">
        <v>221</v>
      </c>
      <c r="T10" s="47" t="n">
        <v>6</v>
      </c>
      <c r="U10" s="47" t="s">
        <v>221</v>
      </c>
      <c r="V10" s="47" t="s">
        <v>221</v>
      </c>
      <c r="W10" s="47" t="n">
        <v>11</v>
      </c>
      <c r="X10" s="47" t="n">
        <v>2</v>
      </c>
      <c r="Y10" s="47" t="n">
        <v>2</v>
      </c>
      <c r="Z10" s="47" t="s">
        <v>137</v>
      </c>
      <c r="AA10" s="47" t="n">
        <v>4</v>
      </c>
      <c r="AB10" s="47" t="n">
        <v>2</v>
      </c>
      <c r="AC10" s="47" t="n">
        <v>3</v>
      </c>
      <c r="AD10" s="47"/>
      <c r="AE10" s="47"/>
      <c r="AF10" s="47"/>
      <c r="AG10" s="47" t="s">
        <v>153</v>
      </c>
      <c r="AH10" s="47" t="s">
        <v>252</v>
      </c>
      <c r="AI10" s="46" t="n">
        <v>46279</v>
      </c>
      <c r="AJ10" s="46" t="n">
        <v>46281</v>
      </c>
      <c r="AK10" s="46" t="n">
        <v>46281</v>
      </c>
      <c r="AL10" s="7"/>
      <c r="AM10" s="49" t="n">
        <f aca="false">IF(OR(C10="",G10=""),"",IFERROR(DATEDIF(C10,G10,"m"),""))</f>
        <v>114</v>
      </c>
      <c r="AN10" s="49" t="n">
        <f aca="false">IF(OR(Q10="",AM10=""),"",60+2*Q10-AM10)</f>
        <v>-32</v>
      </c>
      <c r="AO10" s="49" t="n">
        <f aca="false">IF(OR(G10="",AJ10=""),"",AJ10-G10)</f>
        <v>7</v>
      </c>
      <c r="AP10" s="50" t="str">
        <f aca="false">IF(AND(A10="",B10=""),"",IF(J10="","Status needed",IF(OR(J10="Applied",J10="Visit booked",J10="Withdrawn"),"OK",IF(G10="","Date assessed needed",IF(C10="","Date of birth needed",IF(COUNTA(L10,M10,P10,U10,V10,X10,AB10)&lt;7,"Band missing",IF(AND(OR(J10="Decision confirmed",J10="Family told",J10="Enrolled"),AG10=""),"Recommendation needed",IF(AND(OR(J10="Family told",J10="Enrolled"),AJ10=""),"Date family told needed","OK"))))))))</f>
        <v>OK</v>
      </c>
    </row>
    <row r="11" customFormat="false" ht="15" hidden="false" customHeight="false" outlineLevel="0" collapsed="false">
      <c r="A11" s="7" t="s">
        <v>387</v>
      </c>
      <c r="B11" s="7" t="s">
        <v>388</v>
      </c>
      <c r="C11" s="46" t="n">
        <v>42740</v>
      </c>
      <c r="D11" s="7" t="s">
        <v>307</v>
      </c>
      <c r="E11" s="47" t="s">
        <v>69</v>
      </c>
      <c r="F11" s="46" t="n">
        <v>46257</v>
      </c>
      <c r="G11" s="46" t="n">
        <v>46293</v>
      </c>
      <c r="H11" s="7" t="s">
        <v>299</v>
      </c>
      <c r="I11" s="7" t="s">
        <v>84</v>
      </c>
      <c r="J11" s="47" t="s">
        <v>35</v>
      </c>
      <c r="K11" s="47" t="n">
        <v>2</v>
      </c>
      <c r="L11" s="47" t="s">
        <v>221</v>
      </c>
      <c r="M11" s="47" t="s">
        <v>221</v>
      </c>
      <c r="N11" s="10"/>
      <c r="O11" s="47" t="n">
        <v>9</v>
      </c>
      <c r="P11" s="47" t="s">
        <v>221</v>
      </c>
      <c r="Q11" s="47" t="n">
        <v>14</v>
      </c>
      <c r="R11" s="48" t="str">
        <f aca="false">IF(Q11="","",IF(Q11=0,"below 5:00",IF(Q11&gt;=66,"16:00 or above",INT((60+2*Q11)/12)&amp;":"&amp;TEXT(MOD(60+2*Q11,12),"00"))))</f>
        <v>7:04</v>
      </c>
      <c r="S11" s="47" t="s">
        <v>221</v>
      </c>
      <c r="T11" s="47" t="n">
        <v>8</v>
      </c>
      <c r="U11" s="47" t="s">
        <v>92</v>
      </c>
      <c r="V11" s="47" t="s">
        <v>221</v>
      </c>
      <c r="W11" s="47" t="n">
        <v>18</v>
      </c>
      <c r="X11" s="47" t="n">
        <v>3</v>
      </c>
      <c r="Y11" s="47" t="n">
        <v>3</v>
      </c>
      <c r="Z11" s="47" t="s">
        <v>137</v>
      </c>
      <c r="AA11" s="47" t="n">
        <v>6</v>
      </c>
      <c r="AB11" s="47" t="n">
        <v>3</v>
      </c>
      <c r="AC11" s="47" t="n">
        <v>4</v>
      </c>
      <c r="AD11" s="47"/>
      <c r="AE11" s="47"/>
      <c r="AF11" s="47"/>
      <c r="AG11" s="47" t="s">
        <v>153</v>
      </c>
      <c r="AH11" s="47" t="s">
        <v>252</v>
      </c>
      <c r="AI11" s="46" t="n">
        <v>46298</v>
      </c>
      <c r="AJ11" s="46" t="n">
        <v>46299</v>
      </c>
      <c r="AK11" s="46" t="n">
        <v>46299</v>
      </c>
      <c r="AL11" s="7"/>
      <c r="AM11" s="49" t="n">
        <f aca="false">IF(OR(C11="",G11=""),"",IFERROR(DATEDIF(C11,G11,"m"),""))</f>
        <v>116</v>
      </c>
      <c r="AN11" s="49" t="n">
        <f aca="false">IF(OR(Q11="",AM11=""),"",60+2*Q11-AM11)</f>
        <v>-28</v>
      </c>
      <c r="AO11" s="49" t="n">
        <f aca="false">IF(OR(G11="",AJ11=""),"",AJ11-G11)</f>
        <v>6</v>
      </c>
      <c r="AP11" s="50" t="str">
        <f aca="false">IF(AND(A11="",B11=""),"",IF(J11="","Status needed",IF(OR(J11="Applied",J11="Visit booked",J11="Withdrawn"),"OK",IF(G11="","Date assessed needed",IF(C11="","Date of birth needed",IF(COUNTA(L11,M11,P11,U11,V11,X11,AB11)&lt;7,"Band missing",IF(AND(OR(J11="Decision confirmed",J11="Family told",J11="Enrolled"),AG11=""),"Recommendation needed",IF(AND(OR(J11="Family told",J11="Enrolled"),AJ11=""),"Date family told needed","OK"))))))))</f>
        <v>OK</v>
      </c>
    </row>
    <row r="12" customFormat="false" ht="15" hidden="false" customHeight="false" outlineLevel="0" collapsed="false">
      <c r="A12" s="7" t="s">
        <v>389</v>
      </c>
      <c r="B12" s="7" t="s">
        <v>390</v>
      </c>
      <c r="C12" s="46" t="n">
        <v>42775</v>
      </c>
      <c r="D12" s="7" t="s">
        <v>361</v>
      </c>
      <c r="E12" s="47" t="s">
        <v>69</v>
      </c>
      <c r="F12" s="46" t="n">
        <v>46235</v>
      </c>
      <c r="G12" s="46" t="n">
        <v>46272</v>
      </c>
      <c r="H12" s="7" t="s">
        <v>314</v>
      </c>
      <c r="I12" s="7" t="s">
        <v>84</v>
      </c>
      <c r="J12" s="47" t="s">
        <v>31</v>
      </c>
      <c r="K12" s="47" t="n">
        <v>3</v>
      </c>
      <c r="L12" s="47" t="s">
        <v>221</v>
      </c>
      <c r="M12" s="47" t="s">
        <v>92</v>
      </c>
      <c r="N12" s="10"/>
      <c r="O12" s="47" t="n">
        <v>10</v>
      </c>
      <c r="P12" s="47" t="s">
        <v>221</v>
      </c>
      <c r="Q12" s="47" t="n">
        <v>34</v>
      </c>
      <c r="R12" s="48" t="str">
        <f aca="false">IF(Q12="","",IF(Q12=0,"below 5:00",IF(Q12&gt;=66,"16:00 or above",INT((60+2*Q12)/12)&amp;":"&amp;TEXT(MOD(60+2*Q12,12),"00"))))</f>
        <v>10:08</v>
      </c>
      <c r="S12" s="47" t="s">
        <v>222</v>
      </c>
      <c r="T12" s="47" t="n">
        <v>9</v>
      </c>
      <c r="U12" s="47" t="s">
        <v>92</v>
      </c>
      <c r="V12" s="47" t="s">
        <v>92</v>
      </c>
      <c r="W12" s="47" t="n">
        <v>15</v>
      </c>
      <c r="X12" s="47" t="n">
        <v>3</v>
      </c>
      <c r="Y12" s="47" t="n">
        <v>2</v>
      </c>
      <c r="Z12" s="47" t="s">
        <v>137</v>
      </c>
      <c r="AA12" s="47" t="n">
        <v>6</v>
      </c>
      <c r="AB12" s="47" t="n">
        <v>3</v>
      </c>
      <c r="AC12" s="47" t="n">
        <v>2</v>
      </c>
      <c r="AD12" s="47"/>
      <c r="AE12" s="47"/>
      <c r="AF12" s="47"/>
      <c r="AG12" s="47"/>
      <c r="AH12" s="47"/>
      <c r="AI12" s="46"/>
      <c r="AJ12" s="46"/>
      <c r="AK12" s="46"/>
      <c r="AL12" s="7"/>
      <c r="AM12" s="49" t="n">
        <f aca="false">IF(OR(C12="",G12=""),"",IFERROR(DATEDIF(C12,G12,"m"),""))</f>
        <v>114</v>
      </c>
      <c r="AN12" s="49" t="n">
        <f aca="false">IF(OR(Q12="",AM12=""),"",60+2*Q12-AM12)</f>
        <v>14</v>
      </c>
      <c r="AO12" s="49" t="str">
        <f aca="false">IF(OR(G12="",AJ12=""),"",AJ12-G12)</f>
        <v/>
      </c>
      <c r="AP12" s="50" t="str">
        <f aca="false">IF(AND(A12="",B12=""),"",IF(J12="","Status needed",IF(OR(J12="Applied",J12="Visit booked",J12="Withdrawn"),"OK",IF(G12="","Date assessed needed",IF(C12="","Date of birth needed",IF(COUNTA(L12,M12,P12,U12,V12,X12,AB12)&lt;7,"Band missing",IF(AND(OR(J12="Decision confirmed",J12="Family told",J12="Enrolled"),AG12=""),"Recommendation needed",IF(AND(OR(J12="Family told",J12="Enrolled"),AJ12=""),"Date family told needed","OK"))))))))</f>
        <v>OK</v>
      </c>
    </row>
    <row r="13" customFormat="false" ht="15" hidden="false" customHeight="false" outlineLevel="0" collapsed="false">
      <c r="A13" s="7" t="s">
        <v>391</v>
      </c>
      <c r="B13" s="7" t="s">
        <v>392</v>
      </c>
      <c r="C13" s="46" t="n">
        <v>42659</v>
      </c>
      <c r="D13" s="7" t="s">
        <v>361</v>
      </c>
      <c r="E13" s="47" t="s">
        <v>69</v>
      </c>
      <c r="F13" s="46" t="n">
        <v>46253</v>
      </c>
      <c r="G13" s="46" t="n">
        <v>46279</v>
      </c>
      <c r="H13" s="7" t="s">
        <v>80</v>
      </c>
      <c r="I13" s="7" t="s">
        <v>84</v>
      </c>
      <c r="J13" s="47" t="s">
        <v>37</v>
      </c>
      <c r="K13" s="47" t="n">
        <v>3</v>
      </c>
      <c r="L13" s="47" t="s">
        <v>221</v>
      </c>
      <c r="M13" s="47" t="s">
        <v>221</v>
      </c>
      <c r="N13" s="10"/>
      <c r="O13" s="47" t="n">
        <v>7</v>
      </c>
      <c r="P13" s="47" t="s">
        <v>221</v>
      </c>
      <c r="Q13" s="47" t="n">
        <v>11</v>
      </c>
      <c r="R13" s="48" t="str">
        <f aca="false">IF(Q13="","",IF(Q13=0,"below 5:00",IF(Q13&gt;=66,"16:00 or above",INT((60+2*Q13)/12)&amp;":"&amp;TEXT(MOD(60+2*Q13,12),"00"))))</f>
        <v>6:10</v>
      </c>
      <c r="S13" s="47" t="s">
        <v>221</v>
      </c>
      <c r="T13" s="47" t="n">
        <v>4</v>
      </c>
      <c r="U13" s="47" t="s">
        <v>220</v>
      </c>
      <c r="V13" s="47" t="s">
        <v>221</v>
      </c>
      <c r="W13" s="47" t="n">
        <v>10</v>
      </c>
      <c r="X13" s="47" t="n">
        <v>2</v>
      </c>
      <c r="Y13" s="47" t="n">
        <v>2</v>
      </c>
      <c r="Z13" s="47" t="s">
        <v>137</v>
      </c>
      <c r="AA13" s="47" t="n">
        <v>4</v>
      </c>
      <c r="AB13" s="47" t="n">
        <v>2</v>
      </c>
      <c r="AC13" s="47" t="n">
        <v>3</v>
      </c>
      <c r="AD13" s="47"/>
      <c r="AE13" s="47"/>
      <c r="AF13" s="47"/>
      <c r="AG13" s="47" t="s">
        <v>153</v>
      </c>
      <c r="AH13" s="47" t="s">
        <v>252</v>
      </c>
      <c r="AI13" s="46" t="n">
        <v>46284</v>
      </c>
      <c r="AJ13" s="46" t="n">
        <v>46285</v>
      </c>
      <c r="AK13" s="46" t="n">
        <v>46285</v>
      </c>
      <c r="AL13" s="7"/>
      <c r="AM13" s="49" t="n">
        <f aca="false">IF(OR(C13="",G13=""),"",IFERROR(DATEDIF(C13,G13,"m"),""))</f>
        <v>118</v>
      </c>
      <c r="AN13" s="49" t="n">
        <f aca="false">IF(OR(Q13="",AM13=""),"",60+2*Q13-AM13)</f>
        <v>-36</v>
      </c>
      <c r="AO13" s="49" t="n">
        <f aca="false">IF(OR(G13="",AJ13=""),"",AJ13-G13)</f>
        <v>6</v>
      </c>
      <c r="AP13" s="50" t="str">
        <f aca="false">IF(AND(A13="",B13=""),"",IF(J13="","Status needed",IF(OR(J13="Applied",J13="Visit booked",J13="Withdrawn"),"OK",IF(G13="","Date assessed needed",IF(C13="","Date of birth needed",IF(COUNTA(L13,M13,P13,U13,V13,X13,AB13)&lt;7,"Band missing",IF(AND(OR(J13="Decision confirmed",J13="Family told",J13="Enrolled"),AG13=""),"Recommendation needed",IF(AND(OR(J13="Family told",J13="Enrolled"),AJ13=""),"Date family told needed","OK"))))))))</f>
        <v>OK</v>
      </c>
    </row>
    <row r="14" customFormat="false" ht="15" hidden="false" customHeight="false" outlineLevel="0" collapsed="false">
      <c r="A14" s="7" t="s">
        <v>393</v>
      </c>
      <c r="B14" s="7" t="s">
        <v>394</v>
      </c>
      <c r="C14" s="46" t="n">
        <v>42708</v>
      </c>
      <c r="D14" s="7" t="s">
        <v>361</v>
      </c>
      <c r="E14" s="47" t="s">
        <v>69</v>
      </c>
      <c r="F14" s="46" t="n">
        <v>46266</v>
      </c>
      <c r="G14" s="46"/>
      <c r="H14" s="7"/>
      <c r="I14" s="7" t="s">
        <v>84</v>
      </c>
      <c r="J14" s="47" t="s">
        <v>39</v>
      </c>
      <c r="K14" s="47"/>
      <c r="L14" s="47"/>
      <c r="M14" s="47"/>
      <c r="N14" s="10"/>
      <c r="O14" s="47"/>
      <c r="P14" s="47"/>
      <c r="Q14" s="47"/>
      <c r="R14" s="48" t="str">
        <f aca="false">IF(Q14="","",IF(Q14=0,"below 5:00",IF(Q14&gt;=66,"16:00 or above",INT((60+2*Q14)/12)&amp;":"&amp;TEXT(MOD(60+2*Q14,12),"00"))))</f>
        <v/>
      </c>
      <c r="S14" s="47"/>
      <c r="T14" s="47"/>
      <c r="U14" s="47"/>
      <c r="V14" s="47"/>
      <c r="W14" s="47"/>
      <c r="X14" s="47"/>
      <c r="Y14" s="47"/>
      <c r="Z14" s="47"/>
      <c r="AA14" s="47"/>
      <c r="AB14" s="47"/>
      <c r="AC14" s="47"/>
      <c r="AD14" s="47"/>
      <c r="AE14" s="47"/>
      <c r="AF14" s="47"/>
      <c r="AG14" s="47"/>
      <c r="AH14" s="47"/>
      <c r="AI14" s="46"/>
      <c r="AJ14" s="46"/>
      <c r="AK14" s="46"/>
      <c r="AL14" s="7" t="s">
        <v>333</v>
      </c>
      <c r="AM14" s="49" t="str">
        <f aca="false">IF(OR(C14="",G14=""),"",IFERROR(DATEDIF(C14,G14,"m"),""))</f>
        <v/>
      </c>
      <c r="AN14" s="49" t="str">
        <f aca="false">IF(OR(Q14="",AM14=""),"",60+2*Q14-AM14)</f>
        <v/>
      </c>
      <c r="AO14" s="49" t="str">
        <f aca="false">IF(OR(G14="",AJ14=""),"",AJ14-G14)</f>
        <v/>
      </c>
      <c r="AP14" s="50" t="str">
        <f aca="false">IF(AND(A14="",B14=""),"",IF(J14="","Status needed",IF(OR(J14="Applied",J14="Visit booked",J14="Withdrawn"),"OK",IF(G14="","Date assessed needed",IF(C14="","Date of birth needed",IF(COUNTA(L14,M14,P14,U14,V14,X14,AB14)&lt;7,"Band missing",IF(AND(OR(J14="Decision confirmed",J14="Family told",J14="Enrolled"),AG14=""),"Recommendation needed",IF(AND(OR(J14="Family told",J14="Enrolled"),AJ14=""),"Date family told needed","OK"))))))))</f>
        <v>OK</v>
      </c>
    </row>
    <row r="15" customFormat="false" ht="15" hidden="false" customHeight="false" outlineLevel="0" collapsed="false">
      <c r="A15" s="7"/>
      <c r="B15" s="7"/>
      <c r="C15" s="46"/>
      <c r="D15" s="7"/>
      <c r="E15" s="47"/>
      <c r="F15" s="46"/>
      <c r="G15" s="46"/>
      <c r="H15" s="7"/>
      <c r="I15" s="7"/>
      <c r="J15" s="47"/>
      <c r="K15" s="47"/>
      <c r="L15" s="47"/>
      <c r="M15" s="47"/>
      <c r="N15" s="10"/>
      <c r="O15" s="47"/>
      <c r="P15" s="47"/>
      <c r="Q15" s="47"/>
      <c r="R15" s="48" t="str">
        <f aca="false">IF(Q15="","",IF(Q15=0,"below 5:00",IF(Q15&gt;=66,"16:00 or above",INT((60+2*Q15)/12)&amp;":"&amp;TEXT(MOD(60+2*Q15,12),"00"))))</f>
        <v/>
      </c>
      <c r="S15" s="47"/>
      <c r="T15" s="47"/>
      <c r="U15" s="47"/>
      <c r="V15" s="47"/>
      <c r="W15" s="47"/>
      <c r="X15" s="47"/>
      <c r="Y15" s="47"/>
      <c r="Z15" s="47"/>
      <c r="AA15" s="47"/>
      <c r="AB15" s="47"/>
      <c r="AC15" s="47"/>
      <c r="AD15" s="47"/>
      <c r="AE15" s="47"/>
      <c r="AF15" s="47"/>
      <c r="AG15" s="47"/>
      <c r="AH15" s="47"/>
      <c r="AI15" s="46"/>
      <c r="AJ15" s="46"/>
      <c r="AK15" s="46"/>
      <c r="AL15" s="7"/>
      <c r="AM15" s="49" t="str">
        <f aca="false">IF(OR(C15="",G15=""),"",IFERROR(DATEDIF(C15,G15,"m"),""))</f>
        <v/>
      </c>
      <c r="AN15" s="49" t="str">
        <f aca="false">IF(OR(Q15="",AM15=""),"",60+2*Q15-AM15)</f>
        <v/>
      </c>
      <c r="AO15" s="49" t="str">
        <f aca="false">IF(OR(G15="",AJ15=""),"",AJ15-G15)</f>
        <v/>
      </c>
      <c r="AP15" s="50" t="str">
        <f aca="false">IF(AND(A15="",B15=""),"",IF(J15="","Status needed",IF(OR(J15="Applied",J15="Visit booked",J15="Withdrawn"),"OK",IF(G15="","Date assessed needed",IF(C15="","Date of birth needed",IF(COUNTA(L15,M15,P15,U15,V15,X15,AB15)&lt;7,"Band missing",IF(AND(OR(J15="Decision confirmed",J15="Family told",J15="Enrolled"),AG15=""),"Recommendation needed",IF(AND(OR(J15="Family told",J15="Enrolled"),AJ15=""),"Date family told needed","OK"))))))))</f>
        <v/>
      </c>
    </row>
    <row r="16" customFormat="false" ht="15" hidden="false" customHeight="false" outlineLevel="0" collapsed="false">
      <c r="A16" s="7"/>
      <c r="B16" s="7"/>
      <c r="C16" s="46"/>
      <c r="D16" s="7"/>
      <c r="E16" s="47"/>
      <c r="F16" s="46"/>
      <c r="G16" s="46"/>
      <c r="H16" s="7"/>
      <c r="I16" s="7"/>
      <c r="J16" s="47"/>
      <c r="K16" s="47"/>
      <c r="L16" s="47"/>
      <c r="M16" s="47"/>
      <c r="N16" s="10"/>
      <c r="O16" s="47"/>
      <c r="P16" s="47"/>
      <c r="Q16" s="47"/>
      <c r="R16" s="48" t="str">
        <f aca="false">IF(Q16="","",IF(Q16=0,"below 5:00",IF(Q16&gt;=66,"16:00 or above",INT((60+2*Q16)/12)&amp;":"&amp;TEXT(MOD(60+2*Q16,12),"00"))))</f>
        <v/>
      </c>
      <c r="S16" s="47"/>
      <c r="T16" s="47"/>
      <c r="U16" s="47"/>
      <c r="V16" s="47"/>
      <c r="W16" s="47"/>
      <c r="X16" s="47"/>
      <c r="Y16" s="47"/>
      <c r="Z16" s="47"/>
      <c r="AA16" s="47"/>
      <c r="AB16" s="47"/>
      <c r="AC16" s="47"/>
      <c r="AD16" s="47"/>
      <c r="AE16" s="47"/>
      <c r="AF16" s="47"/>
      <c r="AG16" s="47"/>
      <c r="AH16" s="47"/>
      <c r="AI16" s="46"/>
      <c r="AJ16" s="46"/>
      <c r="AK16" s="46"/>
      <c r="AL16" s="7"/>
      <c r="AM16" s="49" t="str">
        <f aca="false">IF(OR(C16="",G16=""),"",IFERROR(DATEDIF(C16,G16,"m"),""))</f>
        <v/>
      </c>
      <c r="AN16" s="49" t="str">
        <f aca="false">IF(OR(Q16="",AM16=""),"",60+2*Q16-AM16)</f>
        <v/>
      </c>
      <c r="AO16" s="49" t="str">
        <f aca="false">IF(OR(G16="",AJ16=""),"",AJ16-G16)</f>
        <v/>
      </c>
      <c r="AP16" s="50" t="str">
        <f aca="false">IF(AND(A16="",B16=""),"",IF(J16="","Status needed",IF(OR(J16="Applied",J16="Visit booked",J16="Withdrawn"),"OK",IF(G16="","Date assessed needed",IF(C16="","Date of birth needed",IF(COUNTA(L16,M16,P16,U16,V16,X16,AB16)&lt;7,"Band missing",IF(AND(OR(J16="Decision confirmed",J16="Family told",J16="Enrolled"),AG16=""),"Recommendation needed",IF(AND(OR(J16="Family told",J16="Enrolled"),AJ16=""),"Date family told needed","OK"))))))))</f>
        <v/>
      </c>
    </row>
    <row r="17" customFormat="false" ht="15" hidden="false" customHeight="false" outlineLevel="0" collapsed="false">
      <c r="A17" s="7"/>
      <c r="B17" s="7"/>
      <c r="C17" s="46"/>
      <c r="D17" s="7"/>
      <c r="E17" s="47"/>
      <c r="F17" s="46"/>
      <c r="G17" s="46"/>
      <c r="H17" s="7"/>
      <c r="I17" s="7"/>
      <c r="J17" s="47"/>
      <c r="K17" s="47"/>
      <c r="L17" s="47"/>
      <c r="M17" s="47"/>
      <c r="N17" s="10"/>
      <c r="O17" s="47"/>
      <c r="P17" s="47"/>
      <c r="Q17" s="47"/>
      <c r="R17" s="48" t="str">
        <f aca="false">IF(Q17="","",IF(Q17=0,"below 5:00",IF(Q17&gt;=66,"16:00 or above",INT((60+2*Q17)/12)&amp;":"&amp;TEXT(MOD(60+2*Q17,12),"00"))))</f>
        <v/>
      </c>
      <c r="S17" s="47"/>
      <c r="T17" s="47"/>
      <c r="U17" s="47"/>
      <c r="V17" s="47"/>
      <c r="W17" s="47"/>
      <c r="X17" s="47"/>
      <c r="Y17" s="47"/>
      <c r="Z17" s="47"/>
      <c r="AA17" s="47"/>
      <c r="AB17" s="47"/>
      <c r="AC17" s="47"/>
      <c r="AD17" s="47"/>
      <c r="AE17" s="47"/>
      <c r="AF17" s="47"/>
      <c r="AG17" s="47"/>
      <c r="AH17" s="47"/>
      <c r="AI17" s="46"/>
      <c r="AJ17" s="46"/>
      <c r="AK17" s="46"/>
      <c r="AL17" s="7"/>
      <c r="AM17" s="49" t="str">
        <f aca="false">IF(OR(C17="",G17=""),"",IFERROR(DATEDIF(C17,G17,"m"),""))</f>
        <v/>
      </c>
      <c r="AN17" s="49" t="str">
        <f aca="false">IF(OR(Q17="",AM17=""),"",60+2*Q17-AM17)</f>
        <v/>
      </c>
      <c r="AO17" s="49" t="str">
        <f aca="false">IF(OR(G17="",AJ17=""),"",AJ17-G17)</f>
        <v/>
      </c>
      <c r="AP17" s="50" t="str">
        <f aca="false">IF(AND(A17="",B17=""),"",IF(J17="","Status needed",IF(OR(J17="Applied",J17="Visit booked",J17="Withdrawn"),"OK",IF(G17="","Date assessed needed",IF(C17="","Date of birth needed",IF(COUNTA(L17,M17,P17,U17,V17,X17,AB17)&lt;7,"Band missing",IF(AND(OR(J17="Decision confirmed",J17="Family told",J17="Enrolled"),AG17=""),"Recommendation needed",IF(AND(OR(J17="Family told",J17="Enrolled"),AJ17=""),"Date family told needed","OK"))))))))</f>
        <v/>
      </c>
    </row>
    <row r="18" customFormat="false" ht="15" hidden="false" customHeight="false" outlineLevel="0" collapsed="false">
      <c r="A18" s="7"/>
      <c r="B18" s="7"/>
      <c r="C18" s="46"/>
      <c r="D18" s="7"/>
      <c r="E18" s="47"/>
      <c r="F18" s="46"/>
      <c r="G18" s="46"/>
      <c r="H18" s="7"/>
      <c r="I18" s="7"/>
      <c r="J18" s="47"/>
      <c r="K18" s="47"/>
      <c r="L18" s="47"/>
      <c r="M18" s="47"/>
      <c r="N18" s="10"/>
      <c r="O18" s="47"/>
      <c r="P18" s="47"/>
      <c r="Q18" s="47"/>
      <c r="R18" s="48" t="str">
        <f aca="false">IF(Q18="","",IF(Q18=0,"below 5:00",IF(Q18&gt;=66,"16:00 or above",INT((60+2*Q18)/12)&amp;":"&amp;TEXT(MOD(60+2*Q18,12),"00"))))</f>
        <v/>
      </c>
      <c r="S18" s="47"/>
      <c r="T18" s="47"/>
      <c r="U18" s="47"/>
      <c r="V18" s="47"/>
      <c r="W18" s="47"/>
      <c r="X18" s="47"/>
      <c r="Y18" s="47"/>
      <c r="Z18" s="47"/>
      <c r="AA18" s="47"/>
      <c r="AB18" s="47"/>
      <c r="AC18" s="47"/>
      <c r="AD18" s="47"/>
      <c r="AE18" s="47"/>
      <c r="AF18" s="47"/>
      <c r="AG18" s="47"/>
      <c r="AH18" s="47"/>
      <c r="AI18" s="46"/>
      <c r="AJ18" s="46"/>
      <c r="AK18" s="46"/>
      <c r="AL18" s="7"/>
      <c r="AM18" s="49" t="str">
        <f aca="false">IF(OR(C18="",G18=""),"",IFERROR(DATEDIF(C18,G18,"m"),""))</f>
        <v/>
      </c>
      <c r="AN18" s="49" t="str">
        <f aca="false">IF(OR(Q18="",AM18=""),"",60+2*Q18-AM18)</f>
        <v/>
      </c>
      <c r="AO18" s="49" t="str">
        <f aca="false">IF(OR(G18="",AJ18=""),"",AJ18-G18)</f>
        <v/>
      </c>
      <c r="AP18" s="50" t="str">
        <f aca="false">IF(AND(A18="",B18=""),"",IF(J18="","Status needed",IF(OR(J18="Applied",J18="Visit booked",J18="Withdrawn"),"OK",IF(G18="","Date assessed needed",IF(C18="","Date of birth needed",IF(COUNTA(L18,M18,P18,U18,V18,X18,AB18)&lt;7,"Band missing",IF(AND(OR(J18="Decision confirmed",J18="Family told",J18="Enrolled"),AG18=""),"Recommendation needed",IF(AND(OR(J18="Family told",J18="Enrolled"),AJ18=""),"Date family told needed","OK"))))))))</f>
        <v/>
      </c>
    </row>
    <row r="19" customFormat="false" ht="15" hidden="false" customHeight="false" outlineLevel="0" collapsed="false">
      <c r="A19" s="7"/>
      <c r="B19" s="7"/>
      <c r="C19" s="46"/>
      <c r="D19" s="7"/>
      <c r="E19" s="47"/>
      <c r="F19" s="46"/>
      <c r="G19" s="46"/>
      <c r="H19" s="7"/>
      <c r="I19" s="7"/>
      <c r="J19" s="47"/>
      <c r="K19" s="47"/>
      <c r="L19" s="47"/>
      <c r="M19" s="47"/>
      <c r="N19" s="10"/>
      <c r="O19" s="47"/>
      <c r="P19" s="47"/>
      <c r="Q19" s="47"/>
      <c r="R19" s="48" t="str">
        <f aca="false">IF(Q19="","",IF(Q19=0,"below 5:00",IF(Q19&gt;=66,"16:00 or above",INT((60+2*Q19)/12)&amp;":"&amp;TEXT(MOD(60+2*Q19,12),"00"))))</f>
        <v/>
      </c>
      <c r="S19" s="47"/>
      <c r="T19" s="47"/>
      <c r="U19" s="47"/>
      <c r="V19" s="47"/>
      <c r="W19" s="47"/>
      <c r="X19" s="47"/>
      <c r="Y19" s="47"/>
      <c r="Z19" s="47"/>
      <c r="AA19" s="47"/>
      <c r="AB19" s="47"/>
      <c r="AC19" s="47"/>
      <c r="AD19" s="47"/>
      <c r="AE19" s="47"/>
      <c r="AF19" s="47"/>
      <c r="AG19" s="47"/>
      <c r="AH19" s="47"/>
      <c r="AI19" s="46"/>
      <c r="AJ19" s="46"/>
      <c r="AK19" s="46"/>
      <c r="AL19" s="7"/>
      <c r="AM19" s="49" t="str">
        <f aca="false">IF(OR(C19="",G19=""),"",IFERROR(DATEDIF(C19,G19,"m"),""))</f>
        <v/>
      </c>
      <c r="AN19" s="49" t="str">
        <f aca="false">IF(OR(Q19="",AM19=""),"",60+2*Q19-AM19)</f>
        <v/>
      </c>
      <c r="AO19" s="49" t="str">
        <f aca="false">IF(OR(G19="",AJ19=""),"",AJ19-G19)</f>
        <v/>
      </c>
      <c r="AP19" s="50" t="str">
        <f aca="false">IF(AND(A19="",B19=""),"",IF(J19="","Status needed",IF(OR(J19="Applied",J19="Visit booked",J19="Withdrawn"),"OK",IF(G19="","Date assessed needed",IF(C19="","Date of birth needed",IF(COUNTA(L19,M19,P19,U19,V19,X19,AB19)&lt;7,"Band missing",IF(AND(OR(J19="Decision confirmed",J19="Family told",J19="Enrolled"),AG19=""),"Recommendation needed",IF(AND(OR(J19="Family told",J19="Enrolled"),AJ19=""),"Date family told needed","OK"))))))))</f>
        <v/>
      </c>
    </row>
    <row r="20" customFormat="false" ht="15" hidden="false" customHeight="false" outlineLevel="0" collapsed="false">
      <c r="A20" s="7"/>
      <c r="B20" s="7"/>
      <c r="C20" s="46"/>
      <c r="D20" s="7"/>
      <c r="E20" s="47"/>
      <c r="F20" s="46"/>
      <c r="G20" s="46"/>
      <c r="H20" s="7"/>
      <c r="I20" s="7"/>
      <c r="J20" s="47"/>
      <c r="K20" s="47"/>
      <c r="L20" s="47"/>
      <c r="M20" s="47"/>
      <c r="N20" s="10"/>
      <c r="O20" s="47"/>
      <c r="P20" s="47"/>
      <c r="Q20" s="47"/>
      <c r="R20" s="48" t="str">
        <f aca="false">IF(Q20="","",IF(Q20=0,"below 5:00",IF(Q20&gt;=66,"16:00 or above",INT((60+2*Q20)/12)&amp;":"&amp;TEXT(MOD(60+2*Q20,12),"00"))))</f>
        <v/>
      </c>
      <c r="S20" s="47"/>
      <c r="T20" s="47"/>
      <c r="U20" s="47"/>
      <c r="V20" s="47"/>
      <c r="W20" s="47"/>
      <c r="X20" s="47"/>
      <c r="Y20" s="47"/>
      <c r="Z20" s="47"/>
      <c r="AA20" s="47"/>
      <c r="AB20" s="47"/>
      <c r="AC20" s="47"/>
      <c r="AD20" s="47"/>
      <c r="AE20" s="47"/>
      <c r="AF20" s="47"/>
      <c r="AG20" s="47"/>
      <c r="AH20" s="47"/>
      <c r="AI20" s="46"/>
      <c r="AJ20" s="46"/>
      <c r="AK20" s="46"/>
      <c r="AL20" s="7"/>
      <c r="AM20" s="49" t="str">
        <f aca="false">IF(OR(C20="",G20=""),"",IFERROR(DATEDIF(C20,G20,"m"),""))</f>
        <v/>
      </c>
      <c r="AN20" s="49" t="str">
        <f aca="false">IF(OR(Q20="",AM20=""),"",60+2*Q20-AM20)</f>
        <v/>
      </c>
      <c r="AO20" s="49" t="str">
        <f aca="false">IF(OR(G20="",AJ20=""),"",AJ20-G20)</f>
        <v/>
      </c>
      <c r="AP20" s="50" t="str">
        <f aca="false">IF(AND(A20="",B20=""),"",IF(J20="","Status needed",IF(OR(J20="Applied",J20="Visit booked",J20="Withdrawn"),"OK",IF(G20="","Date assessed needed",IF(C20="","Date of birth needed",IF(COUNTA(L20,M20,P20,U20,V20,X20,AB20)&lt;7,"Band missing",IF(AND(OR(J20="Decision confirmed",J20="Family told",J20="Enrolled"),AG20=""),"Recommendation needed",IF(AND(OR(J20="Family told",J20="Enrolled"),AJ20=""),"Date family told needed","OK"))))))))</f>
        <v/>
      </c>
    </row>
    <row r="21" customFormat="false" ht="15" hidden="false" customHeight="false" outlineLevel="0" collapsed="false">
      <c r="A21" s="7"/>
      <c r="B21" s="7"/>
      <c r="C21" s="46"/>
      <c r="D21" s="7"/>
      <c r="E21" s="47"/>
      <c r="F21" s="46"/>
      <c r="G21" s="46"/>
      <c r="H21" s="7"/>
      <c r="I21" s="7"/>
      <c r="J21" s="47"/>
      <c r="K21" s="47"/>
      <c r="L21" s="47"/>
      <c r="M21" s="47"/>
      <c r="N21" s="10"/>
      <c r="O21" s="47"/>
      <c r="P21" s="47"/>
      <c r="Q21" s="47"/>
      <c r="R21" s="48" t="str">
        <f aca="false">IF(Q21="","",IF(Q21=0,"below 5:00",IF(Q21&gt;=66,"16:00 or above",INT((60+2*Q21)/12)&amp;":"&amp;TEXT(MOD(60+2*Q21,12),"00"))))</f>
        <v/>
      </c>
      <c r="S21" s="47"/>
      <c r="T21" s="47"/>
      <c r="U21" s="47"/>
      <c r="V21" s="47"/>
      <c r="W21" s="47"/>
      <c r="X21" s="47"/>
      <c r="Y21" s="47"/>
      <c r="Z21" s="47"/>
      <c r="AA21" s="47"/>
      <c r="AB21" s="47"/>
      <c r="AC21" s="47"/>
      <c r="AD21" s="47"/>
      <c r="AE21" s="47"/>
      <c r="AF21" s="47"/>
      <c r="AG21" s="47"/>
      <c r="AH21" s="47"/>
      <c r="AI21" s="46"/>
      <c r="AJ21" s="46"/>
      <c r="AK21" s="46"/>
      <c r="AL21" s="7"/>
      <c r="AM21" s="49" t="str">
        <f aca="false">IF(OR(C21="",G21=""),"",IFERROR(DATEDIF(C21,G21,"m"),""))</f>
        <v/>
      </c>
      <c r="AN21" s="49" t="str">
        <f aca="false">IF(OR(Q21="",AM21=""),"",60+2*Q21-AM21)</f>
        <v/>
      </c>
      <c r="AO21" s="49" t="str">
        <f aca="false">IF(OR(G21="",AJ21=""),"",AJ21-G21)</f>
        <v/>
      </c>
      <c r="AP21" s="50" t="str">
        <f aca="false">IF(AND(A21="",B21=""),"",IF(J21="","Status needed",IF(OR(J21="Applied",J21="Visit booked",J21="Withdrawn"),"OK",IF(G21="","Date assessed needed",IF(C21="","Date of birth needed",IF(COUNTA(L21,M21,P21,U21,V21,X21,AB21)&lt;7,"Band missing",IF(AND(OR(J21="Decision confirmed",J21="Family told",J21="Enrolled"),AG21=""),"Recommendation needed",IF(AND(OR(J21="Family told",J21="Enrolled"),AJ21=""),"Date family told needed","OK"))))))))</f>
        <v/>
      </c>
    </row>
    <row r="22" customFormat="false" ht="15" hidden="false" customHeight="false" outlineLevel="0" collapsed="false">
      <c r="A22" s="7"/>
      <c r="B22" s="7"/>
      <c r="C22" s="46"/>
      <c r="D22" s="7"/>
      <c r="E22" s="47"/>
      <c r="F22" s="46"/>
      <c r="G22" s="46"/>
      <c r="H22" s="7"/>
      <c r="I22" s="7"/>
      <c r="J22" s="47"/>
      <c r="K22" s="47"/>
      <c r="L22" s="47"/>
      <c r="M22" s="47"/>
      <c r="N22" s="10"/>
      <c r="O22" s="47"/>
      <c r="P22" s="47"/>
      <c r="Q22" s="47"/>
      <c r="R22" s="48" t="str">
        <f aca="false">IF(Q22="","",IF(Q22=0,"below 5:00",IF(Q22&gt;=66,"16:00 or above",INT((60+2*Q22)/12)&amp;":"&amp;TEXT(MOD(60+2*Q22,12),"00"))))</f>
        <v/>
      </c>
      <c r="S22" s="47"/>
      <c r="T22" s="47"/>
      <c r="U22" s="47"/>
      <c r="V22" s="47"/>
      <c r="W22" s="47"/>
      <c r="X22" s="47"/>
      <c r="Y22" s="47"/>
      <c r="Z22" s="47"/>
      <c r="AA22" s="47"/>
      <c r="AB22" s="47"/>
      <c r="AC22" s="47"/>
      <c r="AD22" s="47"/>
      <c r="AE22" s="47"/>
      <c r="AF22" s="47"/>
      <c r="AG22" s="47"/>
      <c r="AH22" s="47"/>
      <c r="AI22" s="46"/>
      <c r="AJ22" s="46"/>
      <c r="AK22" s="46"/>
      <c r="AL22" s="7"/>
      <c r="AM22" s="49" t="str">
        <f aca="false">IF(OR(C22="",G22=""),"",IFERROR(DATEDIF(C22,G22,"m"),""))</f>
        <v/>
      </c>
      <c r="AN22" s="49" t="str">
        <f aca="false">IF(OR(Q22="",AM22=""),"",60+2*Q22-AM22)</f>
        <v/>
      </c>
      <c r="AO22" s="49" t="str">
        <f aca="false">IF(OR(G22="",AJ22=""),"",AJ22-G22)</f>
        <v/>
      </c>
      <c r="AP22" s="50" t="str">
        <f aca="false">IF(AND(A22="",B22=""),"",IF(J22="","Status needed",IF(OR(J22="Applied",J22="Visit booked",J22="Withdrawn"),"OK",IF(G22="","Date assessed needed",IF(C22="","Date of birth needed",IF(COUNTA(L22,M22,P22,U22,V22,X22,AB22)&lt;7,"Band missing",IF(AND(OR(J22="Decision confirmed",J22="Family told",J22="Enrolled"),AG22=""),"Recommendation needed",IF(AND(OR(J22="Family told",J22="Enrolled"),AJ22=""),"Date family told needed","OK"))))))))</f>
        <v/>
      </c>
    </row>
    <row r="23" customFormat="false" ht="15" hidden="false" customHeight="false" outlineLevel="0" collapsed="false">
      <c r="A23" s="7"/>
      <c r="B23" s="7"/>
      <c r="C23" s="46"/>
      <c r="D23" s="7"/>
      <c r="E23" s="47"/>
      <c r="F23" s="46"/>
      <c r="G23" s="46"/>
      <c r="H23" s="7"/>
      <c r="I23" s="7"/>
      <c r="J23" s="47"/>
      <c r="K23" s="47"/>
      <c r="L23" s="47"/>
      <c r="M23" s="47"/>
      <c r="N23" s="10"/>
      <c r="O23" s="47"/>
      <c r="P23" s="47"/>
      <c r="Q23" s="47"/>
      <c r="R23" s="48" t="str">
        <f aca="false">IF(Q23="","",IF(Q23=0,"below 5:00",IF(Q23&gt;=66,"16:00 or above",INT((60+2*Q23)/12)&amp;":"&amp;TEXT(MOD(60+2*Q23,12),"00"))))</f>
        <v/>
      </c>
      <c r="S23" s="47"/>
      <c r="T23" s="47"/>
      <c r="U23" s="47"/>
      <c r="V23" s="47"/>
      <c r="W23" s="47"/>
      <c r="X23" s="47"/>
      <c r="Y23" s="47"/>
      <c r="Z23" s="47"/>
      <c r="AA23" s="47"/>
      <c r="AB23" s="47"/>
      <c r="AC23" s="47"/>
      <c r="AD23" s="47"/>
      <c r="AE23" s="47"/>
      <c r="AF23" s="47"/>
      <c r="AG23" s="47"/>
      <c r="AH23" s="47"/>
      <c r="AI23" s="46"/>
      <c r="AJ23" s="46"/>
      <c r="AK23" s="46"/>
      <c r="AL23" s="7"/>
      <c r="AM23" s="49" t="str">
        <f aca="false">IF(OR(C23="",G23=""),"",IFERROR(DATEDIF(C23,G23,"m"),""))</f>
        <v/>
      </c>
      <c r="AN23" s="49" t="str">
        <f aca="false">IF(OR(Q23="",AM23=""),"",60+2*Q23-AM23)</f>
        <v/>
      </c>
      <c r="AO23" s="49" t="str">
        <f aca="false">IF(OR(G23="",AJ23=""),"",AJ23-G23)</f>
        <v/>
      </c>
      <c r="AP23" s="50" t="str">
        <f aca="false">IF(AND(A23="",B23=""),"",IF(J23="","Status needed",IF(OR(J23="Applied",J23="Visit booked",J23="Withdrawn"),"OK",IF(G23="","Date assessed needed",IF(C23="","Date of birth needed",IF(COUNTA(L23,M23,P23,U23,V23,X23,AB23)&lt;7,"Band missing",IF(AND(OR(J23="Decision confirmed",J23="Family told",J23="Enrolled"),AG23=""),"Recommendation needed",IF(AND(OR(J23="Family told",J23="Enrolled"),AJ23=""),"Date family told needed","OK"))))))))</f>
        <v/>
      </c>
    </row>
    <row r="24" customFormat="false" ht="15" hidden="false" customHeight="false" outlineLevel="0" collapsed="false">
      <c r="A24" s="7"/>
      <c r="B24" s="7"/>
      <c r="C24" s="46"/>
      <c r="D24" s="7"/>
      <c r="E24" s="47"/>
      <c r="F24" s="46"/>
      <c r="G24" s="46"/>
      <c r="H24" s="7"/>
      <c r="I24" s="7"/>
      <c r="J24" s="47"/>
      <c r="K24" s="47"/>
      <c r="L24" s="47"/>
      <c r="M24" s="47"/>
      <c r="N24" s="10"/>
      <c r="O24" s="47"/>
      <c r="P24" s="47"/>
      <c r="Q24" s="47"/>
      <c r="R24" s="48" t="str">
        <f aca="false">IF(Q24="","",IF(Q24=0,"below 5:00",IF(Q24&gt;=66,"16:00 or above",INT((60+2*Q24)/12)&amp;":"&amp;TEXT(MOD(60+2*Q24,12),"00"))))</f>
        <v/>
      </c>
      <c r="S24" s="47"/>
      <c r="T24" s="47"/>
      <c r="U24" s="47"/>
      <c r="V24" s="47"/>
      <c r="W24" s="47"/>
      <c r="X24" s="47"/>
      <c r="Y24" s="47"/>
      <c r="Z24" s="47"/>
      <c r="AA24" s="47"/>
      <c r="AB24" s="47"/>
      <c r="AC24" s="47"/>
      <c r="AD24" s="47"/>
      <c r="AE24" s="47"/>
      <c r="AF24" s="47"/>
      <c r="AG24" s="47"/>
      <c r="AH24" s="47"/>
      <c r="AI24" s="46"/>
      <c r="AJ24" s="46"/>
      <c r="AK24" s="46"/>
      <c r="AL24" s="7"/>
      <c r="AM24" s="49" t="str">
        <f aca="false">IF(OR(C24="",G24=""),"",IFERROR(DATEDIF(C24,G24,"m"),""))</f>
        <v/>
      </c>
      <c r="AN24" s="49" t="str">
        <f aca="false">IF(OR(Q24="",AM24=""),"",60+2*Q24-AM24)</f>
        <v/>
      </c>
      <c r="AO24" s="49" t="str">
        <f aca="false">IF(OR(G24="",AJ24=""),"",AJ24-G24)</f>
        <v/>
      </c>
      <c r="AP24" s="50" t="str">
        <f aca="false">IF(AND(A24="",B24=""),"",IF(J24="","Status needed",IF(OR(J24="Applied",J24="Visit booked",J24="Withdrawn"),"OK",IF(G24="","Date assessed needed",IF(C24="","Date of birth needed",IF(COUNTA(L24,M24,P24,U24,V24,X24,AB24)&lt;7,"Band missing",IF(AND(OR(J24="Decision confirmed",J24="Family told",J24="Enrolled"),AG24=""),"Recommendation needed",IF(AND(OR(J24="Family told",J24="Enrolled"),AJ24=""),"Date family told needed","OK"))))))))</f>
        <v/>
      </c>
    </row>
    <row r="25" customFormat="false" ht="15" hidden="false" customHeight="false" outlineLevel="0" collapsed="false">
      <c r="A25" s="7"/>
      <c r="B25" s="7"/>
      <c r="C25" s="46"/>
      <c r="D25" s="7"/>
      <c r="E25" s="47"/>
      <c r="F25" s="46"/>
      <c r="G25" s="46"/>
      <c r="H25" s="7"/>
      <c r="I25" s="7"/>
      <c r="J25" s="47"/>
      <c r="K25" s="47"/>
      <c r="L25" s="47"/>
      <c r="M25" s="47"/>
      <c r="N25" s="10"/>
      <c r="O25" s="47"/>
      <c r="P25" s="47"/>
      <c r="Q25" s="47"/>
      <c r="R25" s="48" t="str">
        <f aca="false">IF(Q25="","",IF(Q25=0,"below 5:00",IF(Q25&gt;=66,"16:00 or above",INT((60+2*Q25)/12)&amp;":"&amp;TEXT(MOD(60+2*Q25,12),"00"))))</f>
        <v/>
      </c>
      <c r="S25" s="47"/>
      <c r="T25" s="47"/>
      <c r="U25" s="47"/>
      <c r="V25" s="47"/>
      <c r="W25" s="47"/>
      <c r="X25" s="47"/>
      <c r="Y25" s="47"/>
      <c r="Z25" s="47"/>
      <c r="AA25" s="47"/>
      <c r="AB25" s="47"/>
      <c r="AC25" s="47"/>
      <c r="AD25" s="47"/>
      <c r="AE25" s="47"/>
      <c r="AF25" s="47"/>
      <c r="AG25" s="47"/>
      <c r="AH25" s="47"/>
      <c r="AI25" s="46"/>
      <c r="AJ25" s="46"/>
      <c r="AK25" s="46"/>
      <c r="AL25" s="7"/>
      <c r="AM25" s="49" t="str">
        <f aca="false">IF(OR(C25="",G25=""),"",IFERROR(DATEDIF(C25,G25,"m"),""))</f>
        <v/>
      </c>
      <c r="AN25" s="49" t="str">
        <f aca="false">IF(OR(Q25="",AM25=""),"",60+2*Q25-AM25)</f>
        <v/>
      </c>
      <c r="AO25" s="49" t="str">
        <f aca="false">IF(OR(G25="",AJ25=""),"",AJ25-G25)</f>
        <v/>
      </c>
      <c r="AP25" s="50" t="str">
        <f aca="false">IF(AND(A25="",B25=""),"",IF(J25="","Status needed",IF(OR(J25="Applied",J25="Visit booked",J25="Withdrawn"),"OK",IF(G25="","Date assessed needed",IF(C25="","Date of birth needed",IF(COUNTA(L25,M25,P25,U25,V25,X25,AB25)&lt;7,"Band missing",IF(AND(OR(J25="Decision confirmed",J25="Family told",J25="Enrolled"),AG25=""),"Recommendation needed",IF(AND(OR(J25="Family told",J25="Enrolled"),AJ25=""),"Date family told needed","OK"))))))))</f>
        <v/>
      </c>
    </row>
    <row r="26" customFormat="false" ht="15" hidden="false" customHeight="false" outlineLevel="0" collapsed="false">
      <c r="A26" s="7"/>
      <c r="B26" s="7"/>
      <c r="C26" s="46"/>
      <c r="D26" s="7"/>
      <c r="E26" s="47"/>
      <c r="F26" s="46"/>
      <c r="G26" s="46"/>
      <c r="H26" s="7"/>
      <c r="I26" s="7"/>
      <c r="J26" s="47"/>
      <c r="K26" s="47"/>
      <c r="L26" s="47"/>
      <c r="M26" s="47"/>
      <c r="N26" s="10"/>
      <c r="O26" s="47"/>
      <c r="P26" s="47"/>
      <c r="Q26" s="47"/>
      <c r="R26" s="48" t="str">
        <f aca="false">IF(Q26="","",IF(Q26=0,"below 5:00",IF(Q26&gt;=66,"16:00 or above",INT((60+2*Q26)/12)&amp;":"&amp;TEXT(MOD(60+2*Q26,12),"00"))))</f>
        <v/>
      </c>
      <c r="S26" s="47"/>
      <c r="T26" s="47"/>
      <c r="U26" s="47"/>
      <c r="V26" s="47"/>
      <c r="W26" s="47"/>
      <c r="X26" s="47"/>
      <c r="Y26" s="47"/>
      <c r="Z26" s="47"/>
      <c r="AA26" s="47"/>
      <c r="AB26" s="47"/>
      <c r="AC26" s="47"/>
      <c r="AD26" s="47"/>
      <c r="AE26" s="47"/>
      <c r="AF26" s="47"/>
      <c r="AG26" s="47"/>
      <c r="AH26" s="47"/>
      <c r="AI26" s="46"/>
      <c r="AJ26" s="46"/>
      <c r="AK26" s="46"/>
      <c r="AL26" s="7"/>
      <c r="AM26" s="49" t="str">
        <f aca="false">IF(OR(C26="",G26=""),"",IFERROR(DATEDIF(C26,G26,"m"),""))</f>
        <v/>
      </c>
      <c r="AN26" s="49" t="str">
        <f aca="false">IF(OR(Q26="",AM26=""),"",60+2*Q26-AM26)</f>
        <v/>
      </c>
      <c r="AO26" s="49" t="str">
        <f aca="false">IF(OR(G26="",AJ26=""),"",AJ26-G26)</f>
        <v/>
      </c>
      <c r="AP26" s="50" t="str">
        <f aca="false">IF(AND(A26="",B26=""),"",IF(J26="","Status needed",IF(OR(J26="Applied",J26="Visit booked",J26="Withdrawn"),"OK",IF(G26="","Date assessed needed",IF(C26="","Date of birth needed",IF(COUNTA(L26,M26,P26,U26,V26,X26,AB26)&lt;7,"Band missing",IF(AND(OR(J26="Decision confirmed",J26="Family told",J26="Enrolled"),AG26=""),"Recommendation needed",IF(AND(OR(J26="Family told",J26="Enrolled"),AJ26=""),"Date family told needed","OK"))))))))</f>
        <v/>
      </c>
    </row>
    <row r="27" customFormat="false" ht="15" hidden="false" customHeight="false" outlineLevel="0" collapsed="false">
      <c r="A27" s="7"/>
      <c r="B27" s="7"/>
      <c r="C27" s="46"/>
      <c r="D27" s="7"/>
      <c r="E27" s="47"/>
      <c r="F27" s="46"/>
      <c r="G27" s="46"/>
      <c r="H27" s="7"/>
      <c r="I27" s="7"/>
      <c r="J27" s="47"/>
      <c r="K27" s="47"/>
      <c r="L27" s="47"/>
      <c r="M27" s="47"/>
      <c r="N27" s="10"/>
      <c r="O27" s="47"/>
      <c r="P27" s="47"/>
      <c r="Q27" s="47"/>
      <c r="R27" s="48" t="str">
        <f aca="false">IF(Q27="","",IF(Q27=0,"below 5:00",IF(Q27&gt;=66,"16:00 or above",INT((60+2*Q27)/12)&amp;":"&amp;TEXT(MOD(60+2*Q27,12),"00"))))</f>
        <v/>
      </c>
      <c r="S27" s="47"/>
      <c r="T27" s="47"/>
      <c r="U27" s="47"/>
      <c r="V27" s="47"/>
      <c r="W27" s="47"/>
      <c r="X27" s="47"/>
      <c r="Y27" s="47"/>
      <c r="Z27" s="47"/>
      <c r="AA27" s="47"/>
      <c r="AB27" s="47"/>
      <c r="AC27" s="47"/>
      <c r="AD27" s="47"/>
      <c r="AE27" s="47"/>
      <c r="AF27" s="47"/>
      <c r="AG27" s="47"/>
      <c r="AH27" s="47"/>
      <c r="AI27" s="46"/>
      <c r="AJ27" s="46"/>
      <c r="AK27" s="46"/>
      <c r="AL27" s="7"/>
      <c r="AM27" s="49" t="str">
        <f aca="false">IF(OR(C27="",G27=""),"",IFERROR(DATEDIF(C27,G27,"m"),""))</f>
        <v/>
      </c>
      <c r="AN27" s="49" t="str">
        <f aca="false">IF(OR(Q27="",AM27=""),"",60+2*Q27-AM27)</f>
        <v/>
      </c>
      <c r="AO27" s="49" t="str">
        <f aca="false">IF(OR(G27="",AJ27=""),"",AJ27-G27)</f>
        <v/>
      </c>
      <c r="AP27" s="50" t="str">
        <f aca="false">IF(AND(A27="",B27=""),"",IF(J27="","Status needed",IF(OR(J27="Applied",J27="Visit booked",J27="Withdrawn"),"OK",IF(G27="","Date assessed needed",IF(C27="","Date of birth needed",IF(COUNTA(L27,M27,P27,U27,V27,X27,AB27)&lt;7,"Band missing",IF(AND(OR(J27="Decision confirmed",J27="Family told",J27="Enrolled"),AG27=""),"Recommendation needed",IF(AND(OR(J27="Family told",J27="Enrolled"),AJ27=""),"Date family told needed","OK"))))))))</f>
        <v/>
      </c>
    </row>
    <row r="28" customFormat="false" ht="15" hidden="false" customHeight="false" outlineLevel="0" collapsed="false">
      <c r="A28" s="7"/>
      <c r="B28" s="7"/>
      <c r="C28" s="46"/>
      <c r="D28" s="7"/>
      <c r="E28" s="47"/>
      <c r="F28" s="46"/>
      <c r="G28" s="46"/>
      <c r="H28" s="7"/>
      <c r="I28" s="7"/>
      <c r="J28" s="47"/>
      <c r="K28" s="47"/>
      <c r="L28" s="47"/>
      <c r="M28" s="47"/>
      <c r="N28" s="10"/>
      <c r="O28" s="47"/>
      <c r="P28" s="47"/>
      <c r="Q28" s="47"/>
      <c r="R28" s="48" t="str">
        <f aca="false">IF(Q28="","",IF(Q28=0,"below 5:00",IF(Q28&gt;=66,"16:00 or above",INT((60+2*Q28)/12)&amp;":"&amp;TEXT(MOD(60+2*Q28,12),"00"))))</f>
        <v/>
      </c>
      <c r="S28" s="47"/>
      <c r="T28" s="47"/>
      <c r="U28" s="47"/>
      <c r="V28" s="47"/>
      <c r="W28" s="47"/>
      <c r="X28" s="47"/>
      <c r="Y28" s="47"/>
      <c r="Z28" s="47"/>
      <c r="AA28" s="47"/>
      <c r="AB28" s="47"/>
      <c r="AC28" s="47"/>
      <c r="AD28" s="47"/>
      <c r="AE28" s="47"/>
      <c r="AF28" s="47"/>
      <c r="AG28" s="47"/>
      <c r="AH28" s="47"/>
      <c r="AI28" s="46"/>
      <c r="AJ28" s="46"/>
      <c r="AK28" s="46"/>
      <c r="AL28" s="7"/>
      <c r="AM28" s="49" t="str">
        <f aca="false">IF(OR(C28="",G28=""),"",IFERROR(DATEDIF(C28,G28,"m"),""))</f>
        <v/>
      </c>
      <c r="AN28" s="49" t="str">
        <f aca="false">IF(OR(Q28="",AM28=""),"",60+2*Q28-AM28)</f>
        <v/>
      </c>
      <c r="AO28" s="49" t="str">
        <f aca="false">IF(OR(G28="",AJ28=""),"",AJ28-G28)</f>
        <v/>
      </c>
      <c r="AP28" s="50" t="str">
        <f aca="false">IF(AND(A28="",B28=""),"",IF(J28="","Status needed",IF(OR(J28="Applied",J28="Visit booked",J28="Withdrawn"),"OK",IF(G28="","Date assessed needed",IF(C28="","Date of birth needed",IF(COUNTA(L28,M28,P28,U28,V28,X28,AB28)&lt;7,"Band missing",IF(AND(OR(J28="Decision confirmed",J28="Family told",J28="Enrolled"),AG28=""),"Recommendation needed",IF(AND(OR(J28="Family told",J28="Enrolled"),AJ28=""),"Date family told needed","OK"))))))))</f>
        <v/>
      </c>
    </row>
    <row r="29" customFormat="false" ht="15" hidden="false" customHeight="false" outlineLevel="0" collapsed="false">
      <c r="A29" s="7"/>
      <c r="B29" s="7"/>
      <c r="C29" s="46"/>
      <c r="D29" s="7"/>
      <c r="E29" s="47"/>
      <c r="F29" s="46"/>
      <c r="G29" s="46"/>
      <c r="H29" s="7"/>
      <c r="I29" s="7"/>
      <c r="J29" s="47"/>
      <c r="K29" s="47"/>
      <c r="L29" s="47"/>
      <c r="M29" s="47"/>
      <c r="N29" s="10"/>
      <c r="O29" s="47"/>
      <c r="P29" s="47"/>
      <c r="Q29" s="47"/>
      <c r="R29" s="48" t="str">
        <f aca="false">IF(Q29="","",IF(Q29=0,"below 5:00",IF(Q29&gt;=66,"16:00 or above",INT((60+2*Q29)/12)&amp;":"&amp;TEXT(MOD(60+2*Q29,12),"00"))))</f>
        <v/>
      </c>
      <c r="S29" s="47"/>
      <c r="T29" s="47"/>
      <c r="U29" s="47"/>
      <c r="V29" s="47"/>
      <c r="W29" s="47"/>
      <c r="X29" s="47"/>
      <c r="Y29" s="47"/>
      <c r="Z29" s="47"/>
      <c r="AA29" s="47"/>
      <c r="AB29" s="47"/>
      <c r="AC29" s="47"/>
      <c r="AD29" s="47"/>
      <c r="AE29" s="47"/>
      <c r="AF29" s="47"/>
      <c r="AG29" s="47"/>
      <c r="AH29" s="47"/>
      <c r="AI29" s="46"/>
      <c r="AJ29" s="46"/>
      <c r="AK29" s="46"/>
      <c r="AL29" s="7"/>
      <c r="AM29" s="49" t="str">
        <f aca="false">IF(OR(C29="",G29=""),"",IFERROR(DATEDIF(C29,G29,"m"),""))</f>
        <v/>
      </c>
      <c r="AN29" s="49" t="str">
        <f aca="false">IF(OR(Q29="",AM29=""),"",60+2*Q29-AM29)</f>
        <v/>
      </c>
      <c r="AO29" s="49" t="str">
        <f aca="false">IF(OR(G29="",AJ29=""),"",AJ29-G29)</f>
        <v/>
      </c>
      <c r="AP29" s="50" t="str">
        <f aca="false">IF(AND(A29="",B29=""),"",IF(J29="","Status needed",IF(OR(J29="Applied",J29="Visit booked",J29="Withdrawn"),"OK",IF(G29="","Date assessed needed",IF(C29="","Date of birth needed",IF(COUNTA(L29,M29,P29,U29,V29,X29,AB29)&lt;7,"Band missing",IF(AND(OR(J29="Decision confirmed",J29="Family told",J29="Enrolled"),AG29=""),"Recommendation needed",IF(AND(OR(J29="Family told",J29="Enrolled"),AJ29=""),"Date family told needed","OK"))))))))</f>
        <v/>
      </c>
    </row>
    <row r="30" customFormat="false" ht="15" hidden="false" customHeight="false" outlineLevel="0" collapsed="false">
      <c r="A30" s="7"/>
      <c r="B30" s="7"/>
      <c r="C30" s="46"/>
      <c r="D30" s="7"/>
      <c r="E30" s="47"/>
      <c r="F30" s="46"/>
      <c r="G30" s="46"/>
      <c r="H30" s="7"/>
      <c r="I30" s="7"/>
      <c r="J30" s="47"/>
      <c r="K30" s="47"/>
      <c r="L30" s="47"/>
      <c r="M30" s="47"/>
      <c r="N30" s="10"/>
      <c r="O30" s="47"/>
      <c r="P30" s="47"/>
      <c r="Q30" s="47"/>
      <c r="R30" s="48" t="str">
        <f aca="false">IF(Q30="","",IF(Q30=0,"below 5:00",IF(Q30&gt;=66,"16:00 or above",INT((60+2*Q30)/12)&amp;":"&amp;TEXT(MOD(60+2*Q30,12),"00"))))</f>
        <v/>
      </c>
      <c r="S30" s="47"/>
      <c r="T30" s="47"/>
      <c r="U30" s="47"/>
      <c r="V30" s="47"/>
      <c r="W30" s="47"/>
      <c r="X30" s="47"/>
      <c r="Y30" s="47"/>
      <c r="Z30" s="47"/>
      <c r="AA30" s="47"/>
      <c r="AB30" s="47"/>
      <c r="AC30" s="47"/>
      <c r="AD30" s="47"/>
      <c r="AE30" s="47"/>
      <c r="AF30" s="47"/>
      <c r="AG30" s="47"/>
      <c r="AH30" s="47"/>
      <c r="AI30" s="46"/>
      <c r="AJ30" s="46"/>
      <c r="AK30" s="46"/>
      <c r="AL30" s="7"/>
      <c r="AM30" s="49" t="str">
        <f aca="false">IF(OR(C30="",G30=""),"",IFERROR(DATEDIF(C30,G30,"m"),""))</f>
        <v/>
      </c>
      <c r="AN30" s="49" t="str">
        <f aca="false">IF(OR(Q30="",AM30=""),"",60+2*Q30-AM30)</f>
        <v/>
      </c>
      <c r="AO30" s="49" t="str">
        <f aca="false">IF(OR(G30="",AJ30=""),"",AJ30-G30)</f>
        <v/>
      </c>
      <c r="AP30" s="50" t="str">
        <f aca="false">IF(AND(A30="",B30=""),"",IF(J30="","Status needed",IF(OR(J30="Applied",J30="Visit booked",J30="Withdrawn"),"OK",IF(G30="","Date assessed needed",IF(C30="","Date of birth needed",IF(COUNTA(L30,M30,P30,U30,V30,X30,AB30)&lt;7,"Band missing",IF(AND(OR(J30="Decision confirmed",J30="Family told",J30="Enrolled"),AG30=""),"Recommendation needed",IF(AND(OR(J30="Family told",J30="Enrolled"),AJ30=""),"Date family told needed","OK"))))))))</f>
        <v/>
      </c>
    </row>
    <row r="31" customFormat="false" ht="15" hidden="false" customHeight="false" outlineLevel="0" collapsed="false">
      <c r="A31" s="7"/>
      <c r="B31" s="7"/>
      <c r="C31" s="46"/>
      <c r="D31" s="7"/>
      <c r="E31" s="47"/>
      <c r="F31" s="46"/>
      <c r="G31" s="46"/>
      <c r="H31" s="7"/>
      <c r="I31" s="7"/>
      <c r="J31" s="47"/>
      <c r="K31" s="47"/>
      <c r="L31" s="47"/>
      <c r="M31" s="47"/>
      <c r="N31" s="10"/>
      <c r="O31" s="47"/>
      <c r="P31" s="47"/>
      <c r="Q31" s="47"/>
      <c r="R31" s="48" t="str">
        <f aca="false">IF(Q31="","",IF(Q31=0,"below 5:00",IF(Q31&gt;=66,"16:00 or above",INT((60+2*Q31)/12)&amp;":"&amp;TEXT(MOD(60+2*Q31,12),"00"))))</f>
        <v/>
      </c>
      <c r="S31" s="47"/>
      <c r="T31" s="47"/>
      <c r="U31" s="47"/>
      <c r="V31" s="47"/>
      <c r="W31" s="47"/>
      <c r="X31" s="47"/>
      <c r="Y31" s="47"/>
      <c r="Z31" s="47"/>
      <c r="AA31" s="47"/>
      <c r="AB31" s="47"/>
      <c r="AC31" s="47"/>
      <c r="AD31" s="47"/>
      <c r="AE31" s="47"/>
      <c r="AF31" s="47"/>
      <c r="AG31" s="47"/>
      <c r="AH31" s="47"/>
      <c r="AI31" s="46"/>
      <c r="AJ31" s="46"/>
      <c r="AK31" s="46"/>
      <c r="AL31" s="7"/>
      <c r="AM31" s="49" t="str">
        <f aca="false">IF(OR(C31="",G31=""),"",IFERROR(DATEDIF(C31,G31,"m"),""))</f>
        <v/>
      </c>
      <c r="AN31" s="49" t="str">
        <f aca="false">IF(OR(Q31="",AM31=""),"",60+2*Q31-AM31)</f>
        <v/>
      </c>
      <c r="AO31" s="49" t="str">
        <f aca="false">IF(OR(G31="",AJ31=""),"",AJ31-G31)</f>
        <v/>
      </c>
      <c r="AP31" s="50" t="str">
        <f aca="false">IF(AND(A31="",B31=""),"",IF(J31="","Status needed",IF(OR(J31="Applied",J31="Visit booked",J31="Withdrawn"),"OK",IF(G31="","Date assessed needed",IF(C31="","Date of birth needed",IF(COUNTA(L31,M31,P31,U31,V31,X31,AB31)&lt;7,"Band missing",IF(AND(OR(J31="Decision confirmed",J31="Family told",J31="Enrolled"),AG31=""),"Recommendation needed",IF(AND(OR(J31="Family told",J31="Enrolled"),AJ31=""),"Date family told needed","OK"))))))))</f>
        <v/>
      </c>
    </row>
    <row r="32" customFormat="false" ht="15" hidden="false" customHeight="false" outlineLevel="0" collapsed="false">
      <c r="A32" s="7"/>
      <c r="B32" s="7"/>
      <c r="C32" s="46"/>
      <c r="D32" s="7"/>
      <c r="E32" s="47"/>
      <c r="F32" s="46"/>
      <c r="G32" s="46"/>
      <c r="H32" s="7"/>
      <c r="I32" s="7"/>
      <c r="J32" s="47"/>
      <c r="K32" s="47"/>
      <c r="L32" s="47"/>
      <c r="M32" s="47"/>
      <c r="N32" s="10"/>
      <c r="O32" s="47"/>
      <c r="P32" s="47"/>
      <c r="Q32" s="47"/>
      <c r="R32" s="48" t="str">
        <f aca="false">IF(Q32="","",IF(Q32=0,"below 5:00",IF(Q32&gt;=66,"16:00 or above",INT((60+2*Q32)/12)&amp;":"&amp;TEXT(MOD(60+2*Q32,12),"00"))))</f>
        <v/>
      </c>
      <c r="S32" s="47"/>
      <c r="T32" s="47"/>
      <c r="U32" s="47"/>
      <c r="V32" s="47"/>
      <c r="W32" s="47"/>
      <c r="X32" s="47"/>
      <c r="Y32" s="47"/>
      <c r="Z32" s="47"/>
      <c r="AA32" s="47"/>
      <c r="AB32" s="47"/>
      <c r="AC32" s="47"/>
      <c r="AD32" s="47"/>
      <c r="AE32" s="47"/>
      <c r="AF32" s="47"/>
      <c r="AG32" s="47"/>
      <c r="AH32" s="47"/>
      <c r="AI32" s="46"/>
      <c r="AJ32" s="46"/>
      <c r="AK32" s="46"/>
      <c r="AL32" s="7"/>
      <c r="AM32" s="49" t="str">
        <f aca="false">IF(OR(C32="",G32=""),"",IFERROR(DATEDIF(C32,G32,"m"),""))</f>
        <v/>
      </c>
      <c r="AN32" s="49" t="str">
        <f aca="false">IF(OR(Q32="",AM32=""),"",60+2*Q32-AM32)</f>
        <v/>
      </c>
      <c r="AO32" s="49" t="str">
        <f aca="false">IF(OR(G32="",AJ32=""),"",AJ32-G32)</f>
        <v/>
      </c>
      <c r="AP32" s="50" t="str">
        <f aca="false">IF(AND(A32="",B32=""),"",IF(J32="","Status needed",IF(OR(J32="Applied",J32="Visit booked",J32="Withdrawn"),"OK",IF(G32="","Date assessed needed",IF(C32="","Date of birth needed",IF(COUNTA(L32,M32,P32,U32,V32,X32,AB32)&lt;7,"Band missing",IF(AND(OR(J32="Decision confirmed",J32="Family told",J32="Enrolled"),AG32=""),"Recommendation needed",IF(AND(OR(J32="Family told",J32="Enrolled"),AJ32=""),"Date family told needed","OK"))))))))</f>
        <v/>
      </c>
    </row>
    <row r="33" customFormat="false" ht="15" hidden="false" customHeight="false" outlineLevel="0" collapsed="false">
      <c r="A33" s="7"/>
      <c r="B33" s="7"/>
      <c r="C33" s="46"/>
      <c r="D33" s="7"/>
      <c r="E33" s="47"/>
      <c r="F33" s="46"/>
      <c r="G33" s="46"/>
      <c r="H33" s="7"/>
      <c r="I33" s="7"/>
      <c r="J33" s="47"/>
      <c r="K33" s="47"/>
      <c r="L33" s="47"/>
      <c r="M33" s="47"/>
      <c r="N33" s="10"/>
      <c r="O33" s="47"/>
      <c r="P33" s="47"/>
      <c r="Q33" s="47"/>
      <c r="R33" s="48" t="str">
        <f aca="false">IF(Q33="","",IF(Q33=0,"below 5:00",IF(Q33&gt;=66,"16:00 or above",INT((60+2*Q33)/12)&amp;":"&amp;TEXT(MOD(60+2*Q33,12),"00"))))</f>
        <v/>
      </c>
      <c r="S33" s="47"/>
      <c r="T33" s="47"/>
      <c r="U33" s="47"/>
      <c r="V33" s="47"/>
      <c r="W33" s="47"/>
      <c r="X33" s="47"/>
      <c r="Y33" s="47"/>
      <c r="Z33" s="47"/>
      <c r="AA33" s="47"/>
      <c r="AB33" s="47"/>
      <c r="AC33" s="47"/>
      <c r="AD33" s="47"/>
      <c r="AE33" s="47"/>
      <c r="AF33" s="47"/>
      <c r="AG33" s="47"/>
      <c r="AH33" s="47"/>
      <c r="AI33" s="46"/>
      <c r="AJ33" s="46"/>
      <c r="AK33" s="46"/>
      <c r="AL33" s="7"/>
      <c r="AM33" s="49" t="str">
        <f aca="false">IF(OR(C33="",G33=""),"",IFERROR(DATEDIF(C33,G33,"m"),""))</f>
        <v/>
      </c>
      <c r="AN33" s="49" t="str">
        <f aca="false">IF(OR(Q33="",AM33=""),"",60+2*Q33-AM33)</f>
        <v/>
      </c>
      <c r="AO33" s="49" t="str">
        <f aca="false">IF(OR(G33="",AJ33=""),"",AJ33-G33)</f>
        <v/>
      </c>
      <c r="AP33" s="50" t="str">
        <f aca="false">IF(AND(A33="",B33=""),"",IF(J33="","Status needed",IF(OR(J33="Applied",J33="Visit booked",J33="Withdrawn"),"OK",IF(G33="","Date assessed needed",IF(C33="","Date of birth needed",IF(COUNTA(L33,M33,P33,U33,V33,X33,AB33)&lt;7,"Band missing",IF(AND(OR(J33="Decision confirmed",J33="Family told",J33="Enrolled"),AG33=""),"Recommendation needed",IF(AND(OR(J33="Family told",J33="Enrolled"),AJ33=""),"Date family told needed","OK"))))))))</f>
        <v/>
      </c>
    </row>
    <row r="34" customFormat="false" ht="15" hidden="false" customHeight="false" outlineLevel="0" collapsed="false">
      <c r="A34" s="7"/>
      <c r="B34" s="7"/>
      <c r="C34" s="46"/>
      <c r="D34" s="7"/>
      <c r="E34" s="47"/>
      <c r="F34" s="46"/>
      <c r="G34" s="46"/>
      <c r="H34" s="7"/>
      <c r="I34" s="7"/>
      <c r="J34" s="47"/>
      <c r="K34" s="47"/>
      <c r="L34" s="47"/>
      <c r="M34" s="47"/>
      <c r="N34" s="10"/>
      <c r="O34" s="47"/>
      <c r="P34" s="47"/>
      <c r="Q34" s="47"/>
      <c r="R34" s="48" t="str">
        <f aca="false">IF(Q34="","",IF(Q34=0,"below 5:00",IF(Q34&gt;=66,"16:00 or above",INT((60+2*Q34)/12)&amp;":"&amp;TEXT(MOD(60+2*Q34,12),"00"))))</f>
        <v/>
      </c>
      <c r="S34" s="47"/>
      <c r="T34" s="47"/>
      <c r="U34" s="47"/>
      <c r="V34" s="47"/>
      <c r="W34" s="47"/>
      <c r="X34" s="47"/>
      <c r="Y34" s="47"/>
      <c r="Z34" s="47"/>
      <c r="AA34" s="47"/>
      <c r="AB34" s="47"/>
      <c r="AC34" s="47"/>
      <c r="AD34" s="47"/>
      <c r="AE34" s="47"/>
      <c r="AF34" s="47"/>
      <c r="AG34" s="47"/>
      <c r="AH34" s="47"/>
      <c r="AI34" s="46"/>
      <c r="AJ34" s="46"/>
      <c r="AK34" s="46"/>
      <c r="AL34" s="7"/>
      <c r="AM34" s="49" t="str">
        <f aca="false">IF(OR(C34="",G34=""),"",IFERROR(DATEDIF(C34,G34,"m"),""))</f>
        <v/>
      </c>
      <c r="AN34" s="49" t="str">
        <f aca="false">IF(OR(Q34="",AM34=""),"",60+2*Q34-AM34)</f>
        <v/>
      </c>
      <c r="AO34" s="49" t="str">
        <f aca="false">IF(OR(G34="",AJ34=""),"",AJ34-G34)</f>
        <v/>
      </c>
      <c r="AP34" s="50" t="str">
        <f aca="false">IF(AND(A34="",B34=""),"",IF(J34="","Status needed",IF(OR(J34="Applied",J34="Visit booked",J34="Withdrawn"),"OK",IF(G34="","Date assessed needed",IF(C34="","Date of birth needed",IF(COUNTA(L34,M34,P34,U34,V34,X34,AB34)&lt;7,"Band missing",IF(AND(OR(J34="Decision confirmed",J34="Family told",J34="Enrolled"),AG34=""),"Recommendation needed",IF(AND(OR(J34="Family told",J34="Enrolled"),AJ34=""),"Date family told needed","OK"))))))))</f>
        <v/>
      </c>
    </row>
    <row r="35" customFormat="false" ht="15" hidden="false" customHeight="false" outlineLevel="0" collapsed="false">
      <c r="A35" s="7"/>
      <c r="B35" s="7"/>
      <c r="C35" s="46"/>
      <c r="D35" s="7"/>
      <c r="E35" s="47"/>
      <c r="F35" s="46"/>
      <c r="G35" s="46"/>
      <c r="H35" s="7"/>
      <c r="I35" s="7"/>
      <c r="J35" s="47"/>
      <c r="K35" s="47"/>
      <c r="L35" s="47"/>
      <c r="M35" s="47"/>
      <c r="N35" s="10"/>
      <c r="O35" s="47"/>
      <c r="P35" s="47"/>
      <c r="Q35" s="47"/>
      <c r="R35" s="48" t="str">
        <f aca="false">IF(Q35="","",IF(Q35=0,"below 5:00",IF(Q35&gt;=66,"16:00 or above",INT((60+2*Q35)/12)&amp;":"&amp;TEXT(MOD(60+2*Q35,12),"00"))))</f>
        <v/>
      </c>
      <c r="S35" s="47"/>
      <c r="T35" s="47"/>
      <c r="U35" s="47"/>
      <c r="V35" s="47"/>
      <c r="W35" s="47"/>
      <c r="X35" s="47"/>
      <c r="Y35" s="47"/>
      <c r="Z35" s="47"/>
      <c r="AA35" s="47"/>
      <c r="AB35" s="47"/>
      <c r="AC35" s="47"/>
      <c r="AD35" s="47"/>
      <c r="AE35" s="47"/>
      <c r="AF35" s="47"/>
      <c r="AG35" s="47"/>
      <c r="AH35" s="47"/>
      <c r="AI35" s="46"/>
      <c r="AJ35" s="46"/>
      <c r="AK35" s="46"/>
      <c r="AL35" s="7"/>
      <c r="AM35" s="49" t="str">
        <f aca="false">IF(OR(C35="",G35=""),"",IFERROR(DATEDIF(C35,G35,"m"),""))</f>
        <v/>
      </c>
      <c r="AN35" s="49" t="str">
        <f aca="false">IF(OR(Q35="",AM35=""),"",60+2*Q35-AM35)</f>
        <v/>
      </c>
      <c r="AO35" s="49" t="str">
        <f aca="false">IF(OR(G35="",AJ35=""),"",AJ35-G35)</f>
        <v/>
      </c>
      <c r="AP35" s="50" t="str">
        <f aca="false">IF(AND(A35="",B35=""),"",IF(J35="","Status needed",IF(OR(J35="Applied",J35="Visit booked",J35="Withdrawn"),"OK",IF(G35="","Date assessed needed",IF(C35="","Date of birth needed",IF(COUNTA(L35,M35,P35,U35,V35,X35,AB35)&lt;7,"Band missing",IF(AND(OR(J35="Decision confirmed",J35="Family told",J35="Enrolled"),AG35=""),"Recommendation needed",IF(AND(OR(J35="Family told",J35="Enrolled"),AJ35=""),"Date family told needed","OK"))))))))</f>
        <v/>
      </c>
    </row>
    <row r="36" customFormat="false" ht="15" hidden="false" customHeight="false" outlineLevel="0" collapsed="false">
      <c r="A36" s="7"/>
      <c r="B36" s="7"/>
      <c r="C36" s="46"/>
      <c r="D36" s="7"/>
      <c r="E36" s="47"/>
      <c r="F36" s="46"/>
      <c r="G36" s="46"/>
      <c r="H36" s="7"/>
      <c r="I36" s="7"/>
      <c r="J36" s="47"/>
      <c r="K36" s="47"/>
      <c r="L36" s="47"/>
      <c r="M36" s="47"/>
      <c r="N36" s="10"/>
      <c r="O36" s="47"/>
      <c r="P36" s="47"/>
      <c r="Q36" s="47"/>
      <c r="R36" s="48" t="str">
        <f aca="false">IF(Q36="","",IF(Q36=0,"below 5:00",IF(Q36&gt;=66,"16:00 or above",INT((60+2*Q36)/12)&amp;":"&amp;TEXT(MOD(60+2*Q36,12),"00"))))</f>
        <v/>
      </c>
      <c r="S36" s="47"/>
      <c r="T36" s="47"/>
      <c r="U36" s="47"/>
      <c r="V36" s="47"/>
      <c r="W36" s="47"/>
      <c r="X36" s="47"/>
      <c r="Y36" s="47"/>
      <c r="Z36" s="47"/>
      <c r="AA36" s="47"/>
      <c r="AB36" s="47"/>
      <c r="AC36" s="47"/>
      <c r="AD36" s="47"/>
      <c r="AE36" s="47"/>
      <c r="AF36" s="47"/>
      <c r="AG36" s="47"/>
      <c r="AH36" s="47"/>
      <c r="AI36" s="46"/>
      <c r="AJ36" s="46"/>
      <c r="AK36" s="46"/>
      <c r="AL36" s="7"/>
      <c r="AM36" s="49" t="str">
        <f aca="false">IF(OR(C36="",G36=""),"",IFERROR(DATEDIF(C36,G36,"m"),""))</f>
        <v/>
      </c>
      <c r="AN36" s="49" t="str">
        <f aca="false">IF(OR(Q36="",AM36=""),"",60+2*Q36-AM36)</f>
        <v/>
      </c>
      <c r="AO36" s="49" t="str">
        <f aca="false">IF(OR(G36="",AJ36=""),"",AJ36-G36)</f>
        <v/>
      </c>
      <c r="AP36" s="50" t="str">
        <f aca="false">IF(AND(A36="",B36=""),"",IF(J36="","Status needed",IF(OR(J36="Applied",J36="Visit booked",J36="Withdrawn"),"OK",IF(G36="","Date assessed needed",IF(C36="","Date of birth needed",IF(COUNTA(L36,M36,P36,U36,V36,X36,AB36)&lt;7,"Band missing",IF(AND(OR(J36="Decision confirmed",J36="Family told",J36="Enrolled"),AG36=""),"Recommendation needed",IF(AND(OR(J36="Family told",J36="Enrolled"),AJ36=""),"Date family told needed","OK"))))))))</f>
        <v/>
      </c>
    </row>
    <row r="37" customFormat="false" ht="15" hidden="false" customHeight="false" outlineLevel="0" collapsed="false">
      <c r="A37" s="7"/>
      <c r="B37" s="7"/>
      <c r="C37" s="46"/>
      <c r="D37" s="7"/>
      <c r="E37" s="47"/>
      <c r="F37" s="46"/>
      <c r="G37" s="46"/>
      <c r="H37" s="7"/>
      <c r="I37" s="7"/>
      <c r="J37" s="47"/>
      <c r="K37" s="47"/>
      <c r="L37" s="47"/>
      <c r="M37" s="47"/>
      <c r="N37" s="10"/>
      <c r="O37" s="47"/>
      <c r="P37" s="47"/>
      <c r="Q37" s="47"/>
      <c r="R37" s="48" t="str">
        <f aca="false">IF(Q37="","",IF(Q37=0,"below 5:00",IF(Q37&gt;=66,"16:00 or above",INT((60+2*Q37)/12)&amp;":"&amp;TEXT(MOD(60+2*Q37,12),"00"))))</f>
        <v/>
      </c>
      <c r="S37" s="47"/>
      <c r="T37" s="47"/>
      <c r="U37" s="47"/>
      <c r="V37" s="47"/>
      <c r="W37" s="47"/>
      <c r="X37" s="47"/>
      <c r="Y37" s="47"/>
      <c r="Z37" s="47"/>
      <c r="AA37" s="47"/>
      <c r="AB37" s="47"/>
      <c r="AC37" s="47"/>
      <c r="AD37" s="47"/>
      <c r="AE37" s="47"/>
      <c r="AF37" s="47"/>
      <c r="AG37" s="47"/>
      <c r="AH37" s="47"/>
      <c r="AI37" s="46"/>
      <c r="AJ37" s="46"/>
      <c r="AK37" s="46"/>
      <c r="AL37" s="7"/>
      <c r="AM37" s="49" t="str">
        <f aca="false">IF(OR(C37="",G37=""),"",IFERROR(DATEDIF(C37,G37,"m"),""))</f>
        <v/>
      </c>
      <c r="AN37" s="49" t="str">
        <f aca="false">IF(OR(Q37="",AM37=""),"",60+2*Q37-AM37)</f>
        <v/>
      </c>
      <c r="AO37" s="49" t="str">
        <f aca="false">IF(OR(G37="",AJ37=""),"",AJ37-G37)</f>
        <v/>
      </c>
      <c r="AP37" s="50" t="str">
        <f aca="false">IF(AND(A37="",B37=""),"",IF(J37="","Status needed",IF(OR(J37="Applied",J37="Visit booked",J37="Withdrawn"),"OK",IF(G37="","Date assessed needed",IF(C37="","Date of birth needed",IF(COUNTA(L37,M37,P37,U37,V37,X37,AB37)&lt;7,"Band missing",IF(AND(OR(J37="Decision confirmed",J37="Family told",J37="Enrolled"),AG37=""),"Recommendation needed",IF(AND(OR(J37="Family told",J37="Enrolled"),AJ37=""),"Date family told needed","OK"))))))))</f>
        <v/>
      </c>
    </row>
    <row r="38" customFormat="false" ht="15" hidden="false" customHeight="false" outlineLevel="0" collapsed="false">
      <c r="A38" s="7"/>
      <c r="B38" s="7"/>
      <c r="C38" s="46"/>
      <c r="D38" s="7"/>
      <c r="E38" s="47"/>
      <c r="F38" s="46"/>
      <c r="G38" s="46"/>
      <c r="H38" s="7"/>
      <c r="I38" s="7"/>
      <c r="J38" s="47"/>
      <c r="K38" s="47"/>
      <c r="L38" s="47"/>
      <c r="M38" s="47"/>
      <c r="N38" s="10"/>
      <c r="O38" s="47"/>
      <c r="P38" s="47"/>
      <c r="Q38" s="47"/>
      <c r="R38" s="48" t="str">
        <f aca="false">IF(Q38="","",IF(Q38=0,"below 5:00",IF(Q38&gt;=66,"16:00 or above",INT((60+2*Q38)/12)&amp;":"&amp;TEXT(MOD(60+2*Q38,12),"00"))))</f>
        <v/>
      </c>
      <c r="S38" s="47"/>
      <c r="T38" s="47"/>
      <c r="U38" s="47"/>
      <c r="V38" s="47"/>
      <c r="W38" s="47"/>
      <c r="X38" s="47"/>
      <c r="Y38" s="47"/>
      <c r="Z38" s="47"/>
      <c r="AA38" s="47"/>
      <c r="AB38" s="47"/>
      <c r="AC38" s="47"/>
      <c r="AD38" s="47"/>
      <c r="AE38" s="47"/>
      <c r="AF38" s="47"/>
      <c r="AG38" s="47"/>
      <c r="AH38" s="47"/>
      <c r="AI38" s="46"/>
      <c r="AJ38" s="46"/>
      <c r="AK38" s="46"/>
      <c r="AL38" s="7"/>
      <c r="AM38" s="49" t="str">
        <f aca="false">IF(OR(C38="",G38=""),"",IFERROR(DATEDIF(C38,G38,"m"),""))</f>
        <v/>
      </c>
      <c r="AN38" s="49" t="str">
        <f aca="false">IF(OR(Q38="",AM38=""),"",60+2*Q38-AM38)</f>
        <v/>
      </c>
      <c r="AO38" s="49" t="str">
        <f aca="false">IF(OR(G38="",AJ38=""),"",AJ38-G38)</f>
        <v/>
      </c>
      <c r="AP38" s="50" t="str">
        <f aca="false">IF(AND(A38="",B38=""),"",IF(J38="","Status needed",IF(OR(J38="Applied",J38="Visit booked",J38="Withdrawn"),"OK",IF(G38="","Date assessed needed",IF(C38="","Date of birth needed",IF(COUNTA(L38,M38,P38,U38,V38,X38,AB38)&lt;7,"Band missing",IF(AND(OR(J38="Decision confirmed",J38="Family told",J38="Enrolled"),AG38=""),"Recommendation needed",IF(AND(OR(J38="Family told",J38="Enrolled"),AJ38=""),"Date family told needed","OK"))))))))</f>
        <v/>
      </c>
    </row>
    <row r="39" customFormat="false" ht="15" hidden="false" customHeight="false" outlineLevel="0" collapsed="false">
      <c r="A39" s="7"/>
      <c r="B39" s="7"/>
      <c r="C39" s="46"/>
      <c r="D39" s="7"/>
      <c r="E39" s="47"/>
      <c r="F39" s="46"/>
      <c r="G39" s="46"/>
      <c r="H39" s="7"/>
      <c r="I39" s="7"/>
      <c r="J39" s="47"/>
      <c r="K39" s="47"/>
      <c r="L39" s="47"/>
      <c r="M39" s="47"/>
      <c r="N39" s="10"/>
      <c r="O39" s="47"/>
      <c r="P39" s="47"/>
      <c r="Q39" s="47"/>
      <c r="R39" s="48" t="str">
        <f aca="false">IF(Q39="","",IF(Q39=0,"below 5:00",IF(Q39&gt;=66,"16:00 or above",INT((60+2*Q39)/12)&amp;":"&amp;TEXT(MOD(60+2*Q39,12),"00"))))</f>
        <v/>
      </c>
      <c r="S39" s="47"/>
      <c r="T39" s="47"/>
      <c r="U39" s="47"/>
      <c r="V39" s="47"/>
      <c r="W39" s="47"/>
      <c r="X39" s="47"/>
      <c r="Y39" s="47"/>
      <c r="Z39" s="47"/>
      <c r="AA39" s="47"/>
      <c r="AB39" s="47"/>
      <c r="AC39" s="47"/>
      <c r="AD39" s="47"/>
      <c r="AE39" s="47"/>
      <c r="AF39" s="47"/>
      <c r="AG39" s="47"/>
      <c r="AH39" s="47"/>
      <c r="AI39" s="46"/>
      <c r="AJ39" s="46"/>
      <c r="AK39" s="46"/>
      <c r="AL39" s="7"/>
      <c r="AM39" s="49" t="str">
        <f aca="false">IF(OR(C39="",G39=""),"",IFERROR(DATEDIF(C39,G39,"m"),""))</f>
        <v/>
      </c>
      <c r="AN39" s="49" t="str">
        <f aca="false">IF(OR(Q39="",AM39=""),"",60+2*Q39-AM39)</f>
        <v/>
      </c>
      <c r="AO39" s="49" t="str">
        <f aca="false">IF(OR(G39="",AJ39=""),"",AJ39-G39)</f>
        <v/>
      </c>
      <c r="AP39" s="50" t="str">
        <f aca="false">IF(AND(A39="",B39=""),"",IF(J39="","Status needed",IF(OR(J39="Applied",J39="Visit booked",J39="Withdrawn"),"OK",IF(G39="","Date assessed needed",IF(C39="","Date of birth needed",IF(COUNTA(L39,M39,P39,U39,V39,X39,AB39)&lt;7,"Band missing",IF(AND(OR(J39="Decision confirmed",J39="Family told",J39="Enrolled"),AG39=""),"Recommendation needed",IF(AND(OR(J39="Family told",J39="Enrolled"),AJ39=""),"Date family told needed","OK"))))))))</f>
        <v/>
      </c>
    </row>
    <row r="40" customFormat="false" ht="15" hidden="false" customHeight="false" outlineLevel="0" collapsed="false">
      <c r="A40" s="7"/>
      <c r="B40" s="7"/>
      <c r="C40" s="46"/>
      <c r="D40" s="7"/>
      <c r="E40" s="47"/>
      <c r="F40" s="46"/>
      <c r="G40" s="46"/>
      <c r="H40" s="7"/>
      <c r="I40" s="7"/>
      <c r="J40" s="47"/>
      <c r="K40" s="47"/>
      <c r="L40" s="47"/>
      <c r="M40" s="47"/>
      <c r="N40" s="10"/>
      <c r="O40" s="47"/>
      <c r="P40" s="47"/>
      <c r="Q40" s="47"/>
      <c r="R40" s="48" t="str">
        <f aca="false">IF(Q40="","",IF(Q40=0,"below 5:00",IF(Q40&gt;=66,"16:00 or above",INT((60+2*Q40)/12)&amp;":"&amp;TEXT(MOD(60+2*Q40,12),"00"))))</f>
        <v/>
      </c>
      <c r="S40" s="47"/>
      <c r="T40" s="47"/>
      <c r="U40" s="47"/>
      <c r="V40" s="47"/>
      <c r="W40" s="47"/>
      <c r="X40" s="47"/>
      <c r="Y40" s="47"/>
      <c r="Z40" s="47"/>
      <c r="AA40" s="47"/>
      <c r="AB40" s="47"/>
      <c r="AC40" s="47"/>
      <c r="AD40" s="47"/>
      <c r="AE40" s="47"/>
      <c r="AF40" s="47"/>
      <c r="AG40" s="47"/>
      <c r="AH40" s="47"/>
      <c r="AI40" s="46"/>
      <c r="AJ40" s="46"/>
      <c r="AK40" s="46"/>
      <c r="AL40" s="7"/>
      <c r="AM40" s="49" t="str">
        <f aca="false">IF(OR(C40="",G40=""),"",IFERROR(DATEDIF(C40,G40,"m"),""))</f>
        <v/>
      </c>
      <c r="AN40" s="49" t="str">
        <f aca="false">IF(OR(Q40="",AM40=""),"",60+2*Q40-AM40)</f>
        <v/>
      </c>
      <c r="AO40" s="49" t="str">
        <f aca="false">IF(OR(G40="",AJ40=""),"",AJ40-G40)</f>
        <v/>
      </c>
      <c r="AP40" s="50" t="str">
        <f aca="false">IF(AND(A40="",B40=""),"",IF(J40="","Status needed",IF(OR(J40="Applied",J40="Visit booked",J40="Withdrawn"),"OK",IF(G40="","Date assessed needed",IF(C40="","Date of birth needed",IF(COUNTA(L40,M40,P40,U40,V40,X40,AB40)&lt;7,"Band missing",IF(AND(OR(J40="Decision confirmed",J40="Family told",J40="Enrolled"),AG40=""),"Recommendation needed",IF(AND(OR(J40="Family told",J40="Enrolled"),AJ40=""),"Date family told needed","OK"))))))))</f>
        <v/>
      </c>
    </row>
    <row r="41" customFormat="false" ht="15" hidden="false" customHeight="false" outlineLevel="0" collapsed="false">
      <c r="A41" s="7"/>
      <c r="B41" s="7"/>
      <c r="C41" s="46"/>
      <c r="D41" s="7"/>
      <c r="E41" s="47"/>
      <c r="F41" s="46"/>
      <c r="G41" s="46"/>
      <c r="H41" s="7"/>
      <c r="I41" s="7"/>
      <c r="J41" s="47"/>
      <c r="K41" s="47"/>
      <c r="L41" s="47"/>
      <c r="M41" s="47"/>
      <c r="N41" s="10"/>
      <c r="O41" s="47"/>
      <c r="P41" s="47"/>
      <c r="Q41" s="47"/>
      <c r="R41" s="48" t="str">
        <f aca="false">IF(Q41="","",IF(Q41=0,"below 5:00",IF(Q41&gt;=66,"16:00 or above",INT((60+2*Q41)/12)&amp;":"&amp;TEXT(MOD(60+2*Q41,12),"00"))))</f>
        <v/>
      </c>
      <c r="S41" s="47"/>
      <c r="T41" s="47"/>
      <c r="U41" s="47"/>
      <c r="V41" s="47"/>
      <c r="W41" s="47"/>
      <c r="X41" s="47"/>
      <c r="Y41" s="47"/>
      <c r="Z41" s="47"/>
      <c r="AA41" s="47"/>
      <c r="AB41" s="47"/>
      <c r="AC41" s="47"/>
      <c r="AD41" s="47"/>
      <c r="AE41" s="47"/>
      <c r="AF41" s="47"/>
      <c r="AG41" s="47"/>
      <c r="AH41" s="47"/>
      <c r="AI41" s="46"/>
      <c r="AJ41" s="46"/>
      <c r="AK41" s="46"/>
      <c r="AL41" s="7"/>
      <c r="AM41" s="49" t="str">
        <f aca="false">IF(OR(C41="",G41=""),"",IFERROR(DATEDIF(C41,G41,"m"),""))</f>
        <v/>
      </c>
      <c r="AN41" s="49" t="str">
        <f aca="false">IF(OR(Q41="",AM41=""),"",60+2*Q41-AM41)</f>
        <v/>
      </c>
      <c r="AO41" s="49" t="str">
        <f aca="false">IF(OR(G41="",AJ41=""),"",AJ41-G41)</f>
        <v/>
      </c>
      <c r="AP41" s="50" t="str">
        <f aca="false">IF(AND(A41="",B41=""),"",IF(J41="","Status needed",IF(OR(J41="Applied",J41="Visit booked",J41="Withdrawn"),"OK",IF(G41="","Date assessed needed",IF(C41="","Date of birth needed",IF(COUNTA(L41,M41,P41,U41,V41,X41,AB41)&lt;7,"Band missing",IF(AND(OR(J41="Decision confirmed",J41="Family told",J41="Enrolled"),AG41=""),"Recommendation needed",IF(AND(OR(J41="Family told",J41="Enrolled"),AJ41=""),"Date family told needed","OK"))))))))</f>
        <v/>
      </c>
    </row>
    <row r="42" customFormat="false" ht="15" hidden="false" customHeight="false" outlineLevel="0" collapsed="false">
      <c r="A42" s="7"/>
      <c r="B42" s="7"/>
      <c r="C42" s="46"/>
      <c r="D42" s="7"/>
      <c r="E42" s="47"/>
      <c r="F42" s="46"/>
      <c r="G42" s="46"/>
      <c r="H42" s="7"/>
      <c r="I42" s="7"/>
      <c r="J42" s="47"/>
      <c r="K42" s="47"/>
      <c r="L42" s="47"/>
      <c r="M42" s="47"/>
      <c r="N42" s="10"/>
      <c r="O42" s="47"/>
      <c r="P42" s="47"/>
      <c r="Q42" s="47"/>
      <c r="R42" s="48" t="str">
        <f aca="false">IF(Q42="","",IF(Q42=0,"below 5:00",IF(Q42&gt;=66,"16:00 or above",INT((60+2*Q42)/12)&amp;":"&amp;TEXT(MOD(60+2*Q42,12),"00"))))</f>
        <v/>
      </c>
      <c r="S42" s="47"/>
      <c r="T42" s="47"/>
      <c r="U42" s="47"/>
      <c r="V42" s="47"/>
      <c r="W42" s="47"/>
      <c r="X42" s="47"/>
      <c r="Y42" s="47"/>
      <c r="Z42" s="47"/>
      <c r="AA42" s="47"/>
      <c r="AB42" s="47"/>
      <c r="AC42" s="47"/>
      <c r="AD42" s="47"/>
      <c r="AE42" s="47"/>
      <c r="AF42" s="47"/>
      <c r="AG42" s="47"/>
      <c r="AH42" s="47"/>
      <c r="AI42" s="46"/>
      <c r="AJ42" s="46"/>
      <c r="AK42" s="46"/>
      <c r="AL42" s="7"/>
      <c r="AM42" s="49" t="str">
        <f aca="false">IF(OR(C42="",G42=""),"",IFERROR(DATEDIF(C42,G42,"m"),""))</f>
        <v/>
      </c>
      <c r="AN42" s="49" t="str">
        <f aca="false">IF(OR(Q42="",AM42=""),"",60+2*Q42-AM42)</f>
        <v/>
      </c>
      <c r="AO42" s="49" t="str">
        <f aca="false">IF(OR(G42="",AJ42=""),"",AJ42-G42)</f>
        <v/>
      </c>
      <c r="AP42" s="50" t="str">
        <f aca="false">IF(AND(A42="",B42=""),"",IF(J42="","Status needed",IF(OR(J42="Applied",J42="Visit booked",J42="Withdrawn"),"OK",IF(G42="","Date assessed needed",IF(C42="","Date of birth needed",IF(COUNTA(L42,M42,P42,U42,V42,X42,AB42)&lt;7,"Band missing",IF(AND(OR(J42="Decision confirmed",J42="Family told",J42="Enrolled"),AG42=""),"Recommendation needed",IF(AND(OR(J42="Family told",J42="Enrolled"),AJ42=""),"Date family told needed","OK"))))))))</f>
        <v/>
      </c>
    </row>
    <row r="43" customFormat="false" ht="15" hidden="false" customHeight="false" outlineLevel="0" collapsed="false">
      <c r="A43" s="7"/>
      <c r="B43" s="7"/>
      <c r="C43" s="46"/>
      <c r="D43" s="7"/>
      <c r="E43" s="47"/>
      <c r="F43" s="46"/>
      <c r="G43" s="46"/>
      <c r="H43" s="7"/>
      <c r="I43" s="7"/>
      <c r="J43" s="47"/>
      <c r="K43" s="47"/>
      <c r="L43" s="47"/>
      <c r="M43" s="47"/>
      <c r="N43" s="10"/>
      <c r="O43" s="47"/>
      <c r="P43" s="47"/>
      <c r="Q43" s="47"/>
      <c r="R43" s="48" t="str">
        <f aca="false">IF(Q43="","",IF(Q43=0,"below 5:00",IF(Q43&gt;=66,"16:00 or above",INT((60+2*Q43)/12)&amp;":"&amp;TEXT(MOD(60+2*Q43,12),"00"))))</f>
        <v/>
      </c>
      <c r="S43" s="47"/>
      <c r="T43" s="47"/>
      <c r="U43" s="47"/>
      <c r="V43" s="47"/>
      <c r="W43" s="47"/>
      <c r="X43" s="47"/>
      <c r="Y43" s="47"/>
      <c r="Z43" s="47"/>
      <c r="AA43" s="47"/>
      <c r="AB43" s="47"/>
      <c r="AC43" s="47"/>
      <c r="AD43" s="47"/>
      <c r="AE43" s="47"/>
      <c r="AF43" s="47"/>
      <c r="AG43" s="47"/>
      <c r="AH43" s="47"/>
      <c r="AI43" s="46"/>
      <c r="AJ43" s="46"/>
      <c r="AK43" s="46"/>
      <c r="AL43" s="7"/>
      <c r="AM43" s="49" t="str">
        <f aca="false">IF(OR(C43="",G43=""),"",IFERROR(DATEDIF(C43,G43,"m"),""))</f>
        <v/>
      </c>
      <c r="AN43" s="49" t="str">
        <f aca="false">IF(OR(Q43="",AM43=""),"",60+2*Q43-AM43)</f>
        <v/>
      </c>
      <c r="AO43" s="49" t="str">
        <f aca="false">IF(OR(G43="",AJ43=""),"",AJ43-G43)</f>
        <v/>
      </c>
      <c r="AP43" s="50" t="str">
        <f aca="false">IF(AND(A43="",B43=""),"",IF(J43="","Status needed",IF(OR(J43="Applied",J43="Visit booked",J43="Withdrawn"),"OK",IF(G43="","Date assessed needed",IF(C43="","Date of birth needed",IF(COUNTA(L43,M43,P43,U43,V43,X43,AB43)&lt;7,"Band missing",IF(AND(OR(J43="Decision confirmed",J43="Family told",J43="Enrolled"),AG43=""),"Recommendation needed",IF(AND(OR(J43="Family told",J43="Enrolled"),AJ43=""),"Date family told needed","OK"))))))))</f>
        <v/>
      </c>
    </row>
    <row r="44" customFormat="false" ht="15" hidden="false" customHeight="false" outlineLevel="0" collapsed="false">
      <c r="A44" s="7"/>
      <c r="B44" s="7"/>
      <c r="C44" s="46"/>
      <c r="D44" s="7"/>
      <c r="E44" s="47"/>
      <c r="F44" s="46"/>
      <c r="G44" s="46"/>
      <c r="H44" s="7"/>
      <c r="I44" s="7"/>
      <c r="J44" s="47"/>
      <c r="K44" s="47"/>
      <c r="L44" s="47"/>
      <c r="M44" s="47"/>
      <c r="N44" s="10"/>
      <c r="O44" s="47"/>
      <c r="P44" s="47"/>
      <c r="Q44" s="47"/>
      <c r="R44" s="48" t="str">
        <f aca="false">IF(Q44="","",IF(Q44=0,"below 5:00",IF(Q44&gt;=66,"16:00 or above",INT((60+2*Q44)/12)&amp;":"&amp;TEXT(MOD(60+2*Q44,12),"00"))))</f>
        <v/>
      </c>
      <c r="S44" s="47"/>
      <c r="T44" s="47"/>
      <c r="U44" s="47"/>
      <c r="V44" s="47"/>
      <c r="W44" s="47"/>
      <c r="X44" s="47"/>
      <c r="Y44" s="47"/>
      <c r="Z44" s="47"/>
      <c r="AA44" s="47"/>
      <c r="AB44" s="47"/>
      <c r="AC44" s="47"/>
      <c r="AD44" s="47"/>
      <c r="AE44" s="47"/>
      <c r="AF44" s="47"/>
      <c r="AG44" s="47"/>
      <c r="AH44" s="47"/>
      <c r="AI44" s="46"/>
      <c r="AJ44" s="46"/>
      <c r="AK44" s="46"/>
      <c r="AL44" s="7"/>
      <c r="AM44" s="49" t="str">
        <f aca="false">IF(OR(C44="",G44=""),"",IFERROR(DATEDIF(C44,G44,"m"),""))</f>
        <v/>
      </c>
      <c r="AN44" s="49" t="str">
        <f aca="false">IF(OR(Q44="",AM44=""),"",60+2*Q44-AM44)</f>
        <v/>
      </c>
      <c r="AO44" s="49" t="str">
        <f aca="false">IF(OR(G44="",AJ44=""),"",AJ44-G44)</f>
        <v/>
      </c>
      <c r="AP44" s="50" t="str">
        <f aca="false">IF(AND(A44="",B44=""),"",IF(J44="","Status needed",IF(OR(J44="Applied",J44="Visit booked",J44="Withdrawn"),"OK",IF(G44="","Date assessed needed",IF(C44="","Date of birth needed",IF(COUNTA(L44,M44,P44,U44,V44,X44,AB44)&lt;7,"Band missing",IF(AND(OR(J44="Decision confirmed",J44="Family told",J44="Enrolled"),AG44=""),"Recommendation needed",IF(AND(OR(J44="Family told",J44="Enrolled"),AJ44=""),"Date family told needed","OK"))))))))</f>
        <v/>
      </c>
    </row>
    <row r="45" customFormat="false" ht="15" hidden="false" customHeight="false" outlineLevel="0" collapsed="false">
      <c r="A45" s="7"/>
      <c r="B45" s="7"/>
      <c r="C45" s="46"/>
      <c r="D45" s="7"/>
      <c r="E45" s="47"/>
      <c r="F45" s="46"/>
      <c r="G45" s="46"/>
      <c r="H45" s="7"/>
      <c r="I45" s="7"/>
      <c r="J45" s="47"/>
      <c r="K45" s="47"/>
      <c r="L45" s="47"/>
      <c r="M45" s="47"/>
      <c r="N45" s="10"/>
      <c r="O45" s="47"/>
      <c r="P45" s="47"/>
      <c r="Q45" s="47"/>
      <c r="R45" s="48" t="str">
        <f aca="false">IF(Q45="","",IF(Q45=0,"below 5:00",IF(Q45&gt;=66,"16:00 or above",INT((60+2*Q45)/12)&amp;":"&amp;TEXT(MOD(60+2*Q45,12),"00"))))</f>
        <v/>
      </c>
      <c r="S45" s="47"/>
      <c r="T45" s="47"/>
      <c r="U45" s="47"/>
      <c r="V45" s="47"/>
      <c r="W45" s="47"/>
      <c r="X45" s="47"/>
      <c r="Y45" s="47"/>
      <c r="Z45" s="47"/>
      <c r="AA45" s="47"/>
      <c r="AB45" s="47"/>
      <c r="AC45" s="47"/>
      <c r="AD45" s="47"/>
      <c r="AE45" s="47"/>
      <c r="AF45" s="47"/>
      <c r="AG45" s="47"/>
      <c r="AH45" s="47"/>
      <c r="AI45" s="46"/>
      <c r="AJ45" s="46"/>
      <c r="AK45" s="46"/>
      <c r="AL45" s="7"/>
      <c r="AM45" s="49" t="str">
        <f aca="false">IF(OR(C45="",G45=""),"",IFERROR(DATEDIF(C45,G45,"m"),""))</f>
        <v/>
      </c>
      <c r="AN45" s="49" t="str">
        <f aca="false">IF(OR(Q45="",AM45=""),"",60+2*Q45-AM45)</f>
        <v/>
      </c>
      <c r="AO45" s="49" t="str">
        <f aca="false">IF(OR(G45="",AJ45=""),"",AJ45-G45)</f>
        <v/>
      </c>
      <c r="AP45" s="50" t="str">
        <f aca="false">IF(AND(A45="",B45=""),"",IF(J45="","Status needed",IF(OR(J45="Applied",J45="Visit booked",J45="Withdrawn"),"OK",IF(G45="","Date assessed needed",IF(C45="","Date of birth needed",IF(COUNTA(L45,M45,P45,U45,V45,X45,AB45)&lt;7,"Band missing",IF(AND(OR(J45="Decision confirmed",J45="Family told",J45="Enrolled"),AG45=""),"Recommendation needed",IF(AND(OR(J45="Family told",J45="Enrolled"),AJ45=""),"Date family told needed","OK"))))))))</f>
        <v/>
      </c>
    </row>
    <row r="46" customFormat="false" ht="15" hidden="false" customHeight="false" outlineLevel="0" collapsed="false">
      <c r="A46" s="7"/>
      <c r="B46" s="7"/>
      <c r="C46" s="46"/>
      <c r="D46" s="7"/>
      <c r="E46" s="47"/>
      <c r="F46" s="46"/>
      <c r="G46" s="46"/>
      <c r="H46" s="7"/>
      <c r="I46" s="7"/>
      <c r="J46" s="47"/>
      <c r="K46" s="47"/>
      <c r="L46" s="47"/>
      <c r="M46" s="47"/>
      <c r="N46" s="10"/>
      <c r="O46" s="47"/>
      <c r="P46" s="47"/>
      <c r="Q46" s="47"/>
      <c r="R46" s="48" t="str">
        <f aca="false">IF(Q46="","",IF(Q46=0,"below 5:00",IF(Q46&gt;=66,"16:00 or above",INT((60+2*Q46)/12)&amp;":"&amp;TEXT(MOD(60+2*Q46,12),"00"))))</f>
        <v/>
      </c>
      <c r="S46" s="47"/>
      <c r="T46" s="47"/>
      <c r="U46" s="47"/>
      <c r="V46" s="47"/>
      <c r="W46" s="47"/>
      <c r="X46" s="47"/>
      <c r="Y46" s="47"/>
      <c r="Z46" s="47"/>
      <c r="AA46" s="47"/>
      <c r="AB46" s="47"/>
      <c r="AC46" s="47"/>
      <c r="AD46" s="47"/>
      <c r="AE46" s="47"/>
      <c r="AF46" s="47"/>
      <c r="AG46" s="47"/>
      <c r="AH46" s="47"/>
      <c r="AI46" s="46"/>
      <c r="AJ46" s="46"/>
      <c r="AK46" s="46"/>
      <c r="AL46" s="7"/>
      <c r="AM46" s="49" t="str">
        <f aca="false">IF(OR(C46="",G46=""),"",IFERROR(DATEDIF(C46,G46,"m"),""))</f>
        <v/>
      </c>
      <c r="AN46" s="49" t="str">
        <f aca="false">IF(OR(Q46="",AM46=""),"",60+2*Q46-AM46)</f>
        <v/>
      </c>
      <c r="AO46" s="49" t="str">
        <f aca="false">IF(OR(G46="",AJ46=""),"",AJ46-G46)</f>
        <v/>
      </c>
      <c r="AP46" s="50" t="str">
        <f aca="false">IF(AND(A46="",B46=""),"",IF(J46="","Status needed",IF(OR(J46="Applied",J46="Visit booked",J46="Withdrawn"),"OK",IF(G46="","Date assessed needed",IF(C46="","Date of birth needed",IF(COUNTA(L46,M46,P46,U46,V46,X46,AB46)&lt;7,"Band missing",IF(AND(OR(J46="Decision confirmed",J46="Family told",J46="Enrolled"),AG46=""),"Recommendation needed",IF(AND(OR(J46="Family told",J46="Enrolled"),AJ46=""),"Date family told needed","OK"))))))))</f>
        <v/>
      </c>
    </row>
    <row r="47" customFormat="false" ht="15" hidden="false" customHeight="false" outlineLevel="0" collapsed="false">
      <c r="A47" s="7"/>
      <c r="B47" s="7"/>
      <c r="C47" s="46"/>
      <c r="D47" s="7"/>
      <c r="E47" s="47"/>
      <c r="F47" s="46"/>
      <c r="G47" s="46"/>
      <c r="H47" s="7"/>
      <c r="I47" s="7"/>
      <c r="J47" s="47"/>
      <c r="K47" s="47"/>
      <c r="L47" s="47"/>
      <c r="M47" s="47"/>
      <c r="N47" s="10"/>
      <c r="O47" s="47"/>
      <c r="P47" s="47"/>
      <c r="Q47" s="47"/>
      <c r="R47" s="48" t="str">
        <f aca="false">IF(Q47="","",IF(Q47=0,"below 5:00",IF(Q47&gt;=66,"16:00 or above",INT((60+2*Q47)/12)&amp;":"&amp;TEXT(MOD(60+2*Q47,12),"00"))))</f>
        <v/>
      </c>
      <c r="S47" s="47"/>
      <c r="T47" s="47"/>
      <c r="U47" s="47"/>
      <c r="V47" s="47"/>
      <c r="W47" s="47"/>
      <c r="X47" s="47"/>
      <c r="Y47" s="47"/>
      <c r="Z47" s="47"/>
      <c r="AA47" s="47"/>
      <c r="AB47" s="47"/>
      <c r="AC47" s="47"/>
      <c r="AD47" s="47"/>
      <c r="AE47" s="47"/>
      <c r="AF47" s="47"/>
      <c r="AG47" s="47"/>
      <c r="AH47" s="47"/>
      <c r="AI47" s="46"/>
      <c r="AJ47" s="46"/>
      <c r="AK47" s="46"/>
      <c r="AL47" s="7"/>
      <c r="AM47" s="49" t="str">
        <f aca="false">IF(OR(C47="",G47=""),"",IFERROR(DATEDIF(C47,G47,"m"),""))</f>
        <v/>
      </c>
      <c r="AN47" s="49" t="str">
        <f aca="false">IF(OR(Q47="",AM47=""),"",60+2*Q47-AM47)</f>
        <v/>
      </c>
      <c r="AO47" s="49" t="str">
        <f aca="false">IF(OR(G47="",AJ47=""),"",AJ47-G47)</f>
        <v/>
      </c>
      <c r="AP47" s="50" t="str">
        <f aca="false">IF(AND(A47="",B47=""),"",IF(J47="","Status needed",IF(OR(J47="Applied",J47="Visit booked",J47="Withdrawn"),"OK",IF(G47="","Date assessed needed",IF(C47="","Date of birth needed",IF(COUNTA(L47,M47,P47,U47,V47,X47,AB47)&lt;7,"Band missing",IF(AND(OR(J47="Decision confirmed",J47="Family told",J47="Enrolled"),AG47=""),"Recommendation needed",IF(AND(OR(J47="Family told",J47="Enrolled"),AJ47=""),"Date family told needed","OK"))))))))</f>
        <v/>
      </c>
    </row>
    <row r="48" customFormat="false" ht="15" hidden="false" customHeight="false" outlineLevel="0" collapsed="false">
      <c r="A48" s="7"/>
      <c r="B48" s="7"/>
      <c r="C48" s="46"/>
      <c r="D48" s="7"/>
      <c r="E48" s="47"/>
      <c r="F48" s="46"/>
      <c r="G48" s="46"/>
      <c r="H48" s="7"/>
      <c r="I48" s="7"/>
      <c r="J48" s="47"/>
      <c r="K48" s="47"/>
      <c r="L48" s="47"/>
      <c r="M48" s="47"/>
      <c r="N48" s="10"/>
      <c r="O48" s="47"/>
      <c r="P48" s="47"/>
      <c r="Q48" s="47"/>
      <c r="R48" s="48" t="str">
        <f aca="false">IF(Q48="","",IF(Q48=0,"below 5:00",IF(Q48&gt;=66,"16:00 or above",INT((60+2*Q48)/12)&amp;":"&amp;TEXT(MOD(60+2*Q48,12),"00"))))</f>
        <v/>
      </c>
      <c r="S48" s="47"/>
      <c r="T48" s="47"/>
      <c r="U48" s="47"/>
      <c r="V48" s="47"/>
      <c r="W48" s="47"/>
      <c r="X48" s="47"/>
      <c r="Y48" s="47"/>
      <c r="Z48" s="47"/>
      <c r="AA48" s="47"/>
      <c r="AB48" s="47"/>
      <c r="AC48" s="47"/>
      <c r="AD48" s="47"/>
      <c r="AE48" s="47"/>
      <c r="AF48" s="47"/>
      <c r="AG48" s="47"/>
      <c r="AH48" s="47"/>
      <c r="AI48" s="46"/>
      <c r="AJ48" s="46"/>
      <c r="AK48" s="46"/>
      <c r="AL48" s="7"/>
      <c r="AM48" s="49" t="str">
        <f aca="false">IF(OR(C48="",G48=""),"",IFERROR(DATEDIF(C48,G48,"m"),""))</f>
        <v/>
      </c>
      <c r="AN48" s="49" t="str">
        <f aca="false">IF(OR(Q48="",AM48=""),"",60+2*Q48-AM48)</f>
        <v/>
      </c>
      <c r="AO48" s="49" t="str">
        <f aca="false">IF(OR(G48="",AJ48=""),"",AJ48-G48)</f>
        <v/>
      </c>
      <c r="AP48" s="50" t="str">
        <f aca="false">IF(AND(A48="",B48=""),"",IF(J48="","Status needed",IF(OR(J48="Applied",J48="Visit booked",J48="Withdrawn"),"OK",IF(G48="","Date assessed needed",IF(C48="","Date of birth needed",IF(COUNTA(L48,M48,P48,U48,V48,X48,AB48)&lt;7,"Band missing",IF(AND(OR(J48="Decision confirmed",J48="Family told",J48="Enrolled"),AG48=""),"Recommendation needed",IF(AND(OR(J48="Family told",J48="Enrolled"),AJ48=""),"Date family told needed","OK"))))))))</f>
        <v/>
      </c>
    </row>
    <row r="49" customFormat="false" ht="15" hidden="false" customHeight="false" outlineLevel="0" collapsed="false">
      <c r="A49" s="7"/>
      <c r="B49" s="7"/>
      <c r="C49" s="46"/>
      <c r="D49" s="7"/>
      <c r="E49" s="47"/>
      <c r="F49" s="46"/>
      <c r="G49" s="46"/>
      <c r="H49" s="7"/>
      <c r="I49" s="7"/>
      <c r="J49" s="47"/>
      <c r="K49" s="47"/>
      <c r="L49" s="47"/>
      <c r="M49" s="47"/>
      <c r="N49" s="10"/>
      <c r="O49" s="47"/>
      <c r="P49" s="47"/>
      <c r="Q49" s="47"/>
      <c r="R49" s="48" t="str">
        <f aca="false">IF(Q49="","",IF(Q49=0,"below 5:00",IF(Q49&gt;=66,"16:00 or above",INT((60+2*Q49)/12)&amp;":"&amp;TEXT(MOD(60+2*Q49,12),"00"))))</f>
        <v/>
      </c>
      <c r="S49" s="47"/>
      <c r="T49" s="47"/>
      <c r="U49" s="47"/>
      <c r="V49" s="47"/>
      <c r="W49" s="47"/>
      <c r="X49" s="47"/>
      <c r="Y49" s="47"/>
      <c r="Z49" s="47"/>
      <c r="AA49" s="47"/>
      <c r="AB49" s="47"/>
      <c r="AC49" s="47"/>
      <c r="AD49" s="47"/>
      <c r="AE49" s="47"/>
      <c r="AF49" s="47"/>
      <c r="AG49" s="47"/>
      <c r="AH49" s="47"/>
      <c r="AI49" s="46"/>
      <c r="AJ49" s="46"/>
      <c r="AK49" s="46"/>
      <c r="AL49" s="7"/>
      <c r="AM49" s="49" t="str">
        <f aca="false">IF(OR(C49="",G49=""),"",IFERROR(DATEDIF(C49,G49,"m"),""))</f>
        <v/>
      </c>
      <c r="AN49" s="49" t="str">
        <f aca="false">IF(OR(Q49="",AM49=""),"",60+2*Q49-AM49)</f>
        <v/>
      </c>
      <c r="AO49" s="49" t="str">
        <f aca="false">IF(OR(G49="",AJ49=""),"",AJ49-G49)</f>
        <v/>
      </c>
      <c r="AP49" s="50" t="str">
        <f aca="false">IF(AND(A49="",B49=""),"",IF(J49="","Status needed",IF(OR(J49="Applied",J49="Visit booked",J49="Withdrawn"),"OK",IF(G49="","Date assessed needed",IF(C49="","Date of birth needed",IF(COUNTA(L49,M49,P49,U49,V49,X49,AB49)&lt;7,"Band missing",IF(AND(OR(J49="Decision confirmed",J49="Family told",J49="Enrolled"),AG49=""),"Recommendation needed",IF(AND(OR(J49="Family told",J49="Enrolled"),AJ49=""),"Date family told needed","OK"))))))))</f>
        <v/>
      </c>
    </row>
    <row r="50" customFormat="false" ht="15" hidden="false" customHeight="false" outlineLevel="0" collapsed="false">
      <c r="A50" s="7"/>
      <c r="B50" s="7"/>
      <c r="C50" s="46"/>
      <c r="D50" s="7"/>
      <c r="E50" s="47"/>
      <c r="F50" s="46"/>
      <c r="G50" s="46"/>
      <c r="H50" s="7"/>
      <c r="I50" s="7"/>
      <c r="J50" s="47"/>
      <c r="K50" s="47"/>
      <c r="L50" s="47"/>
      <c r="M50" s="47"/>
      <c r="N50" s="10"/>
      <c r="O50" s="47"/>
      <c r="P50" s="47"/>
      <c r="Q50" s="47"/>
      <c r="R50" s="48" t="str">
        <f aca="false">IF(Q50="","",IF(Q50=0,"below 5:00",IF(Q50&gt;=66,"16:00 or above",INT((60+2*Q50)/12)&amp;":"&amp;TEXT(MOD(60+2*Q50,12),"00"))))</f>
        <v/>
      </c>
      <c r="S50" s="47"/>
      <c r="T50" s="47"/>
      <c r="U50" s="47"/>
      <c r="V50" s="47"/>
      <c r="W50" s="47"/>
      <c r="X50" s="47"/>
      <c r="Y50" s="47"/>
      <c r="Z50" s="47"/>
      <c r="AA50" s="47"/>
      <c r="AB50" s="47"/>
      <c r="AC50" s="47"/>
      <c r="AD50" s="47"/>
      <c r="AE50" s="47"/>
      <c r="AF50" s="47"/>
      <c r="AG50" s="47"/>
      <c r="AH50" s="47"/>
      <c r="AI50" s="46"/>
      <c r="AJ50" s="46"/>
      <c r="AK50" s="46"/>
      <c r="AL50" s="7"/>
      <c r="AM50" s="49" t="str">
        <f aca="false">IF(OR(C50="",G50=""),"",IFERROR(DATEDIF(C50,G50,"m"),""))</f>
        <v/>
      </c>
      <c r="AN50" s="49" t="str">
        <f aca="false">IF(OR(Q50="",AM50=""),"",60+2*Q50-AM50)</f>
        <v/>
      </c>
      <c r="AO50" s="49" t="str">
        <f aca="false">IF(OR(G50="",AJ50=""),"",AJ50-G50)</f>
        <v/>
      </c>
      <c r="AP50" s="50" t="str">
        <f aca="false">IF(AND(A50="",B50=""),"",IF(J50="","Status needed",IF(OR(J50="Applied",J50="Visit booked",J50="Withdrawn"),"OK",IF(G50="","Date assessed needed",IF(C50="","Date of birth needed",IF(COUNTA(L50,M50,P50,U50,V50,X50,AB50)&lt;7,"Band missing",IF(AND(OR(J50="Decision confirmed",J50="Family told",J50="Enrolled"),AG50=""),"Recommendation needed",IF(AND(OR(J50="Family told",J50="Enrolled"),AJ50=""),"Date family told needed","OK"))))))))</f>
        <v/>
      </c>
    </row>
    <row r="51" customFormat="false" ht="15" hidden="false" customHeight="false" outlineLevel="0" collapsed="false">
      <c r="A51" s="7"/>
      <c r="B51" s="7"/>
      <c r="C51" s="46"/>
      <c r="D51" s="7"/>
      <c r="E51" s="47"/>
      <c r="F51" s="46"/>
      <c r="G51" s="46"/>
      <c r="H51" s="7"/>
      <c r="I51" s="7"/>
      <c r="J51" s="47"/>
      <c r="K51" s="47"/>
      <c r="L51" s="47"/>
      <c r="M51" s="47"/>
      <c r="N51" s="10"/>
      <c r="O51" s="47"/>
      <c r="P51" s="47"/>
      <c r="Q51" s="47"/>
      <c r="R51" s="48" t="str">
        <f aca="false">IF(Q51="","",IF(Q51=0,"below 5:00",IF(Q51&gt;=66,"16:00 or above",INT((60+2*Q51)/12)&amp;":"&amp;TEXT(MOD(60+2*Q51,12),"00"))))</f>
        <v/>
      </c>
      <c r="S51" s="47"/>
      <c r="T51" s="47"/>
      <c r="U51" s="47"/>
      <c r="V51" s="47"/>
      <c r="W51" s="47"/>
      <c r="X51" s="47"/>
      <c r="Y51" s="47"/>
      <c r="Z51" s="47"/>
      <c r="AA51" s="47"/>
      <c r="AB51" s="47"/>
      <c r="AC51" s="47"/>
      <c r="AD51" s="47"/>
      <c r="AE51" s="47"/>
      <c r="AF51" s="47"/>
      <c r="AG51" s="47"/>
      <c r="AH51" s="47"/>
      <c r="AI51" s="46"/>
      <c r="AJ51" s="46"/>
      <c r="AK51" s="46"/>
      <c r="AL51" s="7"/>
      <c r="AM51" s="49" t="str">
        <f aca="false">IF(OR(C51="",G51=""),"",IFERROR(DATEDIF(C51,G51,"m"),""))</f>
        <v/>
      </c>
      <c r="AN51" s="49" t="str">
        <f aca="false">IF(OR(Q51="",AM51=""),"",60+2*Q51-AM51)</f>
        <v/>
      </c>
      <c r="AO51" s="49" t="str">
        <f aca="false">IF(OR(G51="",AJ51=""),"",AJ51-G51)</f>
        <v/>
      </c>
      <c r="AP51" s="50" t="str">
        <f aca="false">IF(AND(A51="",B51=""),"",IF(J51="","Status needed",IF(OR(J51="Applied",J51="Visit booked",J51="Withdrawn"),"OK",IF(G51="","Date assessed needed",IF(C51="","Date of birth needed",IF(COUNTA(L51,M51,P51,U51,V51,X51,AB51)&lt;7,"Band missing",IF(AND(OR(J51="Decision confirmed",J51="Family told",J51="Enrolled"),AG51=""),"Recommendation needed",IF(AND(OR(J51="Family told",J51="Enrolled"),AJ51=""),"Date family told needed","OK"))))))))</f>
        <v/>
      </c>
    </row>
    <row r="52" customFormat="false" ht="15" hidden="false" customHeight="false" outlineLevel="0" collapsed="false">
      <c r="A52" s="7"/>
      <c r="B52" s="7"/>
      <c r="C52" s="46"/>
      <c r="D52" s="7"/>
      <c r="E52" s="47"/>
      <c r="F52" s="46"/>
      <c r="G52" s="46"/>
      <c r="H52" s="7"/>
      <c r="I52" s="7"/>
      <c r="J52" s="47"/>
      <c r="K52" s="47"/>
      <c r="L52" s="47"/>
      <c r="M52" s="47"/>
      <c r="N52" s="10"/>
      <c r="O52" s="47"/>
      <c r="P52" s="47"/>
      <c r="Q52" s="47"/>
      <c r="R52" s="48" t="str">
        <f aca="false">IF(Q52="","",IF(Q52=0,"below 5:00",IF(Q52&gt;=66,"16:00 or above",INT((60+2*Q52)/12)&amp;":"&amp;TEXT(MOD(60+2*Q52,12),"00"))))</f>
        <v/>
      </c>
      <c r="S52" s="47"/>
      <c r="T52" s="47"/>
      <c r="U52" s="47"/>
      <c r="V52" s="47"/>
      <c r="W52" s="47"/>
      <c r="X52" s="47"/>
      <c r="Y52" s="47"/>
      <c r="Z52" s="47"/>
      <c r="AA52" s="47"/>
      <c r="AB52" s="47"/>
      <c r="AC52" s="47"/>
      <c r="AD52" s="47"/>
      <c r="AE52" s="47"/>
      <c r="AF52" s="47"/>
      <c r="AG52" s="47"/>
      <c r="AH52" s="47"/>
      <c r="AI52" s="46"/>
      <c r="AJ52" s="46"/>
      <c r="AK52" s="46"/>
      <c r="AL52" s="7"/>
      <c r="AM52" s="49" t="str">
        <f aca="false">IF(OR(C52="",G52=""),"",IFERROR(DATEDIF(C52,G52,"m"),""))</f>
        <v/>
      </c>
      <c r="AN52" s="49" t="str">
        <f aca="false">IF(OR(Q52="",AM52=""),"",60+2*Q52-AM52)</f>
        <v/>
      </c>
      <c r="AO52" s="49" t="str">
        <f aca="false">IF(OR(G52="",AJ52=""),"",AJ52-G52)</f>
        <v/>
      </c>
      <c r="AP52" s="50" t="str">
        <f aca="false">IF(AND(A52="",B52=""),"",IF(J52="","Status needed",IF(OR(J52="Applied",J52="Visit booked",J52="Withdrawn"),"OK",IF(G52="","Date assessed needed",IF(C52="","Date of birth needed",IF(COUNTA(L52,M52,P52,U52,V52,X52,AB52)&lt;7,"Band missing",IF(AND(OR(J52="Decision confirmed",J52="Family told",J52="Enrolled"),AG52=""),"Recommendation needed",IF(AND(OR(J52="Family told",J52="Enrolled"),AJ52=""),"Date family told needed","OK"))))))))</f>
        <v/>
      </c>
    </row>
    <row r="53" customFormat="false" ht="15" hidden="false" customHeight="false" outlineLevel="0" collapsed="false">
      <c r="A53" s="7"/>
      <c r="B53" s="7"/>
      <c r="C53" s="46"/>
      <c r="D53" s="7"/>
      <c r="E53" s="47"/>
      <c r="F53" s="46"/>
      <c r="G53" s="46"/>
      <c r="H53" s="7"/>
      <c r="I53" s="7"/>
      <c r="J53" s="47"/>
      <c r="K53" s="47"/>
      <c r="L53" s="47"/>
      <c r="M53" s="47"/>
      <c r="N53" s="10"/>
      <c r="O53" s="47"/>
      <c r="P53" s="47"/>
      <c r="Q53" s="47"/>
      <c r="R53" s="48" t="str">
        <f aca="false">IF(Q53="","",IF(Q53=0,"below 5:00",IF(Q53&gt;=66,"16:00 or above",INT((60+2*Q53)/12)&amp;":"&amp;TEXT(MOD(60+2*Q53,12),"00"))))</f>
        <v/>
      </c>
      <c r="S53" s="47"/>
      <c r="T53" s="47"/>
      <c r="U53" s="47"/>
      <c r="V53" s="47"/>
      <c r="W53" s="47"/>
      <c r="X53" s="47"/>
      <c r="Y53" s="47"/>
      <c r="Z53" s="47"/>
      <c r="AA53" s="47"/>
      <c r="AB53" s="47"/>
      <c r="AC53" s="47"/>
      <c r="AD53" s="47"/>
      <c r="AE53" s="47"/>
      <c r="AF53" s="47"/>
      <c r="AG53" s="47"/>
      <c r="AH53" s="47"/>
      <c r="AI53" s="46"/>
      <c r="AJ53" s="46"/>
      <c r="AK53" s="46"/>
      <c r="AL53" s="7"/>
      <c r="AM53" s="49" t="str">
        <f aca="false">IF(OR(C53="",G53=""),"",IFERROR(DATEDIF(C53,G53,"m"),""))</f>
        <v/>
      </c>
      <c r="AN53" s="49" t="str">
        <f aca="false">IF(OR(Q53="",AM53=""),"",60+2*Q53-AM53)</f>
        <v/>
      </c>
      <c r="AO53" s="49" t="str">
        <f aca="false">IF(OR(G53="",AJ53=""),"",AJ53-G53)</f>
        <v/>
      </c>
      <c r="AP53" s="50" t="str">
        <f aca="false">IF(AND(A53="",B53=""),"",IF(J53="","Status needed",IF(OR(J53="Applied",J53="Visit booked",J53="Withdrawn"),"OK",IF(G53="","Date assessed needed",IF(C53="","Date of birth needed",IF(COUNTA(L53,M53,P53,U53,V53,X53,AB53)&lt;7,"Band missing",IF(AND(OR(J53="Decision confirmed",J53="Family told",J53="Enrolled"),AG53=""),"Recommendation needed",IF(AND(OR(J53="Family told",J53="Enrolled"),AJ53=""),"Date family told needed","OK"))))))))</f>
        <v/>
      </c>
    </row>
    <row r="54" customFormat="false" ht="15" hidden="false" customHeight="false" outlineLevel="0" collapsed="false">
      <c r="A54" s="7"/>
      <c r="B54" s="7"/>
      <c r="C54" s="46"/>
      <c r="D54" s="7"/>
      <c r="E54" s="47"/>
      <c r="F54" s="46"/>
      <c r="G54" s="46"/>
      <c r="H54" s="7"/>
      <c r="I54" s="7"/>
      <c r="J54" s="47"/>
      <c r="K54" s="47"/>
      <c r="L54" s="47"/>
      <c r="M54" s="47"/>
      <c r="N54" s="10"/>
      <c r="O54" s="47"/>
      <c r="P54" s="47"/>
      <c r="Q54" s="47"/>
      <c r="R54" s="48" t="str">
        <f aca="false">IF(Q54="","",IF(Q54=0,"below 5:00",IF(Q54&gt;=66,"16:00 or above",INT((60+2*Q54)/12)&amp;":"&amp;TEXT(MOD(60+2*Q54,12),"00"))))</f>
        <v/>
      </c>
      <c r="S54" s="47"/>
      <c r="T54" s="47"/>
      <c r="U54" s="47"/>
      <c r="V54" s="47"/>
      <c r="W54" s="47"/>
      <c r="X54" s="47"/>
      <c r="Y54" s="47"/>
      <c r="Z54" s="47"/>
      <c r="AA54" s="47"/>
      <c r="AB54" s="47"/>
      <c r="AC54" s="47"/>
      <c r="AD54" s="47"/>
      <c r="AE54" s="47"/>
      <c r="AF54" s="47"/>
      <c r="AG54" s="47"/>
      <c r="AH54" s="47"/>
      <c r="AI54" s="46"/>
      <c r="AJ54" s="46"/>
      <c r="AK54" s="46"/>
      <c r="AL54" s="7"/>
      <c r="AM54" s="49" t="str">
        <f aca="false">IF(OR(C54="",G54=""),"",IFERROR(DATEDIF(C54,G54,"m"),""))</f>
        <v/>
      </c>
      <c r="AN54" s="49" t="str">
        <f aca="false">IF(OR(Q54="",AM54=""),"",60+2*Q54-AM54)</f>
        <v/>
      </c>
      <c r="AO54" s="49" t="str">
        <f aca="false">IF(OR(G54="",AJ54=""),"",AJ54-G54)</f>
        <v/>
      </c>
      <c r="AP54" s="50" t="str">
        <f aca="false">IF(AND(A54="",B54=""),"",IF(J54="","Status needed",IF(OR(J54="Applied",J54="Visit booked",J54="Withdrawn"),"OK",IF(G54="","Date assessed needed",IF(C54="","Date of birth needed",IF(COUNTA(L54,M54,P54,U54,V54,X54,AB54)&lt;7,"Band missing",IF(AND(OR(J54="Decision confirmed",J54="Family told",J54="Enrolled"),AG54=""),"Recommendation needed",IF(AND(OR(J54="Family told",J54="Enrolled"),AJ54=""),"Date family told needed","OK"))))))))</f>
        <v/>
      </c>
    </row>
    <row r="55" customFormat="false" ht="15" hidden="false" customHeight="false" outlineLevel="0" collapsed="false">
      <c r="A55" s="7"/>
      <c r="B55" s="7"/>
      <c r="C55" s="46"/>
      <c r="D55" s="7"/>
      <c r="E55" s="47"/>
      <c r="F55" s="46"/>
      <c r="G55" s="46"/>
      <c r="H55" s="7"/>
      <c r="I55" s="7"/>
      <c r="J55" s="47"/>
      <c r="K55" s="47"/>
      <c r="L55" s="47"/>
      <c r="M55" s="47"/>
      <c r="N55" s="10"/>
      <c r="O55" s="47"/>
      <c r="P55" s="47"/>
      <c r="Q55" s="47"/>
      <c r="R55" s="48" t="str">
        <f aca="false">IF(Q55="","",IF(Q55=0,"below 5:00",IF(Q55&gt;=66,"16:00 or above",INT((60+2*Q55)/12)&amp;":"&amp;TEXT(MOD(60+2*Q55,12),"00"))))</f>
        <v/>
      </c>
      <c r="S55" s="47"/>
      <c r="T55" s="47"/>
      <c r="U55" s="47"/>
      <c r="V55" s="47"/>
      <c r="W55" s="47"/>
      <c r="X55" s="47"/>
      <c r="Y55" s="47"/>
      <c r="Z55" s="47"/>
      <c r="AA55" s="47"/>
      <c r="AB55" s="47"/>
      <c r="AC55" s="47"/>
      <c r="AD55" s="47"/>
      <c r="AE55" s="47"/>
      <c r="AF55" s="47"/>
      <c r="AG55" s="47"/>
      <c r="AH55" s="47"/>
      <c r="AI55" s="46"/>
      <c r="AJ55" s="46"/>
      <c r="AK55" s="46"/>
      <c r="AL55" s="7"/>
      <c r="AM55" s="49" t="str">
        <f aca="false">IF(OR(C55="",G55=""),"",IFERROR(DATEDIF(C55,G55,"m"),""))</f>
        <v/>
      </c>
      <c r="AN55" s="49" t="str">
        <f aca="false">IF(OR(Q55="",AM55=""),"",60+2*Q55-AM55)</f>
        <v/>
      </c>
      <c r="AO55" s="49" t="str">
        <f aca="false">IF(OR(G55="",AJ55=""),"",AJ55-G55)</f>
        <v/>
      </c>
      <c r="AP55" s="50" t="str">
        <f aca="false">IF(AND(A55="",B55=""),"",IF(J55="","Status needed",IF(OR(J55="Applied",J55="Visit booked",J55="Withdrawn"),"OK",IF(G55="","Date assessed needed",IF(C55="","Date of birth needed",IF(COUNTA(L55,M55,P55,U55,V55,X55,AB55)&lt;7,"Band missing",IF(AND(OR(J55="Decision confirmed",J55="Family told",J55="Enrolled"),AG55=""),"Recommendation needed",IF(AND(OR(J55="Family told",J55="Enrolled"),AJ55=""),"Date family told needed","OK"))))))))</f>
        <v/>
      </c>
    </row>
    <row r="56" customFormat="false" ht="15" hidden="false" customHeight="false" outlineLevel="0" collapsed="false">
      <c r="A56" s="7"/>
      <c r="B56" s="7"/>
      <c r="C56" s="46"/>
      <c r="D56" s="7"/>
      <c r="E56" s="47"/>
      <c r="F56" s="46"/>
      <c r="G56" s="46"/>
      <c r="H56" s="7"/>
      <c r="I56" s="7"/>
      <c r="J56" s="47"/>
      <c r="K56" s="47"/>
      <c r="L56" s="47"/>
      <c r="M56" s="47"/>
      <c r="N56" s="10"/>
      <c r="O56" s="47"/>
      <c r="P56" s="47"/>
      <c r="Q56" s="47"/>
      <c r="R56" s="48" t="str">
        <f aca="false">IF(Q56="","",IF(Q56=0,"below 5:00",IF(Q56&gt;=66,"16:00 or above",INT((60+2*Q56)/12)&amp;":"&amp;TEXT(MOD(60+2*Q56,12),"00"))))</f>
        <v/>
      </c>
      <c r="S56" s="47"/>
      <c r="T56" s="47"/>
      <c r="U56" s="47"/>
      <c r="V56" s="47"/>
      <c r="W56" s="47"/>
      <c r="X56" s="47"/>
      <c r="Y56" s="47"/>
      <c r="Z56" s="47"/>
      <c r="AA56" s="47"/>
      <c r="AB56" s="47"/>
      <c r="AC56" s="47"/>
      <c r="AD56" s="47"/>
      <c r="AE56" s="47"/>
      <c r="AF56" s="47"/>
      <c r="AG56" s="47"/>
      <c r="AH56" s="47"/>
      <c r="AI56" s="46"/>
      <c r="AJ56" s="46"/>
      <c r="AK56" s="46"/>
      <c r="AL56" s="7"/>
      <c r="AM56" s="49" t="str">
        <f aca="false">IF(OR(C56="",G56=""),"",IFERROR(DATEDIF(C56,G56,"m"),""))</f>
        <v/>
      </c>
      <c r="AN56" s="49" t="str">
        <f aca="false">IF(OR(Q56="",AM56=""),"",60+2*Q56-AM56)</f>
        <v/>
      </c>
      <c r="AO56" s="49" t="str">
        <f aca="false">IF(OR(G56="",AJ56=""),"",AJ56-G56)</f>
        <v/>
      </c>
      <c r="AP56" s="50" t="str">
        <f aca="false">IF(AND(A56="",B56=""),"",IF(J56="","Status needed",IF(OR(J56="Applied",J56="Visit booked",J56="Withdrawn"),"OK",IF(G56="","Date assessed needed",IF(C56="","Date of birth needed",IF(COUNTA(L56,M56,P56,U56,V56,X56,AB56)&lt;7,"Band missing",IF(AND(OR(J56="Decision confirmed",J56="Family told",J56="Enrolled"),AG56=""),"Recommendation needed",IF(AND(OR(J56="Family told",J56="Enrolled"),AJ56=""),"Date family told needed","OK"))))))))</f>
        <v/>
      </c>
    </row>
    <row r="57" customFormat="false" ht="15" hidden="false" customHeight="false" outlineLevel="0" collapsed="false">
      <c r="A57" s="7"/>
      <c r="B57" s="7"/>
      <c r="C57" s="46"/>
      <c r="D57" s="7"/>
      <c r="E57" s="47"/>
      <c r="F57" s="46"/>
      <c r="G57" s="46"/>
      <c r="H57" s="7"/>
      <c r="I57" s="7"/>
      <c r="J57" s="47"/>
      <c r="K57" s="47"/>
      <c r="L57" s="47"/>
      <c r="M57" s="47"/>
      <c r="N57" s="10"/>
      <c r="O57" s="47"/>
      <c r="P57" s="47"/>
      <c r="Q57" s="47"/>
      <c r="R57" s="48" t="str">
        <f aca="false">IF(Q57="","",IF(Q57=0,"below 5:00",IF(Q57&gt;=66,"16:00 or above",INT((60+2*Q57)/12)&amp;":"&amp;TEXT(MOD(60+2*Q57,12),"00"))))</f>
        <v/>
      </c>
      <c r="S57" s="47"/>
      <c r="T57" s="47"/>
      <c r="U57" s="47"/>
      <c r="V57" s="47"/>
      <c r="W57" s="47"/>
      <c r="X57" s="47"/>
      <c r="Y57" s="47"/>
      <c r="Z57" s="47"/>
      <c r="AA57" s="47"/>
      <c r="AB57" s="47"/>
      <c r="AC57" s="47"/>
      <c r="AD57" s="47"/>
      <c r="AE57" s="47"/>
      <c r="AF57" s="47"/>
      <c r="AG57" s="47"/>
      <c r="AH57" s="47"/>
      <c r="AI57" s="46"/>
      <c r="AJ57" s="46"/>
      <c r="AK57" s="46"/>
      <c r="AL57" s="7"/>
      <c r="AM57" s="49" t="str">
        <f aca="false">IF(OR(C57="",G57=""),"",IFERROR(DATEDIF(C57,G57,"m"),""))</f>
        <v/>
      </c>
      <c r="AN57" s="49" t="str">
        <f aca="false">IF(OR(Q57="",AM57=""),"",60+2*Q57-AM57)</f>
        <v/>
      </c>
      <c r="AO57" s="49" t="str">
        <f aca="false">IF(OR(G57="",AJ57=""),"",AJ57-G57)</f>
        <v/>
      </c>
      <c r="AP57" s="50" t="str">
        <f aca="false">IF(AND(A57="",B57=""),"",IF(J57="","Status needed",IF(OR(J57="Applied",J57="Visit booked",J57="Withdrawn"),"OK",IF(G57="","Date assessed needed",IF(C57="","Date of birth needed",IF(COUNTA(L57,M57,P57,U57,V57,X57,AB57)&lt;7,"Band missing",IF(AND(OR(J57="Decision confirmed",J57="Family told",J57="Enrolled"),AG57=""),"Recommendation needed",IF(AND(OR(J57="Family told",J57="Enrolled"),AJ57=""),"Date family told needed","OK"))))))))</f>
        <v/>
      </c>
    </row>
    <row r="58" customFormat="false" ht="15" hidden="false" customHeight="false" outlineLevel="0" collapsed="false">
      <c r="A58" s="7"/>
      <c r="B58" s="7"/>
      <c r="C58" s="46"/>
      <c r="D58" s="7"/>
      <c r="E58" s="47"/>
      <c r="F58" s="46"/>
      <c r="G58" s="46"/>
      <c r="H58" s="7"/>
      <c r="I58" s="7"/>
      <c r="J58" s="47"/>
      <c r="K58" s="47"/>
      <c r="L58" s="47"/>
      <c r="M58" s="47"/>
      <c r="N58" s="10"/>
      <c r="O58" s="47"/>
      <c r="P58" s="47"/>
      <c r="Q58" s="47"/>
      <c r="R58" s="48" t="str">
        <f aca="false">IF(Q58="","",IF(Q58=0,"below 5:00",IF(Q58&gt;=66,"16:00 or above",INT((60+2*Q58)/12)&amp;":"&amp;TEXT(MOD(60+2*Q58,12),"00"))))</f>
        <v/>
      </c>
      <c r="S58" s="47"/>
      <c r="T58" s="47"/>
      <c r="U58" s="47"/>
      <c r="V58" s="47"/>
      <c r="W58" s="47"/>
      <c r="X58" s="47"/>
      <c r="Y58" s="47"/>
      <c r="Z58" s="47"/>
      <c r="AA58" s="47"/>
      <c r="AB58" s="47"/>
      <c r="AC58" s="47"/>
      <c r="AD58" s="47"/>
      <c r="AE58" s="47"/>
      <c r="AF58" s="47"/>
      <c r="AG58" s="47"/>
      <c r="AH58" s="47"/>
      <c r="AI58" s="46"/>
      <c r="AJ58" s="46"/>
      <c r="AK58" s="46"/>
      <c r="AL58" s="7"/>
      <c r="AM58" s="49" t="str">
        <f aca="false">IF(OR(C58="",G58=""),"",IFERROR(DATEDIF(C58,G58,"m"),""))</f>
        <v/>
      </c>
      <c r="AN58" s="49" t="str">
        <f aca="false">IF(OR(Q58="",AM58=""),"",60+2*Q58-AM58)</f>
        <v/>
      </c>
      <c r="AO58" s="49" t="str">
        <f aca="false">IF(OR(G58="",AJ58=""),"",AJ58-G58)</f>
        <v/>
      </c>
      <c r="AP58" s="50" t="str">
        <f aca="false">IF(AND(A58="",B58=""),"",IF(J58="","Status needed",IF(OR(J58="Applied",J58="Visit booked",J58="Withdrawn"),"OK",IF(G58="","Date assessed needed",IF(C58="","Date of birth needed",IF(COUNTA(L58,M58,P58,U58,V58,X58,AB58)&lt;7,"Band missing",IF(AND(OR(J58="Decision confirmed",J58="Family told",J58="Enrolled"),AG58=""),"Recommendation needed",IF(AND(OR(J58="Family told",J58="Enrolled"),AJ58=""),"Date family told needed","OK"))))))))</f>
        <v/>
      </c>
    </row>
    <row r="59" customFormat="false" ht="15" hidden="false" customHeight="false" outlineLevel="0" collapsed="false">
      <c r="A59" s="7"/>
      <c r="B59" s="7"/>
      <c r="C59" s="46"/>
      <c r="D59" s="7"/>
      <c r="E59" s="47"/>
      <c r="F59" s="46"/>
      <c r="G59" s="46"/>
      <c r="H59" s="7"/>
      <c r="I59" s="7"/>
      <c r="J59" s="47"/>
      <c r="K59" s="47"/>
      <c r="L59" s="47"/>
      <c r="M59" s="47"/>
      <c r="N59" s="10"/>
      <c r="O59" s="47"/>
      <c r="P59" s="47"/>
      <c r="Q59" s="47"/>
      <c r="R59" s="48" t="str">
        <f aca="false">IF(Q59="","",IF(Q59=0,"below 5:00",IF(Q59&gt;=66,"16:00 or above",INT((60+2*Q59)/12)&amp;":"&amp;TEXT(MOD(60+2*Q59,12),"00"))))</f>
        <v/>
      </c>
      <c r="S59" s="47"/>
      <c r="T59" s="47"/>
      <c r="U59" s="47"/>
      <c r="V59" s="47"/>
      <c r="W59" s="47"/>
      <c r="X59" s="47"/>
      <c r="Y59" s="47"/>
      <c r="Z59" s="47"/>
      <c r="AA59" s="47"/>
      <c r="AB59" s="47"/>
      <c r="AC59" s="47"/>
      <c r="AD59" s="47"/>
      <c r="AE59" s="47"/>
      <c r="AF59" s="47"/>
      <c r="AG59" s="47"/>
      <c r="AH59" s="47"/>
      <c r="AI59" s="46"/>
      <c r="AJ59" s="46"/>
      <c r="AK59" s="46"/>
      <c r="AL59" s="7"/>
      <c r="AM59" s="49" t="str">
        <f aca="false">IF(OR(C59="",G59=""),"",IFERROR(DATEDIF(C59,G59,"m"),""))</f>
        <v/>
      </c>
      <c r="AN59" s="49" t="str">
        <f aca="false">IF(OR(Q59="",AM59=""),"",60+2*Q59-AM59)</f>
        <v/>
      </c>
      <c r="AO59" s="49" t="str">
        <f aca="false">IF(OR(G59="",AJ59=""),"",AJ59-G59)</f>
        <v/>
      </c>
      <c r="AP59" s="50" t="str">
        <f aca="false">IF(AND(A59="",B59=""),"",IF(J59="","Status needed",IF(OR(J59="Applied",J59="Visit booked",J59="Withdrawn"),"OK",IF(G59="","Date assessed needed",IF(C59="","Date of birth needed",IF(COUNTA(L59,M59,P59,U59,V59,X59,AB59)&lt;7,"Band missing",IF(AND(OR(J59="Decision confirmed",J59="Family told",J59="Enrolled"),AG59=""),"Recommendation needed",IF(AND(OR(J59="Family told",J59="Enrolled"),AJ59=""),"Date family told needed","OK"))))))))</f>
        <v/>
      </c>
    </row>
    <row r="60" customFormat="false" ht="15" hidden="false" customHeight="false" outlineLevel="0" collapsed="false">
      <c r="A60" s="7"/>
      <c r="B60" s="7"/>
      <c r="C60" s="46"/>
      <c r="D60" s="7"/>
      <c r="E60" s="47"/>
      <c r="F60" s="46"/>
      <c r="G60" s="46"/>
      <c r="H60" s="7"/>
      <c r="I60" s="7"/>
      <c r="J60" s="47"/>
      <c r="K60" s="47"/>
      <c r="L60" s="47"/>
      <c r="M60" s="47"/>
      <c r="N60" s="10"/>
      <c r="O60" s="47"/>
      <c r="P60" s="47"/>
      <c r="Q60" s="47"/>
      <c r="R60" s="48" t="str">
        <f aca="false">IF(Q60="","",IF(Q60=0,"below 5:00",IF(Q60&gt;=66,"16:00 or above",INT((60+2*Q60)/12)&amp;":"&amp;TEXT(MOD(60+2*Q60,12),"00"))))</f>
        <v/>
      </c>
      <c r="S60" s="47"/>
      <c r="T60" s="47"/>
      <c r="U60" s="47"/>
      <c r="V60" s="47"/>
      <c r="W60" s="47"/>
      <c r="X60" s="47"/>
      <c r="Y60" s="47"/>
      <c r="Z60" s="47"/>
      <c r="AA60" s="47"/>
      <c r="AB60" s="47"/>
      <c r="AC60" s="47"/>
      <c r="AD60" s="47"/>
      <c r="AE60" s="47"/>
      <c r="AF60" s="47"/>
      <c r="AG60" s="47"/>
      <c r="AH60" s="47"/>
      <c r="AI60" s="46"/>
      <c r="AJ60" s="46"/>
      <c r="AK60" s="46"/>
      <c r="AL60" s="7"/>
      <c r="AM60" s="49" t="str">
        <f aca="false">IF(OR(C60="",G60=""),"",IFERROR(DATEDIF(C60,G60,"m"),""))</f>
        <v/>
      </c>
      <c r="AN60" s="49" t="str">
        <f aca="false">IF(OR(Q60="",AM60=""),"",60+2*Q60-AM60)</f>
        <v/>
      </c>
      <c r="AO60" s="49" t="str">
        <f aca="false">IF(OR(G60="",AJ60=""),"",AJ60-G60)</f>
        <v/>
      </c>
      <c r="AP60" s="50" t="str">
        <f aca="false">IF(AND(A60="",B60=""),"",IF(J60="","Status needed",IF(OR(J60="Applied",J60="Visit booked",J60="Withdrawn"),"OK",IF(G60="","Date assessed needed",IF(C60="","Date of birth needed",IF(COUNTA(L60,M60,P60,U60,V60,X60,AB60)&lt;7,"Band missing",IF(AND(OR(J60="Decision confirmed",J60="Family told",J60="Enrolled"),AG60=""),"Recommendation needed",IF(AND(OR(J60="Family told",J60="Enrolled"),AJ60=""),"Date family told needed","OK"))))))))</f>
        <v/>
      </c>
    </row>
    <row r="61" customFormat="false" ht="15" hidden="false" customHeight="false" outlineLevel="0" collapsed="false">
      <c r="A61" s="7"/>
      <c r="B61" s="7"/>
      <c r="C61" s="46"/>
      <c r="D61" s="7"/>
      <c r="E61" s="47"/>
      <c r="F61" s="46"/>
      <c r="G61" s="46"/>
      <c r="H61" s="7"/>
      <c r="I61" s="7"/>
      <c r="J61" s="47"/>
      <c r="K61" s="47"/>
      <c r="L61" s="47"/>
      <c r="M61" s="47"/>
      <c r="N61" s="10"/>
      <c r="O61" s="47"/>
      <c r="P61" s="47"/>
      <c r="Q61" s="47"/>
      <c r="R61" s="48" t="str">
        <f aca="false">IF(Q61="","",IF(Q61=0,"below 5:00",IF(Q61&gt;=66,"16:00 or above",INT((60+2*Q61)/12)&amp;":"&amp;TEXT(MOD(60+2*Q61,12),"00"))))</f>
        <v/>
      </c>
      <c r="S61" s="47"/>
      <c r="T61" s="47"/>
      <c r="U61" s="47"/>
      <c r="V61" s="47"/>
      <c r="W61" s="47"/>
      <c r="X61" s="47"/>
      <c r="Y61" s="47"/>
      <c r="Z61" s="47"/>
      <c r="AA61" s="47"/>
      <c r="AB61" s="47"/>
      <c r="AC61" s="47"/>
      <c r="AD61" s="47"/>
      <c r="AE61" s="47"/>
      <c r="AF61" s="47"/>
      <c r="AG61" s="47"/>
      <c r="AH61" s="47"/>
      <c r="AI61" s="46"/>
      <c r="AJ61" s="46"/>
      <c r="AK61" s="46"/>
      <c r="AL61" s="7"/>
      <c r="AM61" s="49" t="str">
        <f aca="false">IF(OR(C61="",G61=""),"",IFERROR(DATEDIF(C61,G61,"m"),""))</f>
        <v/>
      </c>
      <c r="AN61" s="49" t="str">
        <f aca="false">IF(OR(Q61="",AM61=""),"",60+2*Q61-AM61)</f>
        <v/>
      </c>
      <c r="AO61" s="49" t="str">
        <f aca="false">IF(OR(G61="",AJ61=""),"",AJ61-G61)</f>
        <v/>
      </c>
      <c r="AP61" s="50" t="str">
        <f aca="false">IF(AND(A61="",B61=""),"",IF(J61="","Status needed",IF(OR(J61="Applied",J61="Visit booked",J61="Withdrawn"),"OK",IF(G61="","Date assessed needed",IF(C61="","Date of birth needed",IF(COUNTA(L61,M61,P61,U61,V61,X61,AB61)&lt;7,"Band missing",IF(AND(OR(J61="Decision confirmed",J61="Family told",J61="Enrolled"),AG61=""),"Recommendation needed",IF(AND(OR(J61="Family told",J61="Enrolled"),AJ61=""),"Date family told needed","OK"))))))))</f>
        <v/>
      </c>
    </row>
    <row r="62" customFormat="false" ht="15" hidden="false" customHeight="false" outlineLevel="0" collapsed="false">
      <c r="A62" s="7"/>
      <c r="B62" s="7"/>
      <c r="C62" s="46"/>
      <c r="D62" s="7"/>
      <c r="E62" s="47"/>
      <c r="F62" s="46"/>
      <c r="G62" s="46"/>
      <c r="H62" s="7"/>
      <c r="I62" s="7"/>
      <c r="J62" s="47"/>
      <c r="K62" s="47"/>
      <c r="L62" s="47"/>
      <c r="M62" s="47"/>
      <c r="N62" s="10"/>
      <c r="O62" s="47"/>
      <c r="P62" s="47"/>
      <c r="Q62" s="47"/>
      <c r="R62" s="48" t="str">
        <f aca="false">IF(Q62="","",IF(Q62=0,"below 5:00",IF(Q62&gt;=66,"16:00 or above",INT((60+2*Q62)/12)&amp;":"&amp;TEXT(MOD(60+2*Q62,12),"00"))))</f>
        <v/>
      </c>
      <c r="S62" s="47"/>
      <c r="T62" s="47"/>
      <c r="U62" s="47"/>
      <c r="V62" s="47"/>
      <c r="W62" s="47"/>
      <c r="X62" s="47"/>
      <c r="Y62" s="47"/>
      <c r="Z62" s="47"/>
      <c r="AA62" s="47"/>
      <c r="AB62" s="47"/>
      <c r="AC62" s="47"/>
      <c r="AD62" s="47"/>
      <c r="AE62" s="47"/>
      <c r="AF62" s="47"/>
      <c r="AG62" s="47"/>
      <c r="AH62" s="47"/>
      <c r="AI62" s="46"/>
      <c r="AJ62" s="46"/>
      <c r="AK62" s="46"/>
      <c r="AL62" s="7"/>
      <c r="AM62" s="49" t="str">
        <f aca="false">IF(OR(C62="",G62=""),"",IFERROR(DATEDIF(C62,G62,"m"),""))</f>
        <v/>
      </c>
      <c r="AN62" s="49" t="str">
        <f aca="false">IF(OR(Q62="",AM62=""),"",60+2*Q62-AM62)</f>
        <v/>
      </c>
      <c r="AO62" s="49" t="str">
        <f aca="false">IF(OR(G62="",AJ62=""),"",AJ62-G62)</f>
        <v/>
      </c>
      <c r="AP62" s="50" t="str">
        <f aca="false">IF(AND(A62="",B62=""),"",IF(J62="","Status needed",IF(OR(J62="Applied",J62="Visit booked",J62="Withdrawn"),"OK",IF(G62="","Date assessed needed",IF(C62="","Date of birth needed",IF(COUNTA(L62,M62,P62,U62,V62,X62,AB62)&lt;7,"Band missing",IF(AND(OR(J62="Decision confirmed",J62="Family told",J62="Enrolled"),AG62=""),"Recommendation needed",IF(AND(OR(J62="Family told",J62="Enrolled"),AJ62=""),"Date family told needed","OK"))))))))</f>
        <v/>
      </c>
    </row>
    <row r="63" customFormat="false" ht="15" hidden="false" customHeight="false" outlineLevel="0" collapsed="false">
      <c r="A63" s="7"/>
      <c r="B63" s="7"/>
      <c r="C63" s="46"/>
      <c r="D63" s="7"/>
      <c r="E63" s="47"/>
      <c r="F63" s="46"/>
      <c r="G63" s="46"/>
      <c r="H63" s="7"/>
      <c r="I63" s="7"/>
      <c r="J63" s="47"/>
      <c r="K63" s="47"/>
      <c r="L63" s="47"/>
      <c r="M63" s="47"/>
      <c r="N63" s="10"/>
      <c r="O63" s="47"/>
      <c r="P63" s="47"/>
      <c r="Q63" s="47"/>
      <c r="R63" s="48" t="str">
        <f aca="false">IF(Q63="","",IF(Q63=0,"below 5:00",IF(Q63&gt;=66,"16:00 or above",INT((60+2*Q63)/12)&amp;":"&amp;TEXT(MOD(60+2*Q63,12),"00"))))</f>
        <v/>
      </c>
      <c r="S63" s="47"/>
      <c r="T63" s="47"/>
      <c r="U63" s="47"/>
      <c r="V63" s="47"/>
      <c r="W63" s="47"/>
      <c r="X63" s="47"/>
      <c r="Y63" s="47"/>
      <c r="Z63" s="47"/>
      <c r="AA63" s="47"/>
      <c r="AB63" s="47"/>
      <c r="AC63" s="47"/>
      <c r="AD63" s="47"/>
      <c r="AE63" s="47"/>
      <c r="AF63" s="47"/>
      <c r="AG63" s="47"/>
      <c r="AH63" s="47"/>
      <c r="AI63" s="46"/>
      <c r="AJ63" s="46"/>
      <c r="AK63" s="46"/>
      <c r="AL63" s="7"/>
      <c r="AM63" s="49" t="str">
        <f aca="false">IF(OR(C63="",G63=""),"",IFERROR(DATEDIF(C63,G63,"m"),""))</f>
        <v/>
      </c>
      <c r="AN63" s="49" t="str">
        <f aca="false">IF(OR(Q63="",AM63=""),"",60+2*Q63-AM63)</f>
        <v/>
      </c>
      <c r="AO63" s="49" t="str">
        <f aca="false">IF(OR(G63="",AJ63=""),"",AJ63-G63)</f>
        <v/>
      </c>
      <c r="AP63" s="50" t="str">
        <f aca="false">IF(AND(A63="",B63=""),"",IF(J63="","Status needed",IF(OR(J63="Applied",J63="Visit booked",J63="Withdrawn"),"OK",IF(G63="","Date assessed needed",IF(C63="","Date of birth needed",IF(COUNTA(L63,M63,P63,U63,V63,X63,AB63)&lt;7,"Band missing",IF(AND(OR(J63="Decision confirmed",J63="Family told",J63="Enrolled"),AG63=""),"Recommendation needed",IF(AND(OR(J63="Family told",J63="Enrolled"),AJ63=""),"Date family told needed","OK"))))))))</f>
        <v/>
      </c>
    </row>
    <row r="64" customFormat="false" ht="15" hidden="false" customHeight="false" outlineLevel="0" collapsed="false">
      <c r="A64" s="7"/>
      <c r="B64" s="7"/>
      <c r="C64" s="46"/>
      <c r="D64" s="7"/>
      <c r="E64" s="47"/>
      <c r="F64" s="46"/>
      <c r="G64" s="46"/>
      <c r="H64" s="7"/>
      <c r="I64" s="7"/>
      <c r="J64" s="47"/>
      <c r="K64" s="47"/>
      <c r="L64" s="47"/>
      <c r="M64" s="47"/>
      <c r="N64" s="10"/>
      <c r="O64" s="47"/>
      <c r="P64" s="47"/>
      <c r="Q64" s="47"/>
      <c r="R64" s="48" t="str">
        <f aca="false">IF(Q64="","",IF(Q64=0,"below 5:00",IF(Q64&gt;=66,"16:00 or above",INT((60+2*Q64)/12)&amp;":"&amp;TEXT(MOD(60+2*Q64,12),"00"))))</f>
        <v/>
      </c>
      <c r="S64" s="47"/>
      <c r="T64" s="47"/>
      <c r="U64" s="47"/>
      <c r="V64" s="47"/>
      <c r="W64" s="47"/>
      <c r="X64" s="47"/>
      <c r="Y64" s="47"/>
      <c r="Z64" s="47"/>
      <c r="AA64" s="47"/>
      <c r="AB64" s="47"/>
      <c r="AC64" s="47"/>
      <c r="AD64" s="47"/>
      <c r="AE64" s="47"/>
      <c r="AF64" s="47"/>
      <c r="AG64" s="47"/>
      <c r="AH64" s="47"/>
      <c r="AI64" s="46"/>
      <c r="AJ64" s="46"/>
      <c r="AK64" s="46"/>
      <c r="AL64" s="7"/>
      <c r="AM64" s="49" t="str">
        <f aca="false">IF(OR(C64="",G64=""),"",IFERROR(DATEDIF(C64,G64,"m"),""))</f>
        <v/>
      </c>
      <c r="AN64" s="49" t="str">
        <f aca="false">IF(OR(Q64="",AM64=""),"",60+2*Q64-AM64)</f>
        <v/>
      </c>
      <c r="AO64" s="49" t="str">
        <f aca="false">IF(OR(G64="",AJ64=""),"",AJ64-G64)</f>
        <v/>
      </c>
      <c r="AP64" s="50" t="str">
        <f aca="false">IF(AND(A64="",B64=""),"",IF(J64="","Status needed",IF(OR(J64="Applied",J64="Visit booked",J64="Withdrawn"),"OK",IF(G64="","Date assessed needed",IF(C64="","Date of birth needed",IF(COUNTA(L64,M64,P64,U64,V64,X64,AB64)&lt;7,"Band missing",IF(AND(OR(J64="Decision confirmed",J64="Family told",J64="Enrolled"),AG64=""),"Recommendation needed",IF(AND(OR(J64="Family told",J64="Enrolled"),AJ64=""),"Date family told needed","OK"))))))))</f>
        <v/>
      </c>
    </row>
    <row r="65" customFormat="false" ht="15" hidden="false" customHeight="false" outlineLevel="0" collapsed="false">
      <c r="A65" s="7"/>
      <c r="B65" s="7"/>
      <c r="C65" s="46"/>
      <c r="D65" s="7"/>
      <c r="E65" s="47"/>
      <c r="F65" s="46"/>
      <c r="G65" s="46"/>
      <c r="H65" s="7"/>
      <c r="I65" s="7"/>
      <c r="J65" s="47"/>
      <c r="K65" s="47"/>
      <c r="L65" s="47"/>
      <c r="M65" s="47"/>
      <c r="N65" s="10"/>
      <c r="O65" s="47"/>
      <c r="P65" s="47"/>
      <c r="Q65" s="47"/>
      <c r="R65" s="48" t="str">
        <f aca="false">IF(Q65="","",IF(Q65=0,"below 5:00",IF(Q65&gt;=66,"16:00 or above",INT((60+2*Q65)/12)&amp;":"&amp;TEXT(MOD(60+2*Q65,12),"00"))))</f>
        <v/>
      </c>
      <c r="S65" s="47"/>
      <c r="T65" s="47"/>
      <c r="U65" s="47"/>
      <c r="V65" s="47"/>
      <c r="W65" s="47"/>
      <c r="X65" s="47"/>
      <c r="Y65" s="47"/>
      <c r="Z65" s="47"/>
      <c r="AA65" s="47"/>
      <c r="AB65" s="47"/>
      <c r="AC65" s="47"/>
      <c r="AD65" s="47"/>
      <c r="AE65" s="47"/>
      <c r="AF65" s="47"/>
      <c r="AG65" s="47"/>
      <c r="AH65" s="47"/>
      <c r="AI65" s="46"/>
      <c r="AJ65" s="46"/>
      <c r="AK65" s="46"/>
      <c r="AL65" s="7"/>
      <c r="AM65" s="49" t="str">
        <f aca="false">IF(OR(C65="",G65=""),"",IFERROR(DATEDIF(C65,G65,"m"),""))</f>
        <v/>
      </c>
      <c r="AN65" s="49" t="str">
        <f aca="false">IF(OR(Q65="",AM65=""),"",60+2*Q65-AM65)</f>
        <v/>
      </c>
      <c r="AO65" s="49" t="str">
        <f aca="false">IF(OR(G65="",AJ65=""),"",AJ65-G65)</f>
        <v/>
      </c>
      <c r="AP65" s="50" t="str">
        <f aca="false">IF(AND(A65="",B65=""),"",IF(J65="","Status needed",IF(OR(J65="Applied",J65="Visit booked",J65="Withdrawn"),"OK",IF(G65="","Date assessed needed",IF(C65="","Date of birth needed",IF(COUNTA(L65,M65,P65,U65,V65,X65,AB65)&lt;7,"Band missing",IF(AND(OR(J65="Decision confirmed",J65="Family told",J65="Enrolled"),AG65=""),"Recommendation needed",IF(AND(OR(J65="Family told",J65="Enrolled"),AJ65=""),"Date family told needed","OK"))))))))</f>
        <v/>
      </c>
    </row>
    <row r="66" customFormat="false" ht="15" hidden="false" customHeight="false" outlineLevel="0" collapsed="false">
      <c r="A66" s="7"/>
      <c r="B66" s="7"/>
      <c r="C66" s="46"/>
      <c r="D66" s="7"/>
      <c r="E66" s="47"/>
      <c r="F66" s="46"/>
      <c r="G66" s="46"/>
      <c r="H66" s="7"/>
      <c r="I66" s="7"/>
      <c r="J66" s="47"/>
      <c r="K66" s="47"/>
      <c r="L66" s="47"/>
      <c r="M66" s="47"/>
      <c r="N66" s="10"/>
      <c r="O66" s="47"/>
      <c r="P66" s="47"/>
      <c r="Q66" s="47"/>
      <c r="R66" s="48" t="str">
        <f aca="false">IF(Q66="","",IF(Q66=0,"below 5:00",IF(Q66&gt;=66,"16:00 or above",INT((60+2*Q66)/12)&amp;":"&amp;TEXT(MOD(60+2*Q66,12),"00"))))</f>
        <v/>
      </c>
      <c r="S66" s="47"/>
      <c r="T66" s="47"/>
      <c r="U66" s="47"/>
      <c r="V66" s="47"/>
      <c r="W66" s="47"/>
      <c r="X66" s="47"/>
      <c r="Y66" s="47"/>
      <c r="Z66" s="47"/>
      <c r="AA66" s="47"/>
      <c r="AB66" s="47"/>
      <c r="AC66" s="47"/>
      <c r="AD66" s="47"/>
      <c r="AE66" s="47"/>
      <c r="AF66" s="47"/>
      <c r="AG66" s="47"/>
      <c r="AH66" s="47"/>
      <c r="AI66" s="46"/>
      <c r="AJ66" s="46"/>
      <c r="AK66" s="46"/>
      <c r="AL66" s="7"/>
      <c r="AM66" s="49" t="str">
        <f aca="false">IF(OR(C66="",G66=""),"",IFERROR(DATEDIF(C66,G66,"m"),""))</f>
        <v/>
      </c>
      <c r="AN66" s="49" t="str">
        <f aca="false">IF(OR(Q66="",AM66=""),"",60+2*Q66-AM66)</f>
        <v/>
      </c>
      <c r="AO66" s="49" t="str">
        <f aca="false">IF(OR(G66="",AJ66=""),"",AJ66-G66)</f>
        <v/>
      </c>
      <c r="AP66" s="50" t="str">
        <f aca="false">IF(AND(A66="",B66=""),"",IF(J66="","Status needed",IF(OR(J66="Applied",J66="Visit booked",J66="Withdrawn"),"OK",IF(G66="","Date assessed needed",IF(C66="","Date of birth needed",IF(COUNTA(L66,M66,P66,U66,V66,X66,AB66)&lt;7,"Band missing",IF(AND(OR(J66="Decision confirmed",J66="Family told",J66="Enrolled"),AG66=""),"Recommendation needed",IF(AND(OR(J66="Family told",J66="Enrolled"),AJ66=""),"Date family told needed","OK"))))))))</f>
        <v/>
      </c>
    </row>
    <row r="67" customFormat="false" ht="15" hidden="false" customHeight="false" outlineLevel="0" collapsed="false">
      <c r="A67" s="7"/>
      <c r="B67" s="7"/>
      <c r="C67" s="46"/>
      <c r="D67" s="7"/>
      <c r="E67" s="47"/>
      <c r="F67" s="46"/>
      <c r="G67" s="46"/>
      <c r="H67" s="7"/>
      <c r="I67" s="7"/>
      <c r="J67" s="47"/>
      <c r="K67" s="47"/>
      <c r="L67" s="47"/>
      <c r="M67" s="47"/>
      <c r="N67" s="10"/>
      <c r="O67" s="47"/>
      <c r="P67" s="47"/>
      <c r="Q67" s="47"/>
      <c r="R67" s="48" t="str">
        <f aca="false">IF(Q67="","",IF(Q67=0,"below 5:00",IF(Q67&gt;=66,"16:00 or above",INT((60+2*Q67)/12)&amp;":"&amp;TEXT(MOD(60+2*Q67,12),"00"))))</f>
        <v/>
      </c>
      <c r="S67" s="47"/>
      <c r="T67" s="47"/>
      <c r="U67" s="47"/>
      <c r="V67" s="47"/>
      <c r="W67" s="47"/>
      <c r="X67" s="47"/>
      <c r="Y67" s="47"/>
      <c r="Z67" s="47"/>
      <c r="AA67" s="47"/>
      <c r="AB67" s="47"/>
      <c r="AC67" s="47"/>
      <c r="AD67" s="47"/>
      <c r="AE67" s="47"/>
      <c r="AF67" s="47"/>
      <c r="AG67" s="47"/>
      <c r="AH67" s="47"/>
      <c r="AI67" s="46"/>
      <c r="AJ67" s="46"/>
      <c r="AK67" s="46"/>
      <c r="AL67" s="7"/>
      <c r="AM67" s="49" t="str">
        <f aca="false">IF(OR(C67="",G67=""),"",IFERROR(DATEDIF(C67,G67,"m"),""))</f>
        <v/>
      </c>
      <c r="AN67" s="49" t="str">
        <f aca="false">IF(OR(Q67="",AM67=""),"",60+2*Q67-AM67)</f>
        <v/>
      </c>
      <c r="AO67" s="49" t="str">
        <f aca="false">IF(OR(G67="",AJ67=""),"",AJ67-G67)</f>
        <v/>
      </c>
      <c r="AP67" s="50" t="str">
        <f aca="false">IF(AND(A67="",B67=""),"",IF(J67="","Status needed",IF(OR(J67="Applied",J67="Visit booked",J67="Withdrawn"),"OK",IF(G67="","Date assessed needed",IF(C67="","Date of birth needed",IF(COUNTA(L67,M67,P67,U67,V67,X67,AB67)&lt;7,"Band missing",IF(AND(OR(J67="Decision confirmed",J67="Family told",J67="Enrolled"),AG67=""),"Recommendation needed",IF(AND(OR(J67="Family told",J67="Enrolled"),AJ67=""),"Date family told needed","OK"))))))))</f>
        <v/>
      </c>
    </row>
    <row r="68" customFormat="false" ht="15" hidden="false" customHeight="false" outlineLevel="0" collapsed="false">
      <c r="A68" s="7"/>
      <c r="B68" s="7"/>
      <c r="C68" s="46"/>
      <c r="D68" s="7"/>
      <c r="E68" s="47"/>
      <c r="F68" s="46"/>
      <c r="G68" s="46"/>
      <c r="H68" s="7"/>
      <c r="I68" s="7"/>
      <c r="J68" s="47"/>
      <c r="K68" s="47"/>
      <c r="L68" s="47"/>
      <c r="M68" s="47"/>
      <c r="N68" s="10"/>
      <c r="O68" s="47"/>
      <c r="P68" s="47"/>
      <c r="Q68" s="47"/>
      <c r="R68" s="48" t="str">
        <f aca="false">IF(Q68="","",IF(Q68=0,"below 5:00",IF(Q68&gt;=66,"16:00 or above",INT((60+2*Q68)/12)&amp;":"&amp;TEXT(MOD(60+2*Q68,12),"00"))))</f>
        <v/>
      </c>
      <c r="S68" s="47"/>
      <c r="T68" s="47"/>
      <c r="U68" s="47"/>
      <c r="V68" s="47"/>
      <c r="W68" s="47"/>
      <c r="X68" s="47"/>
      <c r="Y68" s="47"/>
      <c r="Z68" s="47"/>
      <c r="AA68" s="47"/>
      <c r="AB68" s="47"/>
      <c r="AC68" s="47"/>
      <c r="AD68" s="47"/>
      <c r="AE68" s="47"/>
      <c r="AF68" s="47"/>
      <c r="AG68" s="47"/>
      <c r="AH68" s="47"/>
      <c r="AI68" s="46"/>
      <c r="AJ68" s="46"/>
      <c r="AK68" s="46"/>
      <c r="AL68" s="7"/>
      <c r="AM68" s="49" t="str">
        <f aca="false">IF(OR(C68="",G68=""),"",IFERROR(DATEDIF(C68,G68,"m"),""))</f>
        <v/>
      </c>
      <c r="AN68" s="49" t="str">
        <f aca="false">IF(OR(Q68="",AM68=""),"",60+2*Q68-AM68)</f>
        <v/>
      </c>
      <c r="AO68" s="49" t="str">
        <f aca="false">IF(OR(G68="",AJ68=""),"",AJ68-G68)</f>
        <v/>
      </c>
      <c r="AP68" s="50" t="str">
        <f aca="false">IF(AND(A68="",B68=""),"",IF(J68="","Status needed",IF(OR(J68="Applied",J68="Visit booked",J68="Withdrawn"),"OK",IF(G68="","Date assessed needed",IF(C68="","Date of birth needed",IF(COUNTA(L68,M68,P68,U68,V68,X68,AB68)&lt;7,"Band missing",IF(AND(OR(J68="Decision confirmed",J68="Family told",J68="Enrolled"),AG68=""),"Recommendation needed",IF(AND(OR(J68="Family told",J68="Enrolled"),AJ68=""),"Date family told needed","OK"))))))))</f>
        <v/>
      </c>
    </row>
    <row r="69" customFormat="false" ht="15" hidden="false" customHeight="false" outlineLevel="0" collapsed="false">
      <c r="A69" s="7"/>
      <c r="B69" s="7"/>
      <c r="C69" s="46"/>
      <c r="D69" s="7"/>
      <c r="E69" s="47"/>
      <c r="F69" s="46"/>
      <c r="G69" s="46"/>
      <c r="H69" s="7"/>
      <c r="I69" s="7"/>
      <c r="J69" s="47"/>
      <c r="K69" s="47"/>
      <c r="L69" s="47"/>
      <c r="M69" s="47"/>
      <c r="N69" s="10"/>
      <c r="O69" s="47"/>
      <c r="P69" s="47"/>
      <c r="Q69" s="47"/>
      <c r="R69" s="48" t="str">
        <f aca="false">IF(Q69="","",IF(Q69=0,"below 5:00",IF(Q69&gt;=66,"16:00 or above",INT((60+2*Q69)/12)&amp;":"&amp;TEXT(MOD(60+2*Q69,12),"00"))))</f>
        <v/>
      </c>
      <c r="S69" s="47"/>
      <c r="T69" s="47"/>
      <c r="U69" s="47"/>
      <c r="V69" s="47"/>
      <c r="W69" s="47"/>
      <c r="X69" s="47"/>
      <c r="Y69" s="47"/>
      <c r="Z69" s="47"/>
      <c r="AA69" s="47"/>
      <c r="AB69" s="47"/>
      <c r="AC69" s="47"/>
      <c r="AD69" s="47"/>
      <c r="AE69" s="47"/>
      <c r="AF69" s="47"/>
      <c r="AG69" s="47"/>
      <c r="AH69" s="47"/>
      <c r="AI69" s="46"/>
      <c r="AJ69" s="46"/>
      <c r="AK69" s="46"/>
      <c r="AL69" s="7"/>
      <c r="AM69" s="49" t="str">
        <f aca="false">IF(OR(C69="",G69=""),"",IFERROR(DATEDIF(C69,G69,"m"),""))</f>
        <v/>
      </c>
      <c r="AN69" s="49" t="str">
        <f aca="false">IF(OR(Q69="",AM69=""),"",60+2*Q69-AM69)</f>
        <v/>
      </c>
      <c r="AO69" s="49" t="str">
        <f aca="false">IF(OR(G69="",AJ69=""),"",AJ69-G69)</f>
        <v/>
      </c>
      <c r="AP69" s="50" t="str">
        <f aca="false">IF(AND(A69="",B69=""),"",IF(J69="","Status needed",IF(OR(J69="Applied",J69="Visit booked",J69="Withdrawn"),"OK",IF(G69="","Date assessed needed",IF(C69="","Date of birth needed",IF(COUNTA(L69,M69,P69,U69,V69,X69,AB69)&lt;7,"Band missing",IF(AND(OR(J69="Decision confirmed",J69="Family told",J69="Enrolled"),AG69=""),"Recommendation needed",IF(AND(OR(J69="Family told",J69="Enrolled"),AJ69=""),"Date family told needed","OK"))))))))</f>
        <v/>
      </c>
    </row>
    <row r="70" customFormat="false" ht="15" hidden="false" customHeight="false" outlineLevel="0" collapsed="false">
      <c r="A70" s="7"/>
      <c r="B70" s="7"/>
      <c r="C70" s="46"/>
      <c r="D70" s="7"/>
      <c r="E70" s="47"/>
      <c r="F70" s="46"/>
      <c r="G70" s="46"/>
      <c r="H70" s="7"/>
      <c r="I70" s="7"/>
      <c r="J70" s="47"/>
      <c r="K70" s="47"/>
      <c r="L70" s="47"/>
      <c r="M70" s="47"/>
      <c r="N70" s="10"/>
      <c r="O70" s="47"/>
      <c r="P70" s="47"/>
      <c r="Q70" s="47"/>
      <c r="R70" s="48" t="str">
        <f aca="false">IF(Q70="","",IF(Q70=0,"below 5:00",IF(Q70&gt;=66,"16:00 or above",INT((60+2*Q70)/12)&amp;":"&amp;TEXT(MOD(60+2*Q70,12),"00"))))</f>
        <v/>
      </c>
      <c r="S70" s="47"/>
      <c r="T70" s="47"/>
      <c r="U70" s="47"/>
      <c r="V70" s="47"/>
      <c r="W70" s="47"/>
      <c r="X70" s="47"/>
      <c r="Y70" s="47"/>
      <c r="Z70" s="47"/>
      <c r="AA70" s="47"/>
      <c r="AB70" s="47"/>
      <c r="AC70" s="47"/>
      <c r="AD70" s="47"/>
      <c r="AE70" s="47"/>
      <c r="AF70" s="47"/>
      <c r="AG70" s="47"/>
      <c r="AH70" s="47"/>
      <c r="AI70" s="46"/>
      <c r="AJ70" s="46"/>
      <c r="AK70" s="46"/>
      <c r="AL70" s="7"/>
      <c r="AM70" s="49" t="str">
        <f aca="false">IF(OR(C70="",G70=""),"",IFERROR(DATEDIF(C70,G70,"m"),""))</f>
        <v/>
      </c>
      <c r="AN70" s="49" t="str">
        <f aca="false">IF(OR(Q70="",AM70=""),"",60+2*Q70-AM70)</f>
        <v/>
      </c>
      <c r="AO70" s="49" t="str">
        <f aca="false">IF(OR(G70="",AJ70=""),"",AJ70-G70)</f>
        <v/>
      </c>
      <c r="AP70" s="50" t="str">
        <f aca="false">IF(AND(A70="",B70=""),"",IF(J70="","Status needed",IF(OR(J70="Applied",J70="Visit booked",J70="Withdrawn"),"OK",IF(G70="","Date assessed needed",IF(C70="","Date of birth needed",IF(COUNTA(L70,M70,P70,U70,V70,X70,AB70)&lt;7,"Band missing",IF(AND(OR(J70="Decision confirmed",J70="Family told",J70="Enrolled"),AG70=""),"Recommendation needed",IF(AND(OR(J70="Family told",J70="Enrolled"),AJ70=""),"Date family told needed","OK"))))))))</f>
        <v/>
      </c>
    </row>
    <row r="71" customFormat="false" ht="15" hidden="false" customHeight="false" outlineLevel="0" collapsed="false">
      <c r="A71" s="7"/>
      <c r="B71" s="7"/>
      <c r="C71" s="46"/>
      <c r="D71" s="7"/>
      <c r="E71" s="47"/>
      <c r="F71" s="46"/>
      <c r="G71" s="46"/>
      <c r="H71" s="7"/>
      <c r="I71" s="7"/>
      <c r="J71" s="47"/>
      <c r="K71" s="47"/>
      <c r="L71" s="47"/>
      <c r="M71" s="47"/>
      <c r="N71" s="10"/>
      <c r="O71" s="47"/>
      <c r="P71" s="47"/>
      <c r="Q71" s="47"/>
      <c r="R71" s="48" t="str">
        <f aca="false">IF(Q71="","",IF(Q71=0,"below 5:00",IF(Q71&gt;=66,"16:00 or above",INT((60+2*Q71)/12)&amp;":"&amp;TEXT(MOD(60+2*Q71,12),"00"))))</f>
        <v/>
      </c>
      <c r="S71" s="47"/>
      <c r="T71" s="47"/>
      <c r="U71" s="47"/>
      <c r="V71" s="47"/>
      <c r="W71" s="47"/>
      <c r="X71" s="47"/>
      <c r="Y71" s="47"/>
      <c r="Z71" s="47"/>
      <c r="AA71" s="47"/>
      <c r="AB71" s="47"/>
      <c r="AC71" s="47"/>
      <c r="AD71" s="47"/>
      <c r="AE71" s="47"/>
      <c r="AF71" s="47"/>
      <c r="AG71" s="47"/>
      <c r="AH71" s="47"/>
      <c r="AI71" s="46"/>
      <c r="AJ71" s="46"/>
      <c r="AK71" s="46"/>
      <c r="AL71" s="7"/>
      <c r="AM71" s="49" t="str">
        <f aca="false">IF(OR(C71="",G71=""),"",IFERROR(DATEDIF(C71,G71,"m"),""))</f>
        <v/>
      </c>
      <c r="AN71" s="49" t="str">
        <f aca="false">IF(OR(Q71="",AM71=""),"",60+2*Q71-AM71)</f>
        <v/>
      </c>
      <c r="AO71" s="49" t="str">
        <f aca="false">IF(OR(G71="",AJ71=""),"",AJ71-G71)</f>
        <v/>
      </c>
      <c r="AP71" s="50" t="str">
        <f aca="false">IF(AND(A71="",B71=""),"",IF(J71="","Status needed",IF(OR(J71="Applied",J71="Visit booked",J71="Withdrawn"),"OK",IF(G71="","Date assessed needed",IF(C71="","Date of birth needed",IF(COUNTA(L71,M71,P71,U71,V71,X71,AB71)&lt;7,"Band missing",IF(AND(OR(J71="Decision confirmed",J71="Family told",J71="Enrolled"),AG71=""),"Recommendation needed",IF(AND(OR(J71="Family told",J71="Enrolled"),AJ71=""),"Date family told needed","OK"))))))))</f>
        <v/>
      </c>
    </row>
    <row r="72" customFormat="false" ht="15" hidden="false" customHeight="false" outlineLevel="0" collapsed="false">
      <c r="A72" s="7"/>
      <c r="B72" s="7"/>
      <c r="C72" s="46"/>
      <c r="D72" s="7"/>
      <c r="E72" s="47"/>
      <c r="F72" s="46"/>
      <c r="G72" s="46"/>
      <c r="H72" s="7"/>
      <c r="I72" s="7"/>
      <c r="J72" s="47"/>
      <c r="K72" s="47"/>
      <c r="L72" s="47"/>
      <c r="M72" s="47"/>
      <c r="N72" s="10"/>
      <c r="O72" s="47"/>
      <c r="P72" s="47"/>
      <c r="Q72" s="47"/>
      <c r="R72" s="48" t="str">
        <f aca="false">IF(Q72="","",IF(Q72=0,"below 5:00",IF(Q72&gt;=66,"16:00 or above",INT((60+2*Q72)/12)&amp;":"&amp;TEXT(MOD(60+2*Q72,12),"00"))))</f>
        <v/>
      </c>
      <c r="S72" s="47"/>
      <c r="T72" s="47"/>
      <c r="U72" s="47"/>
      <c r="V72" s="47"/>
      <c r="W72" s="47"/>
      <c r="X72" s="47"/>
      <c r="Y72" s="47"/>
      <c r="Z72" s="47"/>
      <c r="AA72" s="47"/>
      <c r="AB72" s="47"/>
      <c r="AC72" s="47"/>
      <c r="AD72" s="47"/>
      <c r="AE72" s="47"/>
      <c r="AF72" s="47"/>
      <c r="AG72" s="47"/>
      <c r="AH72" s="47"/>
      <c r="AI72" s="46"/>
      <c r="AJ72" s="46"/>
      <c r="AK72" s="46"/>
      <c r="AL72" s="7"/>
      <c r="AM72" s="49" t="str">
        <f aca="false">IF(OR(C72="",G72=""),"",IFERROR(DATEDIF(C72,G72,"m"),""))</f>
        <v/>
      </c>
      <c r="AN72" s="49" t="str">
        <f aca="false">IF(OR(Q72="",AM72=""),"",60+2*Q72-AM72)</f>
        <v/>
      </c>
      <c r="AO72" s="49" t="str">
        <f aca="false">IF(OR(G72="",AJ72=""),"",AJ72-G72)</f>
        <v/>
      </c>
      <c r="AP72" s="50" t="str">
        <f aca="false">IF(AND(A72="",B72=""),"",IF(J72="","Status needed",IF(OR(J72="Applied",J72="Visit booked",J72="Withdrawn"),"OK",IF(G72="","Date assessed needed",IF(C72="","Date of birth needed",IF(COUNTA(L72,M72,P72,U72,V72,X72,AB72)&lt;7,"Band missing",IF(AND(OR(J72="Decision confirmed",J72="Family told",J72="Enrolled"),AG72=""),"Recommendation needed",IF(AND(OR(J72="Family told",J72="Enrolled"),AJ72=""),"Date family told needed","OK"))))))))</f>
        <v/>
      </c>
    </row>
    <row r="73" customFormat="false" ht="15" hidden="false" customHeight="false" outlineLevel="0" collapsed="false">
      <c r="A73" s="7"/>
      <c r="B73" s="7"/>
      <c r="C73" s="46"/>
      <c r="D73" s="7"/>
      <c r="E73" s="47"/>
      <c r="F73" s="46"/>
      <c r="G73" s="46"/>
      <c r="H73" s="7"/>
      <c r="I73" s="7"/>
      <c r="J73" s="47"/>
      <c r="K73" s="47"/>
      <c r="L73" s="47"/>
      <c r="M73" s="47"/>
      <c r="N73" s="10"/>
      <c r="O73" s="47"/>
      <c r="P73" s="47"/>
      <c r="Q73" s="47"/>
      <c r="R73" s="48" t="str">
        <f aca="false">IF(Q73="","",IF(Q73=0,"below 5:00",IF(Q73&gt;=66,"16:00 or above",INT((60+2*Q73)/12)&amp;":"&amp;TEXT(MOD(60+2*Q73,12),"00"))))</f>
        <v/>
      </c>
      <c r="S73" s="47"/>
      <c r="T73" s="47"/>
      <c r="U73" s="47"/>
      <c r="V73" s="47"/>
      <c r="W73" s="47"/>
      <c r="X73" s="47"/>
      <c r="Y73" s="47"/>
      <c r="Z73" s="47"/>
      <c r="AA73" s="47"/>
      <c r="AB73" s="47"/>
      <c r="AC73" s="47"/>
      <c r="AD73" s="47"/>
      <c r="AE73" s="47"/>
      <c r="AF73" s="47"/>
      <c r="AG73" s="47"/>
      <c r="AH73" s="47"/>
      <c r="AI73" s="46"/>
      <c r="AJ73" s="46"/>
      <c r="AK73" s="46"/>
      <c r="AL73" s="7"/>
      <c r="AM73" s="49" t="str">
        <f aca="false">IF(OR(C73="",G73=""),"",IFERROR(DATEDIF(C73,G73,"m"),""))</f>
        <v/>
      </c>
      <c r="AN73" s="49" t="str">
        <f aca="false">IF(OR(Q73="",AM73=""),"",60+2*Q73-AM73)</f>
        <v/>
      </c>
      <c r="AO73" s="49" t="str">
        <f aca="false">IF(OR(G73="",AJ73=""),"",AJ73-G73)</f>
        <v/>
      </c>
      <c r="AP73" s="50" t="str">
        <f aca="false">IF(AND(A73="",B73=""),"",IF(J73="","Status needed",IF(OR(J73="Applied",J73="Visit booked",J73="Withdrawn"),"OK",IF(G73="","Date assessed needed",IF(C73="","Date of birth needed",IF(COUNTA(L73,M73,P73,U73,V73,X73,AB73)&lt;7,"Band missing",IF(AND(OR(J73="Decision confirmed",J73="Family told",J73="Enrolled"),AG73=""),"Recommendation needed",IF(AND(OR(J73="Family told",J73="Enrolled"),AJ73=""),"Date family told needed","OK"))))))))</f>
        <v/>
      </c>
    </row>
    <row r="74" customFormat="false" ht="15" hidden="false" customHeight="false" outlineLevel="0" collapsed="false">
      <c r="A74" s="7"/>
      <c r="B74" s="7"/>
      <c r="C74" s="46"/>
      <c r="D74" s="7"/>
      <c r="E74" s="47"/>
      <c r="F74" s="46"/>
      <c r="G74" s="46"/>
      <c r="H74" s="7"/>
      <c r="I74" s="7"/>
      <c r="J74" s="47"/>
      <c r="K74" s="47"/>
      <c r="L74" s="47"/>
      <c r="M74" s="47"/>
      <c r="N74" s="10"/>
      <c r="O74" s="47"/>
      <c r="P74" s="47"/>
      <c r="Q74" s="47"/>
      <c r="R74" s="48" t="str">
        <f aca="false">IF(Q74="","",IF(Q74=0,"below 5:00",IF(Q74&gt;=66,"16:00 or above",INT((60+2*Q74)/12)&amp;":"&amp;TEXT(MOD(60+2*Q74,12),"00"))))</f>
        <v/>
      </c>
      <c r="S74" s="47"/>
      <c r="T74" s="47"/>
      <c r="U74" s="47"/>
      <c r="V74" s="47"/>
      <c r="W74" s="47"/>
      <c r="X74" s="47"/>
      <c r="Y74" s="47"/>
      <c r="Z74" s="47"/>
      <c r="AA74" s="47"/>
      <c r="AB74" s="47"/>
      <c r="AC74" s="47"/>
      <c r="AD74" s="47"/>
      <c r="AE74" s="47"/>
      <c r="AF74" s="47"/>
      <c r="AG74" s="47"/>
      <c r="AH74" s="47"/>
      <c r="AI74" s="46"/>
      <c r="AJ74" s="46"/>
      <c r="AK74" s="46"/>
      <c r="AL74" s="7"/>
      <c r="AM74" s="49" t="str">
        <f aca="false">IF(OR(C74="",G74=""),"",IFERROR(DATEDIF(C74,G74,"m"),""))</f>
        <v/>
      </c>
      <c r="AN74" s="49" t="str">
        <f aca="false">IF(OR(Q74="",AM74=""),"",60+2*Q74-AM74)</f>
        <v/>
      </c>
      <c r="AO74" s="49" t="str">
        <f aca="false">IF(OR(G74="",AJ74=""),"",AJ74-G74)</f>
        <v/>
      </c>
      <c r="AP74" s="50" t="str">
        <f aca="false">IF(AND(A74="",B74=""),"",IF(J74="","Status needed",IF(OR(J74="Applied",J74="Visit booked",J74="Withdrawn"),"OK",IF(G74="","Date assessed needed",IF(C74="","Date of birth needed",IF(COUNTA(L74,M74,P74,U74,V74,X74,AB74)&lt;7,"Band missing",IF(AND(OR(J74="Decision confirmed",J74="Family told",J74="Enrolled"),AG74=""),"Recommendation needed",IF(AND(OR(J74="Family told",J74="Enrolled"),AJ74=""),"Date family told needed","OK"))))))))</f>
        <v/>
      </c>
    </row>
    <row r="75" customFormat="false" ht="15" hidden="false" customHeight="false" outlineLevel="0" collapsed="false">
      <c r="A75" s="7"/>
      <c r="B75" s="7"/>
      <c r="C75" s="46"/>
      <c r="D75" s="7"/>
      <c r="E75" s="47"/>
      <c r="F75" s="46"/>
      <c r="G75" s="46"/>
      <c r="H75" s="7"/>
      <c r="I75" s="7"/>
      <c r="J75" s="47"/>
      <c r="K75" s="47"/>
      <c r="L75" s="47"/>
      <c r="M75" s="47"/>
      <c r="N75" s="10"/>
      <c r="O75" s="47"/>
      <c r="P75" s="47"/>
      <c r="Q75" s="47"/>
      <c r="R75" s="48" t="str">
        <f aca="false">IF(Q75="","",IF(Q75=0,"below 5:00",IF(Q75&gt;=66,"16:00 or above",INT((60+2*Q75)/12)&amp;":"&amp;TEXT(MOD(60+2*Q75,12),"00"))))</f>
        <v/>
      </c>
      <c r="S75" s="47"/>
      <c r="T75" s="47"/>
      <c r="U75" s="47"/>
      <c r="V75" s="47"/>
      <c r="W75" s="47"/>
      <c r="X75" s="47"/>
      <c r="Y75" s="47"/>
      <c r="Z75" s="47"/>
      <c r="AA75" s="47"/>
      <c r="AB75" s="47"/>
      <c r="AC75" s="47"/>
      <c r="AD75" s="47"/>
      <c r="AE75" s="47"/>
      <c r="AF75" s="47"/>
      <c r="AG75" s="47"/>
      <c r="AH75" s="47"/>
      <c r="AI75" s="46"/>
      <c r="AJ75" s="46"/>
      <c r="AK75" s="46"/>
      <c r="AL75" s="7"/>
      <c r="AM75" s="49" t="str">
        <f aca="false">IF(OR(C75="",G75=""),"",IFERROR(DATEDIF(C75,G75,"m"),""))</f>
        <v/>
      </c>
      <c r="AN75" s="49" t="str">
        <f aca="false">IF(OR(Q75="",AM75=""),"",60+2*Q75-AM75)</f>
        <v/>
      </c>
      <c r="AO75" s="49" t="str">
        <f aca="false">IF(OR(G75="",AJ75=""),"",AJ75-G75)</f>
        <v/>
      </c>
      <c r="AP75" s="50" t="str">
        <f aca="false">IF(AND(A75="",B75=""),"",IF(J75="","Status needed",IF(OR(J75="Applied",J75="Visit booked",J75="Withdrawn"),"OK",IF(G75="","Date assessed needed",IF(C75="","Date of birth needed",IF(COUNTA(L75,M75,P75,U75,V75,X75,AB75)&lt;7,"Band missing",IF(AND(OR(J75="Decision confirmed",J75="Family told",J75="Enrolled"),AG75=""),"Recommendation needed",IF(AND(OR(J75="Family told",J75="Enrolled"),AJ75=""),"Date family told needed","OK"))))))))</f>
        <v/>
      </c>
    </row>
    <row r="76" customFormat="false" ht="15" hidden="false" customHeight="false" outlineLevel="0" collapsed="false">
      <c r="A76" s="7"/>
      <c r="B76" s="7"/>
      <c r="C76" s="46"/>
      <c r="D76" s="7"/>
      <c r="E76" s="47"/>
      <c r="F76" s="46"/>
      <c r="G76" s="46"/>
      <c r="H76" s="7"/>
      <c r="I76" s="7"/>
      <c r="J76" s="47"/>
      <c r="K76" s="47"/>
      <c r="L76" s="47"/>
      <c r="M76" s="47"/>
      <c r="N76" s="10"/>
      <c r="O76" s="47"/>
      <c r="P76" s="47"/>
      <c r="Q76" s="47"/>
      <c r="R76" s="48" t="str">
        <f aca="false">IF(Q76="","",IF(Q76=0,"below 5:00",IF(Q76&gt;=66,"16:00 or above",INT((60+2*Q76)/12)&amp;":"&amp;TEXT(MOD(60+2*Q76,12),"00"))))</f>
        <v/>
      </c>
      <c r="S76" s="47"/>
      <c r="T76" s="47"/>
      <c r="U76" s="47"/>
      <c r="V76" s="47"/>
      <c r="W76" s="47"/>
      <c r="X76" s="47"/>
      <c r="Y76" s="47"/>
      <c r="Z76" s="47"/>
      <c r="AA76" s="47"/>
      <c r="AB76" s="47"/>
      <c r="AC76" s="47"/>
      <c r="AD76" s="47"/>
      <c r="AE76" s="47"/>
      <c r="AF76" s="47"/>
      <c r="AG76" s="47"/>
      <c r="AH76" s="47"/>
      <c r="AI76" s="46"/>
      <c r="AJ76" s="46"/>
      <c r="AK76" s="46"/>
      <c r="AL76" s="7"/>
      <c r="AM76" s="49" t="str">
        <f aca="false">IF(OR(C76="",G76=""),"",IFERROR(DATEDIF(C76,G76,"m"),""))</f>
        <v/>
      </c>
      <c r="AN76" s="49" t="str">
        <f aca="false">IF(OR(Q76="",AM76=""),"",60+2*Q76-AM76)</f>
        <v/>
      </c>
      <c r="AO76" s="49" t="str">
        <f aca="false">IF(OR(G76="",AJ76=""),"",AJ76-G76)</f>
        <v/>
      </c>
      <c r="AP76" s="50" t="str">
        <f aca="false">IF(AND(A76="",B76=""),"",IF(J76="","Status needed",IF(OR(J76="Applied",J76="Visit booked",J76="Withdrawn"),"OK",IF(G76="","Date assessed needed",IF(C76="","Date of birth needed",IF(COUNTA(L76,M76,P76,U76,V76,X76,AB76)&lt;7,"Band missing",IF(AND(OR(J76="Decision confirmed",J76="Family told",J76="Enrolled"),AG76=""),"Recommendation needed",IF(AND(OR(J76="Family told",J76="Enrolled"),AJ76=""),"Date family told needed","OK"))))))))</f>
        <v/>
      </c>
    </row>
    <row r="77" customFormat="false" ht="15" hidden="false" customHeight="false" outlineLevel="0" collapsed="false">
      <c r="A77" s="7"/>
      <c r="B77" s="7"/>
      <c r="C77" s="46"/>
      <c r="D77" s="7"/>
      <c r="E77" s="47"/>
      <c r="F77" s="46"/>
      <c r="G77" s="46"/>
      <c r="H77" s="7"/>
      <c r="I77" s="7"/>
      <c r="J77" s="47"/>
      <c r="K77" s="47"/>
      <c r="L77" s="47"/>
      <c r="M77" s="47"/>
      <c r="N77" s="10"/>
      <c r="O77" s="47"/>
      <c r="P77" s="47"/>
      <c r="Q77" s="47"/>
      <c r="R77" s="48" t="str">
        <f aca="false">IF(Q77="","",IF(Q77=0,"below 5:00",IF(Q77&gt;=66,"16:00 or above",INT((60+2*Q77)/12)&amp;":"&amp;TEXT(MOD(60+2*Q77,12),"00"))))</f>
        <v/>
      </c>
      <c r="S77" s="47"/>
      <c r="T77" s="47"/>
      <c r="U77" s="47"/>
      <c r="V77" s="47"/>
      <c r="W77" s="47"/>
      <c r="X77" s="47"/>
      <c r="Y77" s="47"/>
      <c r="Z77" s="47"/>
      <c r="AA77" s="47"/>
      <c r="AB77" s="47"/>
      <c r="AC77" s="47"/>
      <c r="AD77" s="47"/>
      <c r="AE77" s="47"/>
      <c r="AF77" s="47"/>
      <c r="AG77" s="47"/>
      <c r="AH77" s="47"/>
      <c r="AI77" s="46"/>
      <c r="AJ77" s="46"/>
      <c r="AK77" s="46"/>
      <c r="AL77" s="7"/>
      <c r="AM77" s="49" t="str">
        <f aca="false">IF(OR(C77="",G77=""),"",IFERROR(DATEDIF(C77,G77,"m"),""))</f>
        <v/>
      </c>
      <c r="AN77" s="49" t="str">
        <f aca="false">IF(OR(Q77="",AM77=""),"",60+2*Q77-AM77)</f>
        <v/>
      </c>
      <c r="AO77" s="49" t="str">
        <f aca="false">IF(OR(G77="",AJ77=""),"",AJ77-G77)</f>
        <v/>
      </c>
      <c r="AP77" s="50" t="str">
        <f aca="false">IF(AND(A77="",B77=""),"",IF(J77="","Status needed",IF(OR(J77="Applied",J77="Visit booked",J77="Withdrawn"),"OK",IF(G77="","Date assessed needed",IF(C77="","Date of birth needed",IF(COUNTA(L77,M77,P77,U77,V77,X77,AB77)&lt;7,"Band missing",IF(AND(OR(J77="Decision confirmed",J77="Family told",J77="Enrolled"),AG77=""),"Recommendation needed",IF(AND(OR(J77="Family told",J77="Enrolled"),AJ77=""),"Date family told needed","OK"))))))))</f>
        <v/>
      </c>
    </row>
    <row r="78" customFormat="false" ht="15" hidden="false" customHeight="false" outlineLevel="0" collapsed="false">
      <c r="A78" s="7"/>
      <c r="B78" s="7"/>
      <c r="C78" s="46"/>
      <c r="D78" s="7"/>
      <c r="E78" s="47"/>
      <c r="F78" s="46"/>
      <c r="G78" s="46"/>
      <c r="H78" s="7"/>
      <c r="I78" s="7"/>
      <c r="J78" s="47"/>
      <c r="K78" s="47"/>
      <c r="L78" s="47"/>
      <c r="M78" s="47"/>
      <c r="N78" s="10"/>
      <c r="O78" s="47"/>
      <c r="P78" s="47"/>
      <c r="Q78" s="47"/>
      <c r="R78" s="48" t="str">
        <f aca="false">IF(Q78="","",IF(Q78=0,"below 5:00",IF(Q78&gt;=66,"16:00 or above",INT((60+2*Q78)/12)&amp;":"&amp;TEXT(MOD(60+2*Q78,12),"00"))))</f>
        <v/>
      </c>
      <c r="S78" s="47"/>
      <c r="T78" s="47"/>
      <c r="U78" s="47"/>
      <c r="V78" s="47"/>
      <c r="W78" s="47"/>
      <c r="X78" s="47"/>
      <c r="Y78" s="47"/>
      <c r="Z78" s="47"/>
      <c r="AA78" s="47"/>
      <c r="AB78" s="47"/>
      <c r="AC78" s="47"/>
      <c r="AD78" s="47"/>
      <c r="AE78" s="47"/>
      <c r="AF78" s="47"/>
      <c r="AG78" s="47"/>
      <c r="AH78" s="47"/>
      <c r="AI78" s="46"/>
      <c r="AJ78" s="46"/>
      <c r="AK78" s="46"/>
      <c r="AL78" s="7"/>
      <c r="AM78" s="49" t="str">
        <f aca="false">IF(OR(C78="",G78=""),"",IFERROR(DATEDIF(C78,G78,"m"),""))</f>
        <v/>
      </c>
      <c r="AN78" s="49" t="str">
        <f aca="false">IF(OR(Q78="",AM78=""),"",60+2*Q78-AM78)</f>
        <v/>
      </c>
      <c r="AO78" s="49" t="str">
        <f aca="false">IF(OR(G78="",AJ78=""),"",AJ78-G78)</f>
        <v/>
      </c>
      <c r="AP78" s="50" t="str">
        <f aca="false">IF(AND(A78="",B78=""),"",IF(J78="","Status needed",IF(OR(J78="Applied",J78="Visit booked",J78="Withdrawn"),"OK",IF(G78="","Date assessed needed",IF(C78="","Date of birth needed",IF(COUNTA(L78,M78,P78,U78,V78,X78,AB78)&lt;7,"Band missing",IF(AND(OR(J78="Decision confirmed",J78="Family told",J78="Enrolled"),AG78=""),"Recommendation needed",IF(AND(OR(J78="Family told",J78="Enrolled"),AJ78=""),"Date family told needed","OK"))))))))</f>
        <v/>
      </c>
    </row>
    <row r="79" customFormat="false" ht="15" hidden="false" customHeight="false" outlineLevel="0" collapsed="false">
      <c r="A79" s="7"/>
      <c r="B79" s="7"/>
      <c r="C79" s="46"/>
      <c r="D79" s="7"/>
      <c r="E79" s="47"/>
      <c r="F79" s="46"/>
      <c r="G79" s="46"/>
      <c r="H79" s="7"/>
      <c r="I79" s="7"/>
      <c r="J79" s="47"/>
      <c r="K79" s="47"/>
      <c r="L79" s="47"/>
      <c r="M79" s="47"/>
      <c r="N79" s="10"/>
      <c r="O79" s="47"/>
      <c r="P79" s="47"/>
      <c r="Q79" s="47"/>
      <c r="R79" s="48" t="str">
        <f aca="false">IF(Q79="","",IF(Q79=0,"below 5:00",IF(Q79&gt;=66,"16:00 or above",INT((60+2*Q79)/12)&amp;":"&amp;TEXT(MOD(60+2*Q79,12),"00"))))</f>
        <v/>
      </c>
      <c r="S79" s="47"/>
      <c r="T79" s="47"/>
      <c r="U79" s="47"/>
      <c r="V79" s="47"/>
      <c r="W79" s="47"/>
      <c r="X79" s="47"/>
      <c r="Y79" s="47"/>
      <c r="Z79" s="47"/>
      <c r="AA79" s="47"/>
      <c r="AB79" s="47"/>
      <c r="AC79" s="47"/>
      <c r="AD79" s="47"/>
      <c r="AE79" s="47"/>
      <c r="AF79" s="47"/>
      <c r="AG79" s="47"/>
      <c r="AH79" s="47"/>
      <c r="AI79" s="46"/>
      <c r="AJ79" s="46"/>
      <c r="AK79" s="46"/>
      <c r="AL79" s="7"/>
      <c r="AM79" s="49" t="str">
        <f aca="false">IF(OR(C79="",G79=""),"",IFERROR(DATEDIF(C79,G79,"m"),""))</f>
        <v/>
      </c>
      <c r="AN79" s="49" t="str">
        <f aca="false">IF(OR(Q79="",AM79=""),"",60+2*Q79-AM79)</f>
        <v/>
      </c>
      <c r="AO79" s="49" t="str">
        <f aca="false">IF(OR(G79="",AJ79=""),"",AJ79-G79)</f>
        <v/>
      </c>
      <c r="AP79" s="50" t="str">
        <f aca="false">IF(AND(A79="",B79=""),"",IF(J79="","Status needed",IF(OR(J79="Applied",J79="Visit booked",J79="Withdrawn"),"OK",IF(G79="","Date assessed needed",IF(C79="","Date of birth needed",IF(COUNTA(L79,M79,P79,U79,V79,X79,AB79)&lt;7,"Band missing",IF(AND(OR(J79="Decision confirmed",J79="Family told",J79="Enrolled"),AG79=""),"Recommendation needed",IF(AND(OR(J79="Family told",J79="Enrolled"),AJ79=""),"Date family told needed","OK"))))))))</f>
        <v/>
      </c>
    </row>
    <row r="80" customFormat="false" ht="15" hidden="false" customHeight="false" outlineLevel="0" collapsed="false">
      <c r="A80" s="7"/>
      <c r="B80" s="7"/>
      <c r="C80" s="46"/>
      <c r="D80" s="7"/>
      <c r="E80" s="47"/>
      <c r="F80" s="46"/>
      <c r="G80" s="46"/>
      <c r="H80" s="7"/>
      <c r="I80" s="7"/>
      <c r="J80" s="47"/>
      <c r="K80" s="47"/>
      <c r="L80" s="47"/>
      <c r="M80" s="47"/>
      <c r="N80" s="10"/>
      <c r="O80" s="47"/>
      <c r="P80" s="47"/>
      <c r="Q80" s="47"/>
      <c r="R80" s="48" t="str">
        <f aca="false">IF(Q80="","",IF(Q80=0,"below 5:00",IF(Q80&gt;=66,"16:00 or above",INT((60+2*Q80)/12)&amp;":"&amp;TEXT(MOD(60+2*Q80,12),"00"))))</f>
        <v/>
      </c>
      <c r="S80" s="47"/>
      <c r="T80" s="47"/>
      <c r="U80" s="47"/>
      <c r="V80" s="47"/>
      <c r="W80" s="47"/>
      <c r="X80" s="47"/>
      <c r="Y80" s="47"/>
      <c r="Z80" s="47"/>
      <c r="AA80" s="47"/>
      <c r="AB80" s="47"/>
      <c r="AC80" s="47"/>
      <c r="AD80" s="47"/>
      <c r="AE80" s="47"/>
      <c r="AF80" s="47"/>
      <c r="AG80" s="47"/>
      <c r="AH80" s="47"/>
      <c r="AI80" s="46"/>
      <c r="AJ80" s="46"/>
      <c r="AK80" s="46"/>
      <c r="AL80" s="7"/>
      <c r="AM80" s="49" t="str">
        <f aca="false">IF(OR(C80="",G80=""),"",IFERROR(DATEDIF(C80,G80,"m"),""))</f>
        <v/>
      </c>
      <c r="AN80" s="49" t="str">
        <f aca="false">IF(OR(Q80="",AM80=""),"",60+2*Q80-AM80)</f>
        <v/>
      </c>
      <c r="AO80" s="49" t="str">
        <f aca="false">IF(OR(G80="",AJ80=""),"",AJ80-G80)</f>
        <v/>
      </c>
      <c r="AP80" s="50" t="str">
        <f aca="false">IF(AND(A80="",B80=""),"",IF(J80="","Status needed",IF(OR(J80="Applied",J80="Visit booked",J80="Withdrawn"),"OK",IF(G80="","Date assessed needed",IF(C80="","Date of birth needed",IF(COUNTA(L80,M80,P80,U80,V80,X80,AB80)&lt;7,"Band missing",IF(AND(OR(J80="Decision confirmed",J80="Family told",J80="Enrolled"),AG80=""),"Recommendation needed",IF(AND(OR(J80="Family told",J80="Enrolled"),AJ80=""),"Date family told needed","OK"))))))))</f>
        <v/>
      </c>
    </row>
    <row r="81" customFormat="false" ht="15" hidden="false" customHeight="false" outlineLevel="0" collapsed="false">
      <c r="A81" s="7"/>
      <c r="B81" s="7"/>
      <c r="C81" s="46"/>
      <c r="D81" s="7"/>
      <c r="E81" s="47"/>
      <c r="F81" s="46"/>
      <c r="G81" s="46"/>
      <c r="H81" s="7"/>
      <c r="I81" s="7"/>
      <c r="J81" s="47"/>
      <c r="K81" s="47"/>
      <c r="L81" s="47"/>
      <c r="M81" s="47"/>
      <c r="N81" s="10"/>
      <c r="O81" s="47"/>
      <c r="P81" s="47"/>
      <c r="Q81" s="47"/>
      <c r="R81" s="48" t="str">
        <f aca="false">IF(Q81="","",IF(Q81=0,"below 5:00",IF(Q81&gt;=66,"16:00 or above",INT((60+2*Q81)/12)&amp;":"&amp;TEXT(MOD(60+2*Q81,12),"00"))))</f>
        <v/>
      </c>
      <c r="S81" s="47"/>
      <c r="T81" s="47"/>
      <c r="U81" s="47"/>
      <c r="V81" s="47"/>
      <c r="W81" s="47"/>
      <c r="X81" s="47"/>
      <c r="Y81" s="47"/>
      <c r="Z81" s="47"/>
      <c r="AA81" s="47"/>
      <c r="AB81" s="47"/>
      <c r="AC81" s="47"/>
      <c r="AD81" s="47"/>
      <c r="AE81" s="47"/>
      <c r="AF81" s="47"/>
      <c r="AG81" s="47"/>
      <c r="AH81" s="47"/>
      <c r="AI81" s="46"/>
      <c r="AJ81" s="46"/>
      <c r="AK81" s="46"/>
      <c r="AL81" s="7"/>
      <c r="AM81" s="49" t="str">
        <f aca="false">IF(OR(C81="",G81=""),"",IFERROR(DATEDIF(C81,G81,"m"),""))</f>
        <v/>
      </c>
      <c r="AN81" s="49" t="str">
        <f aca="false">IF(OR(Q81="",AM81=""),"",60+2*Q81-AM81)</f>
        <v/>
      </c>
      <c r="AO81" s="49" t="str">
        <f aca="false">IF(OR(G81="",AJ81=""),"",AJ81-G81)</f>
        <v/>
      </c>
      <c r="AP81" s="50" t="str">
        <f aca="false">IF(AND(A81="",B81=""),"",IF(J81="","Status needed",IF(OR(J81="Applied",J81="Visit booked",J81="Withdrawn"),"OK",IF(G81="","Date assessed needed",IF(C81="","Date of birth needed",IF(COUNTA(L81,M81,P81,U81,V81,X81,AB81)&lt;7,"Band missing",IF(AND(OR(J81="Decision confirmed",J81="Family told",J81="Enrolled"),AG81=""),"Recommendation needed",IF(AND(OR(J81="Family told",J81="Enrolled"),AJ81=""),"Date family told needed","OK"))))))))</f>
        <v/>
      </c>
    </row>
    <row r="82" customFormat="false" ht="15" hidden="false" customHeight="false" outlineLevel="0" collapsed="false">
      <c r="A82" s="7"/>
      <c r="B82" s="7"/>
      <c r="C82" s="46"/>
      <c r="D82" s="7"/>
      <c r="E82" s="47"/>
      <c r="F82" s="46"/>
      <c r="G82" s="46"/>
      <c r="H82" s="7"/>
      <c r="I82" s="7"/>
      <c r="J82" s="47"/>
      <c r="K82" s="47"/>
      <c r="L82" s="47"/>
      <c r="M82" s="47"/>
      <c r="N82" s="10"/>
      <c r="O82" s="47"/>
      <c r="P82" s="47"/>
      <c r="Q82" s="47"/>
      <c r="R82" s="48" t="str">
        <f aca="false">IF(Q82="","",IF(Q82=0,"below 5:00",IF(Q82&gt;=66,"16:00 or above",INT((60+2*Q82)/12)&amp;":"&amp;TEXT(MOD(60+2*Q82,12),"00"))))</f>
        <v/>
      </c>
      <c r="S82" s="47"/>
      <c r="T82" s="47"/>
      <c r="U82" s="47"/>
      <c r="V82" s="47"/>
      <c r="W82" s="47"/>
      <c r="X82" s="47"/>
      <c r="Y82" s="47"/>
      <c r="Z82" s="47"/>
      <c r="AA82" s="47"/>
      <c r="AB82" s="47"/>
      <c r="AC82" s="47"/>
      <c r="AD82" s="47"/>
      <c r="AE82" s="47"/>
      <c r="AF82" s="47"/>
      <c r="AG82" s="47"/>
      <c r="AH82" s="47"/>
      <c r="AI82" s="46"/>
      <c r="AJ82" s="46"/>
      <c r="AK82" s="46"/>
      <c r="AL82" s="7"/>
      <c r="AM82" s="49" t="str">
        <f aca="false">IF(OR(C82="",G82=""),"",IFERROR(DATEDIF(C82,G82,"m"),""))</f>
        <v/>
      </c>
      <c r="AN82" s="49" t="str">
        <f aca="false">IF(OR(Q82="",AM82=""),"",60+2*Q82-AM82)</f>
        <v/>
      </c>
      <c r="AO82" s="49" t="str">
        <f aca="false">IF(OR(G82="",AJ82=""),"",AJ82-G82)</f>
        <v/>
      </c>
      <c r="AP82" s="50" t="str">
        <f aca="false">IF(AND(A82="",B82=""),"",IF(J82="","Status needed",IF(OR(J82="Applied",J82="Visit booked",J82="Withdrawn"),"OK",IF(G82="","Date assessed needed",IF(C82="","Date of birth needed",IF(COUNTA(L82,M82,P82,U82,V82,X82,AB82)&lt;7,"Band missing",IF(AND(OR(J82="Decision confirmed",J82="Family told",J82="Enrolled"),AG82=""),"Recommendation needed",IF(AND(OR(J82="Family told",J82="Enrolled"),AJ82=""),"Date family told needed","OK"))))))))</f>
        <v/>
      </c>
    </row>
    <row r="83" customFormat="false" ht="15" hidden="false" customHeight="false" outlineLevel="0" collapsed="false">
      <c r="A83" s="7"/>
      <c r="B83" s="7"/>
      <c r="C83" s="46"/>
      <c r="D83" s="7"/>
      <c r="E83" s="47"/>
      <c r="F83" s="46"/>
      <c r="G83" s="46"/>
      <c r="H83" s="7"/>
      <c r="I83" s="7"/>
      <c r="J83" s="47"/>
      <c r="K83" s="47"/>
      <c r="L83" s="47"/>
      <c r="M83" s="47"/>
      <c r="N83" s="10"/>
      <c r="O83" s="47"/>
      <c r="P83" s="47"/>
      <c r="Q83" s="47"/>
      <c r="R83" s="48" t="str">
        <f aca="false">IF(Q83="","",IF(Q83=0,"below 5:00",IF(Q83&gt;=66,"16:00 or above",INT((60+2*Q83)/12)&amp;":"&amp;TEXT(MOD(60+2*Q83,12),"00"))))</f>
        <v/>
      </c>
      <c r="S83" s="47"/>
      <c r="T83" s="47"/>
      <c r="U83" s="47"/>
      <c r="V83" s="47"/>
      <c r="W83" s="47"/>
      <c r="X83" s="47"/>
      <c r="Y83" s="47"/>
      <c r="Z83" s="47"/>
      <c r="AA83" s="47"/>
      <c r="AB83" s="47"/>
      <c r="AC83" s="47"/>
      <c r="AD83" s="47"/>
      <c r="AE83" s="47"/>
      <c r="AF83" s="47"/>
      <c r="AG83" s="47"/>
      <c r="AH83" s="47"/>
      <c r="AI83" s="46"/>
      <c r="AJ83" s="46"/>
      <c r="AK83" s="46"/>
      <c r="AL83" s="7"/>
      <c r="AM83" s="49" t="str">
        <f aca="false">IF(OR(C83="",G83=""),"",IFERROR(DATEDIF(C83,G83,"m"),""))</f>
        <v/>
      </c>
      <c r="AN83" s="49" t="str">
        <f aca="false">IF(OR(Q83="",AM83=""),"",60+2*Q83-AM83)</f>
        <v/>
      </c>
      <c r="AO83" s="49" t="str">
        <f aca="false">IF(OR(G83="",AJ83=""),"",AJ83-G83)</f>
        <v/>
      </c>
      <c r="AP83" s="50" t="str">
        <f aca="false">IF(AND(A83="",B83=""),"",IF(J83="","Status needed",IF(OR(J83="Applied",J83="Visit booked",J83="Withdrawn"),"OK",IF(G83="","Date assessed needed",IF(C83="","Date of birth needed",IF(COUNTA(L83,M83,P83,U83,V83,X83,AB83)&lt;7,"Band missing",IF(AND(OR(J83="Decision confirmed",J83="Family told",J83="Enrolled"),AG83=""),"Recommendation needed",IF(AND(OR(J83="Family told",J83="Enrolled"),AJ83=""),"Date family told needed","OK"))))))))</f>
        <v/>
      </c>
    </row>
    <row r="84" customFormat="false" ht="15" hidden="false" customHeight="false" outlineLevel="0" collapsed="false">
      <c r="A84" s="7"/>
      <c r="B84" s="7"/>
      <c r="C84" s="46"/>
      <c r="D84" s="7"/>
      <c r="E84" s="47"/>
      <c r="F84" s="46"/>
      <c r="G84" s="46"/>
      <c r="H84" s="7"/>
      <c r="I84" s="7"/>
      <c r="J84" s="47"/>
      <c r="K84" s="47"/>
      <c r="L84" s="47"/>
      <c r="M84" s="47"/>
      <c r="N84" s="10"/>
      <c r="O84" s="47"/>
      <c r="P84" s="47"/>
      <c r="Q84" s="47"/>
      <c r="R84" s="48" t="str">
        <f aca="false">IF(Q84="","",IF(Q84=0,"below 5:00",IF(Q84&gt;=66,"16:00 or above",INT((60+2*Q84)/12)&amp;":"&amp;TEXT(MOD(60+2*Q84,12),"00"))))</f>
        <v/>
      </c>
      <c r="S84" s="47"/>
      <c r="T84" s="47"/>
      <c r="U84" s="47"/>
      <c r="V84" s="47"/>
      <c r="W84" s="47"/>
      <c r="X84" s="47"/>
      <c r="Y84" s="47"/>
      <c r="Z84" s="47"/>
      <c r="AA84" s="47"/>
      <c r="AB84" s="47"/>
      <c r="AC84" s="47"/>
      <c r="AD84" s="47"/>
      <c r="AE84" s="47"/>
      <c r="AF84" s="47"/>
      <c r="AG84" s="47"/>
      <c r="AH84" s="47"/>
      <c r="AI84" s="46"/>
      <c r="AJ84" s="46"/>
      <c r="AK84" s="46"/>
      <c r="AL84" s="7"/>
      <c r="AM84" s="49" t="str">
        <f aca="false">IF(OR(C84="",G84=""),"",IFERROR(DATEDIF(C84,G84,"m"),""))</f>
        <v/>
      </c>
      <c r="AN84" s="49" t="str">
        <f aca="false">IF(OR(Q84="",AM84=""),"",60+2*Q84-AM84)</f>
        <v/>
      </c>
      <c r="AO84" s="49" t="str">
        <f aca="false">IF(OR(G84="",AJ84=""),"",AJ84-G84)</f>
        <v/>
      </c>
      <c r="AP84" s="50" t="str">
        <f aca="false">IF(AND(A84="",B84=""),"",IF(J84="","Status needed",IF(OR(J84="Applied",J84="Visit booked",J84="Withdrawn"),"OK",IF(G84="","Date assessed needed",IF(C84="","Date of birth needed",IF(COUNTA(L84,M84,P84,U84,V84,X84,AB84)&lt;7,"Band missing",IF(AND(OR(J84="Decision confirmed",J84="Family told",J84="Enrolled"),AG84=""),"Recommendation needed",IF(AND(OR(J84="Family told",J84="Enrolled"),AJ84=""),"Date family told needed","OK"))))))))</f>
        <v/>
      </c>
    </row>
    <row r="85" customFormat="false" ht="15" hidden="false" customHeight="false" outlineLevel="0" collapsed="false">
      <c r="A85" s="7"/>
      <c r="B85" s="7"/>
      <c r="C85" s="46"/>
      <c r="D85" s="7"/>
      <c r="E85" s="47"/>
      <c r="F85" s="46"/>
      <c r="G85" s="46"/>
      <c r="H85" s="7"/>
      <c r="I85" s="7"/>
      <c r="J85" s="47"/>
      <c r="K85" s="47"/>
      <c r="L85" s="47"/>
      <c r="M85" s="47"/>
      <c r="N85" s="10"/>
      <c r="O85" s="47"/>
      <c r="P85" s="47"/>
      <c r="Q85" s="47"/>
      <c r="R85" s="48" t="str">
        <f aca="false">IF(Q85="","",IF(Q85=0,"below 5:00",IF(Q85&gt;=66,"16:00 or above",INT((60+2*Q85)/12)&amp;":"&amp;TEXT(MOD(60+2*Q85,12),"00"))))</f>
        <v/>
      </c>
      <c r="S85" s="47"/>
      <c r="T85" s="47"/>
      <c r="U85" s="47"/>
      <c r="V85" s="47"/>
      <c r="W85" s="47"/>
      <c r="X85" s="47"/>
      <c r="Y85" s="47"/>
      <c r="Z85" s="47"/>
      <c r="AA85" s="47"/>
      <c r="AB85" s="47"/>
      <c r="AC85" s="47"/>
      <c r="AD85" s="47"/>
      <c r="AE85" s="47"/>
      <c r="AF85" s="47"/>
      <c r="AG85" s="47"/>
      <c r="AH85" s="47"/>
      <c r="AI85" s="46"/>
      <c r="AJ85" s="46"/>
      <c r="AK85" s="46"/>
      <c r="AL85" s="7"/>
      <c r="AM85" s="49" t="str">
        <f aca="false">IF(OR(C85="",G85=""),"",IFERROR(DATEDIF(C85,G85,"m"),""))</f>
        <v/>
      </c>
      <c r="AN85" s="49" t="str">
        <f aca="false">IF(OR(Q85="",AM85=""),"",60+2*Q85-AM85)</f>
        <v/>
      </c>
      <c r="AO85" s="49" t="str">
        <f aca="false">IF(OR(G85="",AJ85=""),"",AJ85-G85)</f>
        <v/>
      </c>
      <c r="AP85" s="50" t="str">
        <f aca="false">IF(AND(A85="",B85=""),"",IF(J85="","Status needed",IF(OR(J85="Applied",J85="Visit booked",J85="Withdrawn"),"OK",IF(G85="","Date assessed needed",IF(C85="","Date of birth needed",IF(COUNTA(L85,M85,P85,U85,V85,X85,AB85)&lt;7,"Band missing",IF(AND(OR(J85="Decision confirmed",J85="Family told",J85="Enrolled"),AG85=""),"Recommendation needed",IF(AND(OR(J85="Family told",J85="Enrolled"),AJ85=""),"Date family told needed","OK"))))))))</f>
        <v/>
      </c>
    </row>
    <row r="86" customFormat="false" ht="15" hidden="false" customHeight="false" outlineLevel="0" collapsed="false">
      <c r="A86" s="7"/>
      <c r="B86" s="7"/>
      <c r="C86" s="46"/>
      <c r="D86" s="7"/>
      <c r="E86" s="47"/>
      <c r="F86" s="46"/>
      <c r="G86" s="46"/>
      <c r="H86" s="7"/>
      <c r="I86" s="7"/>
      <c r="J86" s="47"/>
      <c r="K86" s="47"/>
      <c r="L86" s="47"/>
      <c r="M86" s="47"/>
      <c r="N86" s="10"/>
      <c r="O86" s="47"/>
      <c r="P86" s="47"/>
      <c r="Q86" s="47"/>
      <c r="R86" s="48" t="str">
        <f aca="false">IF(Q86="","",IF(Q86=0,"below 5:00",IF(Q86&gt;=66,"16:00 or above",INT((60+2*Q86)/12)&amp;":"&amp;TEXT(MOD(60+2*Q86,12),"00"))))</f>
        <v/>
      </c>
      <c r="S86" s="47"/>
      <c r="T86" s="47"/>
      <c r="U86" s="47"/>
      <c r="V86" s="47"/>
      <c r="W86" s="47"/>
      <c r="X86" s="47"/>
      <c r="Y86" s="47"/>
      <c r="Z86" s="47"/>
      <c r="AA86" s="47"/>
      <c r="AB86" s="47"/>
      <c r="AC86" s="47"/>
      <c r="AD86" s="47"/>
      <c r="AE86" s="47"/>
      <c r="AF86" s="47"/>
      <c r="AG86" s="47"/>
      <c r="AH86" s="47"/>
      <c r="AI86" s="46"/>
      <c r="AJ86" s="46"/>
      <c r="AK86" s="46"/>
      <c r="AL86" s="7"/>
      <c r="AM86" s="49" t="str">
        <f aca="false">IF(OR(C86="",G86=""),"",IFERROR(DATEDIF(C86,G86,"m"),""))</f>
        <v/>
      </c>
      <c r="AN86" s="49" t="str">
        <f aca="false">IF(OR(Q86="",AM86=""),"",60+2*Q86-AM86)</f>
        <v/>
      </c>
      <c r="AO86" s="49" t="str">
        <f aca="false">IF(OR(G86="",AJ86=""),"",AJ86-G86)</f>
        <v/>
      </c>
      <c r="AP86" s="50" t="str">
        <f aca="false">IF(AND(A86="",B86=""),"",IF(J86="","Status needed",IF(OR(J86="Applied",J86="Visit booked",J86="Withdrawn"),"OK",IF(G86="","Date assessed needed",IF(C86="","Date of birth needed",IF(COUNTA(L86,M86,P86,U86,V86,X86,AB86)&lt;7,"Band missing",IF(AND(OR(J86="Decision confirmed",J86="Family told",J86="Enrolled"),AG86=""),"Recommendation needed",IF(AND(OR(J86="Family told",J86="Enrolled"),AJ86=""),"Date family told needed","OK"))))))))</f>
        <v/>
      </c>
    </row>
    <row r="87" customFormat="false" ht="15" hidden="false" customHeight="false" outlineLevel="0" collapsed="false">
      <c r="A87" s="7"/>
      <c r="B87" s="7"/>
      <c r="C87" s="46"/>
      <c r="D87" s="7"/>
      <c r="E87" s="47"/>
      <c r="F87" s="46"/>
      <c r="G87" s="46"/>
      <c r="H87" s="7"/>
      <c r="I87" s="7"/>
      <c r="J87" s="47"/>
      <c r="K87" s="47"/>
      <c r="L87" s="47"/>
      <c r="M87" s="47"/>
      <c r="N87" s="10"/>
      <c r="O87" s="47"/>
      <c r="P87" s="47"/>
      <c r="Q87" s="47"/>
      <c r="R87" s="48" t="str">
        <f aca="false">IF(Q87="","",IF(Q87=0,"below 5:00",IF(Q87&gt;=66,"16:00 or above",INT((60+2*Q87)/12)&amp;":"&amp;TEXT(MOD(60+2*Q87,12),"00"))))</f>
        <v/>
      </c>
      <c r="S87" s="47"/>
      <c r="T87" s="47"/>
      <c r="U87" s="47"/>
      <c r="V87" s="47"/>
      <c r="W87" s="47"/>
      <c r="X87" s="47"/>
      <c r="Y87" s="47"/>
      <c r="Z87" s="47"/>
      <c r="AA87" s="47"/>
      <c r="AB87" s="47"/>
      <c r="AC87" s="47"/>
      <c r="AD87" s="47"/>
      <c r="AE87" s="47"/>
      <c r="AF87" s="47"/>
      <c r="AG87" s="47"/>
      <c r="AH87" s="47"/>
      <c r="AI87" s="46"/>
      <c r="AJ87" s="46"/>
      <c r="AK87" s="46"/>
      <c r="AL87" s="7"/>
      <c r="AM87" s="49" t="str">
        <f aca="false">IF(OR(C87="",G87=""),"",IFERROR(DATEDIF(C87,G87,"m"),""))</f>
        <v/>
      </c>
      <c r="AN87" s="49" t="str">
        <f aca="false">IF(OR(Q87="",AM87=""),"",60+2*Q87-AM87)</f>
        <v/>
      </c>
      <c r="AO87" s="49" t="str">
        <f aca="false">IF(OR(G87="",AJ87=""),"",AJ87-G87)</f>
        <v/>
      </c>
      <c r="AP87" s="50" t="str">
        <f aca="false">IF(AND(A87="",B87=""),"",IF(J87="","Status needed",IF(OR(J87="Applied",J87="Visit booked",J87="Withdrawn"),"OK",IF(G87="","Date assessed needed",IF(C87="","Date of birth needed",IF(COUNTA(L87,M87,P87,U87,V87,X87,AB87)&lt;7,"Band missing",IF(AND(OR(J87="Decision confirmed",J87="Family told",J87="Enrolled"),AG87=""),"Recommendation needed",IF(AND(OR(J87="Family told",J87="Enrolled"),AJ87=""),"Date family told needed","OK"))))))))</f>
        <v/>
      </c>
    </row>
    <row r="88" customFormat="false" ht="15" hidden="false" customHeight="false" outlineLevel="0" collapsed="false">
      <c r="A88" s="7"/>
      <c r="B88" s="7"/>
      <c r="C88" s="46"/>
      <c r="D88" s="7"/>
      <c r="E88" s="47"/>
      <c r="F88" s="46"/>
      <c r="G88" s="46"/>
      <c r="H88" s="7"/>
      <c r="I88" s="7"/>
      <c r="J88" s="47"/>
      <c r="K88" s="47"/>
      <c r="L88" s="47"/>
      <c r="M88" s="47"/>
      <c r="N88" s="10"/>
      <c r="O88" s="47"/>
      <c r="P88" s="47"/>
      <c r="Q88" s="47"/>
      <c r="R88" s="48" t="str">
        <f aca="false">IF(Q88="","",IF(Q88=0,"below 5:00",IF(Q88&gt;=66,"16:00 or above",INT((60+2*Q88)/12)&amp;":"&amp;TEXT(MOD(60+2*Q88,12),"00"))))</f>
        <v/>
      </c>
      <c r="S88" s="47"/>
      <c r="T88" s="47"/>
      <c r="U88" s="47"/>
      <c r="V88" s="47"/>
      <c r="W88" s="47"/>
      <c r="X88" s="47"/>
      <c r="Y88" s="47"/>
      <c r="Z88" s="47"/>
      <c r="AA88" s="47"/>
      <c r="AB88" s="47"/>
      <c r="AC88" s="47"/>
      <c r="AD88" s="47"/>
      <c r="AE88" s="47"/>
      <c r="AF88" s="47"/>
      <c r="AG88" s="47"/>
      <c r="AH88" s="47"/>
      <c r="AI88" s="46"/>
      <c r="AJ88" s="46"/>
      <c r="AK88" s="46"/>
      <c r="AL88" s="7"/>
      <c r="AM88" s="49" t="str">
        <f aca="false">IF(OR(C88="",G88=""),"",IFERROR(DATEDIF(C88,G88,"m"),""))</f>
        <v/>
      </c>
      <c r="AN88" s="49" t="str">
        <f aca="false">IF(OR(Q88="",AM88=""),"",60+2*Q88-AM88)</f>
        <v/>
      </c>
      <c r="AO88" s="49" t="str">
        <f aca="false">IF(OR(G88="",AJ88=""),"",AJ88-G88)</f>
        <v/>
      </c>
      <c r="AP88" s="50" t="str">
        <f aca="false">IF(AND(A88="",B88=""),"",IF(J88="","Status needed",IF(OR(J88="Applied",J88="Visit booked",J88="Withdrawn"),"OK",IF(G88="","Date assessed needed",IF(C88="","Date of birth needed",IF(COUNTA(L88,M88,P88,U88,V88,X88,AB88)&lt;7,"Band missing",IF(AND(OR(J88="Decision confirmed",J88="Family told",J88="Enrolled"),AG88=""),"Recommendation needed",IF(AND(OR(J88="Family told",J88="Enrolled"),AJ88=""),"Date family told needed","OK"))))))))</f>
        <v/>
      </c>
    </row>
    <row r="89" customFormat="false" ht="15" hidden="false" customHeight="false" outlineLevel="0" collapsed="false">
      <c r="A89" s="7"/>
      <c r="B89" s="7"/>
      <c r="C89" s="46"/>
      <c r="D89" s="7"/>
      <c r="E89" s="47"/>
      <c r="F89" s="46"/>
      <c r="G89" s="46"/>
      <c r="H89" s="7"/>
      <c r="I89" s="7"/>
      <c r="J89" s="47"/>
      <c r="K89" s="47"/>
      <c r="L89" s="47"/>
      <c r="M89" s="47"/>
      <c r="N89" s="10"/>
      <c r="O89" s="47"/>
      <c r="P89" s="47"/>
      <c r="Q89" s="47"/>
      <c r="R89" s="48" t="str">
        <f aca="false">IF(Q89="","",IF(Q89=0,"below 5:00",IF(Q89&gt;=66,"16:00 or above",INT((60+2*Q89)/12)&amp;":"&amp;TEXT(MOD(60+2*Q89,12),"00"))))</f>
        <v/>
      </c>
      <c r="S89" s="47"/>
      <c r="T89" s="47"/>
      <c r="U89" s="47"/>
      <c r="V89" s="47"/>
      <c r="W89" s="47"/>
      <c r="X89" s="47"/>
      <c r="Y89" s="47"/>
      <c r="Z89" s="47"/>
      <c r="AA89" s="47"/>
      <c r="AB89" s="47"/>
      <c r="AC89" s="47"/>
      <c r="AD89" s="47"/>
      <c r="AE89" s="47"/>
      <c r="AF89" s="47"/>
      <c r="AG89" s="47"/>
      <c r="AH89" s="47"/>
      <c r="AI89" s="46"/>
      <c r="AJ89" s="46"/>
      <c r="AK89" s="46"/>
      <c r="AL89" s="7"/>
      <c r="AM89" s="49" t="str">
        <f aca="false">IF(OR(C89="",G89=""),"",IFERROR(DATEDIF(C89,G89,"m"),""))</f>
        <v/>
      </c>
      <c r="AN89" s="49" t="str">
        <f aca="false">IF(OR(Q89="",AM89=""),"",60+2*Q89-AM89)</f>
        <v/>
      </c>
      <c r="AO89" s="49" t="str">
        <f aca="false">IF(OR(G89="",AJ89=""),"",AJ89-G89)</f>
        <v/>
      </c>
      <c r="AP89" s="50" t="str">
        <f aca="false">IF(AND(A89="",B89=""),"",IF(J89="","Status needed",IF(OR(J89="Applied",J89="Visit booked",J89="Withdrawn"),"OK",IF(G89="","Date assessed needed",IF(C89="","Date of birth needed",IF(COUNTA(L89,M89,P89,U89,V89,X89,AB89)&lt;7,"Band missing",IF(AND(OR(J89="Decision confirmed",J89="Family told",J89="Enrolled"),AG89=""),"Recommendation needed",IF(AND(OR(J89="Family told",J89="Enrolled"),AJ89=""),"Date family told needed","OK"))))))))</f>
        <v/>
      </c>
    </row>
    <row r="90" customFormat="false" ht="15" hidden="false" customHeight="false" outlineLevel="0" collapsed="false">
      <c r="A90" s="7"/>
      <c r="B90" s="7"/>
      <c r="C90" s="46"/>
      <c r="D90" s="7"/>
      <c r="E90" s="47"/>
      <c r="F90" s="46"/>
      <c r="G90" s="46"/>
      <c r="H90" s="7"/>
      <c r="I90" s="7"/>
      <c r="J90" s="47"/>
      <c r="K90" s="47"/>
      <c r="L90" s="47"/>
      <c r="M90" s="47"/>
      <c r="N90" s="10"/>
      <c r="O90" s="47"/>
      <c r="P90" s="47"/>
      <c r="Q90" s="47"/>
      <c r="R90" s="48" t="str">
        <f aca="false">IF(Q90="","",IF(Q90=0,"below 5:00",IF(Q90&gt;=66,"16:00 or above",INT((60+2*Q90)/12)&amp;":"&amp;TEXT(MOD(60+2*Q90,12),"00"))))</f>
        <v/>
      </c>
      <c r="S90" s="47"/>
      <c r="T90" s="47"/>
      <c r="U90" s="47"/>
      <c r="V90" s="47"/>
      <c r="W90" s="47"/>
      <c r="X90" s="47"/>
      <c r="Y90" s="47"/>
      <c r="Z90" s="47"/>
      <c r="AA90" s="47"/>
      <c r="AB90" s="47"/>
      <c r="AC90" s="47"/>
      <c r="AD90" s="47"/>
      <c r="AE90" s="47"/>
      <c r="AF90" s="47"/>
      <c r="AG90" s="47"/>
      <c r="AH90" s="47"/>
      <c r="AI90" s="46"/>
      <c r="AJ90" s="46"/>
      <c r="AK90" s="46"/>
      <c r="AL90" s="7"/>
      <c r="AM90" s="49" t="str">
        <f aca="false">IF(OR(C90="",G90=""),"",IFERROR(DATEDIF(C90,G90,"m"),""))</f>
        <v/>
      </c>
      <c r="AN90" s="49" t="str">
        <f aca="false">IF(OR(Q90="",AM90=""),"",60+2*Q90-AM90)</f>
        <v/>
      </c>
      <c r="AO90" s="49" t="str">
        <f aca="false">IF(OR(G90="",AJ90=""),"",AJ90-G90)</f>
        <v/>
      </c>
      <c r="AP90" s="50" t="str">
        <f aca="false">IF(AND(A90="",B90=""),"",IF(J90="","Status needed",IF(OR(J90="Applied",J90="Visit booked",J90="Withdrawn"),"OK",IF(G90="","Date assessed needed",IF(C90="","Date of birth needed",IF(COUNTA(L90,M90,P90,U90,V90,X90,AB90)&lt;7,"Band missing",IF(AND(OR(J90="Decision confirmed",J90="Family told",J90="Enrolled"),AG90=""),"Recommendation needed",IF(AND(OR(J90="Family told",J90="Enrolled"),AJ90=""),"Date family told needed","OK"))))))))</f>
        <v/>
      </c>
    </row>
    <row r="91" customFormat="false" ht="15" hidden="false" customHeight="false" outlineLevel="0" collapsed="false">
      <c r="A91" s="7"/>
      <c r="B91" s="7"/>
      <c r="C91" s="46"/>
      <c r="D91" s="7"/>
      <c r="E91" s="47"/>
      <c r="F91" s="46"/>
      <c r="G91" s="46"/>
      <c r="H91" s="7"/>
      <c r="I91" s="7"/>
      <c r="J91" s="47"/>
      <c r="K91" s="47"/>
      <c r="L91" s="47"/>
      <c r="M91" s="47"/>
      <c r="N91" s="10"/>
      <c r="O91" s="47"/>
      <c r="P91" s="47"/>
      <c r="Q91" s="47"/>
      <c r="R91" s="48" t="str">
        <f aca="false">IF(Q91="","",IF(Q91=0,"below 5:00",IF(Q91&gt;=66,"16:00 or above",INT((60+2*Q91)/12)&amp;":"&amp;TEXT(MOD(60+2*Q91,12),"00"))))</f>
        <v/>
      </c>
      <c r="S91" s="47"/>
      <c r="T91" s="47"/>
      <c r="U91" s="47"/>
      <c r="V91" s="47"/>
      <c r="W91" s="47"/>
      <c r="X91" s="47"/>
      <c r="Y91" s="47"/>
      <c r="Z91" s="47"/>
      <c r="AA91" s="47"/>
      <c r="AB91" s="47"/>
      <c r="AC91" s="47"/>
      <c r="AD91" s="47"/>
      <c r="AE91" s="47"/>
      <c r="AF91" s="47"/>
      <c r="AG91" s="47"/>
      <c r="AH91" s="47"/>
      <c r="AI91" s="46"/>
      <c r="AJ91" s="46"/>
      <c r="AK91" s="46"/>
      <c r="AL91" s="7"/>
      <c r="AM91" s="49" t="str">
        <f aca="false">IF(OR(C91="",G91=""),"",IFERROR(DATEDIF(C91,G91,"m"),""))</f>
        <v/>
      </c>
      <c r="AN91" s="49" t="str">
        <f aca="false">IF(OR(Q91="",AM91=""),"",60+2*Q91-AM91)</f>
        <v/>
      </c>
      <c r="AO91" s="49" t="str">
        <f aca="false">IF(OR(G91="",AJ91=""),"",AJ91-G91)</f>
        <v/>
      </c>
      <c r="AP91" s="50" t="str">
        <f aca="false">IF(AND(A91="",B91=""),"",IF(J91="","Status needed",IF(OR(J91="Applied",J91="Visit booked",J91="Withdrawn"),"OK",IF(G91="","Date assessed needed",IF(C91="","Date of birth needed",IF(COUNTA(L91,M91,P91,U91,V91,X91,AB91)&lt;7,"Band missing",IF(AND(OR(J91="Decision confirmed",J91="Family told",J91="Enrolled"),AG91=""),"Recommendation needed",IF(AND(OR(J91="Family told",J91="Enrolled"),AJ91=""),"Date family told needed","OK"))))))))</f>
        <v/>
      </c>
    </row>
    <row r="92" customFormat="false" ht="15" hidden="false" customHeight="false" outlineLevel="0" collapsed="false">
      <c r="A92" s="7"/>
      <c r="B92" s="7"/>
      <c r="C92" s="46"/>
      <c r="D92" s="7"/>
      <c r="E92" s="47"/>
      <c r="F92" s="46"/>
      <c r="G92" s="46"/>
      <c r="H92" s="7"/>
      <c r="I92" s="7"/>
      <c r="J92" s="47"/>
      <c r="K92" s="47"/>
      <c r="L92" s="47"/>
      <c r="M92" s="47"/>
      <c r="N92" s="10"/>
      <c r="O92" s="47"/>
      <c r="P92" s="47"/>
      <c r="Q92" s="47"/>
      <c r="R92" s="48" t="str">
        <f aca="false">IF(Q92="","",IF(Q92=0,"below 5:00",IF(Q92&gt;=66,"16:00 or above",INT((60+2*Q92)/12)&amp;":"&amp;TEXT(MOD(60+2*Q92,12),"00"))))</f>
        <v/>
      </c>
      <c r="S92" s="47"/>
      <c r="T92" s="47"/>
      <c r="U92" s="47"/>
      <c r="V92" s="47"/>
      <c r="W92" s="47"/>
      <c r="X92" s="47"/>
      <c r="Y92" s="47"/>
      <c r="Z92" s="47"/>
      <c r="AA92" s="47"/>
      <c r="AB92" s="47"/>
      <c r="AC92" s="47"/>
      <c r="AD92" s="47"/>
      <c r="AE92" s="47"/>
      <c r="AF92" s="47"/>
      <c r="AG92" s="47"/>
      <c r="AH92" s="47"/>
      <c r="AI92" s="46"/>
      <c r="AJ92" s="46"/>
      <c r="AK92" s="46"/>
      <c r="AL92" s="7"/>
      <c r="AM92" s="49" t="str">
        <f aca="false">IF(OR(C92="",G92=""),"",IFERROR(DATEDIF(C92,G92,"m"),""))</f>
        <v/>
      </c>
      <c r="AN92" s="49" t="str">
        <f aca="false">IF(OR(Q92="",AM92=""),"",60+2*Q92-AM92)</f>
        <v/>
      </c>
      <c r="AO92" s="49" t="str">
        <f aca="false">IF(OR(G92="",AJ92=""),"",AJ92-G92)</f>
        <v/>
      </c>
      <c r="AP92" s="50" t="str">
        <f aca="false">IF(AND(A92="",B92=""),"",IF(J92="","Status needed",IF(OR(J92="Applied",J92="Visit booked",J92="Withdrawn"),"OK",IF(G92="","Date assessed needed",IF(C92="","Date of birth needed",IF(COUNTA(L92,M92,P92,U92,V92,X92,AB92)&lt;7,"Band missing",IF(AND(OR(J92="Decision confirmed",J92="Family told",J92="Enrolled"),AG92=""),"Recommendation needed",IF(AND(OR(J92="Family told",J92="Enrolled"),AJ92=""),"Date family told needed","OK"))))))))</f>
        <v/>
      </c>
    </row>
    <row r="93" customFormat="false" ht="15" hidden="false" customHeight="false" outlineLevel="0" collapsed="false">
      <c r="A93" s="7"/>
      <c r="B93" s="7"/>
      <c r="C93" s="46"/>
      <c r="D93" s="7"/>
      <c r="E93" s="47"/>
      <c r="F93" s="46"/>
      <c r="G93" s="46"/>
      <c r="H93" s="7"/>
      <c r="I93" s="7"/>
      <c r="J93" s="47"/>
      <c r="K93" s="47"/>
      <c r="L93" s="47"/>
      <c r="M93" s="47"/>
      <c r="N93" s="10"/>
      <c r="O93" s="47"/>
      <c r="P93" s="47"/>
      <c r="Q93" s="47"/>
      <c r="R93" s="48" t="str">
        <f aca="false">IF(Q93="","",IF(Q93=0,"below 5:00",IF(Q93&gt;=66,"16:00 or above",INT((60+2*Q93)/12)&amp;":"&amp;TEXT(MOD(60+2*Q93,12),"00"))))</f>
        <v/>
      </c>
      <c r="S93" s="47"/>
      <c r="T93" s="47"/>
      <c r="U93" s="47"/>
      <c r="V93" s="47"/>
      <c r="W93" s="47"/>
      <c r="X93" s="47"/>
      <c r="Y93" s="47"/>
      <c r="Z93" s="47"/>
      <c r="AA93" s="47"/>
      <c r="AB93" s="47"/>
      <c r="AC93" s="47"/>
      <c r="AD93" s="47"/>
      <c r="AE93" s="47"/>
      <c r="AF93" s="47"/>
      <c r="AG93" s="47"/>
      <c r="AH93" s="47"/>
      <c r="AI93" s="46"/>
      <c r="AJ93" s="46"/>
      <c r="AK93" s="46"/>
      <c r="AL93" s="7"/>
      <c r="AM93" s="49" t="str">
        <f aca="false">IF(OR(C93="",G93=""),"",IFERROR(DATEDIF(C93,G93,"m"),""))</f>
        <v/>
      </c>
      <c r="AN93" s="49" t="str">
        <f aca="false">IF(OR(Q93="",AM93=""),"",60+2*Q93-AM93)</f>
        <v/>
      </c>
      <c r="AO93" s="49" t="str">
        <f aca="false">IF(OR(G93="",AJ93=""),"",AJ93-G93)</f>
        <v/>
      </c>
      <c r="AP93" s="50" t="str">
        <f aca="false">IF(AND(A93="",B93=""),"",IF(J93="","Status needed",IF(OR(J93="Applied",J93="Visit booked",J93="Withdrawn"),"OK",IF(G93="","Date assessed needed",IF(C93="","Date of birth needed",IF(COUNTA(L93,M93,P93,U93,V93,X93,AB93)&lt;7,"Band missing",IF(AND(OR(J93="Decision confirmed",J93="Family told",J93="Enrolled"),AG93=""),"Recommendation needed",IF(AND(OR(J93="Family told",J93="Enrolled"),AJ93=""),"Date family told needed","OK"))))))))</f>
        <v/>
      </c>
    </row>
    <row r="94" customFormat="false" ht="15" hidden="false" customHeight="false" outlineLevel="0" collapsed="false">
      <c r="A94" s="7"/>
      <c r="B94" s="7"/>
      <c r="C94" s="46"/>
      <c r="D94" s="7"/>
      <c r="E94" s="47"/>
      <c r="F94" s="46"/>
      <c r="G94" s="46"/>
      <c r="H94" s="7"/>
      <c r="I94" s="7"/>
      <c r="J94" s="47"/>
      <c r="K94" s="47"/>
      <c r="L94" s="47"/>
      <c r="M94" s="47"/>
      <c r="N94" s="10"/>
      <c r="O94" s="47"/>
      <c r="P94" s="47"/>
      <c r="Q94" s="47"/>
      <c r="R94" s="48" t="str">
        <f aca="false">IF(Q94="","",IF(Q94=0,"below 5:00",IF(Q94&gt;=66,"16:00 or above",INT((60+2*Q94)/12)&amp;":"&amp;TEXT(MOD(60+2*Q94,12),"00"))))</f>
        <v/>
      </c>
      <c r="S94" s="47"/>
      <c r="T94" s="47"/>
      <c r="U94" s="47"/>
      <c r="V94" s="47"/>
      <c r="W94" s="47"/>
      <c r="X94" s="47"/>
      <c r="Y94" s="47"/>
      <c r="Z94" s="47"/>
      <c r="AA94" s="47"/>
      <c r="AB94" s="47"/>
      <c r="AC94" s="47"/>
      <c r="AD94" s="47"/>
      <c r="AE94" s="47"/>
      <c r="AF94" s="47"/>
      <c r="AG94" s="47"/>
      <c r="AH94" s="47"/>
      <c r="AI94" s="46"/>
      <c r="AJ94" s="46"/>
      <c r="AK94" s="46"/>
      <c r="AL94" s="7"/>
      <c r="AM94" s="49" t="str">
        <f aca="false">IF(OR(C94="",G94=""),"",IFERROR(DATEDIF(C94,G94,"m"),""))</f>
        <v/>
      </c>
      <c r="AN94" s="49" t="str">
        <f aca="false">IF(OR(Q94="",AM94=""),"",60+2*Q94-AM94)</f>
        <v/>
      </c>
      <c r="AO94" s="49" t="str">
        <f aca="false">IF(OR(G94="",AJ94=""),"",AJ94-G94)</f>
        <v/>
      </c>
      <c r="AP94" s="50" t="str">
        <f aca="false">IF(AND(A94="",B94=""),"",IF(J94="","Status needed",IF(OR(J94="Applied",J94="Visit booked",J94="Withdrawn"),"OK",IF(G94="","Date assessed needed",IF(C94="","Date of birth needed",IF(COUNTA(L94,M94,P94,U94,V94,X94,AB94)&lt;7,"Band missing",IF(AND(OR(J94="Decision confirmed",J94="Family told",J94="Enrolled"),AG94=""),"Recommendation needed",IF(AND(OR(J94="Family told",J94="Enrolled"),AJ94=""),"Date family told needed","OK"))))))))</f>
        <v/>
      </c>
    </row>
    <row r="95" customFormat="false" ht="15" hidden="false" customHeight="false" outlineLevel="0" collapsed="false">
      <c r="A95" s="7"/>
      <c r="B95" s="7"/>
      <c r="C95" s="46"/>
      <c r="D95" s="7"/>
      <c r="E95" s="47"/>
      <c r="F95" s="46"/>
      <c r="G95" s="46"/>
      <c r="H95" s="7"/>
      <c r="I95" s="7"/>
      <c r="J95" s="47"/>
      <c r="K95" s="47"/>
      <c r="L95" s="47"/>
      <c r="M95" s="47"/>
      <c r="N95" s="10"/>
      <c r="O95" s="47"/>
      <c r="P95" s="47"/>
      <c r="Q95" s="47"/>
      <c r="R95" s="48" t="str">
        <f aca="false">IF(Q95="","",IF(Q95=0,"below 5:00",IF(Q95&gt;=66,"16:00 or above",INT((60+2*Q95)/12)&amp;":"&amp;TEXT(MOD(60+2*Q95,12),"00"))))</f>
        <v/>
      </c>
      <c r="S95" s="47"/>
      <c r="T95" s="47"/>
      <c r="U95" s="47"/>
      <c r="V95" s="47"/>
      <c r="W95" s="47"/>
      <c r="X95" s="47"/>
      <c r="Y95" s="47"/>
      <c r="Z95" s="47"/>
      <c r="AA95" s="47"/>
      <c r="AB95" s="47"/>
      <c r="AC95" s="47"/>
      <c r="AD95" s="47"/>
      <c r="AE95" s="47"/>
      <c r="AF95" s="47"/>
      <c r="AG95" s="47"/>
      <c r="AH95" s="47"/>
      <c r="AI95" s="46"/>
      <c r="AJ95" s="46"/>
      <c r="AK95" s="46"/>
      <c r="AL95" s="7"/>
      <c r="AM95" s="49" t="str">
        <f aca="false">IF(OR(C95="",G95=""),"",IFERROR(DATEDIF(C95,G95,"m"),""))</f>
        <v/>
      </c>
      <c r="AN95" s="49" t="str">
        <f aca="false">IF(OR(Q95="",AM95=""),"",60+2*Q95-AM95)</f>
        <v/>
      </c>
      <c r="AO95" s="49" t="str">
        <f aca="false">IF(OR(G95="",AJ95=""),"",AJ95-G95)</f>
        <v/>
      </c>
      <c r="AP95" s="50" t="str">
        <f aca="false">IF(AND(A95="",B95=""),"",IF(J95="","Status needed",IF(OR(J95="Applied",J95="Visit booked",J95="Withdrawn"),"OK",IF(G95="","Date assessed needed",IF(C95="","Date of birth needed",IF(COUNTA(L95,M95,P95,U95,V95,X95,AB95)&lt;7,"Band missing",IF(AND(OR(J95="Decision confirmed",J95="Family told",J95="Enrolled"),AG95=""),"Recommendation needed",IF(AND(OR(J95="Family told",J95="Enrolled"),AJ95=""),"Date family told needed","OK"))))))))</f>
        <v/>
      </c>
    </row>
    <row r="96" customFormat="false" ht="15" hidden="false" customHeight="false" outlineLevel="0" collapsed="false">
      <c r="A96" s="7"/>
      <c r="B96" s="7"/>
      <c r="C96" s="46"/>
      <c r="D96" s="7"/>
      <c r="E96" s="47"/>
      <c r="F96" s="46"/>
      <c r="G96" s="46"/>
      <c r="H96" s="7"/>
      <c r="I96" s="7"/>
      <c r="J96" s="47"/>
      <c r="K96" s="47"/>
      <c r="L96" s="47"/>
      <c r="M96" s="47"/>
      <c r="N96" s="10"/>
      <c r="O96" s="47"/>
      <c r="P96" s="47"/>
      <c r="Q96" s="47"/>
      <c r="R96" s="48" t="str">
        <f aca="false">IF(Q96="","",IF(Q96=0,"below 5:00",IF(Q96&gt;=66,"16:00 or above",INT((60+2*Q96)/12)&amp;":"&amp;TEXT(MOD(60+2*Q96,12),"00"))))</f>
        <v/>
      </c>
      <c r="S96" s="47"/>
      <c r="T96" s="47"/>
      <c r="U96" s="47"/>
      <c r="V96" s="47"/>
      <c r="W96" s="47"/>
      <c r="X96" s="47"/>
      <c r="Y96" s="47"/>
      <c r="Z96" s="47"/>
      <c r="AA96" s="47"/>
      <c r="AB96" s="47"/>
      <c r="AC96" s="47"/>
      <c r="AD96" s="47"/>
      <c r="AE96" s="47"/>
      <c r="AF96" s="47"/>
      <c r="AG96" s="47"/>
      <c r="AH96" s="47"/>
      <c r="AI96" s="46"/>
      <c r="AJ96" s="46"/>
      <c r="AK96" s="46"/>
      <c r="AL96" s="7"/>
      <c r="AM96" s="49" t="str">
        <f aca="false">IF(OR(C96="",G96=""),"",IFERROR(DATEDIF(C96,G96,"m"),""))</f>
        <v/>
      </c>
      <c r="AN96" s="49" t="str">
        <f aca="false">IF(OR(Q96="",AM96=""),"",60+2*Q96-AM96)</f>
        <v/>
      </c>
      <c r="AO96" s="49" t="str">
        <f aca="false">IF(OR(G96="",AJ96=""),"",AJ96-G96)</f>
        <v/>
      </c>
      <c r="AP96" s="50" t="str">
        <f aca="false">IF(AND(A96="",B96=""),"",IF(J96="","Status needed",IF(OR(J96="Applied",J96="Visit booked",J96="Withdrawn"),"OK",IF(G96="","Date assessed needed",IF(C96="","Date of birth needed",IF(COUNTA(L96,M96,P96,U96,V96,X96,AB96)&lt;7,"Band missing",IF(AND(OR(J96="Decision confirmed",J96="Family told",J96="Enrolled"),AG96=""),"Recommendation needed",IF(AND(OR(J96="Family told",J96="Enrolled"),AJ96=""),"Date family told needed","OK"))))))))</f>
        <v/>
      </c>
    </row>
    <row r="97" customFormat="false" ht="15" hidden="false" customHeight="false" outlineLevel="0" collapsed="false">
      <c r="A97" s="7"/>
      <c r="B97" s="7"/>
      <c r="C97" s="46"/>
      <c r="D97" s="7"/>
      <c r="E97" s="47"/>
      <c r="F97" s="46"/>
      <c r="G97" s="46"/>
      <c r="H97" s="7"/>
      <c r="I97" s="7"/>
      <c r="J97" s="47"/>
      <c r="K97" s="47"/>
      <c r="L97" s="47"/>
      <c r="M97" s="47"/>
      <c r="N97" s="10"/>
      <c r="O97" s="47"/>
      <c r="P97" s="47"/>
      <c r="Q97" s="47"/>
      <c r="R97" s="48" t="str">
        <f aca="false">IF(Q97="","",IF(Q97=0,"below 5:00",IF(Q97&gt;=66,"16:00 or above",INT((60+2*Q97)/12)&amp;":"&amp;TEXT(MOD(60+2*Q97,12),"00"))))</f>
        <v/>
      </c>
      <c r="S97" s="47"/>
      <c r="T97" s="47"/>
      <c r="U97" s="47"/>
      <c r="V97" s="47"/>
      <c r="W97" s="47"/>
      <c r="X97" s="47"/>
      <c r="Y97" s="47"/>
      <c r="Z97" s="47"/>
      <c r="AA97" s="47"/>
      <c r="AB97" s="47"/>
      <c r="AC97" s="47"/>
      <c r="AD97" s="47"/>
      <c r="AE97" s="47"/>
      <c r="AF97" s="47"/>
      <c r="AG97" s="47"/>
      <c r="AH97" s="47"/>
      <c r="AI97" s="46"/>
      <c r="AJ97" s="46"/>
      <c r="AK97" s="46"/>
      <c r="AL97" s="7"/>
      <c r="AM97" s="49" t="str">
        <f aca="false">IF(OR(C97="",G97=""),"",IFERROR(DATEDIF(C97,G97,"m"),""))</f>
        <v/>
      </c>
      <c r="AN97" s="49" t="str">
        <f aca="false">IF(OR(Q97="",AM97=""),"",60+2*Q97-AM97)</f>
        <v/>
      </c>
      <c r="AO97" s="49" t="str">
        <f aca="false">IF(OR(G97="",AJ97=""),"",AJ97-G97)</f>
        <v/>
      </c>
      <c r="AP97" s="50" t="str">
        <f aca="false">IF(AND(A97="",B97=""),"",IF(J97="","Status needed",IF(OR(J97="Applied",J97="Visit booked",J97="Withdrawn"),"OK",IF(G97="","Date assessed needed",IF(C97="","Date of birth needed",IF(COUNTA(L97,M97,P97,U97,V97,X97,AB97)&lt;7,"Band missing",IF(AND(OR(J97="Decision confirmed",J97="Family told",J97="Enrolled"),AG97=""),"Recommendation needed",IF(AND(OR(J97="Family told",J97="Enrolled"),AJ97=""),"Date family told needed","OK"))))))))</f>
        <v/>
      </c>
    </row>
    <row r="98" customFormat="false" ht="15" hidden="false" customHeight="false" outlineLevel="0" collapsed="false">
      <c r="A98" s="7"/>
      <c r="B98" s="7"/>
      <c r="C98" s="46"/>
      <c r="D98" s="7"/>
      <c r="E98" s="47"/>
      <c r="F98" s="46"/>
      <c r="G98" s="46"/>
      <c r="H98" s="7"/>
      <c r="I98" s="7"/>
      <c r="J98" s="47"/>
      <c r="K98" s="47"/>
      <c r="L98" s="47"/>
      <c r="M98" s="47"/>
      <c r="N98" s="10"/>
      <c r="O98" s="47"/>
      <c r="P98" s="47"/>
      <c r="Q98" s="47"/>
      <c r="R98" s="48" t="str">
        <f aca="false">IF(Q98="","",IF(Q98=0,"below 5:00",IF(Q98&gt;=66,"16:00 or above",INT((60+2*Q98)/12)&amp;":"&amp;TEXT(MOD(60+2*Q98,12),"00"))))</f>
        <v/>
      </c>
      <c r="S98" s="47"/>
      <c r="T98" s="47"/>
      <c r="U98" s="47"/>
      <c r="V98" s="47"/>
      <c r="W98" s="47"/>
      <c r="X98" s="47"/>
      <c r="Y98" s="47"/>
      <c r="Z98" s="47"/>
      <c r="AA98" s="47"/>
      <c r="AB98" s="47"/>
      <c r="AC98" s="47"/>
      <c r="AD98" s="47"/>
      <c r="AE98" s="47"/>
      <c r="AF98" s="47"/>
      <c r="AG98" s="47"/>
      <c r="AH98" s="47"/>
      <c r="AI98" s="46"/>
      <c r="AJ98" s="46"/>
      <c r="AK98" s="46"/>
      <c r="AL98" s="7"/>
      <c r="AM98" s="49" t="str">
        <f aca="false">IF(OR(C98="",G98=""),"",IFERROR(DATEDIF(C98,G98,"m"),""))</f>
        <v/>
      </c>
      <c r="AN98" s="49" t="str">
        <f aca="false">IF(OR(Q98="",AM98=""),"",60+2*Q98-AM98)</f>
        <v/>
      </c>
      <c r="AO98" s="49" t="str">
        <f aca="false">IF(OR(G98="",AJ98=""),"",AJ98-G98)</f>
        <v/>
      </c>
      <c r="AP98" s="50" t="str">
        <f aca="false">IF(AND(A98="",B98=""),"",IF(J98="","Status needed",IF(OR(J98="Applied",J98="Visit booked",J98="Withdrawn"),"OK",IF(G98="","Date assessed needed",IF(C98="","Date of birth needed",IF(COUNTA(L98,M98,P98,U98,V98,X98,AB98)&lt;7,"Band missing",IF(AND(OR(J98="Decision confirmed",J98="Family told",J98="Enrolled"),AG98=""),"Recommendation needed",IF(AND(OR(J98="Family told",J98="Enrolled"),AJ98=""),"Date family told needed","OK"))))))))</f>
        <v/>
      </c>
    </row>
    <row r="99" customFormat="false" ht="15" hidden="false" customHeight="false" outlineLevel="0" collapsed="false">
      <c r="A99" s="7"/>
      <c r="B99" s="7"/>
      <c r="C99" s="46"/>
      <c r="D99" s="7"/>
      <c r="E99" s="47"/>
      <c r="F99" s="46"/>
      <c r="G99" s="46"/>
      <c r="H99" s="7"/>
      <c r="I99" s="7"/>
      <c r="J99" s="47"/>
      <c r="K99" s="47"/>
      <c r="L99" s="47"/>
      <c r="M99" s="47"/>
      <c r="N99" s="10"/>
      <c r="O99" s="47"/>
      <c r="P99" s="47"/>
      <c r="Q99" s="47"/>
      <c r="R99" s="48" t="str">
        <f aca="false">IF(Q99="","",IF(Q99=0,"below 5:00",IF(Q99&gt;=66,"16:00 or above",INT((60+2*Q99)/12)&amp;":"&amp;TEXT(MOD(60+2*Q99,12),"00"))))</f>
        <v/>
      </c>
      <c r="S99" s="47"/>
      <c r="T99" s="47"/>
      <c r="U99" s="47"/>
      <c r="V99" s="47"/>
      <c r="W99" s="47"/>
      <c r="X99" s="47"/>
      <c r="Y99" s="47"/>
      <c r="Z99" s="47"/>
      <c r="AA99" s="47"/>
      <c r="AB99" s="47"/>
      <c r="AC99" s="47"/>
      <c r="AD99" s="47"/>
      <c r="AE99" s="47"/>
      <c r="AF99" s="47"/>
      <c r="AG99" s="47"/>
      <c r="AH99" s="47"/>
      <c r="AI99" s="46"/>
      <c r="AJ99" s="46"/>
      <c r="AK99" s="46"/>
      <c r="AL99" s="7"/>
      <c r="AM99" s="49" t="str">
        <f aca="false">IF(OR(C99="",G99=""),"",IFERROR(DATEDIF(C99,G99,"m"),""))</f>
        <v/>
      </c>
      <c r="AN99" s="49" t="str">
        <f aca="false">IF(OR(Q99="",AM99=""),"",60+2*Q99-AM99)</f>
        <v/>
      </c>
      <c r="AO99" s="49" t="str">
        <f aca="false">IF(OR(G99="",AJ99=""),"",AJ99-G99)</f>
        <v/>
      </c>
      <c r="AP99" s="50" t="str">
        <f aca="false">IF(AND(A99="",B99=""),"",IF(J99="","Status needed",IF(OR(J99="Applied",J99="Visit booked",J99="Withdrawn"),"OK",IF(G99="","Date assessed needed",IF(C99="","Date of birth needed",IF(COUNTA(L99,M99,P99,U99,V99,X99,AB99)&lt;7,"Band missing",IF(AND(OR(J99="Decision confirmed",J99="Family told",J99="Enrolled"),AG99=""),"Recommendation needed",IF(AND(OR(J99="Family told",J99="Enrolled"),AJ99=""),"Date family told needed","OK"))))))))</f>
        <v/>
      </c>
    </row>
    <row r="100" customFormat="false" ht="15" hidden="false" customHeight="false" outlineLevel="0" collapsed="false">
      <c r="A100" s="7"/>
      <c r="B100" s="7"/>
      <c r="C100" s="46"/>
      <c r="D100" s="7"/>
      <c r="E100" s="47"/>
      <c r="F100" s="46"/>
      <c r="G100" s="46"/>
      <c r="H100" s="7"/>
      <c r="I100" s="7"/>
      <c r="J100" s="47"/>
      <c r="K100" s="47"/>
      <c r="L100" s="47"/>
      <c r="M100" s="47"/>
      <c r="N100" s="10"/>
      <c r="O100" s="47"/>
      <c r="P100" s="47"/>
      <c r="Q100" s="47"/>
      <c r="R100" s="48" t="str">
        <f aca="false">IF(Q100="","",IF(Q100=0,"below 5:00",IF(Q100&gt;=66,"16:00 or above",INT((60+2*Q100)/12)&amp;":"&amp;TEXT(MOD(60+2*Q100,12),"00"))))</f>
        <v/>
      </c>
      <c r="S100" s="47"/>
      <c r="T100" s="47"/>
      <c r="U100" s="47"/>
      <c r="V100" s="47"/>
      <c r="W100" s="47"/>
      <c r="X100" s="47"/>
      <c r="Y100" s="47"/>
      <c r="Z100" s="47"/>
      <c r="AA100" s="47"/>
      <c r="AB100" s="47"/>
      <c r="AC100" s="47"/>
      <c r="AD100" s="47"/>
      <c r="AE100" s="47"/>
      <c r="AF100" s="47"/>
      <c r="AG100" s="47"/>
      <c r="AH100" s="47"/>
      <c r="AI100" s="46"/>
      <c r="AJ100" s="46"/>
      <c r="AK100" s="46"/>
      <c r="AL100" s="7"/>
      <c r="AM100" s="49" t="str">
        <f aca="false">IF(OR(C100="",G100=""),"",IFERROR(DATEDIF(C100,G100,"m"),""))</f>
        <v/>
      </c>
      <c r="AN100" s="49" t="str">
        <f aca="false">IF(OR(Q100="",AM100=""),"",60+2*Q100-AM100)</f>
        <v/>
      </c>
      <c r="AO100" s="49" t="str">
        <f aca="false">IF(OR(G100="",AJ100=""),"",AJ100-G100)</f>
        <v/>
      </c>
      <c r="AP100" s="50" t="str">
        <f aca="false">IF(AND(A100="",B100=""),"",IF(J100="","Status needed",IF(OR(J100="Applied",J100="Visit booked",J100="Withdrawn"),"OK",IF(G100="","Date assessed needed",IF(C100="","Date of birth needed",IF(COUNTA(L100,M100,P100,U100,V100,X100,AB100)&lt;7,"Band missing",IF(AND(OR(J100="Decision confirmed",J100="Family told",J100="Enrolled"),AG100=""),"Recommendation needed",IF(AND(OR(J100="Family told",J100="Enrolled"),AJ100=""),"Date family told needed","OK"))))))))</f>
        <v/>
      </c>
    </row>
    <row r="101" customFormat="false" ht="15" hidden="false" customHeight="false" outlineLevel="0" collapsed="false">
      <c r="A101" s="7"/>
      <c r="B101" s="7"/>
      <c r="C101" s="46"/>
      <c r="D101" s="7"/>
      <c r="E101" s="47"/>
      <c r="F101" s="46"/>
      <c r="G101" s="46"/>
      <c r="H101" s="7"/>
      <c r="I101" s="7"/>
      <c r="J101" s="47"/>
      <c r="K101" s="47"/>
      <c r="L101" s="47"/>
      <c r="M101" s="47"/>
      <c r="N101" s="10"/>
      <c r="O101" s="47"/>
      <c r="P101" s="47"/>
      <c r="Q101" s="47"/>
      <c r="R101" s="48" t="str">
        <f aca="false">IF(Q101="","",IF(Q101=0,"below 5:00",IF(Q101&gt;=66,"16:00 or above",INT((60+2*Q101)/12)&amp;":"&amp;TEXT(MOD(60+2*Q101,12),"00"))))</f>
        <v/>
      </c>
      <c r="S101" s="47"/>
      <c r="T101" s="47"/>
      <c r="U101" s="47"/>
      <c r="V101" s="47"/>
      <c r="W101" s="47"/>
      <c r="X101" s="47"/>
      <c r="Y101" s="47"/>
      <c r="Z101" s="47"/>
      <c r="AA101" s="47"/>
      <c r="AB101" s="47"/>
      <c r="AC101" s="47"/>
      <c r="AD101" s="47"/>
      <c r="AE101" s="47"/>
      <c r="AF101" s="47"/>
      <c r="AG101" s="47"/>
      <c r="AH101" s="47"/>
      <c r="AI101" s="46"/>
      <c r="AJ101" s="46"/>
      <c r="AK101" s="46"/>
      <c r="AL101" s="7"/>
      <c r="AM101" s="49" t="str">
        <f aca="false">IF(OR(C101="",G101=""),"",IFERROR(DATEDIF(C101,G101,"m"),""))</f>
        <v/>
      </c>
      <c r="AN101" s="49" t="str">
        <f aca="false">IF(OR(Q101="",AM101=""),"",60+2*Q101-AM101)</f>
        <v/>
      </c>
      <c r="AO101" s="49" t="str">
        <f aca="false">IF(OR(G101="",AJ101=""),"",AJ101-G101)</f>
        <v/>
      </c>
      <c r="AP101" s="50" t="str">
        <f aca="false">IF(AND(A101="",B101=""),"",IF(J101="","Status needed",IF(OR(J101="Applied",J101="Visit booked",J101="Withdrawn"),"OK",IF(G101="","Date assessed needed",IF(C101="","Date of birth needed",IF(COUNTA(L101,M101,P101,U101,V101,X101,AB101)&lt;7,"Band missing",IF(AND(OR(J101="Decision confirmed",J101="Family told",J101="Enrolled"),AG101=""),"Recommendation needed",IF(AND(OR(J101="Family told",J101="Enrolled"),AJ101=""),"Date family told needed","OK"))))))))</f>
        <v/>
      </c>
    </row>
    <row r="102" customFormat="false" ht="15" hidden="false" customHeight="false" outlineLevel="0" collapsed="false">
      <c r="A102" s="7"/>
      <c r="B102" s="7"/>
      <c r="C102" s="46"/>
      <c r="D102" s="7"/>
      <c r="E102" s="47"/>
      <c r="F102" s="46"/>
      <c r="G102" s="46"/>
      <c r="H102" s="7"/>
      <c r="I102" s="7"/>
      <c r="J102" s="47"/>
      <c r="K102" s="47"/>
      <c r="L102" s="47"/>
      <c r="M102" s="47"/>
      <c r="N102" s="10"/>
      <c r="O102" s="47"/>
      <c r="P102" s="47"/>
      <c r="Q102" s="47"/>
      <c r="R102" s="48" t="str">
        <f aca="false">IF(Q102="","",IF(Q102=0,"below 5:00",IF(Q102&gt;=66,"16:00 or above",INT((60+2*Q102)/12)&amp;":"&amp;TEXT(MOD(60+2*Q102,12),"00"))))</f>
        <v/>
      </c>
      <c r="S102" s="47"/>
      <c r="T102" s="47"/>
      <c r="U102" s="47"/>
      <c r="V102" s="47"/>
      <c r="W102" s="47"/>
      <c r="X102" s="47"/>
      <c r="Y102" s="47"/>
      <c r="Z102" s="47"/>
      <c r="AA102" s="47"/>
      <c r="AB102" s="47"/>
      <c r="AC102" s="47"/>
      <c r="AD102" s="47"/>
      <c r="AE102" s="47"/>
      <c r="AF102" s="47"/>
      <c r="AG102" s="47"/>
      <c r="AH102" s="47"/>
      <c r="AI102" s="46"/>
      <c r="AJ102" s="46"/>
      <c r="AK102" s="46"/>
      <c r="AL102" s="7"/>
      <c r="AM102" s="49" t="str">
        <f aca="false">IF(OR(C102="",G102=""),"",IFERROR(DATEDIF(C102,G102,"m"),""))</f>
        <v/>
      </c>
      <c r="AN102" s="49" t="str">
        <f aca="false">IF(OR(Q102="",AM102=""),"",60+2*Q102-AM102)</f>
        <v/>
      </c>
      <c r="AO102" s="49" t="str">
        <f aca="false">IF(OR(G102="",AJ102=""),"",AJ102-G102)</f>
        <v/>
      </c>
      <c r="AP102" s="50" t="str">
        <f aca="false">IF(AND(A102="",B102=""),"",IF(J102="","Status needed",IF(OR(J102="Applied",J102="Visit booked",J102="Withdrawn"),"OK",IF(G102="","Date assessed needed",IF(C102="","Date of birth needed",IF(COUNTA(L102,M102,P102,U102,V102,X102,AB102)&lt;7,"Band missing",IF(AND(OR(J102="Decision confirmed",J102="Family told",J102="Enrolled"),AG102=""),"Recommendation needed",IF(AND(OR(J102="Family told",J102="Enrolled"),AJ102=""),"Date family told needed","OK"))))))))</f>
        <v/>
      </c>
    </row>
    <row r="103" customFormat="false" ht="15" hidden="false" customHeight="false" outlineLevel="0" collapsed="false">
      <c r="A103" s="7"/>
      <c r="B103" s="7"/>
      <c r="C103" s="46"/>
      <c r="D103" s="7"/>
      <c r="E103" s="47"/>
      <c r="F103" s="46"/>
      <c r="G103" s="46"/>
      <c r="H103" s="7"/>
      <c r="I103" s="7"/>
      <c r="J103" s="47"/>
      <c r="K103" s="47"/>
      <c r="L103" s="47"/>
      <c r="M103" s="47"/>
      <c r="N103" s="10"/>
      <c r="O103" s="47"/>
      <c r="P103" s="47"/>
      <c r="Q103" s="47"/>
      <c r="R103" s="48" t="str">
        <f aca="false">IF(Q103="","",IF(Q103=0,"below 5:00",IF(Q103&gt;=66,"16:00 or above",INT((60+2*Q103)/12)&amp;":"&amp;TEXT(MOD(60+2*Q103,12),"00"))))</f>
        <v/>
      </c>
      <c r="S103" s="47"/>
      <c r="T103" s="47"/>
      <c r="U103" s="47"/>
      <c r="V103" s="47"/>
      <c r="W103" s="47"/>
      <c r="X103" s="47"/>
      <c r="Y103" s="47"/>
      <c r="Z103" s="47"/>
      <c r="AA103" s="47"/>
      <c r="AB103" s="47"/>
      <c r="AC103" s="47"/>
      <c r="AD103" s="47"/>
      <c r="AE103" s="47"/>
      <c r="AF103" s="47"/>
      <c r="AG103" s="47"/>
      <c r="AH103" s="47"/>
      <c r="AI103" s="46"/>
      <c r="AJ103" s="46"/>
      <c r="AK103" s="46"/>
      <c r="AL103" s="7"/>
      <c r="AM103" s="49" t="str">
        <f aca="false">IF(OR(C103="",G103=""),"",IFERROR(DATEDIF(C103,G103,"m"),""))</f>
        <v/>
      </c>
      <c r="AN103" s="49" t="str">
        <f aca="false">IF(OR(Q103="",AM103=""),"",60+2*Q103-AM103)</f>
        <v/>
      </c>
      <c r="AO103" s="49" t="str">
        <f aca="false">IF(OR(G103="",AJ103=""),"",AJ103-G103)</f>
        <v/>
      </c>
      <c r="AP103" s="50" t="str">
        <f aca="false">IF(AND(A103="",B103=""),"",IF(J103="","Status needed",IF(OR(J103="Applied",J103="Visit booked",J103="Withdrawn"),"OK",IF(G103="","Date assessed needed",IF(C103="","Date of birth needed",IF(COUNTA(L103,M103,P103,U103,V103,X103,AB103)&lt;7,"Band missing",IF(AND(OR(J103="Decision confirmed",J103="Family told",J103="Enrolled"),AG103=""),"Recommendation needed",IF(AND(OR(J103="Family told",J103="Enrolled"),AJ103=""),"Date family told needed","OK"))))))))</f>
        <v/>
      </c>
    </row>
    <row r="104" customFormat="false" ht="15" hidden="false" customHeight="false" outlineLevel="0" collapsed="false">
      <c r="A104" s="7"/>
      <c r="B104" s="7"/>
      <c r="C104" s="46"/>
      <c r="D104" s="7"/>
      <c r="E104" s="47"/>
      <c r="F104" s="46"/>
      <c r="G104" s="46"/>
      <c r="H104" s="7"/>
      <c r="I104" s="7"/>
      <c r="J104" s="47"/>
      <c r="K104" s="47"/>
      <c r="L104" s="47"/>
      <c r="M104" s="47"/>
      <c r="N104" s="10"/>
      <c r="O104" s="47"/>
      <c r="P104" s="47"/>
      <c r="Q104" s="47"/>
      <c r="R104" s="48" t="str">
        <f aca="false">IF(Q104="","",IF(Q104=0,"below 5:00",IF(Q104&gt;=66,"16:00 or above",INT((60+2*Q104)/12)&amp;":"&amp;TEXT(MOD(60+2*Q104,12),"00"))))</f>
        <v/>
      </c>
      <c r="S104" s="47"/>
      <c r="T104" s="47"/>
      <c r="U104" s="47"/>
      <c r="V104" s="47"/>
      <c r="W104" s="47"/>
      <c r="X104" s="47"/>
      <c r="Y104" s="47"/>
      <c r="Z104" s="47"/>
      <c r="AA104" s="47"/>
      <c r="AB104" s="47"/>
      <c r="AC104" s="47"/>
      <c r="AD104" s="47"/>
      <c r="AE104" s="47"/>
      <c r="AF104" s="47"/>
      <c r="AG104" s="47"/>
      <c r="AH104" s="47"/>
      <c r="AI104" s="46"/>
      <c r="AJ104" s="46"/>
      <c r="AK104" s="46"/>
      <c r="AL104" s="7"/>
      <c r="AM104" s="49" t="str">
        <f aca="false">IF(OR(C104="",G104=""),"",IFERROR(DATEDIF(C104,G104,"m"),""))</f>
        <v/>
      </c>
      <c r="AN104" s="49" t="str">
        <f aca="false">IF(OR(Q104="",AM104=""),"",60+2*Q104-AM104)</f>
        <v/>
      </c>
      <c r="AO104" s="49" t="str">
        <f aca="false">IF(OR(G104="",AJ104=""),"",AJ104-G104)</f>
        <v/>
      </c>
      <c r="AP104" s="50" t="str">
        <f aca="false">IF(AND(A104="",B104=""),"",IF(J104="","Status needed",IF(OR(J104="Applied",J104="Visit booked",J104="Withdrawn"),"OK",IF(G104="","Date assessed needed",IF(C104="","Date of birth needed",IF(COUNTA(L104,M104,P104,U104,V104,X104,AB104)&lt;7,"Band missing",IF(AND(OR(J104="Decision confirmed",J104="Family told",J104="Enrolled"),AG104=""),"Recommendation needed",IF(AND(OR(J104="Family told",J104="Enrolled"),AJ104=""),"Date family told needed","OK"))))))))</f>
        <v/>
      </c>
    </row>
    <row r="105" customFormat="false" ht="15" hidden="false" customHeight="false" outlineLevel="0" collapsed="false">
      <c r="A105" s="7"/>
      <c r="B105" s="7"/>
      <c r="C105" s="46"/>
      <c r="D105" s="7"/>
      <c r="E105" s="47"/>
      <c r="F105" s="46"/>
      <c r="G105" s="46"/>
      <c r="H105" s="7"/>
      <c r="I105" s="7"/>
      <c r="J105" s="47"/>
      <c r="K105" s="47"/>
      <c r="L105" s="47"/>
      <c r="M105" s="47"/>
      <c r="N105" s="10"/>
      <c r="O105" s="47"/>
      <c r="P105" s="47"/>
      <c r="Q105" s="47"/>
      <c r="R105" s="48" t="str">
        <f aca="false">IF(Q105="","",IF(Q105=0,"below 5:00",IF(Q105&gt;=66,"16:00 or above",INT((60+2*Q105)/12)&amp;":"&amp;TEXT(MOD(60+2*Q105,12),"00"))))</f>
        <v/>
      </c>
      <c r="S105" s="47"/>
      <c r="T105" s="47"/>
      <c r="U105" s="47"/>
      <c r="V105" s="47"/>
      <c r="W105" s="47"/>
      <c r="X105" s="47"/>
      <c r="Y105" s="47"/>
      <c r="Z105" s="47"/>
      <c r="AA105" s="47"/>
      <c r="AB105" s="47"/>
      <c r="AC105" s="47"/>
      <c r="AD105" s="47"/>
      <c r="AE105" s="47"/>
      <c r="AF105" s="47"/>
      <c r="AG105" s="47"/>
      <c r="AH105" s="47"/>
      <c r="AI105" s="46"/>
      <c r="AJ105" s="46"/>
      <c r="AK105" s="46"/>
      <c r="AL105" s="7"/>
      <c r="AM105" s="49" t="str">
        <f aca="false">IF(OR(C105="",G105=""),"",IFERROR(DATEDIF(C105,G105,"m"),""))</f>
        <v/>
      </c>
      <c r="AN105" s="49" t="str">
        <f aca="false">IF(OR(Q105="",AM105=""),"",60+2*Q105-AM105)</f>
        <v/>
      </c>
      <c r="AO105" s="49" t="str">
        <f aca="false">IF(OR(G105="",AJ105=""),"",AJ105-G105)</f>
        <v/>
      </c>
      <c r="AP105" s="50" t="str">
        <f aca="false">IF(AND(A105="",B105=""),"",IF(J105="","Status needed",IF(OR(J105="Applied",J105="Visit booked",J105="Withdrawn"),"OK",IF(G105="","Date assessed needed",IF(C105="","Date of birth needed",IF(COUNTA(L105,M105,P105,U105,V105,X105,AB105)&lt;7,"Band missing",IF(AND(OR(J105="Decision confirmed",J105="Family told",J105="Enrolled"),AG105=""),"Recommendation needed",IF(AND(OR(J105="Family told",J105="Enrolled"),AJ105=""),"Date family told needed","OK"))))))))</f>
        <v/>
      </c>
    </row>
    <row r="106" customFormat="false" ht="15" hidden="false" customHeight="false" outlineLevel="0" collapsed="false">
      <c r="A106" s="7"/>
      <c r="B106" s="7"/>
      <c r="C106" s="46"/>
      <c r="D106" s="7"/>
      <c r="E106" s="47"/>
      <c r="F106" s="46"/>
      <c r="G106" s="46"/>
      <c r="H106" s="7"/>
      <c r="I106" s="7"/>
      <c r="J106" s="47"/>
      <c r="K106" s="47"/>
      <c r="L106" s="47"/>
      <c r="M106" s="47"/>
      <c r="N106" s="10"/>
      <c r="O106" s="47"/>
      <c r="P106" s="47"/>
      <c r="Q106" s="47"/>
      <c r="R106" s="48" t="str">
        <f aca="false">IF(Q106="","",IF(Q106=0,"below 5:00",IF(Q106&gt;=66,"16:00 or above",INT((60+2*Q106)/12)&amp;":"&amp;TEXT(MOD(60+2*Q106,12),"00"))))</f>
        <v/>
      </c>
      <c r="S106" s="47"/>
      <c r="T106" s="47"/>
      <c r="U106" s="47"/>
      <c r="V106" s="47"/>
      <c r="W106" s="47"/>
      <c r="X106" s="47"/>
      <c r="Y106" s="47"/>
      <c r="Z106" s="47"/>
      <c r="AA106" s="47"/>
      <c r="AB106" s="47"/>
      <c r="AC106" s="47"/>
      <c r="AD106" s="47"/>
      <c r="AE106" s="47"/>
      <c r="AF106" s="47"/>
      <c r="AG106" s="47"/>
      <c r="AH106" s="47"/>
      <c r="AI106" s="46"/>
      <c r="AJ106" s="46"/>
      <c r="AK106" s="46"/>
      <c r="AL106" s="7"/>
      <c r="AM106" s="49" t="str">
        <f aca="false">IF(OR(C106="",G106=""),"",IFERROR(DATEDIF(C106,G106,"m"),""))</f>
        <v/>
      </c>
      <c r="AN106" s="49" t="str">
        <f aca="false">IF(OR(Q106="",AM106=""),"",60+2*Q106-AM106)</f>
        <v/>
      </c>
      <c r="AO106" s="49" t="str">
        <f aca="false">IF(OR(G106="",AJ106=""),"",AJ106-G106)</f>
        <v/>
      </c>
      <c r="AP106" s="50" t="str">
        <f aca="false">IF(AND(A106="",B106=""),"",IF(J106="","Status needed",IF(OR(J106="Applied",J106="Visit booked",J106="Withdrawn"),"OK",IF(G106="","Date assessed needed",IF(C106="","Date of birth needed",IF(COUNTA(L106,M106,P106,U106,V106,X106,AB106)&lt;7,"Band missing",IF(AND(OR(J106="Decision confirmed",J106="Family told",J106="Enrolled"),AG106=""),"Recommendation needed",IF(AND(OR(J106="Family told",J106="Enrolled"),AJ106=""),"Date family told needed","OK"))))))))</f>
        <v/>
      </c>
    </row>
    <row r="107" customFormat="false" ht="15" hidden="false" customHeight="false" outlineLevel="0" collapsed="false">
      <c r="A107" s="7"/>
      <c r="B107" s="7"/>
      <c r="C107" s="46"/>
      <c r="D107" s="7"/>
      <c r="E107" s="47"/>
      <c r="F107" s="46"/>
      <c r="G107" s="46"/>
      <c r="H107" s="7"/>
      <c r="I107" s="7"/>
      <c r="J107" s="47"/>
      <c r="K107" s="47"/>
      <c r="L107" s="47"/>
      <c r="M107" s="47"/>
      <c r="N107" s="10"/>
      <c r="O107" s="47"/>
      <c r="P107" s="47"/>
      <c r="Q107" s="47"/>
      <c r="R107" s="48" t="str">
        <f aca="false">IF(Q107="","",IF(Q107=0,"below 5:00",IF(Q107&gt;=66,"16:00 or above",INT((60+2*Q107)/12)&amp;":"&amp;TEXT(MOD(60+2*Q107,12),"00"))))</f>
        <v/>
      </c>
      <c r="S107" s="47"/>
      <c r="T107" s="47"/>
      <c r="U107" s="47"/>
      <c r="V107" s="47"/>
      <c r="W107" s="47"/>
      <c r="X107" s="47"/>
      <c r="Y107" s="47"/>
      <c r="Z107" s="47"/>
      <c r="AA107" s="47"/>
      <c r="AB107" s="47"/>
      <c r="AC107" s="47"/>
      <c r="AD107" s="47"/>
      <c r="AE107" s="47"/>
      <c r="AF107" s="47"/>
      <c r="AG107" s="47"/>
      <c r="AH107" s="47"/>
      <c r="AI107" s="46"/>
      <c r="AJ107" s="46"/>
      <c r="AK107" s="46"/>
      <c r="AL107" s="7"/>
      <c r="AM107" s="49" t="str">
        <f aca="false">IF(OR(C107="",G107=""),"",IFERROR(DATEDIF(C107,G107,"m"),""))</f>
        <v/>
      </c>
      <c r="AN107" s="49" t="str">
        <f aca="false">IF(OR(Q107="",AM107=""),"",60+2*Q107-AM107)</f>
        <v/>
      </c>
      <c r="AO107" s="49" t="str">
        <f aca="false">IF(OR(G107="",AJ107=""),"",AJ107-G107)</f>
        <v/>
      </c>
      <c r="AP107" s="50" t="str">
        <f aca="false">IF(AND(A107="",B107=""),"",IF(J107="","Status needed",IF(OR(J107="Applied",J107="Visit booked",J107="Withdrawn"),"OK",IF(G107="","Date assessed needed",IF(C107="","Date of birth needed",IF(COUNTA(L107,M107,P107,U107,V107,X107,AB107)&lt;7,"Band missing",IF(AND(OR(J107="Decision confirmed",J107="Family told",J107="Enrolled"),AG107=""),"Recommendation needed",IF(AND(OR(J107="Family told",J107="Enrolled"),AJ107=""),"Date family told needed","OK"))))))))</f>
        <v/>
      </c>
    </row>
    <row r="108" customFormat="false" ht="15" hidden="false" customHeight="false" outlineLevel="0" collapsed="false">
      <c r="A108" s="7"/>
      <c r="B108" s="7"/>
      <c r="C108" s="46"/>
      <c r="D108" s="7"/>
      <c r="E108" s="47"/>
      <c r="F108" s="46"/>
      <c r="G108" s="46"/>
      <c r="H108" s="7"/>
      <c r="I108" s="7"/>
      <c r="J108" s="47"/>
      <c r="K108" s="47"/>
      <c r="L108" s="47"/>
      <c r="M108" s="47"/>
      <c r="N108" s="10"/>
      <c r="O108" s="47"/>
      <c r="P108" s="47"/>
      <c r="Q108" s="47"/>
      <c r="R108" s="48" t="str">
        <f aca="false">IF(Q108="","",IF(Q108=0,"below 5:00",IF(Q108&gt;=66,"16:00 or above",INT((60+2*Q108)/12)&amp;":"&amp;TEXT(MOD(60+2*Q108,12),"00"))))</f>
        <v/>
      </c>
      <c r="S108" s="47"/>
      <c r="T108" s="47"/>
      <c r="U108" s="47"/>
      <c r="V108" s="47"/>
      <c r="W108" s="47"/>
      <c r="X108" s="47"/>
      <c r="Y108" s="47"/>
      <c r="Z108" s="47"/>
      <c r="AA108" s="47"/>
      <c r="AB108" s="47"/>
      <c r="AC108" s="47"/>
      <c r="AD108" s="47"/>
      <c r="AE108" s="47"/>
      <c r="AF108" s="47"/>
      <c r="AG108" s="47"/>
      <c r="AH108" s="47"/>
      <c r="AI108" s="46"/>
      <c r="AJ108" s="46"/>
      <c r="AK108" s="46"/>
      <c r="AL108" s="7"/>
      <c r="AM108" s="49" t="str">
        <f aca="false">IF(OR(C108="",G108=""),"",IFERROR(DATEDIF(C108,G108,"m"),""))</f>
        <v/>
      </c>
      <c r="AN108" s="49" t="str">
        <f aca="false">IF(OR(Q108="",AM108=""),"",60+2*Q108-AM108)</f>
        <v/>
      </c>
      <c r="AO108" s="49" t="str">
        <f aca="false">IF(OR(G108="",AJ108=""),"",AJ108-G108)</f>
        <v/>
      </c>
      <c r="AP108" s="50" t="str">
        <f aca="false">IF(AND(A108="",B108=""),"",IF(J108="","Status needed",IF(OR(J108="Applied",J108="Visit booked",J108="Withdrawn"),"OK",IF(G108="","Date assessed needed",IF(C108="","Date of birth needed",IF(COUNTA(L108,M108,P108,U108,V108,X108,AB108)&lt;7,"Band missing",IF(AND(OR(J108="Decision confirmed",J108="Family told",J108="Enrolled"),AG108=""),"Recommendation needed",IF(AND(OR(J108="Family told",J108="Enrolled"),AJ108=""),"Date family told needed","OK"))))))))</f>
        <v/>
      </c>
    </row>
    <row r="109" customFormat="false" ht="15" hidden="false" customHeight="false" outlineLevel="0" collapsed="false">
      <c r="A109" s="7"/>
      <c r="B109" s="7"/>
      <c r="C109" s="46"/>
      <c r="D109" s="7"/>
      <c r="E109" s="47"/>
      <c r="F109" s="46"/>
      <c r="G109" s="46"/>
      <c r="H109" s="7"/>
      <c r="I109" s="7"/>
      <c r="J109" s="47"/>
      <c r="K109" s="47"/>
      <c r="L109" s="47"/>
      <c r="M109" s="47"/>
      <c r="N109" s="10"/>
      <c r="O109" s="47"/>
      <c r="P109" s="47"/>
      <c r="Q109" s="47"/>
      <c r="R109" s="48" t="str">
        <f aca="false">IF(Q109="","",IF(Q109=0,"below 5:00",IF(Q109&gt;=66,"16:00 or above",INT((60+2*Q109)/12)&amp;":"&amp;TEXT(MOD(60+2*Q109,12),"00"))))</f>
        <v/>
      </c>
      <c r="S109" s="47"/>
      <c r="T109" s="47"/>
      <c r="U109" s="47"/>
      <c r="V109" s="47"/>
      <c r="W109" s="47"/>
      <c r="X109" s="47"/>
      <c r="Y109" s="47"/>
      <c r="Z109" s="47"/>
      <c r="AA109" s="47"/>
      <c r="AB109" s="47"/>
      <c r="AC109" s="47"/>
      <c r="AD109" s="47"/>
      <c r="AE109" s="47"/>
      <c r="AF109" s="47"/>
      <c r="AG109" s="47"/>
      <c r="AH109" s="47"/>
      <c r="AI109" s="46"/>
      <c r="AJ109" s="46"/>
      <c r="AK109" s="46"/>
      <c r="AL109" s="7"/>
      <c r="AM109" s="49" t="str">
        <f aca="false">IF(OR(C109="",G109=""),"",IFERROR(DATEDIF(C109,G109,"m"),""))</f>
        <v/>
      </c>
      <c r="AN109" s="49" t="str">
        <f aca="false">IF(OR(Q109="",AM109=""),"",60+2*Q109-AM109)</f>
        <v/>
      </c>
      <c r="AO109" s="49" t="str">
        <f aca="false">IF(OR(G109="",AJ109=""),"",AJ109-G109)</f>
        <v/>
      </c>
      <c r="AP109" s="50" t="str">
        <f aca="false">IF(AND(A109="",B109=""),"",IF(J109="","Status needed",IF(OR(J109="Applied",J109="Visit booked",J109="Withdrawn"),"OK",IF(G109="","Date assessed needed",IF(C109="","Date of birth needed",IF(COUNTA(L109,M109,P109,U109,V109,X109,AB109)&lt;7,"Band missing",IF(AND(OR(J109="Decision confirmed",J109="Family told",J109="Enrolled"),AG109=""),"Recommendation needed",IF(AND(OR(J109="Family told",J109="Enrolled"),AJ109=""),"Date family told needed","OK"))))))))</f>
        <v/>
      </c>
    </row>
    <row r="110" customFormat="false" ht="15" hidden="false" customHeight="false" outlineLevel="0" collapsed="false">
      <c r="A110" s="7"/>
      <c r="B110" s="7"/>
      <c r="C110" s="46"/>
      <c r="D110" s="7"/>
      <c r="E110" s="47"/>
      <c r="F110" s="46"/>
      <c r="G110" s="46"/>
      <c r="H110" s="7"/>
      <c r="I110" s="7"/>
      <c r="J110" s="47"/>
      <c r="K110" s="47"/>
      <c r="L110" s="47"/>
      <c r="M110" s="47"/>
      <c r="N110" s="10"/>
      <c r="O110" s="47"/>
      <c r="P110" s="47"/>
      <c r="Q110" s="47"/>
      <c r="R110" s="48" t="str">
        <f aca="false">IF(Q110="","",IF(Q110=0,"below 5:00",IF(Q110&gt;=66,"16:00 or above",INT((60+2*Q110)/12)&amp;":"&amp;TEXT(MOD(60+2*Q110,12),"00"))))</f>
        <v/>
      </c>
      <c r="S110" s="47"/>
      <c r="T110" s="47"/>
      <c r="U110" s="47"/>
      <c r="V110" s="47"/>
      <c r="W110" s="47"/>
      <c r="X110" s="47"/>
      <c r="Y110" s="47"/>
      <c r="Z110" s="47"/>
      <c r="AA110" s="47"/>
      <c r="AB110" s="47"/>
      <c r="AC110" s="47"/>
      <c r="AD110" s="47"/>
      <c r="AE110" s="47"/>
      <c r="AF110" s="47"/>
      <c r="AG110" s="47"/>
      <c r="AH110" s="47"/>
      <c r="AI110" s="46"/>
      <c r="AJ110" s="46"/>
      <c r="AK110" s="46"/>
      <c r="AL110" s="7"/>
      <c r="AM110" s="49" t="str">
        <f aca="false">IF(OR(C110="",G110=""),"",IFERROR(DATEDIF(C110,G110,"m"),""))</f>
        <v/>
      </c>
      <c r="AN110" s="49" t="str">
        <f aca="false">IF(OR(Q110="",AM110=""),"",60+2*Q110-AM110)</f>
        <v/>
      </c>
      <c r="AO110" s="49" t="str">
        <f aca="false">IF(OR(G110="",AJ110=""),"",AJ110-G110)</f>
        <v/>
      </c>
      <c r="AP110" s="50" t="str">
        <f aca="false">IF(AND(A110="",B110=""),"",IF(J110="","Status needed",IF(OR(J110="Applied",J110="Visit booked",J110="Withdrawn"),"OK",IF(G110="","Date assessed needed",IF(C110="","Date of birth needed",IF(COUNTA(L110,M110,P110,U110,V110,X110,AB110)&lt;7,"Band missing",IF(AND(OR(J110="Decision confirmed",J110="Family told",J110="Enrolled"),AG110=""),"Recommendation needed",IF(AND(OR(J110="Family told",J110="Enrolled"),AJ110=""),"Date family told needed","OK"))))))))</f>
        <v/>
      </c>
    </row>
    <row r="111" customFormat="false" ht="15" hidden="false" customHeight="false" outlineLevel="0" collapsed="false">
      <c r="A111" s="7"/>
      <c r="B111" s="7"/>
      <c r="C111" s="46"/>
      <c r="D111" s="7"/>
      <c r="E111" s="47"/>
      <c r="F111" s="46"/>
      <c r="G111" s="46"/>
      <c r="H111" s="7"/>
      <c r="I111" s="7"/>
      <c r="J111" s="47"/>
      <c r="K111" s="47"/>
      <c r="L111" s="47"/>
      <c r="M111" s="47"/>
      <c r="N111" s="10"/>
      <c r="O111" s="47"/>
      <c r="P111" s="47"/>
      <c r="Q111" s="47"/>
      <c r="R111" s="48" t="str">
        <f aca="false">IF(Q111="","",IF(Q111=0,"below 5:00",IF(Q111&gt;=66,"16:00 or above",INT((60+2*Q111)/12)&amp;":"&amp;TEXT(MOD(60+2*Q111,12),"00"))))</f>
        <v/>
      </c>
      <c r="S111" s="47"/>
      <c r="T111" s="47"/>
      <c r="U111" s="47"/>
      <c r="V111" s="47"/>
      <c r="W111" s="47"/>
      <c r="X111" s="47"/>
      <c r="Y111" s="47"/>
      <c r="Z111" s="47"/>
      <c r="AA111" s="47"/>
      <c r="AB111" s="47"/>
      <c r="AC111" s="47"/>
      <c r="AD111" s="47"/>
      <c r="AE111" s="47"/>
      <c r="AF111" s="47"/>
      <c r="AG111" s="47"/>
      <c r="AH111" s="47"/>
      <c r="AI111" s="46"/>
      <c r="AJ111" s="46"/>
      <c r="AK111" s="46"/>
      <c r="AL111" s="7"/>
      <c r="AM111" s="49" t="str">
        <f aca="false">IF(OR(C111="",G111=""),"",IFERROR(DATEDIF(C111,G111,"m"),""))</f>
        <v/>
      </c>
      <c r="AN111" s="49" t="str">
        <f aca="false">IF(OR(Q111="",AM111=""),"",60+2*Q111-AM111)</f>
        <v/>
      </c>
      <c r="AO111" s="49" t="str">
        <f aca="false">IF(OR(G111="",AJ111=""),"",AJ111-G111)</f>
        <v/>
      </c>
      <c r="AP111" s="50" t="str">
        <f aca="false">IF(AND(A111="",B111=""),"",IF(J111="","Status needed",IF(OR(J111="Applied",J111="Visit booked",J111="Withdrawn"),"OK",IF(G111="","Date assessed needed",IF(C111="","Date of birth needed",IF(COUNTA(L111,M111,P111,U111,V111,X111,AB111)&lt;7,"Band missing",IF(AND(OR(J111="Decision confirmed",J111="Family told",J111="Enrolled"),AG111=""),"Recommendation needed",IF(AND(OR(J111="Family told",J111="Enrolled"),AJ111=""),"Date family told needed","OK"))))))))</f>
        <v/>
      </c>
    </row>
    <row r="112" customFormat="false" ht="15" hidden="false" customHeight="false" outlineLevel="0" collapsed="false">
      <c r="A112" s="7"/>
      <c r="B112" s="7"/>
      <c r="C112" s="46"/>
      <c r="D112" s="7"/>
      <c r="E112" s="47"/>
      <c r="F112" s="46"/>
      <c r="G112" s="46"/>
      <c r="H112" s="7"/>
      <c r="I112" s="7"/>
      <c r="J112" s="47"/>
      <c r="K112" s="47"/>
      <c r="L112" s="47"/>
      <c r="M112" s="47"/>
      <c r="N112" s="10"/>
      <c r="O112" s="47"/>
      <c r="P112" s="47"/>
      <c r="Q112" s="47"/>
      <c r="R112" s="48" t="str">
        <f aca="false">IF(Q112="","",IF(Q112=0,"below 5:00",IF(Q112&gt;=66,"16:00 or above",INT((60+2*Q112)/12)&amp;":"&amp;TEXT(MOD(60+2*Q112,12),"00"))))</f>
        <v/>
      </c>
      <c r="S112" s="47"/>
      <c r="T112" s="47"/>
      <c r="U112" s="47"/>
      <c r="V112" s="47"/>
      <c r="W112" s="47"/>
      <c r="X112" s="47"/>
      <c r="Y112" s="47"/>
      <c r="Z112" s="47"/>
      <c r="AA112" s="47"/>
      <c r="AB112" s="47"/>
      <c r="AC112" s="47"/>
      <c r="AD112" s="47"/>
      <c r="AE112" s="47"/>
      <c r="AF112" s="47"/>
      <c r="AG112" s="47"/>
      <c r="AH112" s="47"/>
      <c r="AI112" s="46"/>
      <c r="AJ112" s="46"/>
      <c r="AK112" s="46"/>
      <c r="AL112" s="7"/>
      <c r="AM112" s="49" t="str">
        <f aca="false">IF(OR(C112="",G112=""),"",IFERROR(DATEDIF(C112,G112,"m"),""))</f>
        <v/>
      </c>
      <c r="AN112" s="49" t="str">
        <f aca="false">IF(OR(Q112="",AM112=""),"",60+2*Q112-AM112)</f>
        <v/>
      </c>
      <c r="AO112" s="49" t="str">
        <f aca="false">IF(OR(G112="",AJ112=""),"",AJ112-G112)</f>
        <v/>
      </c>
      <c r="AP112" s="50" t="str">
        <f aca="false">IF(AND(A112="",B112=""),"",IF(J112="","Status needed",IF(OR(J112="Applied",J112="Visit booked",J112="Withdrawn"),"OK",IF(G112="","Date assessed needed",IF(C112="","Date of birth needed",IF(COUNTA(L112,M112,P112,U112,V112,X112,AB112)&lt;7,"Band missing",IF(AND(OR(J112="Decision confirmed",J112="Family told",J112="Enrolled"),AG112=""),"Recommendation needed",IF(AND(OR(J112="Family told",J112="Enrolled"),AJ112=""),"Date family told needed","OK"))))))))</f>
        <v/>
      </c>
    </row>
    <row r="113" customFormat="false" ht="15" hidden="false" customHeight="false" outlineLevel="0" collapsed="false">
      <c r="A113" s="7"/>
      <c r="B113" s="7"/>
      <c r="C113" s="46"/>
      <c r="D113" s="7"/>
      <c r="E113" s="47"/>
      <c r="F113" s="46"/>
      <c r="G113" s="46"/>
      <c r="H113" s="7"/>
      <c r="I113" s="7"/>
      <c r="J113" s="47"/>
      <c r="K113" s="47"/>
      <c r="L113" s="47"/>
      <c r="M113" s="47"/>
      <c r="N113" s="10"/>
      <c r="O113" s="47"/>
      <c r="P113" s="47"/>
      <c r="Q113" s="47"/>
      <c r="R113" s="48" t="str">
        <f aca="false">IF(Q113="","",IF(Q113=0,"below 5:00",IF(Q113&gt;=66,"16:00 or above",INT((60+2*Q113)/12)&amp;":"&amp;TEXT(MOD(60+2*Q113,12),"00"))))</f>
        <v/>
      </c>
      <c r="S113" s="47"/>
      <c r="T113" s="47"/>
      <c r="U113" s="47"/>
      <c r="V113" s="47"/>
      <c r="W113" s="47"/>
      <c r="X113" s="47"/>
      <c r="Y113" s="47"/>
      <c r="Z113" s="47"/>
      <c r="AA113" s="47"/>
      <c r="AB113" s="47"/>
      <c r="AC113" s="47"/>
      <c r="AD113" s="47"/>
      <c r="AE113" s="47"/>
      <c r="AF113" s="47"/>
      <c r="AG113" s="47"/>
      <c r="AH113" s="47"/>
      <c r="AI113" s="46"/>
      <c r="AJ113" s="46"/>
      <c r="AK113" s="46"/>
      <c r="AL113" s="7"/>
      <c r="AM113" s="49" t="str">
        <f aca="false">IF(OR(C113="",G113=""),"",IFERROR(DATEDIF(C113,G113,"m"),""))</f>
        <v/>
      </c>
      <c r="AN113" s="49" t="str">
        <f aca="false">IF(OR(Q113="",AM113=""),"",60+2*Q113-AM113)</f>
        <v/>
      </c>
      <c r="AO113" s="49" t="str">
        <f aca="false">IF(OR(G113="",AJ113=""),"",AJ113-G113)</f>
        <v/>
      </c>
      <c r="AP113" s="50" t="str">
        <f aca="false">IF(AND(A113="",B113=""),"",IF(J113="","Status needed",IF(OR(J113="Applied",J113="Visit booked",J113="Withdrawn"),"OK",IF(G113="","Date assessed needed",IF(C113="","Date of birth needed",IF(COUNTA(L113,M113,P113,U113,V113,X113,AB113)&lt;7,"Band missing",IF(AND(OR(J113="Decision confirmed",J113="Family told",J113="Enrolled"),AG113=""),"Recommendation needed",IF(AND(OR(J113="Family told",J113="Enrolled"),AJ113=""),"Date family told needed","OK"))))))))</f>
        <v/>
      </c>
    </row>
    <row r="114" customFormat="false" ht="15" hidden="false" customHeight="false" outlineLevel="0" collapsed="false">
      <c r="A114" s="7"/>
      <c r="B114" s="7"/>
      <c r="C114" s="46"/>
      <c r="D114" s="7"/>
      <c r="E114" s="47"/>
      <c r="F114" s="46"/>
      <c r="G114" s="46"/>
      <c r="H114" s="7"/>
      <c r="I114" s="7"/>
      <c r="J114" s="47"/>
      <c r="K114" s="47"/>
      <c r="L114" s="47"/>
      <c r="M114" s="47"/>
      <c r="N114" s="10"/>
      <c r="O114" s="47"/>
      <c r="P114" s="47"/>
      <c r="Q114" s="47"/>
      <c r="R114" s="48" t="str">
        <f aca="false">IF(Q114="","",IF(Q114=0,"below 5:00",IF(Q114&gt;=66,"16:00 or above",INT((60+2*Q114)/12)&amp;":"&amp;TEXT(MOD(60+2*Q114,12),"00"))))</f>
        <v/>
      </c>
      <c r="S114" s="47"/>
      <c r="T114" s="47"/>
      <c r="U114" s="47"/>
      <c r="V114" s="47"/>
      <c r="W114" s="47"/>
      <c r="X114" s="47"/>
      <c r="Y114" s="47"/>
      <c r="Z114" s="47"/>
      <c r="AA114" s="47"/>
      <c r="AB114" s="47"/>
      <c r="AC114" s="47"/>
      <c r="AD114" s="47"/>
      <c r="AE114" s="47"/>
      <c r="AF114" s="47"/>
      <c r="AG114" s="47"/>
      <c r="AH114" s="47"/>
      <c r="AI114" s="46"/>
      <c r="AJ114" s="46"/>
      <c r="AK114" s="46"/>
      <c r="AL114" s="7"/>
      <c r="AM114" s="49" t="str">
        <f aca="false">IF(OR(C114="",G114=""),"",IFERROR(DATEDIF(C114,G114,"m"),""))</f>
        <v/>
      </c>
      <c r="AN114" s="49" t="str">
        <f aca="false">IF(OR(Q114="",AM114=""),"",60+2*Q114-AM114)</f>
        <v/>
      </c>
      <c r="AO114" s="49" t="str">
        <f aca="false">IF(OR(G114="",AJ114=""),"",AJ114-G114)</f>
        <v/>
      </c>
      <c r="AP114" s="50" t="str">
        <f aca="false">IF(AND(A114="",B114=""),"",IF(J114="","Status needed",IF(OR(J114="Applied",J114="Visit booked",J114="Withdrawn"),"OK",IF(G114="","Date assessed needed",IF(C114="","Date of birth needed",IF(COUNTA(L114,M114,P114,U114,V114,X114,AB114)&lt;7,"Band missing",IF(AND(OR(J114="Decision confirmed",J114="Family told",J114="Enrolled"),AG114=""),"Recommendation needed",IF(AND(OR(J114="Family told",J114="Enrolled"),AJ114=""),"Date family told needed","OK"))))))))</f>
        <v/>
      </c>
    </row>
    <row r="115" customFormat="false" ht="15" hidden="false" customHeight="false" outlineLevel="0" collapsed="false">
      <c r="A115" s="7"/>
      <c r="B115" s="7"/>
      <c r="C115" s="46"/>
      <c r="D115" s="7"/>
      <c r="E115" s="47"/>
      <c r="F115" s="46"/>
      <c r="G115" s="46"/>
      <c r="H115" s="7"/>
      <c r="I115" s="7"/>
      <c r="J115" s="47"/>
      <c r="K115" s="47"/>
      <c r="L115" s="47"/>
      <c r="M115" s="47"/>
      <c r="N115" s="10"/>
      <c r="O115" s="47"/>
      <c r="P115" s="47"/>
      <c r="Q115" s="47"/>
      <c r="R115" s="48" t="str">
        <f aca="false">IF(Q115="","",IF(Q115=0,"below 5:00",IF(Q115&gt;=66,"16:00 or above",INT((60+2*Q115)/12)&amp;":"&amp;TEXT(MOD(60+2*Q115,12),"00"))))</f>
        <v/>
      </c>
      <c r="S115" s="47"/>
      <c r="T115" s="47"/>
      <c r="U115" s="47"/>
      <c r="V115" s="47"/>
      <c r="W115" s="47"/>
      <c r="X115" s="47"/>
      <c r="Y115" s="47"/>
      <c r="Z115" s="47"/>
      <c r="AA115" s="47"/>
      <c r="AB115" s="47"/>
      <c r="AC115" s="47"/>
      <c r="AD115" s="47"/>
      <c r="AE115" s="47"/>
      <c r="AF115" s="47"/>
      <c r="AG115" s="47"/>
      <c r="AH115" s="47"/>
      <c r="AI115" s="46"/>
      <c r="AJ115" s="46"/>
      <c r="AK115" s="46"/>
      <c r="AL115" s="7"/>
      <c r="AM115" s="49" t="str">
        <f aca="false">IF(OR(C115="",G115=""),"",IFERROR(DATEDIF(C115,G115,"m"),""))</f>
        <v/>
      </c>
      <c r="AN115" s="49" t="str">
        <f aca="false">IF(OR(Q115="",AM115=""),"",60+2*Q115-AM115)</f>
        <v/>
      </c>
      <c r="AO115" s="49" t="str">
        <f aca="false">IF(OR(G115="",AJ115=""),"",AJ115-G115)</f>
        <v/>
      </c>
      <c r="AP115" s="50" t="str">
        <f aca="false">IF(AND(A115="",B115=""),"",IF(J115="","Status needed",IF(OR(J115="Applied",J115="Visit booked",J115="Withdrawn"),"OK",IF(G115="","Date assessed needed",IF(C115="","Date of birth needed",IF(COUNTA(L115,M115,P115,U115,V115,X115,AB115)&lt;7,"Band missing",IF(AND(OR(J115="Decision confirmed",J115="Family told",J115="Enrolled"),AG115=""),"Recommendation needed",IF(AND(OR(J115="Family told",J115="Enrolled"),AJ115=""),"Date family told needed","OK"))))))))</f>
        <v/>
      </c>
    </row>
    <row r="116" customFormat="false" ht="15" hidden="false" customHeight="false" outlineLevel="0" collapsed="false">
      <c r="A116" s="7"/>
      <c r="B116" s="7"/>
      <c r="C116" s="46"/>
      <c r="D116" s="7"/>
      <c r="E116" s="47"/>
      <c r="F116" s="46"/>
      <c r="G116" s="46"/>
      <c r="H116" s="7"/>
      <c r="I116" s="7"/>
      <c r="J116" s="47"/>
      <c r="K116" s="47"/>
      <c r="L116" s="47"/>
      <c r="M116" s="47"/>
      <c r="N116" s="10"/>
      <c r="O116" s="47"/>
      <c r="P116" s="47"/>
      <c r="Q116" s="47"/>
      <c r="R116" s="48" t="str">
        <f aca="false">IF(Q116="","",IF(Q116=0,"below 5:00",IF(Q116&gt;=66,"16:00 or above",INT((60+2*Q116)/12)&amp;":"&amp;TEXT(MOD(60+2*Q116,12),"00"))))</f>
        <v/>
      </c>
      <c r="S116" s="47"/>
      <c r="T116" s="47"/>
      <c r="U116" s="47"/>
      <c r="V116" s="47"/>
      <c r="W116" s="47"/>
      <c r="X116" s="47"/>
      <c r="Y116" s="47"/>
      <c r="Z116" s="47"/>
      <c r="AA116" s="47"/>
      <c r="AB116" s="47"/>
      <c r="AC116" s="47"/>
      <c r="AD116" s="47"/>
      <c r="AE116" s="47"/>
      <c r="AF116" s="47"/>
      <c r="AG116" s="47"/>
      <c r="AH116" s="47"/>
      <c r="AI116" s="46"/>
      <c r="AJ116" s="46"/>
      <c r="AK116" s="46"/>
      <c r="AL116" s="7"/>
      <c r="AM116" s="49" t="str">
        <f aca="false">IF(OR(C116="",G116=""),"",IFERROR(DATEDIF(C116,G116,"m"),""))</f>
        <v/>
      </c>
      <c r="AN116" s="49" t="str">
        <f aca="false">IF(OR(Q116="",AM116=""),"",60+2*Q116-AM116)</f>
        <v/>
      </c>
      <c r="AO116" s="49" t="str">
        <f aca="false">IF(OR(G116="",AJ116=""),"",AJ116-G116)</f>
        <v/>
      </c>
      <c r="AP116" s="50" t="str">
        <f aca="false">IF(AND(A116="",B116=""),"",IF(J116="","Status needed",IF(OR(J116="Applied",J116="Visit booked",J116="Withdrawn"),"OK",IF(G116="","Date assessed needed",IF(C116="","Date of birth needed",IF(COUNTA(L116,M116,P116,U116,V116,X116,AB116)&lt;7,"Band missing",IF(AND(OR(J116="Decision confirmed",J116="Family told",J116="Enrolled"),AG116=""),"Recommendation needed",IF(AND(OR(J116="Family told",J116="Enrolled"),AJ116=""),"Date family told needed","OK"))))))))</f>
        <v/>
      </c>
    </row>
    <row r="117" customFormat="false" ht="15" hidden="false" customHeight="false" outlineLevel="0" collapsed="false">
      <c r="A117" s="7"/>
      <c r="B117" s="7"/>
      <c r="C117" s="46"/>
      <c r="D117" s="7"/>
      <c r="E117" s="47"/>
      <c r="F117" s="46"/>
      <c r="G117" s="46"/>
      <c r="H117" s="7"/>
      <c r="I117" s="7"/>
      <c r="J117" s="47"/>
      <c r="K117" s="47"/>
      <c r="L117" s="47"/>
      <c r="M117" s="47"/>
      <c r="N117" s="10"/>
      <c r="O117" s="47"/>
      <c r="P117" s="47"/>
      <c r="Q117" s="47"/>
      <c r="R117" s="48" t="str">
        <f aca="false">IF(Q117="","",IF(Q117=0,"below 5:00",IF(Q117&gt;=66,"16:00 or above",INT((60+2*Q117)/12)&amp;":"&amp;TEXT(MOD(60+2*Q117,12),"00"))))</f>
        <v/>
      </c>
      <c r="S117" s="47"/>
      <c r="T117" s="47"/>
      <c r="U117" s="47"/>
      <c r="V117" s="47"/>
      <c r="W117" s="47"/>
      <c r="X117" s="47"/>
      <c r="Y117" s="47"/>
      <c r="Z117" s="47"/>
      <c r="AA117" s="47"/>
      <c r="AB117" s="47"/>
      <c r="AC117" s="47"/>
      <c r="AD117" s="47"/>
      <c r="AE117" s="47"/>
      <c r="AF117" s="47"/>
      <c r="AG117" s="47"/>
      <c r="AH117" s="47"/>
      <c r="AI117" s="46"/>
      <c r="AJ117" s="46"/>
      <c r="AK117" s="46"/>
      <c r="AL117" s="7"/>
      <c r="AM117" s="49" t="str">
        <f aca="false">IF(OR(C117="",G117=""),"",IFERROR(DATEDIF(C117,G117,"m"),""))</f>
        <v/>
      </c>
      <c r="AN117" s="49" t="str">
        <f aca="false">IF(OR(Q117="",AM117=""),"",60+2*Q117-AM117)</f>
        <v/>
      </c>
      <c r="AO117" s="49" t="str">
        <f aca="false">IF(OR(G117="",AJ117=""),"",AJ117-G117)</f>
        <v/>
      </c>
      <c r="AP117" s="50" t="str">
        <f aca="false">IF(AND(A117="",B117=""),"",IF(J117="","Status needed",IF(OR(J117="Applied",J117="Visit booked",J117="Withdrawn"),"OK",IF(G117="","Date assessed needed",IF(C117="","Date of birth needed",IF(COUNTA(L117,M117,P117,U117,V117,X117,AB117)&lt;7,"Band missing",IF(AND(OR(J117="Decision confirmed",J117="Family told",J117="Enrolled"),AG117=""),"Recommendation needed",IF(AND(OR(J117="Family told",J117="Enrolled"),AJ117=""),"Date family told needed","OK"))))))))</f>
        <v/>
      </c>
    </row>
    <row r="118" customFormat="false" ht="15" hidden="false" customHeight="false" outlineLevel="0" collapsed="false">
      <c r="A118" s="7"/>
      <c r="B118" s="7"/>
      <c r="C118" s="46"/>
      <c r="D118" s="7"/>
      <c r="E118" s="47"/>
      <c r="F118" s="46"/>
      <c r="G118" s="46"/>
      <c r="H118" s="7"/>
      <c r="I118" s="7"/>
      <c r="J118" s="47"/>
      <c r="K118" s="47"/>
      <c r="L118" s="47"/>
      <c r="M118" s="47"/>
      <c r="N118" s="10"/>
      <c r="O118" s="47"/>
      <c r="P118" s="47"/>
      <c r="Q118" s="47"/>
      <c r="R118" s="48" t="str">
        <f aca="false">IF(Q118="","",IF(Q118=0,"below 5:00",IF(Q118&gt;=66,"16:00 or above",INT((60+2*Q118)/12)&amp;":"&amp;TEXT(MOD(60+2*Q118,12),"00"))))</f>
        <v/>
      </c>
      <c r="S118" s="47"/>
      <c r="T118" s="47"/>
      <c r="U118" s="47"/>
      <c r="V118" s="47"/>
      <c r="W118" s="47"/>
      <c r="X118" s="47"/>
      <c r="Y118" s="47"/>
      <c r="Z118" s="47"/>
      <c r="AA118" s="47"/>
      <c r="AB118" s="47"/>
      <c r="AC118" s="47"/>
      <c r="AD118" s="47"/>
      <c r="AE118" s="47"/>
      <c r="AF118" s="47"/>
      <c r="AG118" s="47"/>
      <c r="AH118" s="47"/>
      <c r="AI118" s="46"/>
      <c r="AJ118" s="46"/>
      <c r="AK118" s="46"/>
      <c r="AL118" s="7"/>
      <c r="AM118" s="49" t="str">
        <f aca="false">IF(OR(C118="",G118=""),"",IFERROR(DATEDIF(C118,G118,"m"),""))</f>
        <v/>
      </c>
      <c r="AN118" s="49" t="str">
        <f aca="false">IF(OR(Q118="",AM118=""),"",60+2*Q118-AM118)</f>
        <v/>
      </c>
      <c r="AO118" s="49" t="str">
        <f aca="false">IF(OR(G118="",AJ118=""),"",AJ118-G118)</f>
        <v/>
      </c>
      <c r="AP118" s="50" t="str">
        <f aca="false">IF(AND(A118="",B118=""),"",IF(J118="","Status needed",IF(OR(J118="Applied",J118="Visit booked",J118="Withdrawn"),"OK",IF(G118="","Date assessed needed",IF(C118="","Date of birth needed",IF(COUNTA(L118,M118,P118,U118,V118,X118,AB118)&lt;7,"Band missing",IF(AND(OR(J118="Decision confirmed",J118="Family told",J118="Enrolled"),AG118=""),"Recommendation needed",IF(AND(OR(J118="Family told",J118="Enrolled"),AJ118=""),"Date family told needed","OK"))))))))</f>
        <v/>
      </c>
    </row>
    <row r="119" customFormat="false" ht="15" hidden="false" customHeight="false" outlineLevel="0" collapsed="false">
      <c r="A119" s="7"/>
      <c r="B119" s="7"/>
      <c r="C119" s="46"/>
      <c r="D119" s="7"/>
      <c r="E119" s="47"/>
      <c r="F119" s="46"/>
      <c r="G119" s="46"/>
      <c r="H119" s="7"/>
      <c r="I119" s="7"/>
      <c r="J119" s="47"/>
      <c r="K119" s="47"/>
      <c r="L119" s="47"/>
      <c r="M119" s="47"/>
      <c r="N119" s="10"/>
      <c r="O119" s="47"/>
      <c r="P119" s="47"/>
      <c r="Q119" s="47"/>
      <c r="R119" s="48" t="str">
        <f aca="false">IF(Q119="","",IF(Q119=0,"below 5:00",IF(Q119&gt;=66,"16:00 or above",INT((60+2*Q119)/12)&amp;":"&amp;TEXT(MOD(60+2*Q119,12),"00"))))</f>
        <v/>
      </c>
      <c r="S119" s="47"/>
      <c r="T119" s="47"/>
      <c r="U119" s="47"/>
      <c r="V119" s="47"/>
      <c r="W119" s="47"/>
      <c r="X119" s="47"/>
      <c r="Y119" s="47"/>
      <c r="Z119" s="47"/>
      <c r="AA119" s="47"/>
      <c r="AB119" s="47"/>
      <c r="AC119" s="47"/>
      <c r="AD119" s="47"/>
      <c r="AE119" s="47"/>
      <c r="AF119" s="47"/>
      <c r="AG119" s="47"/>
      <c r="AH119" s="47"/>
      <c r="AI119" s="46"/>
      <c r="AJ119" s="46"/>
      <c r="AK119" s="46"/>
      <c r="AL119" s="7"/>
      <c r="AM119" s="49" t="str">
        <f aca="false">IF(OR(C119="",G119=""),"",IFERROR(DATEDIF(C119,G119,"m"),""))</f>
        <v/>
      </c>
      <c r="AN119" s="49" t="str">
        <f aca="false">IF(OR(Q119="",AM119=""),"",60+2*Q119-AM119)</f>
        <v/>
      </c>
      <c r="AO119" s="49" t="str">
        <f aca="false">IF(OR(G119="",AJ119=""),"",AJ119-G119)</f>
        <v/>
      </c>
      <c r="AP119" s="50" t="str">
        <f aca="false">IF(AND(A119="",B119=""),"",IF(J119="","Status needed",IF(OR(J119="Applied",J119="Visit booked",J119="Withdrawn"),"OK",IF(G119="","Date assessed needed",IF(C119="","Date of birth needed",IF(COUNTA(L119,M119,P119,U119,V119,X119,AB119)&lt;7,"Band missing",IF(AND(OR(J119="Decision confirmed",J119="Family told",J119="Enrolled"),AG119=""),"Recommendation needed",IF(AND(OR(J119="Family told",J119="Enrolled"),AJ119=""),"Date family told needed","OK"))))))))</f>
        <v/>
      </c>
    </row>
    <row r="120" customFormat="false" ht="15" hidden="false" customHeight="false" outlineLevel="0" collapsed="false">
      <c r="A120" s="7"/>
      <c r="B120" s="7"/>
      <c r="C120" s="46"/>
      <c r="D120" s="7"/>
      <c r="E120" s="47"/>
      <c r="F120" s="46"/>
      <c r="G120" s="46"/>
      <c r="H120" s="7"/>
      <c r="I120" s="7"/>
      <c r="J120" s="47"/>
      <c r="K120" s="47"/>
      <c r="L120" s="47"/>
      <c r="M120" s="47"/>
      <c r="N120" s="10"/>
      <c r="O120" s="47"/>
      <c r="P120" s="47"/>
      <c r="Q120" s="47"/>
      <c r="R120" s="48" t="str">
        <f aca="false">IF(Q120="","",IF(Q120=0,"below 5:00",IF(Q120&gt;=66,"16:00 or above",INT((60+2*Q120)/12)&amp;":"&amp;TEXT(MOD(60+2*Q120,12),"00"))))</f>
        <v/>
      </c>
      <c r="S120" s="47"/>
      <c r="T120" s="47"/>
      <c r="U120" s="47"/>
      <c r="V120" s="47"/>
      <c r="W120" s="47"/>
      <c r="X120" s="47"/>
      <c r="Y120" s="47"/>
      <c r="Z120" s="47"/>
      <c r="AA120" s="47"/>
      <c r="AB120" s="47"/>
      <c r="AC120" s="47"/>
      <c r="AD120" s="47"/>
      <c r="AE120" s="47"/>
      <c r="AF120" s="47"/>
      <c r="AG120" s="47"/>
      <c r="AH120" s="47"/>
      <c r="AI120" s="46"/>
      <c r="AJ120" s="46"/>
      <c r="AK120" s="46"/>
      <c r="AL120" s="7"/>
      <c r="AM120" s="49" t="str">
        <f aca="false">IF(OR(C120="",G120=""),"",IFERROR(DATEDIF(C120,G120,"m"),""))</f>
        <v/>
      </c>
      <c r="AN120" s="49" t="str">
        <f aca="false">IF(OR(Q120="",AM120=""),"",60+2*Q120-AM120)</f>
        <v/>
      </c>
      <c r="AO120" s="49" t="str">
        <f aca="false">IF(OR(G120="",AJ120=""),"",AJ120-G120)</f>
        <v/>
      </c>
      <c r="AP120" s="50" t="str">
        <f aca="false">IF(AND(A120="",B120=""),"",IF(J120="","Status needed",IF(OR(J120="Applied",J120="Visit booked",J120="Withdrawn"),"OK",IF(G120="","Date assessed needed",IF(C120="","Date of birth needed",IF(COUNTA(L120,M120,P120,U120,V120,X120,AB120)&lt;7,"Band missing",IF(AND(OR(J120="Decision confirmed",J120="Family told",J120="Enrolled"),AG120=""),"Recommendation needed",IF(AND(OR(J120="Family told",J120="Enrolled"),AJ120=""),"Date family told needed","OK"))))))))</f>
        <v/>
      </c>
    </row>
    <row r="121" customFormat="false" ht="15" hidden="false" customHeight="false" outlineLevel="0" collapsed="false">
      <c r="A121" s="7"/>
      <c r="B121" s="7"/>
      <c r="C121" s="46"/>
      <c r="D121" s="7"/>
      <c r="E121" s="47"/>
      <c r="F121" s="46"/>
      <c r="G121" s="46"/>
      <c r="H121" s="7"/>
      <c r="I121" s="7"/>
      <c r="J121" s="47"/>
      <c r="K121" s="47"/>
      <c r="L121" s="47"/>
      <c r="M121" s="47"/>
      <c r="N121" s="10"/>
      <c r="O121" s="47"/>
      <c r="P121" s="47"/>
      <c r="Q121" s="47"/>
      <c r="R121" s="48" t="str">
        <f aca="false">IF(Q121="","",IF(Q121=0,"below 5:00",IF(Q121&gt;=66,"16:00 or above",INT((60+2*Q121)/12)&amp;":"&amp;TEXT(MOD(60+2*Q121,12),"00"))))</f>
        <v/>
      </c>
      <c r="S121" s="47"/>
      <c r="T121" s="47"/>
      <c r="U121" s="47"/>
      <c r="V121" s="47"/>
      <c r="W121" s="47"/>
      <c r="X121" s="47"/>
      <c r="Y121" s="47"/>
      <c r="Z121" s="47"/>
      <c r="AA121" s="47"/>
      <c r="AB121" s="47"/>
      <c r="AC121" s="47"/>
      <c r="AD121" s="47"/>
      <c r="AE121" s="47"/>
      <c r="AF121" s="47"/>
      <c r="AG121" s="47"/>
      <c r="AH121" s="47"/>
      <c r="AI121" s="46"/>
      <c r="AJ121" s="46"/>
      <c r="AK121" s="46"/>
      <c r="AL121" s="7"/>
      <c r="AM121" s="49" t="str">
        <f aca="false">IF(OR(C121="",G121=""),"",IFERROR(DATEDIF(C121,G121,"m"),""))</f>
        <v/>
      </c>
      <c r="AN121" s="49" t="str">
        <f aca="false">IF(OR(Q121="",AM121=""),"",60+2*Q121-AM121)</f>
        <v/>
      </c>
      <c r="AO121" s="49" t="str">
        <f aca="false">IF(OR(G121="",AJ121=""),"",AJ121-G121)</f>
        <v/>
      </c>
      <c r="AP121" s="50" t="str">
        <f aca="false">IF(AND(A121="",B121=""),"",IF(J121="","Status needed",IF(OR(J121="Applied",J121="Visit booked",J121="Withdrawn"),"OK",IF(G121="","Date assessed needed",IF(C121="","Date of birth needed",IF(COUNTA(L121,M121,P121,U121,V121,X121,AB121)&lt;7,"Band missing",IF(AND(OR(J121="Decision confirmed",J121="Family told",J121="Enrolled"),AG121=""),"Recommendation needed",IF(AND(OR(J121="Family told",J121="Enrolled"),AJ121=""),"Date family told needed","OK"))))))))</f>
        <v/>
      </c>
    </row>
    <row r="122" customFormat="false" ht="15" hidden="false" customHeight="false" outlineLevel="0" collapsed="false">
      <c r="A122" s="7"/>
      <c r="B122" s="7"/>
      <c r="C122" s="46"/>
      <c r="D122" s="7"/>
      <c r="E122" s="47"/>
      <c r="F122" s="46"/>
      <c r="G122" s="46"/>
      <c r="H122" s="7"/>
      <c r="I122" s="7"/>
      <c r="J122" s="47"/>
      <c r="K122" s="47"/>
      <c r="L122" s="47"/>
      <c r="M122" s="47"/>
      <c r="N122" s="10"/>
      <c r="O122" s="47"/>
      <c r="P122" s="47"/>
      <c r="Q122" s="47"/>
      <c r="R122" s="48" t="str">
        <f aca="false">IF(Q122="","",IF(Q122=0,"below 5:00",IF(Q122&gt;=66,"16:00 or above",INT((60+2*Q122)/12)&amp;":"&amp;TEXT(MOD(60+2*Q122,12),"00"))))</f>
        <v/>
      </c>
      <c r="S122" s="47"/>
      <c r="T122" s="47"/>
      <c r="U122" s="47"/>
      <c r="V122" s="47"/>
      <c r="W122" s="47"/>
      <c r="X122" s="47"/>
      <c r="Y122" s="47"/>
      <c r="Z122" s="47"/>
      <c r="AA122" s="47"/>
      <c r="AB122" s="47"/>
      <c r="AC122" s="47"/>
      <c r="AD122" s="47"/>
      <c r="AE122" s="47"/>
      <c r="AF122" s="47"/>
      <c r="AG122" s="47"/>
      <c r="AH122" s="47"/>
      <c r="AI122" s="46"/>
      <c r="AJ122" s="46"/>
      <c r="AK122" s="46"/>
      <c r="AL122" s="7"/>
      <c r="AM122" s="49" t="str">
        <f aca="false">IF(OR(C122="",G122=""),"",IFERROR(DATEDIF(C122,G122,"m"),""))</f>
        <v/>
      </c>
      <c r="AN122" s="49" t="str">
        <f aca="false">IF(OR(Q122="",AM122=""),"",60+2*Q122-AM122)</f>
        <v/>
      </c>
      <c r="AO122" s="49" t="str">
        <f aca="false">IF(OR(G122="",AJ122=""),"",AJ122-G122)</f>
        <v/>
      </c>
      <c r="AP122" s="50" t="str">
        <f aca="false">IF(AND(A122="",B122=""),"",IF(J122="","Status needed",IF(OR(J122="Applied",J122="Visit booked",J122="Withdrawn"),"OK",IF(G122="","Date assessed needed",IF(C122="","Date of birth needed",IF(COUNTA(L122,M122,P122,U122,V122,X122,AB122)&lt;7,"Band missing",IF(AND(OR(J122="Decision confirmed",J122="Family told",J122="Enrolled"),AG122=""),"Recommendation needed",IF(AND(OR(J122="Family told",J122="Enrolled"),AJ122=""),"Date family told needed","OK"))))))))</f>
        <v/>
      </c>
    </row>
    <row r="123" customFormat="false" ht="15" hidden="false" customHeight="false" outlineLevel="0" collapsed="false">
      <c r="A123" s="7"/>
      <c r="B123" s="7"/>
      <c r="C123" s="46"/>
      <c r="D123" s="7"/>
      <c r="E123" s="47"/>
      <c r="F123" s="46"/>
      <c r="G123" s="46"/>
      <c r="H123" s="7"/>
      <c r="I123" s="7"/>
      <c r="J123" s="47"/>
      <c r="K123" s="47"/>
      <c r="L123" s="47"/>
      <c r="M123" s="47"/>
      <c r="N123" s="10"/>
      <c r="O123" s="47"/>
      <c r="P123" s="47"/>
      <c r="Q123" s="47"/>
      <c r="R123" s="48" t="str">
        <f aca="false">IF(Q123="","",IF(Q123=0,"below 5:00",IF(Q123&gt;=66,"16:00 or above",INT((60+2*Q123)/12)&amp;":"&amp;TEXT(MOD(60+2*Q123,12),"00"))))</f>
        <v/>
      </c>
      <c r="S123" s="47"/>
      <c r="T123" s="47"/>
      <c r="U123" s="47"/>
      <c r="V123" s="47"/>
      <c r="W123" s="47"/>
      <c r="X123" s="47"/>
      <c r="Y123" s="47"/>
      <c r="Z123" s="47"/>
      <c r="AA123" s="47"/>
      <c r="AB123" s="47"/>
      <c r="AC123" s="47"/>
      <c r="AD123" s="47"/>
      <c r="AE123" s="47"/>
      <c r="AF123" s="47"/>
      <c r="AG123" s="47"/>
      <c r="AH123" s="47"/>
      <c r="AI123" s="46"/>
      <c r="AJ123" s="46"/>
      <c r="AK123" s="46"/>
      <c r="AL123" s="7"/>
      <c r="AM123" s="49" t="str">
        <f aca="false">IF(OR(C123="",G123=""),"",IFERROR(DATEDIF(C123,G123,"m"),""))</f>
        <v/>
      </c>
      <c r="AN123" s="49" t="str">
        <f aca="false">IF(OR(Q123="",AM123=""),"",60+2*Q123-AM123)</f>
        <v/>
      </c>
      <c r="AO123" s="49" t="str">
        <f aca="false">IF(OR(G123="",AJ123=""),"",AJ123-G123)</f>
        <v/>
      </c>
      <c r="AP123" s="50" t="str">
        <f aca="false">IF(AND(A123="",B123=""),"",IF(J123="","Status needed",IF(OR(J123="Applied",J123="Visit booked",J123="Withdrawn"),"OK",IF(G123="","Date assessed needed",IF(C123="","Date of birth needed",IF(COUNTA(L123,M123,P123,U123,V123,X123,AB123)&lt;7,"Band missing",IF(AND(OR(J123="Decision confirmed",J123="Family told",J123="Enrolled"),AG123=""),"Recommendation needed",IF(AND(OR(J123="Family told",J123="Enrolled"),AJ123=""),"Date family told needed","OK"))))))))</f>
        <v/>
      </c>
    </row>
    <row r="124" customFormat="false" ht="15" hidden="false" customHeight="false" outlineLevel="0" collapsed="false">
      <c r="A124" s="7"/>
      <c r="B124" s="7"/>
      <c r="C124" s="46"/>
      <c r="D124" s="7"/>
      <c r="E124" s="47"/>
      <c r="F124" s="46"/>
      <c r="G124" s="46"/>
      <c r="H124" s="7"/>
      <c r="I124" s="7"/>
      <c r="J124" s="47"/>
      <c r="K124" s="47"/>
      <c r="L124" s="47"/>
      <c r="M124" s="47"/>
      <c r="N124" s="10"/>
      <c r="O124" s="47"/>
      <c r="P124" s="47"/>
      <c r="Q124" s="47"/>
      <c r="R124" s="48" t="str">
        <f aca="false">IF(Q124="","",IF(Q124=0,"below 5:00",IF(Q124&gt;=66,"16:00 or above",INT((60+2*Q124)/12)&amp;":"&amp;TEXT(MOD(60+2*Q124,12),"00"))))</f>
        <v/>
      </c>
      <c r="S124" s="47"/>
      <c r="T124" s="47"/>
      <c r="U124" s="47"/>
      <c r="V124" s="47"/>
      <c r="W124" s="47"/>
      <c r="X124" s="47"/>
      <c r="Y124" s="47"/>
      <c r="Z124" s="47"/>
      <c r="AA124" s="47"/>
      <c r="AB124" s="47"/>
      <c r="AC124" s="47"/>
      <c r="AD124" s="47"/>
      <c r="AE124" s="47"/>
      <c r="AF124" s="47"/>
      <c r="AG124" s="47"/>
      <c r="AH124" s="47"/>
      <c r="AI124" s="46"/>
      <c r="AJ124" s="46"/>
      <c r="AK124" s="46"/>
      <c r="AL124" s="7"/>
      <c r="AM124" s="49" t="str">
        <f aca="false">IF(OR(C124="",G124=""),"",IFERROR(DATEDIF(C124,G124,"m"),""))</f>
        <v/>
      </c>
      <c r="AN124" s="49" t="str">
        <f aca="false">IF(OR(Q124="",AM124=""),"",60+2*Q124-AM124)</f>
        <v/>
      </c>
      <c r="AO124" s="49" t="str">
        <f aca="false">IF(OR(G124="",AJ124=""),"",AJ124-G124)</f>
        <v/>
      </c>
      <c r="AP124" s="50" t="str">
        <f aca="false">IF(AND(A124="",B124=""),"",IF(J124="","Status needed",IF(OR(J124="Applied",J124="Visit booked",J124="Withdrawn"),"OK",IF(G124="","Date assessed needed",IF(C124="","Date of birth needed",IF(COUNTA(L124,M124,P124,U124,V124,X124,AB124)&lt;7,"Band missing",IF(AND(OR(J124="Decision confirmed",J124="Family told",J124="Enrolled"),AG124=""),"Recommendation needed",IF(AND(OR(J124="Family told",J124="Enrolled"),AJ124=""),"Date family told needed","OK"))))))))</f>
        <v/>
      </c>
    </row>
    <row r="125" customFormat="false" ht="15" hidden="false" customHeight="false" outlineLevel="0" collapsed="false">
      <c r="A125" s="7"/>
      <c r="B125" s="7"/>
      <c r="C125" s="46"/>
      <c r="D125" s="7"/>
      <c r="E125" s="47"/>
      <c r="F125" s="46"/>
      <c r="G125" s="46"/>
      <c r="H125" s="7"/>
      <c r="I125" s="7"/>
      <c r="J125" s="47"/>
      <c r="K125" s="47"/>
      <c r="L125" s="47"/>
      <c r="M125" s="47"/>
      <c r="N125" s="10"/>
      <c r="O125" s="47"/>
      <c r="P125" s="47"/>
      <c r="Q125" s="47"/>
      <c r="R125" s="48" t="str">
        <f aca="false">IF(Q125="","",IF(Q125=0,"below 5:00",IF(Q125&gt;=66,"16:00 or above",INT((60+2*Q125)/12)&amp;":"&amp;TEXT(MOD(60+2*Q125,12),"00"))))</f>
        <v/>
      </c>
      <c r="S125" s="47"/>
      <c r="T125" s="47"/>
      <c r="U125" s="47"/>
      <c r="V125" s="47"/>
      <c r="W125" s="47"/>
      <c r="X125" s="47"/>
      <c r="Y125" s="47"/>
      <c r="Z125" s="47"/>
      <c r="AA125" s="47"/>
      <c r="AB125" s="47"/>
      <c r="AC125" s="47"/>
      <c r="AD125" s="47"/>
      <c r="AE125" s="47"/>
      <c r="AF125" s="47"/>
      <c r="AG125" s="47"/>
      <c r="AH125" s="47"/>
      <c r="AI125" s="46"/>
      <c r="AJ125" s="46"/>
      <c r="AK125" s="46"/>
      <c r="AL125" s="7"/>
      <c r="AM125" s="49" t="str">
        <f aca="false">IF(OR(C125="",G125=""),"",IFERROR(DATEDIF(C125,G125,"m"),""))</f>
        <v/>
      </c>
      <c r="AN125" s="49" t="str">
        <f aca="false">IF(OR(Q125="",AM125=""),"",60+2*Q125-AM125)</f>
        <v/>
      </c>
      <c r="AO125" s="49" t="str">
        <f aca="false">IF(OR(G125="",AJ125=""),"",AJ125-G125)</f>
        <v/>
      </c>
      <c r="AP125" s="50" t="str">
        <f aca="false">IF(AND(A125="",B125=""),"",IF(J125="","Status needed",IF(OR(J125="Applied",J125="Visit booked",J125="Withdrawn"),"OK",IF(G125="","Date assessed needed",IF(C125="","Date of birth needed",IF(COUNTA(L125,M125,P125,U125,V125,X125,AB125)&lt;7,"Band missing",IF(AND(OR(J125="Decision confirmed",J125="Family told",J125="Enrolled"),AG125=""),"Recommendation needed",IF(AND(OR(J125="Family told",J125="Enrolled"),AJ125=""),"Date family told needed","OK"))))))))</f>
        <v/>
      </c>
    </row>
    <row r="126" customFormat="false" ht="15" hidden="false" customHeight="false" outlineLevel="0" collapsed="false">
      <c r="A126" s="7"/>
      <c r="B126" s="7"/>
      <c r="C126" s="46"/>
      <c r="D126" s="7"/>
      <c r="E126" s="47"/>
      <c r="F126" s="46"/>
      <c r="G126" s="46"/>
      <c r="H126" s="7"/>
      <c r="I126" s="7"/>
      <c r="J126" s="47"/>
      <c r="K126" s="47"/>
      <c r="L126" s="47"/>
      <c r="M126" s="47"/>
      <c r="N126" s="10"/>
      <c r="O126" s="47"/>
      <c r="P126" s="47"/>
      <c r="Q126" s="47"/>
      <c r="R126" s="48" t="str">
        <f aca="false">IF(Q126="","",IF(Q126=0,"below 5:00",IF(Q126&gt;=66,"16:00 or above",INT((60+2*Q126)/12)&amp;":"&amp;TEXT(MOD(60+2*Q126,12),"00"))))</f>
        <v/>
      </c>
      <c r="S126" s="47"/>
      <c r="T126" s="47"/>
      <c r="U126" s="47"/>
      <c r="V126" s="47"/>
      <c r="W126" s="47"/>
      <c r="X126" s="47"/>
      <c r="Y126" s="47"/>
      <c r="Z126" s="47"/>
      <c r="AA126" s="47"/>
      <c r="AB126" s="47"/>
      <c r="AC126" s="47"/>
      <c r="AD126" s="47"/>
      <c r="AE126" s="47"/>
      <c r="AF126" s="47"/>
      <c r="AG126" s="47"/>
      <c r="AH126" s="47"/>
      <c r="AI126" s="46"/>
      <c r="AJ126" s="46"/>
      <c r="AK126" s="46"/>
      <c r="AL126" s="7"/>
      <c r="AM126" s="49" t="str">
        <f aca="false">IF(OR(C126="",G126=""),"",IFERROR(DATEDIF(C126,G126,"m"),""))</f>
        <v/>
      </c>
      <c r="AN126" s="49" t="str">
        <f aca="false">IF(OR(Q126="",AM126=""),"",60+2*Q126-AM126)</f>
        <v/>
      </c>
      <c r="AO126" s="49" t="str">
        <f aca="false">IF(OR(G126="",AJ126=""),"",AJ126-G126)</f>
        <v/>
      </c>
      <c r="AP126" s="50" t="str">
        <f aca="false">IF(AND(A126="",B126=""),"",IF(J126="","Status needed",IF(OR(J126="Applied",J126="Visit booked",J126="Withdrawn"),"OK",IF(G126="","Date assessed needed",IF(C126="","Date of birth needed",IF(COUNTA(L126,M126,P126,U126,V126,X126,AB126)&lt;7,"Band missing",IF(AND(OR(J126="Decision confirmed",J126="Family told",J126="Enrolled"),AG126=""),"Recommendation needed",IF(AND(OR(J126="Family told",J126="Enrolled"),AJ126=""),"Date family told needed","OK"))))))))</f>
        <v/>
      </c>
    </row>
    <row r="127" customFormat="false" ht="15" hidden="false" customHeight="false" outlineLevel="0" collapsed="false">
      <c r="A127" s="7"/>
      <c r="B127" s="7"/>
      <c r="C127" s="46"/>
      <c r="D127" s="7"/>
      <c r="E127" s="47"/>
      <c r="F127" s="46"/>
      <c r="G127" s="46"/>
      <c r="H127" s="7"/>
      <c r="I127" s="7"/>
      <c r="J127" s="47"/>
      <c r="K127" s="47"/>
      <c r="L127" s="47"/>
      <c r="M127" s="47"/>
      <c r="N127" s="10"/>
      <c r="O127" s="47"/>
      <c r="P127" s="47"/>
      <c r="Q127" s="47"/>
      <c r="R127" s="48" t="str">
        <f aca="false">IF(Q127="","",IF(Q127=0,"below 5:00",IF(Q127&gt;=66,"16:00 or above",INT((60+2*Q127)/12)&amp;":"&amp;TEXT(MOD(60+2*Q127,12),"00"))))</f>
        <v/>
      </c>
      <c r="S127" s="47"/>
      <c r="T127" s="47"/>
      <c r="U127" s="47"/>
      <c r="V127" s="47"/>
      <c r="W127" s="47"/>
      <c r="X127" s="47"/>
      <c r="Y127" s="47"/>
      <c r="Z127" s="47"/>
      <c r="AA127" s="47"/>
      <c r="AB127" s="47"/>
      <c r="AC127" s="47"/>
      <c r="AD127" s="47"/>
      <c r="AE127" s="47"/>
      <c r="AF127" s="47"/>
      <c r="AG127" s="47"/>
      <c r="AH127" s="47"/>
      <c r="AI127" s="46"/>
      <c r="AJ127" s="46"/>
      <c r="AK127" s="46"/>
      <c r="AL127" s="7"/>
      <c r="AM127" s="49" t="str">
        <f aca="false">IF(OR(C127="",G127=""),"",IFERROR(DATEDIF(C127,G127,"m"),""))</f>
        <v/>
      </c>
      <c r="AN127" s="49" t="str">
        <f aca="false">IF(OR(Q127="",AM127=""),"",60+2*Q127-AM127)</f>
        <v/>
      </c>
      <c r="AO127" s="49" t="str">
        <f aca="false">IF(OR(G127="",AJ127=""),"",AJ127-G127)</f>
        <v/>
      </c>
      <c r="AP127" s="50" t="str">
        <f aca="false">IF(AND(A127="",B127=""),"",IF(J127="","Status needed",IF(OR(J127="Applied",J127="Visit booked",J127="Withdrawn"),"OK",IF(G127="","Date assessed needed",IF(C127="","Date of birth needed",IF(COUNTA(L127,M127,P127,U127,V127,X127,AB127)&lt;7,"Band missing",IF(AND(OR(J127="Decision confirmed",J127="Family told",J127="Enrolled"),AG127=""),"Recommendation needed",IF(AND(OR(J127="Family told",J127="Enrolled"),AJ127=""),"Date family told needed","OK"))))))))</f>
        <v/>
      </c>
    </row>
    <row r="128" customFormat="false" ht="15" hidden="false" customHeight="false" outlineLevel="0" collapsed="false">
      <c r="A128" s="7"/>
      <c r="B128" s="7"/>
      <c r="C128" s="46"/>
      <c r="D128" s="7"/>
      <c r="E128" s="47"/>
      <c r="F128" s="46"/>
      <c r="G128" s="46"/>
      <c r="H128" s="7"/>
      <c r="I128" s="7"/>
      <c r="J128" s="47"/>
      <c r="K128" s="47"/>
      <c r="L128" s="47"/>
      <c r="M128" s="47"/>
      <c r="N128" s="10"/>
      <c r="O128" s="47"/>
      <c r="P128" s="47"/>
      <c r="Q128" s="47"/>
      <c r="R128" s="48" t="str">
        <f aca="false">IF(Q128="","",IF(Q128=0,"below 5:00",IF(Q128&gt;=66,"16:00 or above",INT((60+2*Q128)/12)&amp;":"&amp;TEXT(MOD(60+2*Q128,12),"00"))))</f>
        <v/>
      </c>
      <c r="S128" s="47"/>
      <c r="T128" s="47"/>
      <c r="U128" s="47"/>
      <c r="V128" s="47"/>
      <c r="W128" s="47"/>
      <c r="X128" s="47"/>
      <c r="Y128" s="47"/>
      <c r="Z128" s="47"/>
      <c r="AA128" s="47"/>
      <c r="AB128" s="47"/>
      <c r="AC128" s="47"/>
      <c r="AD128" s="47"/>
      <c r="AE128" s="47"/>
      <c r="AF128" s="47"/>
      <c r="AG128" s="47"/>
      <c r="AH128" s="47"/>
      <c r="AI128" s="46"/>
      <c r="AJ128" s="46"/>
      <c r="AK128" s="46"/>
      <c r="AL128" s="7"/>
      <c r="AM128" s="49" t="str">
        <f aca="false">IF(OR(C128="",G128=""),"",IFERROR(DATEDIF(C128,G128,"m"),""))</f>
        <v/>
      </c>
      <c r="AN128" s="49" t="str">
        <f aca="false">IF(OR(Q128="",AM128=""),"",60+2*Q128-AM128)</f>
        <v/>
      </c>
      <c r="AO128" s="49" t="str">
        <f aca="false">IF(OR(G128="",AJ128=""),"",AJ128-G128)</f>
        <v/>
      </c>
      <c r="AP128" s="50" t="str">
        <f aca="false">IF(AND(A128="",B128=""),"",IF(J128="","Status needed",IF(OR(J128="Applied",J128="Visit booked",J128="Withdrawn"),"OK",IF(G128="","Date assessed needed",IF(C128="","Date of birth needed",IF(COUNTA(L128,M128,P128,U128,V128,X128,AB128)&lt;7,"Band missing",IF(AND(OR(J128="Decision confirmed",J128="Family told",J128="Enrolled"),AG128=""),"Recommendation needed",IF(AND(OR(J128="Family told",J128="Enrolled"),AJ128=""),"Date family told needed","OK"))))))))</f>
        <v/>
      </c>
    </row>
    <row r="129" customFormat="false" ht="15" hidden="false" customHeight="false" outlineLevel="0" collapsed="false">
      <c r="A129" s="7"/>
      <c r="B129" s="7"/>
      <c r="C129" s="46"/>
      <c r="D129" s="7"/>
      <c r="E129" s="47"/>
      <c r="F129" s="46"/>
      <c r="G129" s="46"/>
      <c r="H129" s="7"/>
      <c r="I129" s="7"/>
      <c r="J129" s="47"/>
      <c r="K129" s="47"/>
      <c r="L129" s="47"/>
      <c r="M129" s="47"/>
      <c r="N129" s="10"/>
      <c r="O129" s="47"/>
      <c r="P129" s="47"/>
      <c r="Q129" s="47"/>
      <c r="R129" s="48" t="str">
        <f aca="false">IF(Q129="","",IF(Q129=0,"below 5:00",IF(Q129&gt;=66,"16:00 or above",INT((60+2*Q129)/12)&amp;":"&amp;TEXT(MOD(60+2*Q129,12),"00"))))</f>
        <v/>
      </c>
      <c r="S129" s="47"/>
      <c r="T129" s="47"/>
      <c r="U129" s="47"/>
      <c r="V129" s="47"/>
      <c r="W129" s="47"/>
      <c r="X129" s="47"/>
      <c r="Y129" s="47"/>
      <c r="Z129" s="47"/>
      <c r="AA129" s="47"/>
      <c r="AB129" s="47"/>
      <c r="AC129" s="47"/>
      <c r="AD129" s="47"/>
      <c r="AE129" s="47"/>
      <c r="AF129" s="47"/>
      <c r="AG129" s="47"/>
      <c r="AH129" s="47"/>
      <c r="AI129" s="46"/>
      <c r="AJ129" s="46"/>
      <c r="AK129" s="46"/>
      <c r="AL129" s="7"/>
      <c r="AM129" s="49" t="str">
        <f aca="false">IF(OR(C129="",G129=""),"",IFERROR(DATEDIF(C129,G129,"m"),""))</f>
        <v/>
      </c>
      <c r="AN129" s="49" t="str">
        <f aca="false">IF(OR(Q129="",AM129=""),"",60+2*Q129-AM129)</f>
        <v/>
      </c>
      <c r="AO129" s="49" t="str">
        <f aca="false">IF(OR(G129="",AJ129=""),"",AJ129-G129)</f>
        <v/>
      </c>
      <c r="AP129" s="50" t="str">
        <f aca="false">IF(AND(A129="",B129=""),"",IF(J129="","Status needed",IF(OR(J129="Applied",J129="Visit booked",J129="Withdrawn"),"OK",IF(G129="","Date assessed needed",IF(C129="","Date of birth needed",IF(COUNTA(L129,M129,P129,U129,V129,X129,AB129)&lt;7,"Band missing",IF(AND(OR(J129="Decision confirmed",J129="Family told",J129="Enrolled"),AG129=""),"Recommendation needed",IF(AND(OR(J129="Family told",J129="Enrolled"),AJ129=""),"Date family told needed","OK"))))))))</f>
        <v/>
      </c>
    </row>
    <row r="130" customFormat="false" ht="15" hidden="false" customHeight="false" outlineLevel="0" collapsed="false">
      <c r="A130" s="7"/>
      <c r="B130" s="7"/>
      <c r="C130" s="46"/>
      <c r="D130" s="7"/>
      <c r="E130" s="47"/>
      <c r="F130" s="46"/>
      <c r="G130" s="46"/>
      <c r="H130" s="7"/>
      <c r="I130" s="7"/>
      <c r="J130" s="47"/>
      <c r="K130" s="47"/>
      <c r="L130" s="47"/>
      <c r="M130" s="47"/>
      <c r="N130" s="10"/>
      <c r="O130" s="47"/>
      <c r="P130" s="47"/>
      <c r="Q130" s="47"/>
      <c r="R130" s="48" t="str">
        <f aca="false">IF(Q130="","",IF(Q130=0,"below 5:00",IF(Q130&gt;=66,"16:00 or above",INT((60+2*Q130)/12)&amp;":"&amp;TEXT(MOD(60+2*Q130,12),"00"))))</f>
        <v/>
      </c>
      <c r="S130" s="47"/>
      <c r="T130" s="47"/>
      <c r="U130" s="47"/>
      <c r="V130" s="47"/>
      <c r="W130" s="47"/>
      <c r="X130" s="47"/>
      <c r="Y130" s="47"/>
      <c r="Z130" s="47"/>
      <c r="AA130" s="47"/>
      <c r="AB130" s="47"/>
      <c r="AC130" s="47"/>
      <c r="AD130" s="47"/>
      <c r="AE130" s="47"/>
      <c r="AF130" s="47"/>
      <c r="AG130" s="47"/>
      <c r="AH130" s="47"/>
      <c r="AI130" s="46"/>
      <c r="AJ130" s="46"/>
      <c r="AK130" s="46"/>
      <c r="AL130" s="7"/>
      <c r="AM130" s="49" t="str">
        <f aca="false">IF(OR(C130="",G130=""),"",IFERROR(DATEDIF(C130,G130,"m"),""))</f>
        <v/>
      </c>
      <c r="AN130" s="49" t="str">
        <f aca="false">IF(OR(Q130="",AM130=""),"",60+2*Q130-AM130)</f>
        <v/>
      </c>
      <c r="AO130" s="49" t="str">
        <f aca="false">IF(OR(G130="",AJ130=""),"",AJ130-G130)</f>
        <v/>
      </c>
      <c r="AP130" s="50" t="str">
        <f aca="false">IF(AND(A130="",B130=""),"",IF(J130="","Status needed",IF(OR(J130="Applied",J130="Visit booked",J130="Withdrawn"),"OK",IF(G130="","Date assessed needed",IF(C130="","Date of birth needed",IF(COUNTA(L130,M130,P130,U130,V130,X130,AB130)&lt;7,"Band missing",IF(AND(OR(J130="Decision confirmed",J130="Family told",J130="Enrolled"),AG130=""),"Recommendation needed",IF(AND(OR(J130="Family told",J130="Enrolled"),AJ130=""),"Date family told needed","OK"))))))))</f>
        <v/>
      </c>
    </row>
    <row r="131" customFormat="false" ht="15" hidden="false" customHeight="false" outlineLevel="0" collapsed="false">
      <c r="A131" s="7"/>
      <c r="B131" s="7"/>
      <c r="C131" s="46"/>
      <c r="D131" s="7"/>
      <c r="E131" s="47"/>
      <c r="F131" s="46"/>
      <c r="G131" s="46"/>
      <c r="H131" s="7"/>
      <c r="I131" s="7"/>
      <c r="J131" s="47"/>
      <c r="K131" s="47"/>
      <c r="L131" s="47"/>
      <c r="M131" s="47"/>
      <c r="N131" s="10"/>
      <c r="O131" s="47"/>
      <c r="P131" s="47"/>
      <c r="Q131" s="47"/>
      <c r="R131" s="48" t="str">
        <f aca="false">IF(Q131="","",IF(Q131=0,"below 5:00",IF(Q131&gt;=66,"16:00 or above",INT((60+2*Q131)/12)&amp;":"&amp;TEXT(MOD(60+2*Q131,12),"00"))))</f>
        <v/>
      </c>
      <c r="S131" s="47"/>
      <c r="T131" s="47"/>
      <c r="U131" s="47"/>
      <c r="V131" s="47"/>
      <c r="W131" s="47"/>
      <c r="X131" s="47"/>
      <c r="Y131" s="47"/>
      <c r="Z131" s="47"/>
      <c r="AA131" s="47"/>
      <c r="AB131" s="47"/>
      <c r="AC131" s="47"/>
      <c r="AD131" s="47"/>
      <c r="AE131" s="47"/>
      <c r="AF131" s="47"/>
      <c r="AG131" s="47"/>
      <c r="AH131" s="47"/>
      <c r="AI131" s="46"/>
      <c r="AJ131" s="46"/>
      <c r="AK131" s="46"/>
      <c r="AL131" s="7"/>
      <c r="AM131" s="49" t="str">
        <f aca="false">IF(OR(C131="",G131=""),"",IFERROR(DATEDIF(C131,G131,"m"),""))</f>
        <v/>
      </c>
      <c r="AN131" s="49" t="str">
        <f aca="false">IF(OR(Q131="",AM131=""),"",60+2*Q131-AM131)</f>
        <v/>
      </c>
      <c r="AO131" s="49" t="str">
        <f aca="false">IF(OR(G131="",AJ131=""),"",AJ131-G131)</f>
        <v/>
      </c>
      <c r="AP131" s="50" t="str">
        <f aca="false">IF(AND(A131="",B131=""),"",IF(J131="","Status needed",IF(OR(J131="Applied",J131="Visit booked",J131="Withdrawn"),"OK",IF(G131="","Date assessed needed",IF(C131="","Date of birth needed",IF(COUNTA(L131,M131,P131,U131,V131,X131,AB131)&lt;7,"Band missing",IF(AND(OR(J131="Decision confirmed",J131="Family told",J131="Enrolled"),AG131=""),"Recommendation needed",IF(AND(OR(J131="Family told",J131="Enrolled"),AJ131=""),"Date family told needed","OK"))))))))</f>
        <v/>
      </c>
    </row>
    <row r="132" customFormat="false" ht="15" hidden="false" customHeight="false" outlineLevel="0" collapsed="false">
      <c r="A132" s="7"/>
      <c r="B132" s="7"/>
      <c r="C132" s="46"/>
      <c r="D132" s="7"/>
      <c r="E132" s="47"/>
      <c r="F132" s="46"/>
      <c r="G132" s="46"/>
      <c r="H132" s="7"/>
      <c r="I132" s="7"/>
      <c r="J132" s="47"/>
      <c r="K132" s="47"/>
      <c r="L132" s="47"/>
      <c r="M132" s="47"/>
      <c r="N132" s="10"/>
      <c r="O132" s="47"/>
      <c r="P132" s="47"/>
      <c r="Q132" s="47"/>
      <c r="R132" s="48" t="str">
        <f aca="false">IF(Q132="","",IF(Q132=0,"below 5:00",IF(Q132&gt;=66,"16:00 or above",INT((60+2*Q132)/12)&amp;":"&amp;TEXT(MOD(60+2*Q132,12),"00"))))</f>
        <v/>
      </c>
      <c r="S132" s="47"/>
      <c r="T132" s="47"/>
      <c r="U132" s="47"/>
      <c r="V132" s="47"/>
      <c r="W132" s="47"/>
      <c r="X132" s="47"/>
      <c r="Y132" s="47"/>
      <c r="Z132" s="47"/>
      <c r="AA132" s="47"/>
      <c r="AB132" s="47"/>
      <c r="AC132" s="47"/>
      <c r="AD132" s="47"/>
      <c r="AE132" s="47"/>
      <c r="AF132" s="47"/>
      <c r="AG132" s="47"/>
      <c r="AH132" s="47"/>
      <c r="AI132" s="46"/>
      <c r="AJ132" s="46"/>
      <c r="AK132" s="46"/>
      <c r="AL132" s="7"/>
      <c r="AM132" s="49" t="str">
        <f aca="false">IF(OR(C132="",G132=""),"",IFERROR(DATEDIF(C132,G132,"m"),""))</f>
        <v/>
      </c>
      <c r="AN132" s="49" t="str">
        <f aca="false">IF(OR(Q132="",AM132=""),"",60+2*Q132-AM132)</f>
        <v/>
      </c>
      <c r="AO132" s="49" t="str">
        <f aca="false">IF(OR(G132="",AJ132=""),"",AJ132-G132)</f>
        <v/>
      </c>
      <c r="AP132" s="50" t="str">
        <f aca="false">IF(AND(A132="",B132=""),"",IF(J132="","Status needed",IF(OR(J132="Applied",J132="Visit booked",J132="Withdrawn"),"OK",IF(G132="","Date assessed needed",IF(C132="","Date of birth needed",IF(COUNTA(L132,M132,P132,U132,V132,X132,AB132)&lt;7,"Band missing",IF(AND(OR(J132="Decision confirmed",J132="Family told",J132="Enrolled"),AG132=""),"Recommendation needed",IF(AND(OR(J132="Family told",J132="Enrolled"),AJ132=""),"Date family told needed","OK"))))))))</f>
        <v/>
      </c>
    </row>
    <row r="133" customFormat="false" ht="15" hidden="false" customHeight="false" outlineLevel="0" collapsed="false">
      <c r="A133" s="7"/>
      <c r="B133" s="7"/>
      <c r="C133" s="46"/>
      <c r="D133" s="7"/>
      <c r="E133" s="47"/>
      <c r="F133" s="46"/>
      <c r="G133" s="46"/>
      <c r="H133" s="7"/>
      <c r="I133" s="7"/>
      <c r="J133" s="47"/>
      <c r="K133" s="47"/>
      <c r="L133" s="47"/>
      <c r="M133" s="47"/>
      <c r="N133" s="10"/>
      <c r="O133" s="47"/>
      <c r="P133" s="47"/>
      <c r="Q133" s="47"/>
      <c r="R133" s="48" t="str">
        <f aca="false">IF(Q133="","",IF(Q133=0,"below 5:00",IF(Q133&gt;=66,"16:00 or above",INT((60+2*Q133)/12)&amp;":"&amp;TEXT(MOD(60+2*Q133,12),"00"))))</f>
        <v/>
      </c>
      <c r="S133" s="47"/>
      <c r="T133" s="47"/>
      <c r="U133" s="47"/>
      <c r="V133" s="47"/>
      <c r="W133" s="47"/>
      <c r="X133" s="47"/>
      <c r="Y133" s="47"/>
      <c r="Z133" s="47"/>
      <c r="AA133" s="47"/>
      <c r="AB133" s="47"/>
      <c r="AC133" s="47"/>
      <c r="AD133" s="47"/>
      <c r="AE133" s="47"/>
      <c r="AF133" s="47"/>
      <c r="AG133" s="47"/>
      <c r="AH133" s="47"/>
      <c r="AI133" s="46"/>
      <c r="AJ133" s="46"/>
      <c r="AK133" s="46"/>
      <c r="AL133" s="7"/>
      <c r="AM133" s="49" t="str">
        <f aca="false">IF(OR(C133="",G133=""),"",IFERROR(DATEDIF(C133,G133,"m"),""))</f>
        <v/>
      </c>
      <c r="AN133" s="49" t="str">
        <f aca="false">IF(OR(Q133="",AM133=""),"",60+2*Q133-AM133)</f>
        <v/>
      </c>
      <c r="AO133" s="49" t="str">
        <f aca="false">IF(OR(G133="",AJ133=""),"",AJ133-G133)</f>
        <v/>
      </c>
      <c r="AP133" s="50" t="str">
        <f aca="false">IF(AND(A133="",B133=""),"",IF(J133="","Status needed",IF(OR(J133="Applied",J133="Visit booked",J133="Withdrawn"),"OK",IF(G133="","Date assessed needed",IF(C133="","Date of birth needed",IF(COUNTA(L133,M133,P133,U133,V133,X133,AB133)&lt;7,"Band missing",IF(AND(OR(J133="Decision confirmed",J133="Family told",J133="Enrolled"),AG133=""),"Recommendation needed",IF(AND(OR(J133="Family told",J133="Enrolled"),AJ133=""),"Date family told needed","OK"))))))))</f>
        <v/>
      </c>
    </row>
    <row r="134" customFormat="false" ht="15" hidden="false" customHeight="false" outlineLevel="0" collapsed="false">
      <c r="A134" s="7"/>
      <c r="B134" s="7"/>
      <c r="C134" s="46"/>
      <c r="D134" s="7"/>
      <c r="E134" s="47"/>
      <c r="F134" s="46"/>
      <c r="G134" s="46"/>
      <c r="H134" s="7"/>
      <c r="I134" s="7"/>
      <c r="J134" s="47"/>
      <c r="K134" s="47"/>
      <c r="L134" s="47"/>
      <c r="M134" s="47"/>
      <c r="N134" s="10"/>
      <c r="O134" s="47"/>
      <c r="P134" s="47"/>
      <c r="Q134" s="47"/>
      <c r="R134" s="48" t="str">
        <f aca="false">IF(Q134="","",IF(Q134=0,"below 5:00",IF(Q134&gt;=66,"16:00 or above",INT((60+2*Q134)/12)&amp;":"&amp;TEXT(MOD(60+2*Q134,12),"00"))))</f>
        <v/>
      </c>
      <c r="S134" s="47"/>
      <c r="T134" s="47"/>
      <c r="U134" s="47"/>
      <c r="V134" s="47"/>
      <c r="W134" s="47"/>
      <c r="X134" s="47"/>
      <c r="Y134" s="47"/>
      <c r="Z134" s="47"/>
      <c r="AA134" s="47"/>
      <c r="AB134" s="47"/>
      <c r="AC134" s="47"/>
      <c r="AD134" s="47"/>
      <c r="AE134" s="47"/>
      <c r="AF134" s="47"/>
      <c r="AG134" s="47"/>
      <c r="AH134" s="47"/>
      <c r="AI134" s="46"/>
      <c r="AJ134" s="46"/>
      <c r="AK134" s="46"/>
      <c r="AL134" s="7"/>
      <c r="AM134" s="49" t="str">
        <f aca="false">IF(OR(C134="",G134=""),"",IFERROR(DATEDIF(C134,G134,"m"),""))</f>
        <v/>
      </c>
      <c r="AN134" s="49" t="str">
        <f aca="false">IF(OR(Q134="",AM134=""),"",60+2*Q134-AM134)</f>
        <v/>
      </c>
      <c r="AO134" s="49" t="str">
        <f aca="false">IF(OR(G134="",AJ134=""),"",AJ134-G134)</f>
        <v/>
      </c>
      <c r="AP134" s="50" t="str">
        <f aca="false">IF(AND(A134="",B134=""),"",IF(J134="","Status needed",IF(OR(J134="Applied",J134="Visit booked",J134="Withdrawn"),"OK",IF(G134="","Date assessed needed",IF(C134="","Date of birth needed",IF(COUNTA(L134,M134,P134,U134,V134,X134,AB134)&lt;7,"Band missing",IF(AND(OR(J134="Decision confirmed",J134="Family told",J134="Enrolled"),AG134=""),"Recommendation needed",IF(AND(OR(J134="Family told",J134="Enrolled"),AJ134=""),"Date family told needed","OK"))))))))</f>
        <v/>
      </c>
    </row>
    <row r="135" customFormat="false" ht="15" hidden="false" customHeight="false" outlineLevel="0" collapsed="false">
      <c r="A135" s="7"/>
      <c r="B135" s="7"/>
      <c r="C135" s="46"/>
      <c r="D135" s="7"/>
      <c r="E135" s="47"/>
      <c r="F135" s="46"/>
      <c r="G135" s="46"/>
      <c r="H135" s="7"/>
      <c r="I135" s="7"/>
      <c r="J135" s="47"/>
      <c r="K135" s="47"/>
      <c r="L135" s="47"/>
      <c r="M135" s="47"/>
      <c r="N135" s="10"/>
      <c r="O135" s="47"/>
      <c r="P135" s="47"/>
      <c r="Q135" s="47"/>
      <c r="R135" s="48" t="str">
        <f aca="false">IF(Q135="","",IF(Q135=0,"below 5:00",IF(Q135&gt;=66,"16:00 or above",INT((60+2*Q135)/12)&amp;":"&amp;TEXT(MOD(60+2*Q135,12),"00"))))</f>
        <v/>
      </c>
      <c r="S135" s="47"/>
      <c r="T135" s="47"/>
      <c r="U135" s="47"/>
      <c r="V135" s="47"/>
      <c r="W135" s="47"/>
      <c r="X135" s="47"/>
      <c r="Y135" s="47"/>
      <c r="Z135" s="47"/>
      <c r="AA135" s="47"/>
      <c r="AB135" s="47"/>
      <c r="AC135" s="47"/>
      <c r="AD135" s="47"/>
      <c r="AE135" s="47"/>
      <c r="AF135" s="47"/>
      <c r="AG135" s="47"/>
      <c r="AH135" s="47"/>
      <c r="AI135" s="46"/>
      <c r="AJ135" s="46"/>
      <c r="AK135" s="46"/>
      <c r="AL135" s="7"/>
      <c r="AM135" s="49" t="str">
        <f aca="false">IF(OR(C135="",G135=""),"",IFERROR(DATEDIF(C135,G135,"m"),""))</f>
        <v/>
      </c>
      <c r="AN135" s="49" t="str">
        <f aca="false">IF(OR(Q135="",AM135=""),"",60+2*Q135-AM135)</f>
        <v/>
      </c>
      <c r="AO135" s="49" t="str">
        <f aca="false">IF(OR(G135="",AJ135=""),"",AJ135-G135)</f>
        <v/>
      </c>
      <c r="AP135" s="50" t="str">
        <f aca="false">IF(AND(A135="",B135=""),"",IF(J135="","Status needed",IF(OR(J135="Applied",J135="Visit booked",J135="Withdrawn"),"OK",IF(G135="","Date assessed needed",IF(C135="","Date of birth needed",IF(COUNTA(L135,M135,P135,U135,V135,X135,AB135)&lt;7,"Band missing",IF(AND(OR(J135="Decision confirmed",J135="Family told",J135="Enrolled"),AG135=""),"Recommendation needed",IF(AND(OR(J135="Family told",J135="Enrolled"),AJ135=""),"Date family told needed","OK"))))))))</f>
        <v/>
      </c>
    </row>
    <row r="136" customFormat="false" ht="15" hidden="false" customHeight="false" outlineLevel="0" collapsed="false">
      <c r="A136" s="7"/>
      <c r="B136" s="7"/>
      <c r="C136" s="46"/>
      <c r="D136" s="7"/>
      <c r="E136" s="47"/>
      <c r="F136" s="46"/>
      <c r="G136" s="46"/>
      <c r="H136" s="7"/>
      <c r="I136" s="7"/>
      <c r="J136" s="47"/>
      <c r="K136" s="47"/>
      <c r="L136" s="47"/>
      <c r="M136" s="47"/>
      <c r="N136" s="10"/>
      <c r="O136" s="47"/>
      <c r="P136" s="47"/>
      <c r="Q136" s="47"/>
      <c r="R136" s="48" t="str">
        <f aca="false">IF(Q136="","",IF(Q136=0,"below 5:00",IF(Q136&gt;=66,"16:00 or above",INT((60+2*Q136)/12)&amp;":"&amp;TEXT(MOD(60+2*Q136,12),"00"))))</f>
        <v/>
      </c>
      <c r="S136" s="47"/>
      <c r="T136" s="47"/>
      <c r="U136" s="47"/>
      <c r="V136" s="47"/>
      <c r="W136" s="47"/>
      <c r="X136" s="47"/>
      <c r="Y136" s="47"/>
      <c r="Z136" s="47"/>
      <c r="AA136" s="47"/>
      <c r="AB136" s="47"/>
      <c r="AC136" s="47"/>
      <c r="AD136" s="47"/>
      <c r="AE136" s="47"/>
      <c r="AF136" s="47"/>
      <c r="AG136" s="47"/>
      <c r="AH136" s="47"/>
      <c r="AI136" s="46"/>
      <c r="AJ136" s="46"/>
      <c r="AK136" s="46"/>
      <c r="AL136" s="7"/>
      <c r="AM136" s="49" t="str">
        <f aca="false">IF(OR(C136="",G136=""),"",IFERROR(DATEDIF(C136,G136,"m"),""))</f>
        <v/>
      </c>
      <c r="AN136" s="49" t="str">
        <f aca="false">IF(OR(Q136="",AM136=""),"",60+2*Q136-AM136)</f>
        <v/>
      </c>
      <c r="AO136" s="49" t="str">
        <f aca="false">IF(OR(G136="",AJ136=""),"",AJ136-G136)</f>
        <v/>
      </c>
      <c r="AP136" s="50" t="str">
        <f aca="false">IF(AND(A136="",B136=""),"",IF(J136="","Status needed",IF(OR(J136="Applied",J136="Visit booked",J136="Withdrawn"),"OK",IF(G136="","Date assessed needed",IF(C136="","Date of birth needed",IF(COUNTA(L136,M136,P136,U136,V136,X136,AB136)&lt;7,"Band missing",IF(AND(OR(J136="Decision confirmed",J136="Family told",J136="Enrolled"),AG136=""),"Recommendation needed",IF(AND(OR(J136="Family told",J136="Enrolled"),AJ136=""),"Date family told needed","OK"))))))))</f>
        <v/>
      </c>
    </row>
    <row r="137" customFormat="false" ht="15" hidden="false" customHeight="false" outlineLevel="0" collapsed="false">
      <c r="A137" s="7"/>
      <c r="B137" s="7"/>
      <c r="C137" s="46"/>
      <c r="D137" s="7"/>
      <c r="E137" s="47"/>
      <c r="F137" s="46"/>
      <c r="G137" s="46"/>
      <c r="H137" s="7"/>
      <c r="I137" s="7"/>
      <c r="J137" s="47"/>
      <c r="K137" s="47"/>
      <c r="L137" s="47"/>
      <c r="M137" s="47"/>
      <c r="N137" s="10"/>
      <c r="O137" s="47"/>
      <c r="P137" s="47"/>
      <c r="Q137" s="47"/>
      <c r="R137" s="48" t="str">
        <f aca="false">IF(Q137="","",IF(Q137=0,"below 5:00",IF(Q137&gt;=66,"16:00 or above",INT((60+2*Q137)/12)&amp;":"&amp;TEXT(MOD(60+2*Q137,12),"00"))))</f>
        <v/>
      </c>
      <c r="S137" s="47"/>
      <c r="T137" s="47"/>
      <c r="U137" s="47"/>
      <c r="V137" s="47"/>
      <c r="W137" s="47"/>
      <c r="X137" s="47"/>
      <c r="Y137" s="47"/>
      <c r="Z137" s="47"/>
      <c r="AA137" s="47"/>
      <c r="AB137" s="47"/>
      <c r="AC137" s="47"/>
      <c r="AD137" s="47"/>
      <c r="AE137" s="47"/>
      <c r="AF137" s="47"/>
      <c r="AG137" s="47"/>
      <c r="AH137" s="47"/>
      <c r="AI137" s="46"/>
      <c r="AJ137" s="46"/>
      <c r="AK137" s="46"/>
      <c r="AL137" s="7"/>
      <c r="AM137" s="49" t="str">
        <f aca="false">IF(OR(C137="",G137=""),"",IFERROR(DATEDIF(C137,G137,"m"),""))</f>
        <v/>
      </c>
      <c r="AN137" s="49" t="str">
        <f aca="false">IF(OR(Q137="",AM137=""),"",60+2*Q137-AM137)</f>
        <v/>
      </c>
      <c r="AO137" s="49" t="str">
        <f aca="false">IF(OR(G137="",AJ137=""),"",AJ137-G137)</f>
        <v/>
      </c>
      <c r="AP137" s="50" t="str">
        <f aca="false">IF(AND(A137="",B137=""),"",IF(J137="","Status needed",IF(OR(J137="Applied",J137="Visit booked",J137="Withdrawn"),"OK",IF(G137="","Date assessed needed",IF(C137="","Date of birth needed",IF(COUNTA(L137,M137,P137,U137,V137,X137,AB137)&lt;7,"Band missing",IF(AND(OR(J137="Decision confirmed",J137="Family told",J137="Enrolled"),AG137=""),"Recommendation needed",IF(AND(OR(J137="Family told",J137="Enrolled"),AJ137=""),"Date family told needed","OK"))))))))</f>
        <v/>
      </c>
    </row>
    <row r="138" customFormat="false" ht="15" hidden="false" customHeight="false" outlineLevel="0" collapsed="false">
      <c r="A138" s="7"/>
      <c r="B138" s="7"/>
      <c r="C138" s="46"/>
      <c r="D138" s="7"/>
      <c r="E138" s="47"/>
      <c r="F138" s="46"/>
      <c r="G138" s="46"/>
      <c r="H138" s="7"/>
      <c r="I138" s="7"/>
      <c r="J138" s="47"/>
      <c r="K138" s="47"/>
      <c r="L138" s="47"/>
      <c r="M138" s="47"/>
      <c r="N138" s="10"/>
      <c r="O138" s="47"/>
      <c r="P138" s="47"/>
      <c r="Q138" s="47"/>
      <c r="R138" s="48" t="str">
        <f aca="false">IF(Q138="","",IF(Q138=0,"below 5:00",IF(Q138&gt;=66,"16:00 or above",INT((60+2*Q138)/12)&amp;":"&amp;TEXT(MOD(60+2*Q138,12),"00"))))</f>
        <v/>
      </c>
      <c r="S138" s="47"/>
      <c r="T138" s="47"/>
      <c r="U138" s="47"/>
      <c r="V138" s="47"/>
      <c r="W138" s="47"/>
      <c r="X138" s="47"/>
      <c r="Y138" s="47"/>
      <c r="Z138" s="47"/>
      <c r="AA138" s="47"/>
      <c r="AB138" s="47"/>
      <c r="AC138" s="47"/>
      <c r="AD138" s="47"/>
      <c r="AE138" s="47"/>
      <c r="AF138" s="47"/>
      <c r="AG138" s="47"/>
      <c r="AH138" s="47"/>
      <c r="AI138" s="46"/>
      <c r="AJ138" s="46"/>
      <c r="AK138" s="46"/>
      <c r="AL138" s="7"/>
      <c r="AM138" s="49" t="str">
        <f aca="false">IF(OR(C138="",G138=""),"",IFERROR(DATEDIF(C138,G138,"m"),""))</f>
        <v/>
      </c>
      <c r="AN138" s="49" t="str">
        <f aca="false">IF(OR(Q138="",AM138=""),"",60+2*Q138-AM138)</f>
        <v/>
      </c>
      <c r="AO138" s="49" t="str">
        <f aca="false">IF(OR(G138="",AJ138=""),"",AJ138-G138)</f>
        <v/>
      </c>
      <c r="AP138" s="50" t="str">
        <f aca="false">IF(AND(A138="",B138=""),"",IF(J138="","Status needed",IF(OR(J138="Applied",J138="Visit booked",J138="Withdrawn"),"OK",IF(G138="","Date assessed needed",IF(C138="","Date of birth needed",IF(COUNTA(L138,M138,P138,U138,V138,X138,AB138)&lt;7,"Band missing",IF(AND(OR(J138="Decision confirmed",J138="Family told",J138="Enrolled"),AG138=""),"Recommendation needed",IF(AND(OR(J138="Family told",J138="Enrolled"),AJ138=""),"Date family told needed","OK"))))))))</f>
        <v/>
      </c>
    </row>
    <row r="139" customFormat="false" ht="15" hidden="false" customHeight="false" outlineLevel="0" collapsed="false">
      <c r="A139" s="7"/>
      <c r="B139" s="7"/>
      <c r="C139" s="46"/>
      <c r="D139" s="7"/>
      <c r="E139" s="47"/>
      <c r="F139" s="46"/>
      <c r="G139" s="46"/>
      <c r="H139" s="7"/>
      <c r="I139" s="7"/>
      <c r="J139" s="47"/>
      <c r="K139" s="47"/>
      <c r="L139" s="47"/>
      <c r="M139" s="47"/>
      <c r="N139" s="10"/>
      <c r="O139" s="47"/>
      <c r="P139" s="47"/>
      <c r="Q139" s="47"/>
      <c r="R139" s="48" t="str">
        <f aca="false">IF(Q139="","",IF(Q139=0,"below 5:00",IF(Q139&gt;=66,"16:00 or above",INT((60+2*Q139)/12)&amp;":"&amp;TEXT(MOD(60+2*Q139,12),"00"))))</f>
        <v/>
      </c>
      <c r="S139" s="47"/>
      <c r="T139" s="47"/>
      <c r="U139" s="47"/>
      <c r="V139" s="47"/>
      <c r="W139" s="47"/>
      <c r="X139" s="47"/>
      <c r="Y139" s="47"/>
      <c r="Z139" s="47"/>
      <c r="AA139" s="47"/>
      <c r="AB139" s="47"/>
      <c r="AC139" s="47"/>
      <c r="AD139" s="47"/>
      <c r="AE139" s="47"/>
      <c r="AF139" s="47"/>
      <c r="AG139" s="47"/>
      <c r="AH139" s="47"/>
      <c r="AI139" s="46"/>
      <c r="AJ139" s="46"/>
      <c r="AK139" s="46"/>
      <c r="AL139" s="7"/>
      <c r="AM139" s="49" t="str">
        <f aca="false">IF(OR(C139="",G139=""),"",IFERROR(DATEDIF(C139,G139,"m"),""))</f>
        <v/>
      </c>
      <c r="AN139" s="49" t="str">
        <f aca="false">IF(OR(Q139="",AM139=""),"",60+2*Q139-AM139)</f>
        <v/>
      </c>
      <c r="AO139" s="49" t="str">
        <f aca="false">IF(OR(G139="",AJ139=""),"",AJ139-G139)</f>
        <v/>
      </c>
      <c r="AP139" s="50" t="str">
        <f aca="false">IF(AND(A139="",B139=""),"",IF(J139="","Status needed",IF(OR(J139="Applied",J139="Visit booked",J139="Withdrawn"),"OK",IF(G139="","Date assessed needed",IF(C139="","Date of birth needed",IF(COUNTA(L139,M139,P139,U139,V139,X139,AB139)&lt;7,"Band missing",IF(AND(OR(J139="Decision confirmed",J139="Family told",J139="Enrolled"),AG139=""),"Recommendation needed",IF(AND(OR(J139="Family told",J139="Enrolled"),AJ139=""),"Date family told needed","OK"))))))))</f>
        <v/>
      </c>
    </row>
    <row r="140" customFormat="false" ht="15" hidden="false" customHeight="false" outlineLevel="0" collapsed="false">
      <c r="A140" s="7"/>
      <c r="B140" s="7"/>
      <c r="C140" s="46"/>
      <c r="D140" s="7"/>
      <c r="E140" s="47"/>
      <c r="F140" s="46"/>
      <c r="G140" s="46"/>
      <c r="H140" s="7"/>
      <c r="I140" s="7"/>
      <c r="J140" s="47"/>
      <c r="K140" s="47"/>
      <c r="L140" s="47"/>
      <c r="M140" s="47"/>
      <c r="N140" s="10"/>
      <c r="O140" s="47"/>
      <c r="P140" s="47"/>
      <c r="Q140" s="47"/>
      <c r="R140" s="48" t="str">
        <f aca="false">IF(Q140="","",IF(Q140=0,"below 5:00",IF(Q140&gt;=66,"16:00 or above",INT((60+2*Q140)/12)&amp;":"&amp;TEXT(MOD(60+2*Q140,12),"00"))))</f>
        <v/>
      </c>
      <c r="S140" s="47"/>
      <c r="T140" s="47"/>
      <c r="U140" s="47"/>
      <c r="V140" s="47"/>
      <c r="W140" s="47"/>
      <c r="X140" s="47"/>
      <c r="Y140" s="47"/>
      <c r="Z140" s="47"/>
      <c r="AA140" s="47"/>
      <c r="AB140" s="47"/>
      <c r="AC140" s="47"/>
      <c r="AD140" s="47"/>
      <c r="AE140" s="47"/>
      <c r="AF140" s="47"/>
      <c r="AG140" s="47"/>
      <c r="AH140" s="47"/>
      <c r="AI140" s="46"/>
      <c r="AJ140" s="46"/>
      <c r="AK140" s="46"/>
      <c r="AL140" s="7"/>
      <c r="AM140" s="49" t="str">
        <f aca="false">IF(OR(C140="",G140=""),"",IFERROR(DATEDIF(C140,G140,"m"),""))</f>
        <v/>
      </c>
      <c r="AN140" s="49" t="str">
        <f aca="false">IF(OR(Q140="",AM140=""),"",60+2*Q140-AM140)</f>
        <v/>
      </c>
      <c r="AO140" s="49" t="str">
        <f aca="false">IF(OR(G140="",AJ140=""),"",AJ140-G140)</f>
        <v/>
      </c>
      <c r="AP140" s="50" t="str">
        <f aca="false">IF(AND(A140="",B140=""),"",IF(J140="","Status needed",IF(OR(J140="Applied",J140="Visit booked",J140="Withdrawn"),"OK",IF(G140="","Date assessed needed",IF(C140="","Date of birth needed",IF(COUNTA(L140,M140,P140,U140,V140,X140,AB140)&lt;7,"Band missing",IF(AND(OR(J140="Decision confirmed",J140="Family told",J140="Enrolled"),AG140=""),"Recommendation needed",IF(AND(OR(J140="Family told",J140="Enrolled"),AJ140=""),"Date family told needed","OK"))))))))</f>
        <v/>
      </c>
    </row>
    <row r="141" customFormat="false" ht="15" hidden="false" customHeight="false" outlineLevel="0" collapsed="false">
      <c r="A141" s="7"/>
      <c r="B141" s="7"/>
      <c r="C141" s="46"/>
      <c r="D141" s="7"/>
      <c r="E141" s="47"/>
      <c r="F141" s="46"/>
      <c r="G141" s="46"/>
      <c r="H141" s="7"/>
      <c r="I141" s="7"/>
      <c r="J141" s="47"/>
      <c r="K141" s="47"/>
      <c r="L141" s="47"/>
      <c r="M141" s="47"/>
      <c r="N141" s="10"/>
      <c r="O141" s="47"/>
      <c r="P141" s="47"/>
      <c r="Q141" s="47"/>
      <c r="R141" s="48" t="str">
        <f aca="false">IF(Q141="","",IF(Q141=0,"below 5:00",IF(Q141&gt;=66,"16:00 or above",INT((60+2*Q141)/12)&amp;":"&amp;TEXT(MOD(60+2*Q141,12),"00"))))</f>
        <v/>
      </c>
      <c r="S141" s="47"/>
      <c r="T141" s="47"/>
      <c r="U141" s="47"/>
      <c r="V141" s="47"/>
      <c r="W141" s="47"/>
      <c r="X141" s="47"/>
      <c r="Y141" s="47"/>
      <c r="Z141" s="47"/>
      <c r="AA141" s="47"/>
      <c r="AB141" s="47"/>
      <c r="AC141" s="47"/>
      <c r="AD141" s="47"/>
      <c r="AE141" s="47"/>
      <c r="AF141" s="47"/>
      <c r="AG141" s="47"/>
      <c r="AH141" s="47"/>
      <c r="AI141" s="46"/>
      <c r="AJ141" s="46"/>
      <c r="AK141" s="46"/>
      <c r="AL141" s="7"/>
      <c r="AM141" s="49" t="str">
        <f aca="false">IF(OR(C141="",G141=""),"",IFERROR(DATEDIF(C141,G141,"m"),""))</f>
        <v/>
      </c>
      <c r="AN141" s="49" t="str">
        <f aca="false">IF(OR(Q141="",AM141=""),"",60+2*Q141-AM141)</f>
        <v/>
      </c>
      <c r="AO141" s="49" t="str">
        <f aca="false">IF(OR(G141="",AJ141=""),"",AJ141-G141)</f>
        <v/>
      </c>
      <c r="AP141" s="50" t="str">
        <f aca="false">IF(AND(A141="",B141=""),"",IF(J141="","Status needed",IF(OR(J141="Applied",J141="Visit booked",J141="Withdrawn"),"OK",IF(G141="","Date assessed needed",IF(C141="","Date of birth needed",IF(COUNTA(L141,M141,P141,U141,V141,X141,AB141)&lt;7,"Band missing",IF(AND(OR(J141="Decision confirmed",J141="Family told",J141="Enrolled"),AG141=""),"Recommendation needed",IF(AND(OR(J141="Family told",J141="Enrolled"),AJ141=""),"Date family told needed","OK"))))))))</f>
        <v/>
      </c>
    </row>
    <row r="142" customFormat="false" ht="15" hidden="false" customHeight="false" outlineLevel="0" collapsed="false">
      <c r="A142" s="7"/>
      <c r="B142" s="7"/>
      <c r="C142" s="46"/>
      <c r="D142" s="7"/>
      <c r="E142" s="47"/>
      <c r="F142" s="46"/>
      <c r="G142" s="46"/>
      <c r="H142" s="7"/>
      <c r="I142" s="7"/>
      <c r="J142" s="47"/>
      <c r="K142" s="47"/>
      <c r="L142" s="47"/>
      <c r="M142" s="47"/>
      <c r="N142" s="10"/>
      <c r="O142" s="47"/>
      <c r="P142" s="47"/>
      <c r="Q142" s="47"/>
      <c r="R142" s="48" t="str">
        <f aca="false">IF(Q142="","",IF(Q142=0,"below 5:00",IF(Q142&gt;=66,"16:00 or above",INT((60+2*Q142)/12)&amp;":"&amp;TEXT(MOD(60+2*Q142,12),"00"))))</f>
        <v/>
      </c>
      <c r="S142" s="47"/>
      <c r="T142" s="47"/>
      <c r="U142" s="47"/>
      <c r="V142" s="47"/>
      <c r="W142" s="47"/>
      <c r="X142" s="47"/>
      <c r="Y142" s="47"/>
      <c r="Z142" s="47"/>
      <c r="AA142" s="47"/>
      <c r="AB142" s="47"/>
      <c r="AC142" s="47"/>
      <c r="AD142" s="47"/>
      <c r="AE142" s="47"/>
      <c r="AF142" s="47"/>
      <c r="AG142" s="47"/>
      <c r="AH142" s="47"/>
      <c r="AI142" s="46"/>
      <c r="AJ142" s="46"/>
      <c r="AK142" s="46"/>
      <c r="AL142" s="7"/>
      <c r="AM142" s="49" t="str">
        <f aca="false">IF(OR(C142="",G142=""),"",IFERROR(DATEDIF(C142,G142,"m"),""))</f>
        <v/>
      </c>
      <c r="AN142" s="49" t="str">
        <f aca="false">IF(OR(Q142="",AM142=""),"",60+2*Q142-AM142)</f>
        <v/>
      </c>
      <c r="AO142" s="49" t="str">
        <f aca="false">IF(OR(G142="",AJ142=""),"",AJ142-G142)</f>
        <v/>
      </c>
      <c r="AP142" s="50" t="str">
        <f aca="false">IF(AND(A142="",B142=""),"",IF(J142="","Status needed",IF(OR(J142="Applied",J142="Visit booked",J142="Withdrawn"),"OK",IF(G142="","Date assessed needed",IF(C142="","Date of birth needed",IF(COUNTA(L142,M142,P142,U142,V142,X142,AB142)&lt;7,"Band missing",IF(AND(OR(J142="Decision confirmed",J142="Family told",J142="Enrolled"),AG142=""),"Recommendation needed",IF(AND(OR(J142="Family told",J142="Enrolled"),AJ142=""),"Date family told needed","OK"))))))))</f>
        <v/>
      </c>
    </row>
    <row r="143" customFormat="false" ht="15" hidden="false" customHeight="false" outlineLevel="0" collapsed="false">
      <c r="A143" s="7"/>
      <c r="B143" s="7"/>
      <c r="C143" s="46"/>
      <c r="D143" s="7"/>
      <c r="E143" s="47"/>
      <c r="F143" s="46"/>
      <c r="G143" s="46"/>
      <c r="H143" s="7"/>
      <c r="I143" s="7"/>
      <c r="J143" s="47"/>
      <c r="K143" s="47"/>
      <c r="L143" s="47"/>
      <c r="M143" s="47"/>
      <c r="N143" s="10"/>
      <c r="O143" s="47"/>
      <c r="P143" s="47"/>
      <c r="Q143" s="47"/>
      <c r="R143" s="48" t="str">
        <f aca="false">IF(Q143="","",IF(Q143=0,"below 5:00",IF(Q143&gt;=66,"16:00 or above",INT((60+2*Q143)/12)&amp;":"&amp;TEXT(MOD(60+2*Q143,12),"00"))))</f>
        <v/>
      </c>
      <c r="S143" s="47"/>
      <c r="T143" s="47"/>
      <c r="U143" s="47"/>
      <c r="V143" s="47"/>
      <c r="W143" s="47"/>
      <c r="X143" s="47"/>
      <c r="Y143" s="47"/>
      <c r="Z143" s="47"/>
      <c r="AA143" s="47"/>
      <c r="AB143" s="47"/>
      <c r="AC143" s="47"/>
      <c r="AD143" s="47"/>
      <c r="AE143" s="47"/>
      <c r="AF143" s="47"/>
      <c r="AG143" s="47"/>
      <c r="AH143" s="47"/>
      <c r="AI143" s="46"/>
      <c r="AJ143" s="46"/>
      <c r="AK143" s="46"/>
      <c r="AL143" s="7"/>
      <c r="AM143" s="49" t="str">
        <f aca="false">IF(OR(C143="",G143=""),"",IFERROR(DATEDIF(C143,G143,"m"),""))</f>
        <v/>
      </c>
      <c r="AN143" s="49" t="str">
        <f aca="false">IF(OR(Q143="",AM143=""),"",60+2*Q143-AM143)</f>
        <v/>
      </c>
      <c r="AO143" s="49" t="str">
        <f aca="false">IF(OR(G143="",AJ143=""),"",AJ143-G143)</f>
        <v/>
      </c>
      <c r="AP143" s="50" t="str">
        <f aca="false">IF(AND(A143="",B143=""),"",IF(J143="","Status needed",IF(OR(J143="Applied",J143="Visit booked",J143="Withdrawn"),"OK",IF(G143="","Date assessed needed",IF(C143="","Date of birth needed",IF(COUNTA(L143,M143,P143,U143,V143,X143,AB143)&lt;7,"Band missing",IF(AND(OR(J143="Decision confirmed",J143="Family told",J143="Enrolled"),AG143=""),"Recommendation needed",IF(AND(OR(J143="Family told",J143="Enrolled"),AJ143=""),"Date family told needed","OK"))))))))</f>
        <v/>
      </c>
    </row>
    <row r="144" customFormat="false" ht="15" hidden="false" customHeight="false" outlineLevel="0" collapsed="false">
      <c r="A144" s="7"/>
      <c r="B144" s="7"/>
      <c r="C144" s="46"/>
      <c r="D144" s="7"/>
      <c r="E144" s="47"/>
      <c r="F144" s="46"/>
      <c r="G144" s="46"/>
      <c r="H144" s="7"/>
      <c r="I144" s="7"/>
      <c r="J144" s="47"/>
      <c r="K144" s="47"/>
      <c r="L144" s="47"/>
      <c r="M144" s="47"/>
      <c r="N144" s="10"/>
      <c r="O144" s="47"/>
      <c r="P144" s="47"/>
      <c r="Q144" s="47"/>
      <c r="R144" s="48" t="str">
        <f aca="false">IF(Q144="","",IF(Q144=0,"below 5:00",IF(Q144&gt;=66,"16:00 or above",INT((60+2*Q144)/12)&amp;":"&amp;TEXT(MOD(60+2*Q144,12),"00"))))</f>
        <v/>
      </c>
      <c r="S144" s="47"/>
      <c r="T144" s="47"/>
      <c r="U144" s="47"/>
      <c r="V144" s="47"/>
      <c r="W144" s="47"/>
      <c r="X144" s="47"/>
      <c r="Y144" s="47"/>
      <c r="Z144" s="47"/>
      <c r="AA144" s="47"/>
      <c r="AB144" s="47"/>
      <c r="AC144" s="47"/>
      <c r="AD144" s="47"/>
      <c r="AE144" s="47"/>
      <c r="AF144" s="47"/>
      <c r="AG144" s="47"/>
      <c r="AH144" s="47"/>
      <c r="AI144" s="46"/>
      <c r="AJ144" s="46"/>
      <c r="AK144" s="46"/>
      <c r="AL144" s="7"/>
      <c r="AM144" s="49" t="str">
        <f aca="false">IF(OR(C144="",G144=""),"",IFERROR(DATEDIF(C144,G144,"m"),""))</f>
        <v/>
      </c>
      <c r="AN144" s="49" t="str">
        <f aca="false">IF(OR(Q144="",AM144=""),"",60+2*Q144-AM144)</f>
        <v/>
      </c>
      <c r="AO144" s="49" t="str">
        <f aca="false">IF(OR(G144="",AJ144=""),"",AJ144-G144)</f>
        <v/>
      </c>
      <c r="AP144" s="50" t="str">
        <f aca="false">IF(AND(A144="",B144=""),"",IF(J144="","Status needed",IF(OR(J144="Applied",J144="Visit booked",J144="Withdrawn"),"OK",IF(G144="","Date assessed needed",IF(C144="","Date of birth needed",IF(COUNTA(L144,M144,P144,U144,V144,X144,AB144)&lt;7,"Band missing",IF(AND(OR(J144="Decision confirmed",J144="Family told",J144="Enrolled"),AG144=""),"Recommendation needed",IF(AND(OR(J144="Family told",J144="Enrolled"),AJ144=""),"Date family told needed","OK"))))))))</f>
        <v/>
      </c>
    </row>
    <row r="145" customFormat="false" ht="15" hidden="false" customHeight="false" outlineLevel="0" collapsed="false">
      <c r="A145" s="7"/>
      <c r="B145" s="7"/>
      <c r="C145" s="46"/>
      <c r="D145" s="7"/>
      <c r="E145" s="47"/>
      <c r="F145" s="46"/>
      <c r="G145" s="46"/>
      <c r="H145" s="7"/>
      <c r="I145" s="7"/>
      <c r="J145" s="47"/>
      <c r="K145" s="47"/>
      <c r="L145" s="47"/>
      <c r="M145" s="47"/>
      <c r="N145" s="10"/>
      <c r="O145" s="47"/>
      <c r="P145" s="47"/>
      <c r="Q145" s="47"/>
      <c r="R145" s="48" t="str">
        <f aca="false">IF(Q145="","",IF(Q145=0,"below 5:00",IF(Q145&gt;=66,"16:00 or above",INT((60+2*Q145)/12)&amp;":"&amp;TEXT(MOD(60+2*Q145,12),"00"))))</f>
        <v/>
      </c>
      <c r="S145" s="47"/>
      <c r="T145" s="47"/>
      <c r="U145" s="47"/>
      <c r="V145" s="47"/>
      <c r="W145" s="47"/>
      <c r="X145" s="47"/>
      <c r="Y145" s="47"/>
      <c r="Z145" s="47"/>
      <c r="AA145" s="47"/>
      <c r="AB145" s="47"/>
      <c r="AC145" s="47"/>
      <c r="AD145" s="47"/>
      <c r="AE145" s="47"/>
      <c r="AF145" s="47"/>
      <c r="AG145" s="47"/>
      <c r="AH145" s="47"/>
      <c r="AI145" s="46"/>
      <c r="AJ145" s="46"/>
      <c r="AK145" s="46"/>
      <c r="AL145" s="7"/>
      <c r="AM145" s="49" t="str">
        <f aca="false">IF(OR(C145="",G145=""),"",IFERROR(DATEDIF(C145,G145,"m"),""))</f>
        <v/>
      </c>
      <c r="AN145" s="49" t="str">
        <f aca="false">IF(OR(Q145="",AM145=""),"",60+2*Q145-AM145)</f>
        <v/>
      </c>
      <c r="AO145" s="49" t="str">
        <f aca="false">IF(OR(G145="",AJ145=""),"",AJ145-G145)</f>
        <v/>
      </c>
      <c r="AP145" s="50" t="str">
        <f aca="false">IF(AND(A145="",B145=""),"",IF(J145="","Status needed",IF(OR(J145="Applied",J145="Visit booked",J145="Withdrawn"),"OK",IF(G145="","Date assessed needed",IF(C145="","Date of birth needed",IF(COUNTA(L145,M145,P145,U145,V145,X145,AB145)&lt;7,"Band missing",IF(AND(OR(J145="Decision confirmed",J145="Family told",J145="Enrolled"),AG145=""),"Recommendation needed",IF(AND(OR(J145="Family told",J145="Enrolled"),AJ145=""),"Date family told needed","OK"))))))))</f>
        <v/>
      </c>
    </row>
    <row r="146" customFormat="false" ht="15" hidden="false" customHeight="false" outlineLevel="0" collapsed="false">
      <c r="A146" s="7"/>
      <c r="B146" s="7"/>
      <c r="C146" s="46"/>
      <c r="D146" s="7"/>
      <c r="E146" s="47"/>
      <c r="F146" s="46"/>
      <c r="G146" s="46"/>
      <c r="H146" s="7"/>
      <c r="I146" s="7"/>
      <c r="J146" s="47"/>
      <c r="K146" s="47"/>
      <c r="L146" s="47"/>
      <c r="M146" s="47"/>
      <c r="N146" s="10"/>
      <c r="O146" s="47"/>
      <c r="P146" s="47"/>
      <c r="Q146" s="47"/>
      <c r="R146" s="48" t="str">
        <f aca="false">IF(Q146="","",IF(Q146=0,"below 5:00",IF(Q146&gt;=66,"16:00 or above",INT((60+2*Q146)/12)&amp;":"&amp;TEXT(MOD(60+2*Q146,12),"00"))))</f>
        <v/>
      </c>
      <c r="S146" s="47"/>
      <c r="T146" s="47"/>
      <c r="U146" s="47"/>
      <c r="V146" s="47"/>
      <c r="W146" s="47"/>
      <c r="X146" s="47"/>
      <c r="Y146" s="47"/>
      <c r="Z146" s="47"/>
      <c r="AA146" s="47"/>
      <c r="AB146" s="47"/>
      <c r="AC146" s="47"/>
      <c r="AD146" s="47"/>
      <c r="AE146" s="47"/>
      <c r="AF146" s="47"/>
      <c r="AG146" s="47"/>
      <c r="AH146" s="47"/>
      <c r="AI146" s="46"/>
      <c r="AJ146" s="46"/>
      <c r="AK146" s="46"/>
      <c r="AL146" s="7"/>
      <c r="AM146" s="49" t="str">
        <f aca="false">IF(OR(C146="",G146=""),"",IFERROR(DATEDIF(C146,G146,"m"),""))</f>
        <v/>
      </c>
      <c r="AN146" s="49" t="str">
        <f aca="false">IF(OR(Q146="",AM146=""),"",60+2*Q146-AM146)</f>
        <v/>
      </c>
      <c r="AO146" s="49" t="str">
        <f aca="false">IF(OR(G146="",AJ146=""),"",AJ146-G146)</f>
        <v/>
      </c>
      <c r="AP146" s="50" t="str">
        <f aca="false">IF(AND(A146="",B146=""),"",IF(J146="","Status needed",IF(OR(J146="Applied",J146="Visit booked",J146="Withdrawn"),"OK",IF(G146="","Date assessed needed",IF(C146="","Date of birth needed",IF(COUNTA(L146,M146,P146,U146,V146,X146,AB146)&lt;7,"Band missing",IF(AND(OR(J146="Decision confirmed",J146="Family told",J146="Enrolled"),AG146=""),"Recommendation needed",IF(AND(OR(J146="Family told",J146="Enrolled"),AJ146=""),"Date family told needed","OK"))))))))</f>
        <v/>
      </c>
    </row>
    <row r="147" customFormat="false" ht="15" hidden="false" customHeight="false" outlineLevel="0" collapsed="false">
      <c r="A147" s="7"/>
      <c r="B147" s="7"/>
      <c r="C147" s="46"/>
      <c r="D147" s="7"/>
      <c r="E147" s="47"/>
      <c r="F147" s="46"/>
      <c r="G147" s="46"/>
      <c r="H147" s="7"/>
      <c r="I147" s="7"/>
      <c r="J147" s="47"/>
      <c r="K147" s="47"/>
      <c r="L147" s="47"/>
      <c r="M147" s="47"/>
      <c r="N147" s="10"/>
      <c r="O147" s="47"/>
      <c r="P147" s="47"/>
      <c r="Q147" s="47"/>
      <c r="R147" s="48" t="str">
        <f aca="false">IF(Q147="","",IF(Q147=0,"below 5:00",IF(Q147&gt;=66,"16:00 or above",INT((60+2*Q147)/12)&amp;":"&amp;TEXT(MOD(60+2*Q147,12),"00"))))</f>
        <v/>
      </c>
      <c r="S147" s="47"/>
      <c r="T147" s="47"/>
      <c r="U147" s="47"/>
      <c r="V147" s="47"/>
      <c r="W147" s="47"/>
      <c r="X147" s="47"/>
      <c r="Y147" s="47"/>
      <c r="Z147" s="47"/>
      <c r="AA147" s="47"/>
      <c r="AB147" s="47"/>
      <c r="AC147" s="47"/>
      <c r="AD147" s="47"/>
      <c r="AE147" s="47"/>
      <c r="AF147" s="47"/>
      <c r="AG147" s="47"/>
      <c r="AH147" s="47"/>
      <c r="AI147" s="46"/>
      <c r="AJ147" s="46"/>
      <c r="AK147" s="46"/>
      <c r="AL147" s="7"/>
      <c r="AM147" s="49" t="str">
        <f aca="false">IF(OR(C147="",G147=""),"",IFERROR(DATEDIF(C147,G147,"m"),""))</f>
        <v/>
      </c>
      <c r="AN147" s="49" t="str">
        <f aca="false">IF(OR(Q147="",AM147=""),"",60+2*Q147-AM147)</f>
        <v/>
      </c>
      <c r="AO147" s="49" t="str">
        <f aca="false">IF(OR(G147="",AJ147=""),"",AJ147-G147)</f>
        <v/>
      </c>
      <c r="AP147" s="50" t="str">
        <f aca="false">IF(AND(A147="",B147=""),"",IF(J147="","Status needed",IF(OR(J147="Applied",J147="Visit booked",J147="Withdrawn"),"OK",IF(G147="","Date assessed needed",IF(C147="","Date of birth needed",IF(COUNTA(L147,M147,P147,U147,V147,X147,AB147)&lt;7,"Band missing",IF(AND(OR(J147="Decision confirmed",J147="Family told",J147="Enrolled"),AG147=""),"Recommendation needed",IF(AND(OR(J147="Family told",J147="Enrolled"),AJ147=""),"Date family told needed","OK"))))))))</f>
        <v/>
      </c>
    </row>
    <row r="148" customFormat="false" ht="15" hidden="false" customHeight="false" outlineLevel="0" collapsed="false">
      <c r="A148" s="7"/>
      <c r="B148" s="7"/>
      <c r="C148" s="46"/>
      <c r="D148" s="7"/>
      <c r="E148" s="47"/>
      <c r="F148" s="46"/>
      <c r="G148" s="46"/>
      <c r="H148" s="7"/>
      <c r="I148" s="7"/>
      <c r="J148" s="47"/>
      <c r="K148" s="47"/>
      <c r="L148" s="47"/>
      <c r="M148" s="47"/>
      <c r="N148" s="10"/>
      <c r="O148" s="47"/>
      <c r="P148" s="47"/>
      <c r="Q148" s="47"/>
      <c r="R148" s="48" t="str">
        <f aca="false">IF(Q148="","",IF(Q148=0,"below 5:00",IF(Q148&gt;=66,"16:00 or above",INT((60+2*Q148)/12)&amp;":"&amp;TEXT(MOD(60+2*Q148,12),"00"))))</f>
        <v/>
      </c>
      <c r="S148" s="47"/>
      <c r="T148" s="47"/>
      <c r="U148" s="47"/>
      <c r="V148" s="47"/>
      <c r="W148" s="47"/>
      <c r="X148" s="47"/>
      <c r="Y148" s="47"/>
      <c r="Z148" s="47"/>
      <c r="AA148" s="47"/>
      <c r="AB148" s="47"/>
      <c r="AC148" s="47"/>
      <c r="AD148" s="47"/>
      <c r="AE148" s="47"/>
      <c r="AF148" s="47"/>
      <c r="AG148" s="47"/>
      <c r="AH148" s="47"/>
      <c r="AI148" s="46"/>
      <c r="AJ148" s="46"/>
      <c r="AK148" s="46"/>
      <c r="AL148" s="7"/>
      <c r="AM148" s="49" t="str">
        <f aca="false">IF(OR(C148="",G148=""),"",IFERROR(DATEDIF(C148,G148,"m"),""))</f>
        <v/>
      </c>
      <c r="AN148" s="49" t="str">
        <f aca="false">IF(OR(Q148="",AM148=""),"",60+2*Q148-AM148)</f>
        <v/>
      </c>
      <c r="AO148" s="49" t="str">
        <f aca="false">IF(OR(G148="",AJ148=""),"",AJ148-G148)</f>
        <v/>
      </c>
      <c r="AP148" s="50" t="str">
        <f aca="false">IF(AND(A148="",B148=""),"",IF(J148="","Status needed",IF(OR(J148="Applied",J148="Visit booked",J148="Withdrawn"),"OK",IF(G148="","Date assessed needed",IF(C148="","Date of birth needed",IF(COUNTA(L148,M148,P148,U148,V148,X148,AB148)&lt;7,"Band missing",IF(AND(OR(J148="Decision confirmed",J148="Family told",J148="Enrolled"),AG148=""),"Recommendation needed",IF(AND(OR(J148="Family told",J148="Enrolled"),AJ148=""),"Date family told needed","OK"))))))))</f>
        <v/>
      </c>
    </row>
    <row r="149" customFormat="false" ht="15" hidden="false" customHeight="false" outlineLevel="0" collapsed="false">
      <c r="A149" s="7"/>
      <c r="B149" s="7"/>
      <c r="C149" s="46"/>
      <c r="D149" s="7"/>
      <c r="E149" s="47"/>
      <c r="F149" s="46"/>
      <c r="G149" s="46"/>
      <c r="H149" s="7"/>
      <c r="I149" s="7"/>
      <c r="J149" s="47"/>
      <c r="K149" s="47"/>
      <c r="L149" s="47"/>
      <c r="M149" s="47"/>
      <c r="N149" s="10"/>
      <c r="O149" s="47"/>
      <c r="P149" s="47"/>
      <c r="Q149" s="47"/>
      <c r="R149" s="48" t="str">
        <f aca="false">IF(Q149="","",IF(Q149=0,"below 5:00",IF(Q149&gt;=66,"16:00 or above",INT((60+2*Q149)/12)&amp;":"&amp;TEXT(MOD(60+2*Q149,12),"00"))))</f>
        <v/>
      </c>
      <c r="S149" s="47"/>
      <c r="T149" s="47"/>
      <c r="U149" s="47"/>
      <c r="V149" s="47"/>
      <c r="W149" s="47"/>
      <c r="X149" s="47"/>
      <c r="Y149" s="47"/>
      <c r="Z149" s="47"/>
      <c r="AA149" s="47"/>
      <c r="AB149" s="47"/>
      <c r="AC149" s="47"/>
      <c r="AD149" s="47"/>
      <c r="AE149" s="47"/>
      <c r="AF149" s="47"/>
      <c r="AG149" s="47"/>
      <c r="AH149" s="47"/>
      <c r="AI149" s="46"/>
      <c r="AJ149" s="46"/>
      <c r="AK149" s="46"/>
      <c r="AL149" s="7"/>
      <c r="AM149" s="49" t="str">
        <f aca="false">IF(OR(C149="",G149=""),"",IFERROR(DATEDIF(C149,G149,"m"),""))</f>
        <v/>
      </c>
      <c r="AN149" s="49" t="str">
        <f aca="false">IF(OR(Q149="",AM149=""),"",60+2*Q149-AM149)</f>
        <v/>
      </c>
      <c r="AO149" s="49" t="str">
        <f aca="false">IF(OR(G149="",AJ149=""),"",AJ149-G149)</f>
        <v/>
      </c>
      <c r="AP149" s="50" t="str">
        <f aca="false">IF(AND(A149="",B149=""),"",IF(J149="","Status needed",IF(OR(J149="Applied",J149="Visit booked",J149="Withdrawn"),"OK",IF(G149="","Date assessed needed",IF(C149="","Date of birth needed",IF(COUNTA(L149,M149,P149,U149,V149,X149,AB149)&lt;7,"Band missing",IF(AND(OR(J149="Decision confirmed",J149="Family told",J149="Enrolled"),AG149=""),"Recommendation needed",IF(AND(OR(J149="Family told",J149="Enrolled"),AJ149=""),"Date family told needed","OK"))))))))</f>
        <v/>
      </c>
    </row>
    <row r="150" customFormat="false" ht="15" hidden="false" customHeight="false" outlineLevel="0" collapsed="false">
      <c r="A150" s="7"/>
      <c r="B150" s="7"/>
      <c r="C150" s="46"/>
      <c r="D150" s="7"/>
      <c r="E150" s="47"/>
      <c r="F150" s="46"/>
      <c r="G150" s="46"/>
      <c r="H150" s="7"/>
      <c r="I150" s="7"/>
      <c r="J150" s="47"/>
      <c r="K150" s="47"/>
      <c r="L150" s="47"/>
      <c r="M150" s="47"/>
      <c r="N150" s="10"/>
      <c r="O150" s="47"/>
      <c r="P150" s="47"/>
      <c r="Q150" s="47"/>
      <c r="R150" s="48" t="str">
        <f aca="false">IF(Q150="","",IF(Q150=0,"below 5:00",IF(Q150&gt;=66,"16:00 or above",INT((60+2*Q150)/12)&amp;":"&amp;TEXT(MOD(60+2*Q150,12),"00"))))</f>
        <v/>
      </c>
      <c r="S150" s="47"/>
      <c r="T150" s="47"/>
      <c r="U150" s="47"/>
      <c r="V150" s="47"/>
      <c r="W150" s="47"/>
      <c r="X150" s="47"/>
      <c r="Y150" s="47"/>
      <c r="Z150" s="47"/>
      <c r="AA150" s="47"/>
      <c r="AB150" s="47"/>
      <c r="AC150" s="47"/>
      <c r="AD150" s="47"/>
      <c r="AE150" s="47"/>
      <c r="AF150" s="47"/>
      <c r="AG150" s="47"/>
      <c r="AH150" s="47"/>
      <c r="AI150" s="46"/>
      <c r="AJ150" s="46"/>
      <c r="AK150" s="46"/>
      <c r="AL150" s="7"/>
      <c r="AM150" s="49" t="str">
        <f aca="false">IF(OR(C150="",G150=""),"",IFERROR(DATEDIF(C150,G150,"m"),""))</f>
        <v/>
      </c>
      <c r="AN150" s="49" t="str">
        <f aca="false">IF(OR(Q150="",AM150=""),"",60+2*Q150-AM150)</f>
        <v/>
      </c>
      <c r="AO150" s="49" t="str">
        <f aca="false">IF(OR(G150="",AJ150=""),"",AJ150-G150)</f>
        <v/>
      </c>
      <c r="AP150" s="50" t="str">
        <f aca="false">IF(AND(A150="",B150=""),"",IF(J150="","Status needed",IF(OR(J150="Applied",J150="Visit booked",J150="Withdrawn"),"OK",IF(G150="","Date assessed needed",IF(C150="","Date of birth needed",IF(COUNTA(L150,M150,P150,U150,V150,X150,AB150)&lt;7,"Band missing",IF(AND(OR(J150="Decision confirmed",J150="Family told",J150="Enrolled"),AG150=""),"Recommendation needed",IF(AND(OR(J150="Family told",J150="Enrolled"),AJ150=""),"Date family told needed","OK"))))))))</f>
        <v/>
      </c>
    </row>
    <row r="151" customFormat="false" ht="15" hidden="false" customHeight="false" outlineLevel="0" collapsed="false">
      <c r="A151" s="7"/>
      <c r="B151" s="7"/>
      <c r="C151" s="46"/>
      <c r="D151" s="7"/>
      <c r="E151" s="47"/>
      <c r="F151" s="46"/>
      <c r="G151" s="46"/>
      <c r="H151" s="7"/>
      <c r="I151" s="7"/>
      <c r="J151" s="47"/>
      <c r="K151" s="47"/>
      <c r="L151" s="47"/>
      <c r="M151" s="47"/>
      <c r="N151" s="10"/>
      <c r="O151" s="47"/>
      <c r="P151" s="47"/>
      <c r="Q151" s="47"/>
      <c r="R151" s="48" t="str">
        <f aca="false">IF(Q151="","",IF(Q151=0,"below 5:00",IF(Q151&gt;=66,"16:00 or above",INT((60+2*Q151)/12)&amp;":"&amp;TEXT(MOD(60+2*Q151,12),"00"))))</f>
        <v/>
      </c>
      <c r="S151" s="47"/>
      <c r="T151" s="47"/>
      <c r="U151" s="47"/>
      <c r="V151" s="47"/>
      <c r="W151" s="47"/>
      <c r="X151" s="47"/>
      <c r="Y151" s="47"/>
      <c r="Z151" s="47"/>
      <c r="AA151" s="47"/>
      <c r="AB151" s="47"/>
      <c r="AC151" s="47"/>
      <c r="AD151" s="47"/>
      <c r="AE151" s="47"/>
      <c r="AF151" s="47"/>
      <c r="AG151" s="47"/>
      <c r="AH151" s="47"/>
      <c r="AI151" s="46"/>
      <c r="AJ151" s="46"/>
      <c r="AK151" s="46"/>
      <c r="AL151" s="7"/>
      <c r="AM151" s="49" t="str">
        <f aca="false">IF(OR(C151="",G151=""),"",IFERROR(DATEDIF(C151,G151,"m"),""))</f>
        <v/>
      </c>
      <c r="AN151" s="49" t="str">
        <f aca="false">IF(OR(Q151="",AM151=""),"",60+2*Q151-AM151)</f>
        <v/>
      </c>
      <c r="AO151" s="49" t="str">
        <f aca="false">IF(OR(G151="",AJ151=""),"",AJ151-G151)</f>
        <v/>
      </c>
      <c r="AP151" s="50" t="str">
        <f aca="false">IF(AND(A151="",B151=""),"",IF(J151="","Status needed",IF(OR(J151="Applied",J151="Visit booked",J151="Withdrawn"),"OK",IF(G151="","Date assessed needed",IF(C151="","Date of birth needed",IF(COUNTA(L151,M151,P151,U151,V151,X151,AB151)&lt;7,"Band missing",IF(AND(OR(J151="Decision confirmed",J151="Family told",J151="Enrolled"),AG151=""),"Recommendation needed",IF(AND(OR(J151="Family told",J151="Enrolled"),AJ151=""),"Date family told needed","OK"))))))))</f>
        <v/>
      </c>
    </row>
    <row r="152" customFormat="false" ht="15" hidden="false" customHeight="false" outlineLevel="0" collapsed="false">
      <c r="A152" s="7"/>
      <c r="B152" s="7"/>
      <c r="C152" s="46"/>
      <c r="D152" s="7"/>
      <c r="E152" s="47"/>
      <c r="F152" s="46"/>
      <c r="G152" s="46"/>
      <c r="H152" s="7"/>
      <c r="I152" s="7"/>
      <c r="J152" s="47"/>
      <c r="K152" s="47"/>
      <c r="L152" s="47"/>
      <c r="M152" s="47"/>
      <c r="N152" s="10"/>
      <c r="O152" s="47"/>
      <c r="P152" s="47"/>
      <c r="Q152" s="47"/>
      <c r="R152" s="48" t="str">
        <f aca="false">IF(Q152="","",IF(Q152=0,"below 5:00",IF(Q152&gt;=66,"16:00 or above",INT((60+2*Q152)/12)&amp;":"&amp;TEXT(MOD(60+2*Q152,12),"00"))))</f>
        <v/>
      </c>
      <c r="S152" s="47"/>
      <c r="T152" s="47"/>
      <c r="U152" s="47"/>
      <c r="V152" s="47"/>
      <c r="W152" s="47"/>
      <c r="X152" s="47"/>
      <c r="Y152" s="47"/>
      <c r="Z152" s="47"/>
      <c r="AA152" s="47"/>
      <c r="AB152" s="47"/>
      <c r="AC152" s="47"/>
      <c r="AD152" s="47"/>
      <c r="AE152" s="47"/>
      <c r="AF152" s="47"/>
      <c r="AG152" s="47"/>
      <c r="AH152" s="47"/>
      <c r="AI152" s="46"/>
      <c r="AJ152" s="46"/>
      <c r="AK152" s="46"/>
      <c r="AL152" s="7"/>
      <c r="AM152" s="49" t="str">
        <f aca="false">IF(OR(C152="",G152=""),"",IFERROR(DATEDIF(C152,G152,"m"),""))</f>
        <v/>
      </c>
      <c r="AN152" s="49" t="str">
        <f aca="false">IF(OR(Q152="",AM152=""),"",60+2*Q152-AM152)</f>
        <v/>
      </c>
      <c r="AO152" s="49" t="str">
        <f aca="false">IF(OR(G152="",AJ152=""),"",AJ152-G152)</f>
        <v/>
      </c>
      <c r="AP152" s="50" t="str">
        <f aca="false">IF(AND(A152="",B152=""),"",IF(J152="","Status needed",IF(OR(J152="Applied",J152="Visit booked",J152="Withdrawn"),"OK",IF(G152="","Date assessed needed",IF(C152="","Date of birth needed",IF(COUNTA(L152,M152,P152,U152,V152,X152,AB152)&lt;7,"Band missing",IF(AND(OR(J152="Decision confirmed",J152="Family told",J152="Enrolled"),AG152=""),"Recommendation needed",IF(AND(OR(J152="Family told",J152="Enrolled"),AJ152=""),"Date family told needed","OK"))))))))</f>
        <v/>
      </c>
    </row>
    <row r="153" customFormat="false" ht="15" hidden="false" customHeight="false" outlineLevel="0" collapsed="false">
      <c r="A153" s="7"/>
      <c r="B153" s="7"/>
      <c r="C153" s="46"/>
      <c r="D153" s="7"/>
      <c r="E153" s="47"/>
      <c r="F153" s="46"/>
      <c r="G153" s="46"/>
      <c r="H153" s="7"/>
      <c r="I153" s="7"/>
      <c r="J153" s="47"/>
      <c r="K153" s="47"/>
      <c r="L153" s="47"/>
      <c r="M153" s="47"/>
      <c r="N153" s="10"/>
      <c r="O153" s="47"/>
      <c r="P153" s="47"/>
      <c r="Q153" s="47"/>
      <c r="R153" s="48" t="str">
        <f aca="false">IF(Q153="","",IF(Q153=0,"below 5:00",IF(Q153&gt;=66,"16:00 or above",INT((60+2*Q153)/12)&amp;":"&amp;TEXT(MOD(60+2*Q153,12),"00"))))</f>
        <v/>
      </c>
      <c r="S153" s="47"/>
      <c r="T153" s="47"/>
      <c r="U153" s="47"/>
      <c r="V153" s="47"/>
      <c r="W153" s="47"/>
      <c r="X153" s="47"/>
      <c r="Y153" s="47"/>
      <c r="Z153" s="47"/>
      <c r="AA153" s="47"/>
      <c r="AB153" s="47"/>
      <c r="AC153" s="47"/>
      <c r="AD153" s="47"/>
      <c r="AE153" s="47"/>
      <c r="AF153" s="47"/>
      <c r="AG153" s="47"/>
      <c r="AH153" s="47"/>
      <c r="AI153" s="46"/>
      <c r="AJ153" s="46"/>
      <c r="AK153" s="46"/>
      <c r="AL153" s="7"/>
      <c r="AM153" s="49" t="str">
        <f aca="false">IF(OR(C153="",G153=""),"",IFERROR(DATEDIF(C153,G153,"m"),""))</f>
        <v/>
      </c>
      <c r="AN153" s="49" t="str">
        <f aca="false">IF(OR(Q153="",AM153=""),"",60+2*Q153-AM153)</f>
        <v/>
      </c>
      <c r="AO153" s="49" t="str">
        <f aca="false">IF(OR(G153="",AJ153=""),"",AJ153-G153)</f>
        <v/>
      </c>
      <c r="AP153" s="50" t="str">
        <f aca="false">IF(AND(A153="",B153=""),"",IF(J153="","Status needed",IF(OR(J153="Applied",J153="Visit booked",J153="Withdrawn"),"OK",IF(G153="","Date assessed needed",IF(C153="","Date of birth needed",IF(COUNTA(L153,M153,P153,U153,V153,X153,AB153)&lt;7,"Band missing",IF(AND(OR(J153="Decision confirmed",J153="Family told",J153="Enrolled"),AG153=""),"Recommendation needed",IF(AND(OR(J153="Family told",J153="Enrolled"),AJ153=""),"Date family told needed","OK"))))))))</f>
        <v/>
      </c>
    </row>
    <row r="154" customFormat="false" ht="15" hidden="false" customHeight="false" outlineLevel="0" collapsed="false">
      <c r="A154" s="7"/>
      <c r="B154" s="7"/>
      <c r="C154" s="46"/>
      <c r="D154" s="7"/>
      <c r="E154" s="47"/>
      <c r="F154" s="46"/>
      <c r="G154" s="46"/>
      <c r="H154" s="7"/>
      <c r="I154" s="7"/>
      <c r="J154" s="47"/>
      <c r="K154" s="47"/>
      <c r="L154" s="47"/>
      <c r="M154" s="47"/>
      <c r="N154" s="10"/>
      <c r="O154" s="47"/>
      <c r="P154" s="47"/>
      <c r="Q154" s="47"/>
      <c r="R154" s="48" t="str">
        <f aca="false">IF(Q154="","",IF(Q154=0,"below 5:00",IF(Q154&gt;=66,"16:00 or above",INT((60+2*Q154)/12)&amp;":"&amp;TEXT(MOD(60+2*Q154,12),"00"))))</f>
        <v/>
      </c>
      <c r="S154" s="47"/>
      <c r="T154" s="47"/>
      <c r="U154" s="47"/>
      <c r="V154" s="47"/>
      <c r="W154" s="47"/>
      <c r="X154" s="47"/>
      <c r="Y154" s="47"/>
      <c r="Z154" s="47"/>
      <c r="AA154" s="47"/>
      <c r="AB154" s="47"/>
      <c r="AC154" s="47"/>
      <c r="AD154" s="47"/>
      <c r="AE154" s="47"/>
      <c r="AF154" s="47"/>
      <c r="AG154" s="47"/>
      <c r="AH154" s="47"/>
      <c r="AI154" s="46"/>
      <c r="AJ154" s="46"/>
      <c r="AK154" s="46"/>
      <c r="AL154" s="7"/>
      <c r="AM154" s="49" t="str">
        <f aca="false">IF(OR(C154="",G154=""),"",IFERROR(DATEDIF(C154,G154,"m"),""))</f>
        <v/>
      </c>
      <c r="AN154" s="49" t="str">
        <f aca="false">IF(OR(Q154="",AM154=""),"",60+2*Q154-AM154)</f>
        <v/>
      </c>
      <c r="AO154" s="49" t="str">
        <f aca="false">IF(OR(G154="",AJ154=""),"",AJ154-G154)</f>
        <v/>
      </c>
      <c r="AP154" s="50" t="str">
        <f aca="false">IF(AND(A154="",B154=""),"",IF(J154="","Status needed",IF(OR(J154="Applied",J154="Visit booked",J154="Withdrawn"),"OK",IF(G154="","Date assessed needed",IF(C154="","Date of birth needed",IF(COUNTA(L154,M154,P154,U154,V154,X154,AB154)&lt;7,"Band missing",IF(AND(OR(J154="Decision confirmed",J154="Family told",J154="Enrolled"),AG154=""),"Recommendation needed",IF(AND(OR(J154="Family told",J154="Enrolled"),AJ154=""),"Date family told needed","OK"))))))))</f>
        <v/>
      </c>
    </row>
    <row r="155" customFormat="false" ht="15" hidden="false" customHeight="false" outlineLevel="0" collapsed="false">
      <c r="A155" s="7"/>
      <c r="B155" s="7"/>
      <c r="C155" s="46"/>
      <c r="D155" s="7"/>
      <c r="E155" s="47"/>
      <c r="F155" s="46"/>
      <c r="G155" s="46"/>
      <c r="H155" s="7"/>
      <c r="I155" s="7"/>
      <c r="J155" s="47"/>
      <c r="K155" s="47"/>
      <c r="L155" s="47"/>
      <c r="M155" s="47"/>
      <c r="N155" s="10"/>
      <c r="O155" s="47"/>
      <c r="P155" s="47"/>
      <c r="Q155" s="47"/>
      <c r="R155" s="48" t="str">
        <f aca="false">IF(Q155="","",IF(Q155=0,"below 5:00",IF(Q155&gt;=66,"16:00 or above",INT((60+2*Q155)/12)&amp;":"&amp;TEXT(MOD(60+2*Q155,12),"00"))))</f>
        <v/>
      </c>
      <c r="S155" s="47"/>
      <c r="T155" s="47"/>
      <c r="U155" s="47"/>
      <c r="V155" s="47"/>
      <c r="W155" s="47"/>
      <c r="X155" s="47"/>
      <c r="Y155" s="47"/>
      <c r="Z155" s="47"/>
      <c r="AA155" s="47"/>
      <c r="AB155" s="47"/>
      <c r="AC155" s="47"/>
      <c r="AD155" s="47"/>
      <c r="AE155" s="47"/>
      <c r="AF155" s="47"/>
      <c r="AG155" s="47"/>
      <c r="AH155" s="47"/>
      <c r="AI155" s="46"/>
      <c r="AJ155" s="46"/>
      <c r="AK155" s="46"/>
      <c r="AL155" s="7"/>
      <c r="AM155" s="49" t="str">
        <f aca="false">IF(OR(C155="",G155=""),"",IFERROR(DATEDIF(C155,G155,"m"),""))</f>
        <v/>
      </c>
      <c r="AN155" s="49" t="str">
        <f aca="false">IF(OR(Q155="",AM155=""),"",60+2*Q155-AM155)</f>
        <v/>
      </c>
      <c r="AO155" s="49" t="str">
        <f aca="false">IF(OR(G155="",AJ155=""),"",AJ155-G155)</f>
        <v/>
      </c>
      <c r="AP155" s="50" t="str">
        <f aca="false">IF(AND(A155="",B155=""),"",IF(J155="","Status needed",IF(OR(J155="Applied",J155="Visit booked",J155="Withdrawn"),"OK",IF(G155="","Date assessed needed",IF(C155="","Date of birth needed",IF(COUNTA(L155,M155,P155,U155,V155,X155,AB155)&lt;7,"Band missing",IF(AND(OR(J155="Decision confirmed",J155="Family told",J155="Enrolled"),AG155=""),"Recommendation needed",IF(AND(OR(J155="Family told",J155="Enrolled"),AJ155=""),"Date family told needed","OK"))))))))</f>
        <v/>
      </c>
    </row>
    <row r="156" customFormat="false" ht="15" hidden="false" customHeight="false" outlineLevel="0" collapsed="false">
      <c r="A156" s="7"/>
      <c r="B156" s="7"/>
      <c r="C156" s="46"/>
      <c r="D156" s="7"/>
      <c r="E156" s="47"/>
      <c r="F156" s="46"/>
      <c r="G156" s="46"/>
      <c r="H156" s="7"/>
      <c r="I156" s="7"/>
      <c r="J156" s="47"/>
      <c r="K156" s="47"/>
      <c r="L156" s="47"/>
      <c r="M156" s="47"/>
      <c r="N156" s="10"/>
      <c r="O156" s="47"/>
      <c r="P156" s="47"/>
      <c r="Q156" s="47"/>
      <c r="R156" s="48" t="str">
        <f aca="false">IF(Q156="","",IF(Q156=0,"below 5:00",IF(Q156&gt;=66,"16:00 or above",INT((60+2*Q156)/12)&amp;":"&amp;TEXT(MOD(60+2*Q156,12),"00"))))</f>
        <v/>
      </c>
      <c r="S156" s="47"/>
      <c r="T156" s="47"/>
      <c r="U156" s="47"/>
      <c r="V156" s="47"/>
      <c r="W156" s="47"/>
      <c r="X156" s="47"/>
      <c r="Y156" s="47"/>
      <c r="Z156" s="47"/>
      <c r="AA156" s="47"/>
      <c r="AB156" s="47"/>
      <c r="AC156" s="47"/>
      <c r="AD156" s="47"/>
      <c r="AE156" s="47"/>
      <c r="AF156" s="47"/>
      <c r="AG156" s="47"/>
      <c r="AH156" s="47"/>
      <c r="AI156" s="46"/>
      <c r="AJ156" s="46"/>
      <c r="AK156" s="46"/>
      <c r="AL156" s="7"/>
      <c r="AM156" s="49" t="str">
        <f aca="false">IF(OR(C156="",G156=""),"",IFERROR(DATEDIF(C156,G156,"m"),""))</f>
        <v/>
      </c>
      <c r="AN156" s="49" t="str">
        <f aca="false">IF(OR(Q156="",AM156=""),"",60+2*Q156-AM156)</f>
        <v/>
      </c>
      <c r="AO156" s="49" t="str">
        <f aca="false">IF(OR(G156="",AJ156=""),"",AJ156-G156)</f>
        <v/>
      </c>
      <c r="AP156" s="50" t="str">
        <f aca="false">IF(AND(A156="",B156=""),"",IF(J156="","Status needed",IF(OR(J156="Applied",J156="Visit booked",J156="Withdrawn"),"OK",IF(G156="","Date assessed needed",IF(C156="","Date of birth needed",IF(COUNTA(L156,M156,P156,U156,V156,X156,AB156)&lt;7,"Band missing",IF(AND(OR(J156="Decision confirmed",J156="Family told",J156="Enrolled"),AG156=""),"Recommendation needed",IF(AND(OR(J156="Family told",J156="Enrolled"),AJ156=""),"Date family told needed","OK"))))))))</f>
        <v/>
      </c>
    </row>
    <row r="157" customFormat="false" ht="15" hidden="false" customHeight="false" outlineLevel="0" collapsed="false">
      <c r="A157" s="7"/>
      <c r="B157" s="7"/>
      <c r="C157" s="46"/>
      <c r="D157" s="7"/>
      <c r="E157" s="47"/>
      <c r="F157" s="46"/>
      <c r="G157" s="46"/>
      <c r="H157" s="7"/>
      <c r="I157" s="7"/>
      <c r="J157" s="47"/>
      <c r="K157" s="47"/>
      <c r="L157" s="47"/>
      <c r="M157" s="47"/>
      <c r="N157" s="10"/>
      <c r="O157" s="47"/>
      <c r="P157" s="47"/>
      <c r="Q157" s="47"/>
      <c r="R157" s="48" t="str">
        <f aca="false">IF(Q157="","",IF(Q157=0,"below 5:00",IF(Q157&gt;=66,"16:00 or above",INT((60+2*Q157)/12)&amp;":"&amp;TEXT(MOD(60+2*Q157,12),"00"))))</f>
        <v/>
      </c>
      <c r="S157" s="47"/>
      <c r="T157" s="47"/>
      <c r="U157" s="47"/>
      <c r="V157" s="47"/>
      <c r="W157" s="47"/>
      <c r="X157" s="47"/>
      <c r="Y157" s="47"/>
      <c r="Z157" s="47"/>
      <c r="AA157" s="47"/>
      <c r="AB157" s="47"/>
      <c r="AC157" s="47"/>
      <c r="AD157" s="47"/>
      <c r="AE157" s="47"/>
      <c r="AF157" s="47"/>
      <c r="AG157" s="47"/>
      <c r="AH157" s="47"/>
      <c r="AI157" s="46"/>
      <c r="AJ157" s="46"/>
      <c r="AK157" s="46"/>
      <c r="AL157" s="7"/>
      <c r="AM157" s="49" t="str">
        <f aca="false">IF(OR(C157="",G157=""),"",IFERROR(DATEDIF(C157,G157,"m"),""))</f>
        <v/>
      </c>
      <c r="AN157" s="49" t="str">
        <f aca="false">IF(OR(Q157="",AM157=""),"",60+2*Q157-AM157)</f>
        <v/>
      </c>
      <c r="AO157" s="49" t="str">
        <f aca="false">IF(OR(G157="",AJ157=""),"",AJ157-G157)</f>
        <v/>
      </c>
      <c r="AP157" s="50" t="str">
        <f aca="false">IF(AND(A157="",B157=""),"",IF(J157="","Status needed",IF(OR(J157="Applied",J157="Visit booked",J157="Withdrawn"),"OK",IF(G157="","Date assessed needed",IF(C157="","Date of birth needed",IF(COUNTA(L157,M157,P157,U157,V157,X157,AB157)&lt;7,"Band missing",IF(AND(OR(J157="Decision confirmed",J157="Family told",J157="Enrolled"),AG157=""),"Recommendation needed",IF(AND(OR(J157="Family told",J157="Enrolled"),AJ157=""),"Date family told needed","OK"))))))))</f>
        <v/>
      </c>
    </row>
    <row r="158" customFormat="false" ht="15" hidden="false" customHeight="false" outlineLevel="0" collapsed="false">
      <c r="A158" s="7"/>
      <c r="B158" s="7"/>
      <c r="C158" s="46"/>
      <c r="D158" s="7"/>
      <c r="E158" s="47"/>
      <c r="F158" s="46"/>
      <c r="G158" s="46"/>
      <c r="H158" s="7"/>
      <c r="I158" s="7"/>
      <c r="J158" s="47"/>
      <c r="K158" s="47"/>
      <c r="L158" s="47"/>
      <c r="M158" s="47"/>
      <c r="N158" s="10"/>
      <c r="O158" s="47"/>
      <c r="P158" s="47"/>
      <c r="Q158" s="47"/>
      <c r="R158" s="48" t="str">
        <f aca="false">IF(Q158="","",IF(Q158=0,"below 5:00",IF(Q158&gt;=66,"16:00 or above",INT((60+2*Q158)/12)&amp;":"&amp;TEXT(MOD(60+2*Q158,12),"00"))))</f>
        <v/>
      </c>
      <c r="S158" s="47"/>
      <c r="T158" s="47"/>
      <c r="U158" s="47"/>
      <c r="V158" s="47"/>
      <c r="W158" s="47"/>
      <c r="X158" s="47"/>
      <c r="Y158" s="47"/>
      <c r="Z158" s="47"/>
      <c r="AA158" s="47"/>
      <c r="AB158" s="47"/>
      <c r="AC158" s="47"/>
      <c r="AD158" s="47"/>
      <c r="AE158" s="47"/>
      <c r="AF158" s="47"/>
      <c r="AG158" s="47"/>
      <c r="AH158" s="47"/>
      <c r="AI158" s="46"/>
      <c r="AJ158" s="46"/>
      <c r="AK158" s="46"/>
      <c r="AL158" s="7"/>
      <c r="AM158" s="49" t="str">
        <f aca="false">IF(OR(C158="",G158=""),"",IFERROR(DATEDIF(C158,G158,"m"),""))</f>
        <v/>
      </c>
      <c r="AN158" s="49" t="str">
        <f aca="false">IF(OR(Q158="",AM158=""),"",60+2*Q158-AM158)</f>
        <v/>
      </c>
      <c r="AO158" s="49" t="str">
        <f aca="false">IF(OR(G158="",AJ158=""),"",AJ158-G158)</f>
        <v/>
      </c>
      <c r="AP158" s="50" t="str">
        <f aca="false">IF(AND(A158="",B158=""),"",IF(J158="","Status needed",IF(OR(J158="Applied",J158="Visit booked",J158="Withdrawn"),"OK",IF(G158="","Date assessed needed",IF(C158="","Date of birth needed",IF(COUNTA(L158,M158,P158,U158,V158,X158,AB158)&lt;7,"Band missing",IF(AND(OR(J158="Decision confirmed",J158="Family told",J158="Enrolled"),AG158=""),"Recommendation needed",IF(AND(OR(J158="Family told",J158="Enrolled"),AJ158=""),"Date family told needed","OK"))))))))</f>
        <v/>
      </c>
    </row>
    <row r="159" customFormat="false" ht="15" hidden="false" customHeight="false" outlineLevel="0" collapsed="false">
      <c r="A159" s="7"/>
      <c r="B159" s="7"/>
      <c r="C159" s="46"/>
      <c r="D159" s="7"/>
      <c r="E159" s="47"/>
      <c r="F159" s="46"/>
      <c r="G159" s="46"/>
      <c r="H159" s="7"/>
      <c r="I159" s="7"/>
      <c r="J159" s="47"/>
      <c r="K159" s="47"/>
      <c r="L159" s="47"/>
      <c r="M159" s="47"/>
      <c r="N159" s="10"/>
      <c r="O159" s="47"/>
      <c r="P159" s="47"/>
      <c r="Q159" s="47"/>
      <c r="R159" s="48" t="str">
        <f aca="false">IF(Q159="","",IF(Q159=0,"below 5:00",IF(Q159&gt;=66,"16:00 or above",INT((60+2*Q159)/12)&amp;":"&amp;TEXT(MOD(60+2*Q159,12),"00"))))</f>
        <v/>
      </c>
      <c r="S159" s="47"/>
      <c r="T159" s="47"/>
      <c r="U159" s="47"/>
      <c r="V159" s="47"/>
      <c r="W159" s="47"/>
      <c r="X159" s="47"/>
      <c r="Y159" s="47"/>
      <c r="Z159" s="47"/>
      <c r="AA159" s="47"/>
      <c r="AB159" s="47"/>
      <c r="AC159" s="47"/>
      <c r="AD159" s="47"/>
      <c r="AE159" s="47"/>
      <c r="AF159" s="47"/>
      <c r="AG159" s="47"/>
      <c r="AH159" s="47"/>
      <c r="AI159" s="46"/>
      <c r="AJ159" s="46"/>
      <c r="AK159" s="46"/>
      <c r="AL159" s="7"/>
      <c r="AM159" s="49" t="str">
        <f aca="false">IF(OR(C159="",G159=""),"",IFERROR(DATEDIF(C159,G159,"m"),""))</f>
        <v/>
      </c>
      <c r="AN159" s="49" t="str">
        <f aca="false">IF(OR(Q159="",AM159=""),"",60+2*Q159-AM159)</f>
        <v/>
      </c>
      <c r="AO159" s="49" t="str">
        <f aca="false">IF(OR(G159="",AJ159=""),"",AJ159-G159)</f>
        <v/>
      </c>
      <c r="AP159" s="50" t="str">
        <f aca="false">IF(AND(A159="",B159=""),"",IF(J159="","Status needed",IF(OR(J159="Applied",J159="Visit booked",J159="Withdrawn"),"OK",IF(G159="","Date assessed needed",IF(C159="","Date of birth needed",IF(COUNTA(L159,M159,P159,U159,V159,X159,AB159)&lt;7,"Band missing",IF(AND(OR(J159="Decision confirmed",J159="Family told",J159="Enrolled"),AG159=""),"Recommendation needed",IF(AND(OR(J159="Family told",J159="Enrolled"),AJ159=""),"Date family told needed","OK"))))))))</f>
        <v/>
      </c>
    </row>
    <row r="160" customFormat="false" ht="15" hidden="false" customHeight="false" outlineLevel="0" collapsed="false">
      <c r="A160" s="7"/>
      <c r="B160" s="7"/>
      <c r="C160" s="46"/>
      <c r="D160" s="7"/>
      <c r="E160" s="47"/>
      <c r="F160" s="46"/>
      <c r="G160" s="46"/>
      <c r="H160" s="7"/>
      <c r="I160" s="7"/>
      <c r="J160" s="47"/>
      <c r="K160" s="47"/>
      <c r="L160" s="47"/>
      <c r="M160" s="47"/>
      <c r="N160" s="10"/>
      <c r="O160" s="47"/>
      <c r="P160" s="47"/>
      <c r="Q160" s="47"/>
      <c r="R160" s="48" t="str">
        <f aca="false">IF(Q160="","",IF(Q160=0,"below 5:00",IF(Q160&gt;=66,"16:00 or above",INT((60+2*Q160)/12)&amp;":"&amp;TEXT(MOD(60+2*Q160,12),"00"))))</f>
        <v/>
      </c>
      <c r="S160" s="47"/>
      <c r="T160" s="47"/>
      <c r="U160" s="47"/>
      <c r="V160" s="47"/>
      <c r="W160" s="47"/>
      <c r="X160" s="47"/>
      <c r="Y160" s="47"/>
      <c r="Z160" s="47"/>
      <c r="AA160" s="47"/>
      <c r="AB160" s="47"/>
      <c r="AC160" s="47"/>
      <c r="AD160" s="47"/>
      <c r="AE160" s="47"/>
      <c r="AF160" s="47"/>
      <c r="AG160" s="47"/>
      <c r="AH160" s="47"/>
      <c r="AI160" s="46"/>
      <c r="AJ160" s="46"/>
      <c r="AK160" s="46"/>
      <c r="AL160" s="7"/>
      <c r="AM160" s="49" t="str">
        <f aca="false">IF(OR(C160="",G160=""),"",IFERROR(DATEDIF(C160,G160,"m"),""))</f>
        <v/>
      </c>
      <c r="AN160" s="49" t="str">
        <f aca="false">IF(OR(Q160="",AM160=""),"",60+2*Q160-AM160)</f>
        <v/>
      </c>
      <c r="AO160" s="49" t="str">
        <f aca="false">IF(OR(G160="",AJ160=""),"",AJ160-G160)</f>
        <v/>
      </c>
      <c r="AP160" s="50" t="str">
        <f aca="false">IF(AND(A160="",B160=""),"",IF(J160="","Status needed",IF(OR(J160="Applied",J160="Visit booked",J160="Withdrawn"),"OK",IF(G160="","Date assessed needed",IF(C160="","Date of birth needed",IF(COUNTA(L160,M160,P160,U160,V160,X160,AB160)&lt;7,"Band missing",IF(AND(OR(J160="Decision confirmed",J160="Family told",J160="Enrolled"),AG160=""),"Recommendation needed",IF(AND(OR(J160="Family told",J160="Enrolled"),AJ160=""),"Date family told needed","OK"))))))))</f>
        <v/>
      </c>
    </row>
    <row r="161" customFormat="false" ht="15" hidden="false" customHeight="false" outlineLevel="0" collapsed="false">
      <c r="A161" s="7"/>
      <c r="B161" s="7"/>
      <c r="C161" s="46"/>
      <c r="D161" s="7"/>
      <c r="E161" s="47"/>
      <c r="F161" s="46"/>
      <c r="G161" s="46"/>
      <c r="H161" s="7"/>
      <c r="I161" s="7"/>
      <c r="J161" s="47"/>
      <c r="K161" s="47"/>
      <c r="L161" s="47"/>
      <c r="M161" s="47"/>
      <c r="N161" s="10"/>
      <c r="O161" s="47"/>
      <c r="P161" s="47"/>
      <c r="Q161" s="47"/>
      <c r="R161" s="48" t="str">
        <f aca="false">IF(Q161="","",IF(Q161=0,"below 5:00",IF(Q161&gt;=66,"16:00 or above",INT((60+2*Q161)/12)&amp;":"&amp;TEXT(MOD(60+2*Q161,12),"00"))))</f>
        <v/>
      </c>
      <c r="S161" s="47"/>
      <c r="T161" s="47"/>
      <c r="U161" s="47"/>
      <c r="V161" s="47"/>
      <c r="W161" s="47"/>
      <c r="X161" s="47"/>
      <c r="Y161" s="47"/>
      <c r="Z161" s="47"/>
      <c r="AA161" s="47"/>
      <c r="AB161" s="47"/>
      <c r="AC161" s="47"/>
      <c r="AD161" s="47"/>
      <c r="AE161" s="47"/>
      <c r="AF161" s="47"/>
      <c r="AG161" s="47"/>
      <c r="AH161" s="47"/>
      <c r="AI161" s="46"/>
      <c r="AJ161" s="46"/>
      <c r="AK161" s="46"/>
      <c r="AL161" s="7"/>
      <c r="AM161" s="49" t="str">
        <f aca="false">IF(OR(C161="",G161=""),"",IFERROR(DATEDIF(C161,G161,"m"),""))</f>
        <v/>
      </c>
      <c r="AN161" s="49" t="str">
        <f aca="false">IF(OR(Q161="",AM161=""),"",60+2*Q161-AM161)</f>
        <v/>
      </c>
      <c r="AO161" s="49" t="str">
        <f aca="false">IF(OR(G161="",AJ161=""),"",AJ161-G161)</f>
        <v/>
      </c>
      <c r="AP161" s="50" t="str">
        <f aca="false">IF(AND(A161="",B161=""),"",IF(J161="","Status needed",IF(OR(J161="Applied",J161="Visit booked",J161="Withdrawn"),"OK",IF(G161="","Date assessed needed",IF(C161="","Date of birth needed",IF(COUNTA(L161,M161,P161,U161,V161,X161,AB161)&lt;7,"Band missing",IF(AND(OR(J161="Decision confirmed",J161="Family told",J161="Enrolled"),AG161=""),"Recommendation needed",IF(AND(OR(J161="Family told",J161="Enrolled"),AJ161=""),"Date family told needed","OK"))))))))</f>
        <v/>
      </c>
    </row>
    <row r="162" customFormat="false" ht="15" hidden="false" customHeight="false" outlineLevel="0" collapsed="false">
      <c r="A162" s="7"/>
      <c r="B162" s="7"/>
      <c r="C162" s="46"/>
      <c r="D162" s="7"/>
      <c r="E162" s="47"/>
      <c r="F162" s="46"/>
      <c r="G162" s="46"/>
      <c r="H162" s="7"/>
      <c r="I162" s="7"/>
      <c r="J162" s="47"/>
      <c r="K162" s="47"/>
      <c r="L162" s="47"/>
      <c r="M162" s="47"/>
      <c r="N162" s="10"/>
      <c r="O162" s="47"/>
      <c r="P162" s="47"/>
      <c r="Q162" s="47"/>
      <c r="R162" s="48" t="str">
        <f aca="false">IF(Q162="","",IF(Q162=0,"below 5:00",IF(Q162&gt;=66,"16:00 or above",INT((60+2*Q162)/12)&amp;":"&amp;TEXT(MOD(60+2*Q162,12),"00"))))</f>
        <v/>
      </c>
      <c r="S162" s="47"/>
      <c r="T162" s="47"/>
      <c r="U162" s="47"/>
      <c r="V162" s="47"/>
      <c r="W162" s="47"/>
      <c r="X162" s="47"/>
      <c r="Y162" s="47"/>
      <c r="Z162" s="47"/>
      <c r="AA162" s="47"/>
      <c r="AB162" s="47"/>
      <c r="AC162" s="47"/>
      <c r="AD162" s="47"/>
      <c r="AE162" s="47"/>
      <c r="AF162" s="47"/>
      <c r="AG162" s="47"/>
      <c r="AH162" s="47"/>
      <c r="AI162" s="46"/>
      <c r="AJ162" s="46"/>
      <c r="AK162" s="46"/>
      <c r="AL162" s="7"/>
      <c r="AM162" s="49" t="str">
        <f aca="false">IF(OR(C162="",G162=""),"",IFERROR(DATEDIF(C162,G162,"m"),""))</f>
        <v/>
      </c>
      <c r="AN162" s="49" t="str">
        <f aca="false">IF(OR(Q162="",AM162=""),"",60+2*Q162-AM162)</f>
        <v/>
      </c>
      <c r="AO162" s="49" t="str">
        <f aca="false">IF(OR(G162="",AJ162=""),"",AJ162-G162)</f>
        <v/>
      </c>
      <c r="AP162" s="50" t="str">
        <f aca="false">IF(AND(A162="",B162=""),"",IF(J162="","Status needed",IF(OR(J162="Applied",J162="Visit booked",J162="Withdrawn"),"OK",IF(G162="","Date assessed needed",IF(C162="","Date of birth needed",IF(COUNTA(L162,M162,P162,U162,V162,X162,AB162)&lt;7,"Band missing",IF(AND(OR(J162="Decision confirmed",J162="Family told",J162="Enrolled"),AG162=""),"Recommendation needed",IF(AND(OR(J162="Family told",J162="Enrolled"),AJ162=""),"Date family told needed","OK"))))))))</f>
        <v/>
      </c>
    </row>
    <row r="163" customFormat="false" ht="15" hidden="false" customHeight="false" outlineLevel="0" collapsed="false">
      <c r="A163" s="7"/>
      <c r="B163" s="7"/>
      <c r="C163" s="46"/>
      <c r="D163" s="7"/>
      <c r="E163" s="47"/>
      <c r="F163" s="46"/>
      <c r="G163" s="46"/>
      <c r="H163" s="7"/>
      <c r="I163" s="7"/>
      <c r="J163" s="47"/>
      <c r="K163" s="47"/>
      <c r="L163" s="47"/>
      <c r="M163" s="47"/>
      <c r="N163" s="10"/>
      <c r="O163" s="47"/>
      <c r="P163" s="47"/>
      <c r="Q163" s="47"/>
      <c r="R163" s="48" t="str">
        <f aca="false">IF(Q163="","",IF(Q163=0,"below 5:00",IF(Q163&gt;=66,"16:00 or above",INT((60+2*Q163)/12)&amp;":"&amp;TEXT(MOD(60+2*Q163,12),"00"))))</f>
        <v/>
      </c>
      <c r="S163" s="47"/>
      <c r="T163" s="47"/>
      <c r="U163" s="47"/>
      <c r="V163" s="47"/>
      <c r="W163" s="47"/>
      <c r="X163" s="47"/>
      <c r="Y163" s="47"/>
      <c r="Z163" s="47"/>
      <c r="AA163" s="47"/>
      <c r="AB163" s="47"/>
      <c r="AC163" s="47"/>
      <c r="AD163" s="47"/>
      <c r="AE163" s="47"/>
      <c r="AF163" s="47"/>
      <c r="AG163" s="47"/>
      <c r="AH163" s="47"/>
      <c r="AI163" s="46"/>
      <c r="AJ163" s="46"/>
      <c r="AK163" s="46"/>
      <c r="AL163" s="7"/>
      <c r="AM163" s="49" t="str">
        <f aca="false">IF(OR(C163="",G163=""),"",IFERROR(DATEDIF(C163,G163,"m"),""))</f>
        <v/>
      </c>
      <c r="AN163" s="49" t="str">
        <f aca="false">IF(OR(Q163="",AM163=""),"",60+2*Q163-AM163)</f>
        <v/>
      </c>
      <c r="AO163" s="49" t="str">
        <f aca="false">IF(OR(G163="",AJ163=""),"",AJ163-G163)</f>
        <v/>
      </c>
      <c r="AP163" s="50" t="str">
        <f aca="false">IF(AND(A163="",B163=""),"",IF(J163="","Status needed",IF(OR(J163="Applied",J163="Visit booked",J163="Withdrawn"),"OK",IF(G163="","Date assessed needed",IF(C163="","Date of birth needed",IF(COUNTA(L163,M163,P163,U163,V163,X163,AB163)&lt;7,"Band missing",IF(AND(OR(J163="Decision confirmed",J163="Family told",J163="Enrolled"),AG163=""),"Recommendation needed",IF(AND(OR(J163="Family told",J163="Enrolled"),AJ163=""),"Date family told needed","OK"))))))))</f>
        <v/>
      </c>
    </row>
    <row r="164" customFormat="false" ht="15" hidden="false" customHeight="false" outlineLevel="0" collapsed="false">
      <c r="A164" s="7"/>
      <c r="B164" s="7"/>
      <c r="C164" s="46"/>
      <c r="D164" s="7"/>
      <c r="E164" s="47"/>
      <c r="F164" s="46"/>
      <c r="G164" s="46"/>
      <c r="H164" s="7"/>
      <c r="I164" s="7"/>
      <c r="J164" s="47"/>
      <c r="K164" s="47"/>
      <c r="L164" s="47"/>
      <c r="M164" s="47"/>
      <c r="N164" s="10"/>
      <c r="O164" s="47"/>
      <c r="P164" s="47"/>
      <c r="Q164" s="47"/>
      <c r="R164" s="48" t="str">
        <f aca="false">IF(Q164="","",IF(Q164=0,"below 5:00",IF(Q164&gt;=66,"16:00 or above",INT((60+2*Q164)/12)&amp;":"&amp;TEXT(MOD(60+2*Q164,12),"00"))))</f>
        <v/>
      </c>
      <c r="S164" s="47"/>
      <c r="T164" s="47"/>
      <c r="U164" s="47"/>
      <c r="V164" s="47"/>
      <c r="W164" s="47"/>
      <c r="X164" s="47"/>
      <c r="Y164" s="47"/>
      <c r="Z164" s="47"/>
      <c r="AA164" s="47"/>
      <c r="AB164" s="47"/>
      <c r="AC164" s="47"/>
      <c r="AD164" s="47"/>
      <c r="AE164" s="47"/>
      <c r="AF164" s="47"/>
      <c r="AG164" s="47"/>
      <c r="AH164" s="47"/>
      <c r="AI164" s="46"/>
      <c r="AJ164" s="46"/>
      <c r="AK164" s="46"/>
      <c r="AL164" s="7"/>
      <c r="AM164" s="49" t="str">
        <f aca="false">IF(OR(C164="",G164=""),"",IFERROR(DATEDIF(C164,G164,"m"),""))</f>
        <v/>
      </c>
      <c r="AN164" s="49" t="str">
        <f aca="false">IF(OR(Q164="",AM164=""),"",60+2*Q164-AM164)</f>
        <v/>
      </c>
      <c r="AO164" s="49" t="str">
        <f aca="false">IF(OR(G164="",AJ164=""),"",AJ164-G164)</f>
        <v/>
      </c>
      <c r="AP164" s="50" t="str">
        <f aca="false">IF(AND(A164="",B164=""),"",IF(J164="","Status needed",IF(OR(J164="Applied",J164="Visit booked",J164="Withdrawn"),"OK",IF(G164="","Date assessed needed",IF(C164="","Date of birth needed",IF(COUNTA(L164,M164,P164,U164,V164,X164,AB164)&lt;7,"Band missing",IF(AND(OR(J164="Decision confirmed",J164="Family told",J164="Enrolled"),AG164=""),"Recommendation needed",IF(AND(OR(J164="Family told",J164="Enrolled"),AJ164=""),"Date family told needed","OK"))))))))</f>
        <v/>
      </c>
    </row>
    <row r="165" customFormat="false" ht="15" hidden="false" customHeight="false" outlineLevel="0" collapsed="false">
      <c r="A165" s="7"/>
      <c r="B165" s="7"/>
      <c r="C165" s="46"/>
      <c r="D165" s="7"/>
      <c r="E165" s="47"/>
      <c r="F165" s="46"/>
      <c r="G165" s="46"/>
      <c r="H165" s="7"/>
      <c r="I165" s="7"/>
      <c r="J165" s="47"/>
      <c r="K165" s="47"/>
      <c r="L165" s="47"/>
      <c r="M165" s="47"/>
      <c r="N165" s="10"/>
      <c r="O165" s="47"/>
      <c r="P165" s="47"/>
      <c r="Q165" s="47"/>
      <c r="R165" s="48" t="str">
        <f aca="false">IF(Q165="","",IF(Q165=0,"below 5:00",IF(Q165&gt;=66,"16:00 or above",INT((60+2*Q165)/12)&amp;":"&amp;TEXT(MOD(60+2*Q165,12),"00"))))</f>
        <v/>
      </c>
      <c r="S165" s="47"/>
      <c r="T165" s="47"/>
      <c r="U165" s="47"/>
      <c r="V165" s="47"/>
      <c r="W165" s="47"/>
      <c r="X165" s="47"/>
      <c r="Y165" s="47"/>
      <c r="Z165" s="47"/>
      <c r="AA165" s="47"/>
      <c r="AB165" s="47"/>
      <c r="AC165" s="47"/>
      <c r="AD165" s="47"/>
      <c r="AE165" s="47"/>
      <c r="AF165" s="47"/>
      <c r="AG165" s="47"/>
      <c r="AH165" s="47"/>
      <c r="AI165" s="46"/>
      <c r="AJ165" s="46"/>
      <c r="AK165" s="46"/>
      <c r="AL165" s="7"/>
      <c r="AM165" s="49" t="str">
        <f aca="false">IF(OR(C165="",G165=""),"",IFERROR(DATEDIF(C165,G165,"m"),""))</f>
        <v/>
      </c>
      <c r="AN165" s="49" t="str">
        <f aca="false">IF(OR(Q165="",AM165=""),"",60+2*Q165-AM165)</f>
        <v/>
      </c>
      <c r="AO165" s="49" t="str">
        <f aca="false">IF(OR(G165="",AJ165=""),"",AJ165-G165)</f>
        <v/>
      </c>
      <c r="AP165" s="50" t="str">
        <f aca="false">IF(AND(A165="",B165=""),"",IF(J165="","Status needed",IF(OR(J165="Applied",J165="Visit booked",J165="Withdrawn"),"OK",IF(G165="","Date assessed needed",IF(C165="","Date of birth needed",IF(COUNTA(L165,M165,P165,U165,V165,X165,AB165)&lt;7,"Band missing",IF(AND(OR(J165="Decision confirmed",J165="Family told",J165="Enrolled"),AG165=""),"Recommendation needed",IF(AND(OR(J165="Family told",J165="Enrolled"),AJ165=""),"Date family told needed","OK"))))))))</f>
        <v/>
      </c>
    </row>
    <row r="166" customFormat="false" ht="15" hidden="false" customHeight="false" outlineLevel="0" collapsed="false">
      <c r="A166" s="7"/>
      <c r="B166" s="7"/>
      <c r="C166" s="46"/>
      <c r="D166" s="7"/>
      <c r="E166" s="47"/>
      <c r="F166" s="46"/>
      <c r="G166" s="46"/>
      <c r="H166" s="7"/>
      <c r="I166" s="7"/>
      <c r="J166" s="47"/>
      <c r="K166" s="47"/>
      <c r="L166" s="47"/>
      <c r="M166" s="47"/>
      <c r="N166" s="10"/>
      <c r="O166" s="47"/>
      <c r="P166" s="47"/>
      <c r="Q166" s="47"/>
      <c r="R166" s="48" t="str">
        <f aca="false">IF(Q166="","",IF(Q166=0,"below 5:00",IF(Q166&gt;=66,"16:00 or above",INT((60+2*Q166)/12)&amp;":"&amp;TEXT(MOD(60+2*Q166,12),"00"))))</f>
        <v/>
      </c>
      <c r="S166" s="47"/>
      <c r="T166" s="47"/>
      <c r="U166" s="47"/>
      <c r="V166" s="47"/>
      <c r="W166" s="47"/>
      <c r="X166" s="47"/>
      <c r="Y166" s="47"/>
      <c r="Z166" s="47"/>
      <c r="AA166" s="47"/>
      <c r="AB166" s="47"/>
      <c r="AC166" s="47"/>
      <c r="AD166" s="47"/>
      <c r="AE166" s="47"/>
      <c r="AF166" s="47"/>
      <c r="AG166" s="47"/>
      <c r="AH166" s="47"/>
      <c r="AI166" s="46"/>
      <c r="AJ166" s="46"/>
      <c r="AK166" s="46"/>
      <c r="AL166" s="7"/>
      <c r="AM166" s="49" t="str">
        <f aca="false">IF(OR(C166="",G166=""),"",IFERROR(DATEDIF(C166,G166,"m"),""))</f>
        <v/>
      </c>
      <c r="AN166" s="49" t="str">
        <f aca="false">IF(OR(Q166="",AM166=""),"",60+2*Q166-AM166)</f>
        <v/>
      </c>
      <c r="AO166" s="49" t="str">
        <f aca="false">IF(OR(G166="",AJ166=""),"",AJ166-G166)</f>
        <v/>
      </c>
      <c r="AP166" s="50" t="str">
        <f aca="false">IF(AND(A166="",B166=""),"",IF(J166="","Status needed",IF(OR(J166="Applied",J166="Visit booked",J166="Withdrawn"),"OK",IF(G166="","Date assessed needed",IF(C166="","Date of birth needed",IF(COUNTA(L166,M166,P166,U166,V166,X166,AB166)&lt;7,"Band missing",IF(AND(OR(J166="Decision confirmed",J166="Family told",J166="Enrolled"),AG166=""),"Recommendation needed",IF(AND(OR(J166="Family told",J166="Enrolled"),AJ166=""),"Date family told needed","OK"))))))))</f>
        <v/>
      </c>
    </row>
    <row r="167" customFormat="false" ht="15" hidden="false" customHeight="false" outlineLevel="0" collapsed="false">
      <c r="A167" s="7"/>
      <c r="B167" s="7"/>
      <c r="C167" s="46"/>
      <c r="D167" s="7"/>
      <c r="E167" s="47"/>
      <c r="F167" s="46"/>
      <c r="G167" s="46"/>
      <c r="H167" s="7"/>
      <c r="I167" s="7"/>
      <c r="J167" s="47"/>
      <c r="K167" s="47"/>
      <c r="L167" s="47"/>
      <c r="M167" s="47"/>
      <c r="N167" s="10"/>
      <c r="O167" s="47"/>
      <c r="P167" s="47"/>
      <c r="Q167" s="47"/>
      <c r="R167" s="48" t="str">
        <f aca="false">IF(Q167="","",IF(Q167=0,"below 5:00",IF(Q167&gt;=66,"16:00 or above",INT((60+2*Q167)/12)&amp;":"&amp;TEXT(MOD(60+2*Q167,12),"00"))))</f>
        <v/>
      </c>
      <c r="S167" s="47"/>
      <c r="T167" s="47"/>
      <c r="U167" s="47"/>
      <c r="V167" s="47"/>
      <c r="W167" s="47"/>
      <c r="X167" s="47"/>
      <c r="Y167" s="47"/>
      <c r="Z167" s="47"/>
      <c r="AA167" s="47"/>
      <c r="AB167" s="47"/>
      <c r="AC167" s="47"/>
      <c r="AD167" s="47"/>
      <c r="AE167" s="47"/>
      <c r="AF167" s="47"/>
      <c r="AG167" s="47"/>
      <c r="AH167" s="47"/>
      <c r="AI167" s="46"/>
      <c r="AJ167" s="46"/>
      <c r="AK167" s="46"/>
      <c r="AL167" s="7"/>
      <c r="AM167" s="49" t="str">
        <f aca="false">IF(OR(C167="",G167=""),"",IFERROR(DATEDIF(C167,G167,"m"),""))</f>
        <v/>
      </c>
      <c r="AN167" s="49" t="str">
        <f aca="false">IF(OR(Q167="",AM167=""),"",60+2*Q167-AM167)</f>
        <v/>
      </c>
      <c r="AO167" s="49" t="str">
        <f aca="false">IF(OR(G167="",AJ167=""),"",AJ167-G167)</f>
        <v/>
      </c>
      <c r="AP167" s="50" t="str">
        <f aca="false">IF(AND(A167="",B167=""),"",IF(J167="","Status needed",IF(OR(J167="Applied",J167="Visit booked",J167="Withdrawn"),"OK",IF(G167="","Date assessed needed",IF(C167="","Date of birth needed",IF(COUNTA(L167,M167,P167,U167,V167,X167,AB167)&lt;7,"Band missing",IF(AND(OR(J167="Decision confirmed",J167="Family told",J167="Enrolled"),AG167=""),"Recommendation needed",IF(AND(OR(J167="Family told",J167="Enrolled"),AJ167=""),"Date family told needed","OK"))))))))</f>
        <v/>
      </c>
    </row>
    <row r="168" customFormat="false" ht="15" hidden="false" customHeight="false" outlineLevel="0" collapsed="false">
      <c r="A168" s="7"/>
      <c r="B168" s="7"/>
      <c r="C168" s="46"/>
      <c r="D168" s="7"/>
      <c r="E168" s="47"/>
      <c r="F168" s="46"/>
      <c r="G168" s="46"/>
      <c r="H168" s="7"/>
      <c r="I168" s="7"/>
      <c r="J168" s="47"/>
      <c r="K168" s="47"/>
      <c r="L168" s="47"/>
      <c r="M168" s="47"/>
      <c r="N168" s="10"/>
      <c r="O168" s="47"/>
      <c r="P168" s="47"/>
      <c r="Q168" s="47"/>
      <c r="R168" s="48" t="str">
        <f aca="false">IF(Q168="","",IF(Q168=0,"below 5:00",IF(Q168&gt;=66,"16:00 or above",INT((60+2*Q168)/12)&amp;":"&amp;TEXT(MOD(60+2*Q168,12),"00"))))</f>
        <v/>
      </c>
      <c r="S168" s="47"/>
      <c r="T168" s="47"/>
      <c r="U168" s="47"/>
      <c r="V168" s="47"/>
      <c r="W168" s="47"/>
      <c r="X168" s="47"/>
      <c r="Y168" s="47"/>
      <c r="Z168" s="47"/>
      <c r="AA168" s="47"/>
      <c r="AB168" s="47"/>
      <c r="AC168" s="47"/>
      <c r="AD168" s="47"/>
      <c r="AE168" s="47"/>
      <c r="AF168" s="47"/>
      <c r="AG168" s="47"/>
      <c r="AH168" s="47"/>
      <c r="AI168" s="46"/>
      <c r="AJ168" s="46"/>
      <c r="AK168" s="46"/>
      <c r="AL168" s="7"/>
      <c r="AM168" s="49" t="str">
        <f aca="false">IF(OR(C168="",G168=""),"",IFERROR(DATEDIF(C168,G168,"m"),""))</f>
        <v/>
      </c>
      <c r="AN168" s="49" t="str">
        <f aca="false">IF(OR(Q168="",AM168=""),"",60+2*Q168-AM168)</f>
        <v/>
      </c>
      <c r="AO168" s="49" t="str">
        <f aca="false">IF(OR(G168="",AJ168=""),"",AJ168-G168)</f>
        <v/>
      </c>
      <c r="AP168" s="50" t="str">
        <f aca="false">IF(AND(A168="",B168=""),"",IF(J168="","Status needed",IF(OR(J168="Applied",J168="Visit booked",J168="Withdrawn"),"OK",IF(G168="","Date assessed needed",IF(C168="","Date of birth needed",IF(COUNTA(L168,M168,P168,U168,V168,X168,AB168)&lt;7,"Band missing",IF(AND(OR(J168="Decision confirmed",J168="Family told",J168="Enrolled"),AG168=""),"Recommendation needed",IF(AND(OR(J168="Family told",J168="Enrolled"),AJ168=""),"Date family told needed","OK"))))))))</f>
        <v/>
      </c>
    </row>
    <row r="169" customFormat="false" ht="15" hidden="false" customHeight="false" outlineLevel="0" collapsed="false">
      <c r="A169" s="7"/>
      <c r="B169" s="7"/>
      <c r="C169" s="46"/>
      <c r="D169" s="7"/>
      <c r="E169" s="47"/>
      <c r="F169" s="46"/>
      <c r="G169" s="46"/>
      <c r="H169" s="7"/>
      <c r="I169" s="7"/>
      <c r="J169" s="47"/>
      <c r="K169" s="47"/>
      <c r="L169" s="47"/>
      <c r="M169" s="47"/>
      <c r="N169" s="10"/>
      <c r="O169" s="47"/>
      <c r="P169" s="47"/>
      <c r="Q169" s="47"/>
      <c r="R169" s="48" t="str">
        <f aca="false">IF(Q169="","",IF(Q169=0,"below 5:00",IF(Q169&gt;=66,"16:00 or above",INT((60+2*Q169)/12)&amp;":"&amp;TEXT(MOD(60+2*Q169,12),"00"))))</f>
        <v/>
      </c>
      <c r="S169" s="47"/>
      <c r="T169" s="47"/>
      <c r="U169" s="47"/>
      <c r="V169" s="47"/>
      <c r="W169" s="47"/>
      <c r="X169" s="47"/>
      <c r="Y169" s="47"/>
      <c r="Z169" s="47"/>
      <c r="AA169" s="47"/>
      <c r="AB169" s="47"/>
      <c r="AC169" s="47"/>
      <c r="AD169" s="47"/>
      <c r="AE169" s="47"/>
      <c r="AF169" s="47"/>
      <c r="AG169" s="47"/>
      <c r="AH169" s="47"/>
      <c r="AI169" s="46"/>
      <c r="AJ169" s="46"/>
      <c r="AK169" s="46"/>
      <c r="AL169" s="7"/>
      <c r="AM169" s="49" t="str">
        <f aca="false">IF(OR(C169="",G169=""),"",IFERROR(DATEDIF(C169,G169,"m"),""))</f>
        <v/>
      </c>
      <c r="AN169" s="49" t="str">
        <f aca="false">IF(OR(Q169="",AM169=""),"",60+2*Q169-AM169)</f>
        <v/>
      </c>
      <c r="AO169" s="49" t="str">
        <f aca="false">IF(OR(G169="",AJ169=""),"",AJ169-G169)</f>
        <v/>
      </c>
      <c r="AP169" s="50" t="str">
        <f aca="false">IF(AND(A169="",B169=""),"",IF(J169="","Status needed",IF(OR(J169="Applied",J169="Visit booked",J169="Withdrawn"),"OK",IF(G169="","Date assessed needed",IF(C169="","Date of birth needed",IF(COUNTA(L169,M169,P169,U169,V169,X169,AB169)&lt;7,"Band missing",IF(AND(OR(J169="Decision confirmed",J169="Family told",J169="Enrolled"),AG169=""),"Recommendation needed",IF(AND(OR(J169="Family told",J169="Enrolled"),AJ169=""),"Date family told needed","OK"))))))))</f>
        <v/>
      </c>
    </row>
    <row r="170" customFormat="false" ht="15" hidden="false" customHeight="false" outlineLevel="0" collapsed="false">
      <c r="A170" s="7"/>
      <c r="B170" s="7"/>
      <c r="C170" s="46"/>
      <c r="D170" s="7"/>
      <c r="E170" s="47"/>
      <c r="F170" s="46"/>
      <c r="G170" s="46"/>
      <c r="H170" s="7"/>
      <c r="I170" s="7"/>
      <c r="J170" s="47"/>
      <c r="K170" s="47"/>
      <c r="L170" s="47"/>
      <c r="M170" s="47"/>
      <c r="N170" s="10"/>
      <c r="O170" s="47"/>
      <c r="P170" s="47"/>
      <c r="Q170" s="47"/>
      <c r="R170" s="48" t="str">
        <f aca="false">IF(Q170="","",IF(Q170=0,"below 5:00",IF(Q170&gt;=66,"16:00 or above",INT((60+2*Q170)/12)&amp;":"&amp;TEXT(MOD(60+2*Q170,12),"00"))))</f>
        <v/>
      </c>
      <c r="S170" s="47"/>
      <c r="T170" s="47"/>
      <c r="U170" s="47"/>
      <c r="V170" s="47"/>
      <c r="W170" s="47"/>
      <c r="X170" s="47"/>
      <c r="Y170" s="47"/>
      <c r="Z170" s="47"/>
      <c r="AA170" s="47"/>
      <c r="AB170" s="47"/>
      <c r="AC170" s="47"/>
      <c r="AD170" s="47"/>
      <c r="AE170" s="47"/>
      <c r="AF170" s="47"/>
      <c r="AG170" s="47"/>
      <c r="AH170" s="47"/>
      <c r="AI170" s="46"/>
      <c r="AJ170" s="46"/>
      <c r="AK170" s="46"/>
      <c r="AL170" s="7"/>
      <c r="AM170" s="49" t="str">
        <f aca="false">IF(OR(C170="",G170=""),"",IFERROR(DATEDIF(C170,G170,"m"),""))</f>
        <v/>
      </c>
      <c r="AN170" s="49" t="str">
        <f aca="false">IF(OR(Q170="",AM170=""),"",60+2*Q170-AM170)</f>
        <v/>
      </c>
      <c r="AO170" s="49" t="str">
        <f aca="false">IF(OR(G170="",AJ170=""),"",AJ170-G170)</f>
        <v/>
      </c>
      <c r="AP170" s="50" t="str">
        <f aca="false">IF(AND(A170="",B170=""),"",IF(J170="","Status needed",IF(OR(J170="Applied",J170="Visit booked",J170="Withdrawn"),"OK",IF(G170="","Date assessed needed",IF(C170="","Date of birth needed",IF(COUNTA(L170,M170,P170,U170,V170,X170,AB170)&lt;7,"Band missing",IF(AND(OR(J170="Decision confirmed",J170="Family told",J170="Enrolled"),AG170=""),"Recommendation needed",IF(AND(OR(J170="Family told",J170="Enrolled"),AJ170=""),"Date family told needed","OK"))))))))</f>
        <v/>
      </c>
    </row>
    <row r="171" customFormat="false" ht="15" hidden="false" customHeight="false" outlineLevel="0" collapsed="false">
      <c r="A171" s="7"/>
      <c r="B171" s="7"/>
      <c r="C171" s="46"/>
      <c r="D171" s="7"/>
      <c r="E171" s="47"/>
      <c r="F171" s="46"/>
      <c r="G171" s="46"/>
      <c r="H171" s="7"/>
      <c r="I171" s="7"/>
      <c r="J171" s="47"/>
      <c r="K171" s="47"/>
      <c r="L171" s="47"/>
      <c r="M171" s="47"/>
      <c r="N171" s="10"/>
      <c r="O171" s="47"/>
      <c r="P171" s="47"/>
      <c r="Q171" s="47"/>
      <c r="R171" s="48" t="str">
        <f aca="false">IF(Q171="","",IF(Q171=0,"below 5:00",IF(Q171&gt;=66,"16:00 or above",INT((60+2*Q171)/12)&amp;":"&amp;TEXT(MOD(60+2*Q171,12),"00"))))</f>
        <v/>
      </c>
      <c r="S171" s="47"/>
      <c r="T171" s="47"/>
      <c r="U171" s="47"/>
      <c r="V171" s="47"/>
      <c r="W171" s="47"/>
      <c r="X171" s="47"/>
      <c r="Y171" s="47"/>
      <c r="Z171" s="47"/>
      <c r="AA171" s="47"/>
      <c r="AB171" s="47"/>
      <c r="AC171" s="47"/>
      <c r="AD171" s="47"/>
      <c r="AE171" s="47"/>
      <c r="AF171" s="47"/>
      <c r="AG171" s="47"/>
      <c r="AH171" s="47"/>
      <c r="AI171" s="46"/>
      <c r="AJ171" s="46"/>
      <c r="AK171" s="46"/>
      <c r="AL171" s="7"/>
      <c r="AM171" s="49" t="str">
        <f aca="false">IF(OR(C171="",G171=""),"",IFERROR(DATEDIF(C171,G171,"m"),""))</f>
        <v/>
      </c>
      <c r="AN171" s="49" t="str">
        <f aca="false">IF(OR(Q171="",AM171=""),"",60+2*Q171-AM171)</f>
        <v/>
      </c>
      <c r="AO171" s="49" t="str">
        <f aca="false">IF(OR(G171="",AJ171=""),"",AJ171-G171)</f>
        <v/>
      </c>
      <c r="AP171" s="50" t="str">
        <f aca="false">IF(AND(A171="",B171=""),"",IF(J171="","Status needed",IF(OR(J171="Applied",J171="Visit booked",J171="Withdrawn"),"OK",IF(G171="","Date assessed needed",IF(C171="","Date of birth needed",IF(COUNTA(L171,M171,P171,U171,V171,X171,AB171)&lt;7,"Band missing",IF(AND(OR(J171="Decision confirmed",J171="Family told",J171="Enrolled"),AG171=""),"Recommendation needed",IF(AND(OR(J171="Family told",J171="Enrolled"),AJ171=""),"Date family told needed","OK"))))))))</f>
        <v/>
      </c>
    </row>
    <row r="172" customFormat="false" ht="15" hidden="false" customHeight="false" outlineLevel="0" collapsed="false">
      <c r="A172" s="7"/>
      <c r="B172" s="7"/>
      <c r="C172" s="46"/>
      <c r="D172" s="7"/>
      <c r="E172" s="47"/>
      <c r="F172" s="46"/>
      <c r="G172" s="46"/>
      <c r="H172" s="7"/>
      <c r="I172" s="7"/>
      <c r="J172" s="47"/>
      <c r="K172" s="47"/>
      <c r="L172" s="47"/>
      <c r="M172" s="47"/>
      <c r="N172" s="10"/>
      <c r="O172" s="47"/>
      <c r="P172" s="47"/>
      <c r="Q172" s="47"/>
      <c r="R172" s="48" t="str">
        <f aca="false">IF(Q172="","",IF(Q172=0,"below 5:00",IF(Q172&gt;=66,"16:00 or above",INT((60+2*Q172)/12)&amp;":"&amp;TEXT(MOD(60+2*Q172,12),"00"))))</f>
        <v/>
      </c>
      <c r="S172" s="47"/>
      <c r="T172" s="47"/>
      <c r="U172" s="47"/>
      <c r="V172" s="47"/>
      <c r="W172" s="47"/>
      <c r="X172" s="47"/>
      <c r="Y172" s="47"/>
      <c r="Z172" s="47"/>
      <c r="AA172" s="47"/>
      <c r="AB172" s="47"/>
      <c r="AC172" s="47"/>
      <c r="AD172" s="47"/>
      <c r="AE172" s="47"/>
      <c r="AF172" s="47"/>
      <c r="AG172" s="47"/>
      <c r="AH172" s="47"/>
      <c r="AI172" s="46"/>
      <c r="AJ172" s="46"/>
      <c r="AK172" s="46"/>
      <c r="AL172" s="7"/>
      <c r="AM172" s="49" t="str">
        <f aca="false">IF(OR(C172="",G172=""),"",IFERROR(DATEDIF(C172,G172,"m"),""))</f>
        <v/>
      </c>
      <c r="AN172" s="49" t="str">
        <f aca="false">IF(OR(Q172="",AM172=""),"",60+2*Q172-AM172)</f>
        <v/>
      </c>
      <c r="AO172" s="49" t="str">
        <f aca="false">IF(OR(G172="",AJ172=""),"",AJ172-G172)</f>
        <v/>
      </c>
      <c r="AP172" s="50" t="str">
        <f aca="false">IF(AND(A172="",B172=""),"",IF(J172="","Status needed",IF(OR(J172="Applied",J172="Visit booked",J172="Withdrawn"),"OK",IF(G172="","Date assessed needed",IF(C172="","Date of birth needed",IF(COUNTA(L172,M172,P172,U172,V172,X172,AB172)&lt;7,"Band missing",IF(AND(OR(J172="Decision confirmed",J172="Family told",J172="Enrolled"),AG172=""),"Recommendation needed",IF(AND(OR(J172="Family told",J172="Enrolled"),AJ172=""),"Date family told needed","OK"))))))))</f>
        <v/>
      </c>
    </row>
    <row r="173" customFormat="false" ht="15" hidden="false" customHeight="false" outlineLevel="0" collapsed="false">
      <c r="A173" s="7"/>
      <c r="B173" s="7"/>
      <c r="C173" s="46"/>
      <c r="D173" s="7"/>
      <c r="E173" s="47"/>
      <c r="F173" s="46"/>
      <c r="G173" s="46"/>
      <c r="H173" s="7"/>
      <c r="I173" s="7"/>
      <c r="J173" s="47"/>
      <c r="K173" s="47"/>
      <c r="L173" s="47"/>
      <c r="M173" s="47"/>
      <c r="N173" s="10"/>
      <c r="O173" s="47"/>
      <c r="P173" s="47"/>
      <c r="Q173" s="47"/>
      <c r="R173" s="48" t="str">
        <f aca="false">IF(Q173="","",IF(Q173=0,"below 5:00",IF(Q173&gt;=66,"16:00 or above",INT((60+2*Q173)/12)&amp;":"&amp;TEXT(MOD(60+2*Q173,12),"00"))))</f>
        <v/>
      </c>
      <c r="S173" s="47"/>
      <c r="T173" s="47"/>
      <c r="U173" s="47"/>
      <c r="V173" s="47"/>
      <c r="W173" s="47"/>
      <c r="X173" s="47"/>
      <c r="Y173" s="47"/>
      <c r="Z173" s="47"/>
      <c r="AA173" s="47"/>
      <c r="AB173" s="47"/>
      <c r="AC173" s="47"/>
      <c r="AD173" s="47"/>
      <c r="AE173" s="47"/>
      <c r="AF173" s="47"/>
      <c r="AG173" s="47"/>
      <c r="AH173" s="47"/>
      <c r="AI173" s="46"/>
      <c r="AJ173" s="46"/>
      <c r="AK173" s="46"/>
      <c r="AL173" s="7"/>
      <c r="AM173" s="49" t="str">
        <f aca="false">IF(OR(C173="",G173=""),"",IFERROR(DATEDIF(C173,G173,"m"),""))</f>
        <v/>
      </c>
      <c r="AN173" s="49" t="str">
        <f aca="false">IF(OR(Q173="",AM173=""),"",60+2*Q173-AM173)</f>
        <v/>
      </c>
      <c r="AO173" s="49" t="str">
        <f aca="false">IF(OR(G173="",AJ173=""),"",AJ173-G173)</f>
        <v/>
      </c>
      <c r="AP173" s="50" t="str">
        <f aca="false">IF(AND(A173="",B173=""),"",IF(J173="","Status needed",IF(OR(J173="Applied",J173="Visit booked",J173="Withdrawn"),"OK",IF(G173="","Date assessed needed",IF(C173="","Date of birth needed",IF(COUNTA(L173,M173,P173,U173,V173,X173,AB173)&lt;7,"Band missing",IF(AND(OR(J173="Decision confirmed",J173="Family told",J173="Enrolled"),AG173=""),"Recommendation needed",IF(AND(OR(J173="Family told",J173="Enrolled"),AJ173=""),"Date family told needed","OK"))))))))</f>
        <v/>
      </c>
    </row>
    <row r="174" customFormat="false" ht="15" hidden="false" customHeight="false" outlineLevel="0" collapsed="false">
      <c r="A174" s="7"/>
      <c r="B174" s="7"/>
      <c r="C174" s="46"/>
      <c r="D174" s="7"/>
      <c r="E174" s="47"/>
      <c r="F174" s="46"/>
      <c r="G174" s="46"/>
      <c r="H174" s="7"/>
      <c r="I174" s="7"/>
      <c r="J174" s="47"/>
      <c r="K174" s="47"/>
      <c r="L174" s="47"/>
      <c r="M174" s="47"/>
      <c r="N174" s="10"/>
      <c r="O174" s="47"/>
      <c r="P174" s="47"/>
      <c r="Q174" s="47"/>
      <c r="R174" s="48" t="str">
        <f aca="false">IF(Q174="","",IF(Q174=0,"below 5:00",IF(Q174&gt;=66,"16:00 or above",INT((60+2*Q174)/12)&amp;":"&amp;TEXT(MOD(60+2*Q174,12),"00"))))</f>
        <v/>
      </c>
      <c r="S174" s="47"/>
      <c r="T174" s="47"/>
      <c r="U174" s="47"/>
      <c r="V174" s="47"/>
      <c r="W174" s="47"/>
      <c r="X174" s="47"/>
      <c r="Y174" s="47"/>
      <c r="Z174" s="47"/>
      <c r="AA174" s="47"/>
      <c r="AB174" s="47"/>
      <c r="AC174" s="47"/>
      <c r="AD174" s="47"/>
      <c r="AE174" s="47"/>
      <c r="AF174" s="47"/>
      <c r="AG174" s="47"/>
      <c r="AH174" s="47"/>
      <c r="AI174" s="46"/>
      <c r="AJ174" s="46"/>
      <c r="AK174" s="46"/>
      <c r="AL174" s="7"/>
      <c r="AM174" s="49" t="str">
        <f aca="false">IF(OR(C174="",G174=""),"",IFERROR(DATEDIF(C174,G174,"m"),""))</f>
        <v/>
      </c>
      <c r="AN174" s="49" t="str">
        <f aca="false">IF(OR(Q174="",AM174=""),"",60+2*Q174-AM174)</f>
        <v/>
      </c>
      <c r="AO174" s="49" t="str">
        <f aca="false">IF(OR(G174="",AJ174=""),"",AJ174-G174)</f>
        <v/>
      </c>
      <c r="AP174" s="50" t="str">
        <f aca="false">IF(AND(A174="",B174=""),"",IF(J174="","Status needed",IF(OR(J174="Applied",J174="Visit booked",J174="Withdrawn"),"OK",IF(G174="","Date assessed needed",IF(C174="","Date of birth needed",IF(COUNTA(L174,M174,P174,U174,V174,X174,AB174)&lt;7,"Band missing",IF(AND(OR(J174="Decision confirmed",J174="Family told",J174="Enrolled"),AG174=""),"Recommendation needed",IF(AND(OR(J174="Family told",J174="Enrolled"),AJ174=""),"Date family told needed","OK"))))))))</f>
        <v/>
      </c>
    </row>
    <row r="175" customFormat="false" ht="15" hidden="false" customHeight="false" outlineLevel="0" collapsed="false">
      <c r="A175" s="7"/>
      <c r="B175" s="7"/>
      <c r="C175" s="46"/>
      <c r="D175" s="7"/>
      <c r="E175" s="47"/>
      <c r="F175" s="46"/>
      <c r="G175" s="46"/>
      <c r="H175" s="7"/>
      <c r="I175" s="7"/>
      <c r="J175" s="47"/>
      <c r="K175" s="47"/>
      <c r="L175" s="47"/>
      <c r="M175" s="47"/>
      <c r="N175" s="10"/>
      <c r="O175" s="47"/>
      <c r="P175" s="47"/>
      <c r="Q175" s="47"/>
      <c r="R175" s="48" t="str">
        <f aca="false">IF(Q175="","",IF(Q175=0,"below 5:00",IF(Q175&gt;=66,"16:00 or above",INT((60+2*Q175)/12)&amp;":"&amp;TEXT(MOD(60+2*Q175,12),"00"))))</f>
        <v/>
      </c>
      <c r="S175" s="47"/>
      <c r="T175" s="47"/>
      <c r="U175" s="47"/>
      <c r="V175" s="47"/>
      <c r="W175" s="47"/>
      <c r="X175" s="47"/>
      <c r="Y175" s="47"/>
      <c r="Z175" s="47"/>
      <c r="AA175" s="47"/>
      <c r="AB175" s="47"/>
      <c r="AC175" s="47"/>
      <c r="AD175" s="47"/>
      <c r="AE175" s="47"/>
      <c r="AF175" s="47"/>
      <c r="AG175" s="47"/>
      <c r="AH175" s="47"/>
      <c r="AI175" s="46"/>
      <c r="AJ175" s="46"/>
      <c r="AK175" s="46"/>
      <c r="AL175" s="7"/>
      <c r="AM175" s="49" t="str">
        <f aca="false">IF(OR(C175="",G175=""),"",IFERROR(DATEDIF(C175,G175,"m"),""))</f>
        <v/>
      </c>
      <c r="AN175" s="49" t="str">
        <f aca="false">IF(OR(Q175="",AM175=""),"",60+2*Q175-AM175)</f>
        <v/>
      </c>
      <c r="AO175" s="49" t="str">
        <f aca="false">IF(OR(G175="",AJ175=""),"",AJ175-G175)</f>
        <v/>
      </c>
      <c r="AP175" s="50" t="str">
        <f aca="false">IF(AND(A175="",B175=""),"",IF(J175="","Status needed",IF(OR(J175="Applied",J175="Visit booked",J175="Withdrawn"),"OK",IF(G175="","Date assessed needed",IF(C175="","Date of birth needed",IF(COUNTA(L175,M175,P175,U175,V175,X175,AB175)&lt;7,"Band missing",IF(AND(OR(J175="Decision confirmed",J175="Family told",J175="Enrolled"),AG175=""),"Recommendation needed",IF(AND(OR(J175="Family told",J175="Enrolled"),AJ175=""),"Date family told needed","OK"))))))))</f>
        <v/>
      </c>
    </row>
    <row r="176" customFormat="false" ht="15" hidden="false" customHeight="false" outlineLevel="0" collapsed="false">
      <c r="A176" s="7"/>
      <c r="B176" s="7"/>
      <c r="C176" s="46"/>
      <c r="D176" s="7"/>
      <c r="E176" s="47"/>
      <c r="F176" s="46"/>
      <c r="G176" s="46"/>
      <c r="H176" s="7"/>
      <c r="I176" s="7"/>
      <c r="J176" s="47"/>
      <c r="K176" s="47"/>
      <c r="L176" s="47"/>
      <c r="M176" s="47"/>
      <c r="N176" s="10"/>
      <c r="O176" s="47"/>
      <c r="P176" s="47"/>
      <c r="Q176" s="47"/>
      <c r="R176" s="48" t="str">
        <f aca="false">IF(Q176="","",IF(Q176=0,"below 5:00",IF(Q176&gt;=66,"16:00 or above",INT((60+2*Q176)/12)&amp;":"&amp;TEXT(MOD(60+2*Q176,12),"00"))))</f>
        <v/>
      </c>
      <c r="S176" s="47"/>
      <c r="T176" s="47"/>
      <c r="U176" s="47"/>
      <c r="V176" s="47"/>
      <c r="W176" s="47"/>
      <c r="X176" s="47"/>
      <c r="Y176" s="47"/>
      <c r="Z176" s="47"/>
      <c r="AA176" s="47"/>
      <c r="AB176" s="47"/>
      <c r="AC176" s="47"/>
      <c r="AD176" s="47"/>
      <c r="AE176" s="47"/>
      <c r="AF176" s="47"/>
      <c r="AG176" s="47"/>
      <c r="AH176" s="47"/>
      <c r="AI176" s="46"/>
      <c r="AJ176" s="46"/>
      <c r="AK176" s="46"/>
      <c r="AL176" s="7"/>
      <c r="AM176" s="49" t="str">
        <f aca="false">IF(OR(C176="",G176=""),"",IFERROR(DATEDIF(C176,G176,"m"),""))</f>
        <v/>
      </c>
      <c r="AN176" s="49" t="str">
        <f aca="false">IF(OR(Q176="",AM176=""),"",60+2*Q176-AM176)</f>
        <v/>
      </c>
      <c r="AO176" s="49" t="str">
        <f aca="false">IF(OR(G176="",AJ176=""),"",AJ176-G176)</f>
        <v/>
      </c>
      <c r="AP176" s="50" t="str">
        <f aca="false">IF(AND(A176="",B176=""),"",IF(J176="","Status needed",IF(OR(J176="Applied",J176="Visit booked",J176="Withdrawn"),"OK",IF(G176="","Date assessed needed",IF(C176="","Date of birth needed",IF(COUNTA(L176,M176,P176,U176,V176,X176,AB176)&lt;7,"Band missing",IF(AND(OR(J176="Decision confirmed",J176="Family told",J176="Enrolled"),AG176=""),"Recommendation needed",IF(AND(OR(J176="Family told",J176="Enrolled"),AJ176=""),"Date family told needed","OK"))))))))</f>
        <v/>
      </c>
    </row>
    <row r="177" customFormat="false" ht="15" hidden="false" customHeight="false" outlineLevel="0" collapsed="false">
      <c r="A177" s="7"/>
      <c r="B177" s="7"/>
      <c r="C177" s="46"/>
      <c r="D177" s="7"/>
      <c r="E177" s="47"/>
      <c r="F177" s="46"/>
      <c r="G177" s="46"/>
      <c r="H177" s="7"/>
      <c r="I177" s="7"/>
      <c r="J177" s="47"/>
      <c r="K177" s="47"/>
      <c r="L177" s="47"/>
      <c r="M177" s="47"/>
      <c r="N177" s="10"/>
      <c r="O177" s="47"/>
      <c r="P177" s="47"/>
      <c r="Q177" s="47"/>
      <c r="R177" s="48" t="str">
        <f aca="false">IF(Q177="","",IF(Q177=0,"below 5:00",IF(Q177&gt;=66,"16:00 or above",INT((60+2*Q177)/12)&amp;":"&amp;TEXT(MOD(60+2*Q177,12),"00"))))</f>
        <v/>
      </c>
      <c r="S177" s="47"/>
      <c r="T177" s="47"/>
      <c r="U177" s="47"/>
      <c r="V177" s="47"/>
      <c r="W177" s="47"/>
      <c r="X177" s="47"/>
      <c r="Y177" s="47"/>
      <c r="Z177" s="47"/>
      <c r="AA177" s="47"/>
      <c r="AB177" s="47"/>
      <c r="AC177" s="47"/>
      <c r="AD177" s="47"/>
      <c r="AE177" s="47"/>
      <c r="AF177" s="47"/>
      <c r="AG177" s="47"/>
      <c r="AH177" s="47"/>
      <c r="AI177" s="46"/>
      <c r="AJ177" s="46"/>
      <c r="AK177" s="46"/>
      <c r="AL177" s="7"/>
      <c r="AM177" s="49" t="str">
        <f aca="false">IF(OR(C177="",G177=""),"",IFERROR(DATEDIF(C177,G177,"m"),""))</f>
        <v/>
      </c>
      <c r="AN177" s="49" t="str">
        <f aca="false">IF(OR(Q177="",AM177=""),"",60+2*Q177-AM177)</f>
        <v/>
      </c>
      <c r="AO177" s="49" t="str">
        <f aca="false">IF(OR(G177="",AJ177=""),"",AJ177-G177)</f>
        <v/>
      </c>
      <c r="AP177" s="50" t="str">
        <f aca="false">IF(AND(A177="",B177=""),"",IF(J177="","Status needed",IF(OR(J177="Applied",J177="Visit booked",J177="Withdrawn"),"OK",IF(G177="","Date assessed needed",IF(C177="","Date of birth needed",IF(COUNTA(L177,M177,P177,U177,V177,X177,AB177)&lt;7,"Band missing",IF(AND(OR(J177="Decision confirmed",J177="Family told",J177="Enrolled"),AG177=""),"Recommendation needed",IF(AND(OR(J177="Family told",J177="Enrolled"),AJ177=""),"Date family told needed","OK"))))))))</f>
        <v/>
      </c>
    </row>
    <row r="178" customFormat="false" ht="15" hidden="false" customHeight="false" outlineLevel="0" collapsed="false">
      <c r="A178" s="7"/>
      <c r="B178" s="7"/>
      <c r="C178" s="46"/>
      <c r="D178" s="7"/>
      <c r="E178" s="47"/>
      <c r="F178" s="46"/>
      <c r="G178" s="46"/>
      <c r="H178" s="7"/>
      <c r="I178" s="7"/>
      <c r="J178" s="47"/>
      <c r="K178" s="47"/>
      <c r="L178" s="47"/>
      <c r="M178" s="47"/>
      <c r="N178" s="10"/>
      <c r="O178" s="47"/>
      <c r="P178" s="47"/>
      <c r="Q178" s="47"/>
      <c r="R178" s="48" t="str">
        <f aca="false">IF(Q178="","",IF(Q178=0,"below 5:00",IF(Q178&gt;=66,"16:00 or above",INT((60+2*Q178)/12)&amp;":"&amp;TEXT(MOD(60+2*Q178,12),"00"))))</f>
        <v/>
      </c>
      <c r="S178" s="47"/>
      <c r="T178" s="47"/>
      <c r="U178" s="47"/>
      <c r="V178" s="47"/>
      <c r="W178" s="47"/>
      <c r="X178" s="47"/>
      <c r="Y178" s="47"/>
      <c r="Z178" s="47"/>
      <c r="AA178" s="47"/>
      <c r="AB178" s="47"/>
      <c r="AC178" s="47"/>
      <c r="AD178" s="47"/>
      <c r="AE178" s="47"/>
      <c r="AF178" s="47"/>
      <c r="AG178" s="47"/>
      <c r="AH178" s="47"/>
      <c r="AI178" s="46"/>
      <c r="AJ178" s="46"/>
      <c r="AK178" s="46"/>
      <c r="AL178" s="7"/>
      <c r="AM178" s="49" t="str">
        <f aca="false">IF(OR(C178="",G178=""),"",IFERROR(DATEDIF(C178,G178,"m"),""))</f>
        <v/>
      </c>
      <c r="AN178" s="49" t="str">
        <f aca="false">IF(OR(Q178="",AM178=""),"",60+2*Q178-AM178)</f>
        <v/>
      </c>
      <c r="AO178" s="49" t="str">
        <f aca="false">IF(OR(G178="",AJ178=""),"",AJ178-G178)</f>
        <v/>
      </c>
      <c r="AP178" s="50" t="str">
        <f aca="false">IF(AND(A178="",B178=""),"",IF(J178="","Status needed",IF(OR(J178="Applied",J178="Visit booked",J178="Withdrawn"),"OK",IF(G178="","Date assessed needed",IF(C178="","Date of birth needed",IF(COUNTA(L178,M178,P178,U178,V178,X178,AB178)&lt;7,"Band missing",IF(AND(OR(J178="Decision confirmed",J178="Family told",J178="Enrolled"),AG178=""),"Recommendation needed",IF(AND(OR(J178="Family told",J178="Enrolled"),AJ178=""),"Date family told needed","OK"))))))))</f>
        <v/>
      </c>
    </row>
    <row r="179" customFormat="false" ht="15" hidden="false" customHeight="false" outlineLevel="0" collapsed="false">
      <c r="A179" s="7"/>
      <c r="B179" s="7"/>
      <c r="C179" s="46"/>
      <c r="D179" s="7"/>
      <c r="E179" s="47"/>
      <c r="F179" s="46"/>
      <c r="G179" s="46"/>
      <c r="H179" s="7"/>
      <c r="I179" s="7"/>
      <c r="J179" s="47"/>
      <c r="K179" s="47"/>
      <c r="L179" s="47"/>
      <c r="M179" s="47"/>
      <c r="N179" s="10"/>
      <c r="O179" s="47"/>
      <c r="P179" s="47"/>
      <c r="Q179" s="47"/>
      <c r="R179" s="48" t="str">
        <f aca="false">IF(Q179="","",IF(Q179=0,"below 5:00",IF(Q179&gt;=66,"16:00 or above",INT((60+2*Q179)/12)&amp;":"&amp;TEXT(MOD(60+2*Q179,12),"00"))))</f>
        <v/>
      </c>
      <c r="S179" s="47"/>
      <c r="T179" s="47"/>
      <c r="U179" s="47"/>
      <c r="V179" s="47"/>
      <c r="W179" s="47"/>
      <c r="X179" s="47"/>
      <c r="Y179" s="47"/>
      <c r="Z179" s="47"/>
      <c r="AA179" s="47"/>
      <c r="AB179" s="47"/>
      <c r="AC179" s="47"/>
      <c r="AD179" s="47"/>
      <c r="AE179" s="47"/>
      <c r="AF179" s="47"/>
      <c r="AG179" s="47"/>
      <c r="AH179" s="47"/>
      <c r="AI179" s="46"/>
      <c r="AJ179" s="46"/>
      <c r="AK179" s="46"/>
      <c r="AL179" s="7"/>
      <c r="AM179" s="49" t="str">
        <f aca="false">IF(OR(C179="",G179=""),"",IFERROR(DATEDIF(C179,G179,"m"),""))</f>
        <v/>
      </c>
      <c r="AN179" s="49" t="str">
        <f aca="false">IF(OR(Q179="",AM179=""),"",60+2*Q179-AM179)</f>
        <v/>
      </c>
      <c r="AO179" s="49" t="str">
        <f aca="false">IF(OR(G179="",AJ179=""),"",AJ179-G179)</f>
        <v/>
      </c>
      <c r="AP179" s="50" t="str">
        <f aca="false">IF(AND(A179="",B179=""),"",IF(J179="","Status needed",IF(OR(J179="Applied",J179="Visit booked",J179="Withdrawn"),"OK",IF(G179="","Date assessed needed",IF(C179="","Date of birth needed",IF(COUNTA(L179,M179,P179,U179,V179,X179,AB179)&lt;7,"Band missing",IF(AND(OR(J179="Decision confirmed",J179="Family told",J179="Enrolled"),AG179=""),"Recommendation needed",IF(AND(OR(J179="Family told",J179="Enrolled"),AJ179=""),"Date family told needed","OK"))))))))</f>
        <v/>
      </c>
    </row>
    <row r="180" customFormat="false" ht="15" hidden="false" customHeight="false" outlineLevel="0" collapsed="false">
      <c r="A180" s="7"/>
      <c r="B180" s="7"/>
      <c r="C180" s="46"/>
      <c r="D180" s="7"/>
      <c r="E180" s="47"/>
      <c r="F180" s="46"/>
      <c r="G180" s="46"/>
      <c r="H180" s="7"/>
      <c r="I180" s="7"/>
      <c r="J180" s="47"/>
      <c r="K180" s="47"/>
      <c r="L180" s="47"/>
      <c r="M180" s="47"/>
      <c r="N180" s="10"/>
      <c r="O180" s="47"/>
      <c r="P180" s="47"/>
      <c r="Q180" s="47"/>
      <c r="R180" s="48" t="str">
        <f aca="false">IF(Q180="","",IF(Q180=0,"below 5:00",IF(Q180&gt;=66,"16:00 or above",INT((60+2*Q180)/12)&amp;":"&amp;TEXT(MOD(60+2*Q180,12),"00"))))</f>
        <v/>
      </c>
      <c r="S180" s="47"/>
      <c r="T180" s="47"/>
      <c r="U180" s="47"/>
      <c r="V180" s="47"/>
      <c r="W180" s="47"/>
      <c r="X180" s="47"/>
      <c r="Y180" s="47"/>
      <c r="Z180" s="47"/>
      <c r="AA180" s="47"/>
      <c r="AB180" s="47"/>
      <c r="AC180" s="47"/>
      <c r="AD180" s="47"/>
      <c r="AE180" s="47"/>
      <c r="AF180" s="47"/>
      <c r="AG180" s="47"/>
      <c r="AH180" s="47"/>
      <c r="AI180" s="46"/>
      <c r="AJ180" s="46"/>
      <c r="AK180" s="46"/>
      <c r="AL180" s="7"/>
      <c r="AM180" s="49" t="str">
        <f aca="false">IF(OR(C180="",G180=""),"",IFERROR(DATEDIF(C180,G180,"m"),""))</f>
        <v/>
      </c>
      <c r="AN180" s="49" t="str">
        <f aca="false">IF(OR(Q180="",AM180=""),"",60+2*Q180-AM180)</f>
        <v/>
      </c>
      <c r="AO180" s="49" t="str">
        <f aca="false">IF(OR(G180="",AJ180=""),"",AJ180-G180)</f>
        <v/>
      </c>
      <c r="AP180" s="50" t="str">
        <f aca="false">IF(AND(A180="",B180=""),"",IF(J180="","Status needed",IF(OR(J180="Applied",J180="Visit booked",J180="Withdrawn"),"OK",IF(G180="","Date assessed needed",IF(C180="","Date of birth needed",IF(COUNTA(L180,M180,P180,U180,V180,X180,AB180)&lt;7,"Band missing",IF(AND(OR(J180="Decision confirmed",J180="Family told",J180="Enrolled"),AG180=""),"Recommendation needed",IF(AND(OR(J180="Family told",J180="Enrolled"),AJ180=""),"Date family told needed","OK"))))))))</f>
        <v/>
      </c>
    </row>
    <row r="181" customFormat="false" ht="15" hidden="false" customHeight="false" outlineLevel="0" collapsed="false">
      <c r="A181" s="7"/>
      <c r="B181" s="7"/>
      <c r="C181" s="46"/>
      <c r="D181" s="7"/>
      <c r="E181" s="47"/>
      <c r="F181" s="46"/>
      <c r="G181" s="46"/>
      <c r="H181" s="7"/>
      <c r="I181" s="7"/>
      <c r="J181" s="47"/>
      <c r="K181" s="47"/>
      <c r="L181" s="47"/>
      <c r="M181" s="47"/>
      <c r="N181" s="10"/>
      <c r="O181" s="47"/>
      <c r="P181" s="47"/>
      <c r="Q181" s="47"/>
      <c r="R181" s="48" t="str">
        <f aca="false">IF(Q181="","",IF(Q181=0,"below 5:00",IF(Q181&gt;=66,"16:00 or above",INT((60+2*Q181)/12)&amp;":"&amp;TEXT(MOD(60+2*Q181,12),"00"))))</f>
        <v/>
      </c>
      <c r="S181" s="47"/>
      <c r="T181" s="47"/>
      <c r="U181" s="47"/>
      <c r="V181" s="47"/>
      <c r="W181" s="47"/>
      <c r="X181" s="47"/>
      <c r="Y181" s="47"/>
      <c r="Z181" s="47"/>
      <c r="AA181" s="47"/>
      <c r="AB181" s="47"/>
      <c r="AC181" s="47"/>
      <c r="AD181" s="47"/>
      <c r="AE181" s="47"/>
      <c r="AF181" s="47"/>
      <c r="AG181" s="47"/>
      <c r="AH181" s="47"/>
      <c r="AI181" s="46"/>
      <c r="AJ181" s="46"/>
      <c r="AK181" s="46"/>
      <c r="AL181" s="7"/>
      <c r="AM181" s="49" t="str">
        <f aca="false">IF(OR(C181="",G181=""),"",IFERROR(DATEDIF(C181,G181,"m"),""))</f>
        <v/>
      </c>
      <c r="AN181" s="49" t="str">
        <f aca="false">IF(OR(Q181="",AM181=""),"",60+2*Q181-AM181)</f>
        <v/>
      </c>
      <c r="AO181" s="49" t="str">
        <f aca="false">IF(OR(G181="",AJ181=""),"",AJ181-G181)</f>
        <v/>
      </c>
      <c r="AP181" s="50" t="str">
        <f aca="false">IF(AND(A181="",B181=""),"",IF(J181="","Status needed",IF(OR(J181="Applied",J181="Visit booked",J181="Withdrawn"),"OK",IF(G181="","Date assessed needed",IF(C181="","Date of birth needed",IF(COUNTA(L181,M181,P181,U181,V181,X181,AB181)&lt;7,"Band missing",IF(AND(OR(J181="Decision confirmed",J181="Family told",J181="Enrolled"),AG181=""),"Recommendation needed",IF(AND(OR(J181="Family told",J181="Enrolled"),AJ181=""),"Date family told needed","OK"))))))))</f>
        <v/>
      </c>
    </row>
    <row r="182" customFormat="false" ht="15" hidden="false" customHeight="false" outlineLevel="0" collapsed="false">
      <c r="A182" s="7"/>
      <c r="B182" s="7"/>
      <c r="C182" s="46"/>
      <c r="D182" s="7"/>
      <c r="E182" s="47"/>
      <c r="F182" s="46"/>
      <c r="G182" s="46"/>
      <c r="H182" s="7"/>
      <c r="I182" s="7"/>
      <c r="J182" s="47"/>
      <c r="K182" s="47"/>
      <c r="L182" s="47"/>
      <c r="M182" s="47"/>
      <c r="N182" s="10"/>
      <c r="O182" s="47"/>
      <c r="P182" s="47"/>
      <c r="Q182" s="47"/>
      <c r="R182" s="48" t="str">
        <f aca="false">IF(Q182="","",IF(Q182=0,"below 5:00",IF(Q182&gt;=66,"16:00 or above",INT((60+2*Q182)/12)&amp;":"&amp;TEXT(MOD(60+2*Q182,12),"00"))))</f>
        <v/>
      </c>
      <c r="S182" s="47"/>
      <c r="T182" s="47"/>
      <c r="U182" s="47"/>
      <c r="V182" s="47"/>
      <c r="W182" s="47"/>
      <c r="X182" s="47"/>
      <c r="Y182" s="47"/>
      <c r="Z182" s="47"/>
      <c r="AA182" s="47"/>
      <c r="AB182" s="47"/>
      <c r="AC182" s="47"/>
      <c r="AD182" s="47"/>
      <c r="AE182" s="47"/>
      <c r="AF182" s="47"/>
      <c r="AG182" s="47"/>
      <c r="AH182" s="47"/>
      <c r="AI182" s="46"/>
      <c r="AJ182" s="46"/>
      <c r="AK182" s="46"/>
      <c r="AL182" s="7"/>
      <c r="AM182" s="49" t="str">
        <f aca="false">IF(OR(C182="",G182=""),"",IFERROR(DATEDIF(C182,G182,"m"),""))</f>
        <v/>
      </c>
      <c r="AN182" s="49" t="str">
        <f aca="false">IF(OR(Q182="",AM182=""),"",60+2*Q182-AM182)</f>
        <v/>
      </c>
      <c r="AO182" s="49" t="str">
        <f aca="false">IF(OR(G182="",AJ182=""),"",AJ182-G182)</f>
        <v/>
      </c>
      <c r="AP182" s="50" t="str">
        <f aca="false">IF(AND(A182="",B182=""),"",IF(J182="","Status needed",IF(OR(J182="Applied",J182="Visit booked",J182="Withdrawn"),"OK",IF(G182="","Date assessed needed",IF(C182="","Date of birth needed",IF(COUNTA(L182,M182,P182,U182,V182,X182,AB182)&lt;7,"Band missing",IF(AND(OR(J182="Decision confirmed",J182="Family told",J182="Enrolled"),AG182=""),"Recommendation needed",IF(AND(OR(J182="Family told",J182="Enrolled"),AJ182=""),"Date family told needed","OK"))))))))</f>
        <v/>
      </c>
    </row>
    <row r="183" customFormat="false" ht="15" hidden="false" customHeight="false" outlineLevel="0" collapsed="false">
      <c r="A183" s="7"/>
      <c r="B183" s="7"/>
      <c r="C183" s="46"/>
      <c r="D183" s="7"/>
      <c r="E183" s="47"/>
      <c r="F183" s="46"/>
      <c r="G183" s="46"/>
      <c r="H183" s="7"/>
      <c r="I183" s="7"/>
      <c r="J183" s="47"/>
      <c r="K183" s="47"/>
      <c r="L183" s="47"/>
      <c r="M183" s="47"/>
      <c r="N183" s="10"/>
      <c r="O183" s="47"/>
      <c r="P183" s="47"/>
      <c r="Q183" s="47"/>
      <c r="R183" s="48" t="str">
        <f aca="false">IF(Q183="","",IF(Q183=0,"below 5:00",IF(Q183&gt;=66,"16:00 or above",INT((60+2*Q183)/12)&amp;":"&amp;TEXT(MOD(60+2*Q183,12),"00"))))</f>
        <v/>
      </c>
      <c r="S183" s="47"/>
      <c r="T183" s="47"/>
      <c r="U183" s="47"/>
      <c r="V183" s="47"/>
      <c r="W183" s="47"/>
      <c r="X183" s="47"/>
      <c r="Y183" s="47"/>
      <c r="Z183" s="47"/>
      <c r="AA183" s="47"/>
      <c r="AB183" s="47"/>
      <c r="AC183" s="47"/>
      <c r="AD183" s="47"/>
      <c r="AE183" s="47"/>
      <c r="AF183" s="47"/>
      <c r="AG183" s="47"/>
      <c r="AH183" s="47"/>
      <c r="AI183" s="46"/>
      <c r="AJ183" s="46"/>
      <c r="AK183" s="46"/>
      <c r="AL183" s="7"/>
      <c r="AM183" s="49" t="str">
        <f aca="false">IF(OR(C183="",G183=""),"",IFERROR(DATEDIF(C183,G183,"m"),""))</f>
        <v/>
      </c>
      <c r="AN183" s="49" t="str">
        <f aca="false">IF(OR(Q183="",AM183=""),"",60+2*Q183-AM183)</f>
        <v/>
      </c>
      <c r="AO183" s="49" t="str">
        <f aca="false">IF(OR(G183="",AJ183=""),"",AJ183-G183)</f>
        <v/>
      </c>
      <c r="AP183" s="50" t="str">
        <f aca="false">IF(AND(A183="",B183=""),"",IF(J183="","Status needed",IF(OR(J183="Applied",J183="Visit booked",J183="Withdrawn"),"OK",IF(G183="","Date assessed needed",IF(C183="","Date of birth needed",IF(COUNTA(L183,M183,P183,U183,V183,X183,AB183)&lt;7,"Band missing",IF(AND(OR(J183="Decision confirmed",J183="Family told",J183="Enrolled"),AG183=""),"Recommendation needed",IF(AND(OR(J183="Family told",J183="Enrolled"),AJ183=""),"Date family told needed","OK"))))))))</f>
        <v/>
      </c>
    </row>
    <row r="184" customFormat="false" ht="15" hidden="false" customHeight="false" outlineLevel="0" collapsed="false">
      <c r="A184" s="7"/>
      <c r="B184" s="7"/>
      <c r="C184" s="46"/>
      <c r="D184" s="7"/>
      <c r="E184" s="47"/>
      <c r="F184" s="46"/>
      <c r="G184" s="46"/>
      <c r="H184" s="7"/>
      <c r="I184" s="7"/>
      <c r="J184" s="47"/>
      <c r="K184" s="47"/>
      <c r="L184" s="47"/>
      <c r="M184" s="47"/>
      <c r="N184" s="10"/>
      <c r="O184" s="47"/>
      <c r="P184" s="47"/>
      <c r="Q184" s="47"/>
      <c r="R184" s="48" t="str">
        <f aca="false">IF(Q184="","",IF(Q184=0,"below 5:00",IF(Q184&gt;=66,"16:00 or above",INT((60+2*Q184)/12)&amp;":"&amp;TEXT(MOD(60+2*Q184,12),"00"))))</f>
        <v/>
      </c>
      <c r="S184" s="47"/>
      <c r="T184" s="47"/>
      <c r="U184" s="47"/>
      <c r="V184" s="47"/>
      <c r="W184" s="47"/>
      <c r="X184" s="47"/>
      <c r="Y184" s="47"/>
      <c r="Z184" s="47"/>
      <c r="AA184" s="47"/>
      <c r="AB184" s="47"/>
      <c r="AC184" s="47"/>
      <c r="AD184" s="47"/>
      <c r="AE184" s="47"/>
      <c r="AF184" s="47"/>
      <c r="AG184" s="47"/>
      <c r="AH184" s="47"/>
      <c r="AI184" s="46"/>
      <c r="AJ184" s="46"/>
      <c r="AK184" s="46"/>
      <c r="AL184" s="7"/>
      <c r="AM184" s="49" t="str">
        <f aca="false">IF(OR(C184="",G184=""),"",IFERROR(DATEDIF(C184,G184,"m"),""))</f>
        <v/>
      </c>
      <c r="AN184" s="49" t="str">
        <f aca="false">IF(OR(Q184="",AM184=""),"",60+2*Q184-AM184)</f>
        <v/>
      </c>
      <c r="AO184" s="49" t="str">
        <f aca="false">IF(OR(G184="",AJ184=""),"",AJ184-G184)</f>
        <v/>
      </c>
      <c r="AP184" s="50" t="str">
        <f aca="false">IF(AND(A184="",B184=""),"",IF(J184="","Status needed",IF(OR(J184="Applied",J184="Visit booked",J184="Withdrawn"),"OK",IF(G184="","Date assessed needed",IF(C184="","Date of birth needed",IF(COUNTA(L184,M184,P184,U184,V184,X184,AB184)&lt;7,"Band missing",IF(AND(OR(J184="Decision confirmed",J184="Family told",J184="Enrolled"),AG184=""),"Recommendation needed",IF(AND(OR(J184="Family told",J184="Enrolled"),AJ184=""),"Date family told needed","OK"))))))))</f>
        <v/>
      </c>
    </row>
    <row r="185" customFormat="false" ht="15" hidden="false" customHeight="false" outlineLevel="0" collapsed="false">
      <c r="A185" s="7"/>
      <c r="B185" s="7"/>
      <c r="C185" s="46"/>
      <c r="D185" s="7"/>
      <c r="E185" s="47"/>
      <c r="F185" s="46"/>
      <c r="G185" s="46"/>
      <c r="H185" s="7"/>
      <c r="I185" s="7"/>
      <c r="J185" s="47"/>
      <c r="K185" s="47"/>
      <c r="L185" s="47"/>
      <c r="M185" s="47"/>
      <c r="N185" s="10"/>
      <c r="O185" s="47"/>
      <c r="P185" s="47"/>
      <c r="Q185" s="47"/>
      <c r="R185" s="48" t="str">
        <f aca="false">IF(Q185="","",IF(Q185=0,"below 5:00",IF(Q185&gt;=66,"16:00 or above",INT((60+2*Q185)/12)&amp;":"&amp;TEXT(MOD(60+2*Q185,12),"00"))))</f>
        <v/>
      </c>
      <c r="S185" s="47"/>
      <c r="T185" s="47"/>
      <c r="U185" s="47"/>
      <c r="V185" s="47"/>
      <c r="W185" s="47"/>
      <c r="X185" s="47"/>
      <c r="Y185" s="47"/>
      <c r="Z185" s="47"/>
      <c r="AA185" s="47"/>
      <c r="AB185" s="47"/>
      <c r="AC185" s="47"/>
      <c r="AD185" s="47"/>
      <c r="AE185" s="47"/>
      <c r="AF185" s="47"/>
      <c r="AG185" s="47"/>
      <c r="AH185" s="47"/>
      <c r="AI185" s="46"/>
      <c r="AJ185" s="46"/>
      <c r="AK185" s="46"/>
      <c r="AL185" s="7"/>
      <c r="AM185" s="49" t="str">
        <f aca="false">IF(OR(C185="",G185=""),"",IFERROR(DATEDIF(C185,G185,"m"),""))</f>
        <v/>
      </c>
      <c r="AN185" s="49" t="str">
        <f aca="false">IF(OR(Q185="",AM185=""),"",60+2*Q185-AM185)</f>
        <v/>
      </c>
      <c r="AO185" s="49" t="str">
        <f aca="false">IF(OR(G185="",AJ185=""),"",AJ185-G185)</f>
        <v/>
      </c>
      <c r="AP185" s="50" t="str">
        <f aca="false">IF(AND(A185="",B185=""),"",IF(J185="","Status needed",IF(OR(J185="Applied",J185="Visit booked",J185="Withdrawn"),"OK",IF(G185="","Date assessed needed",IF(C185="","Date of birth needed",IF(COUNTA(L185,M185,P185,U185,V185,X185,AB185)&lt;7,"Band missing",IF(AND(OR(J185="Decision confirmed",J185="Family told",J185="Enrolled"),AG185=""),"Recommendation needed",IF(AND(OR(J185="Family told",J185="Enrolled"),AJ185=""),"Date family told needed","OK"))))))))</f>
        <v/>
      </c>
    </row>
    <row r="186" customFormat="false" ht="15" hidden="false" customHeight="false" outlineLevel="0" collapsed="false">
      <c r="A186" s="7"/>
      <c r="B186" s="7"/>
      <c r="C186" s="46"/>
      <c r="D186" s="7"/>
      <c r="E186" s="47"/>
      <c r="F186" s="46"/>
      <c r="G186" s="46"/>
      <c r="H186" s="7"/>
      <c r="I186" s="7"/>
      <c r="J186" s="47"/>
      <c r="K186" s="47"/>
      <c r="L186" s="47"/>
      <c r="M186" s="47"/>
      <c r="N186" s="10"/>
      <c r="O186" s="47"/>
      <c r="P186" s="47"/>
      <c r="Q186" s="47"/>
      <c r="R186" s="48" t="str">
        <f aca="false">IF(Q186="","",IF(Q186=0,"below 5:00",IF(Q186&gt;=66,"16:00 or above",INT((60+2*Q186)/12)&amp;":"&amp;TEXT(MOD(60+2*Q186,12),"00"))))</f>
        <v/>
      </c>
      <c r="S186" s="47"/>
      <c r="T186" s="47"/>
      <c r="U186" s="47"/>
      <c r="V186" s="47"/>
      <c r="W186" s="47"/>
      <c r="X186" s="47"/>
      <c r="Y186" s="47"/>
      <c r="Z186" s="47"/>
      <c r="AA186" s="47"/>
      <c r="AB186" s="47"/>
      <c r="AC186" s="47"/>
      <c r="AD186" s="47"/>
      <c r="AE186" s="47"/>
      <c r="AF186" s="47"/>
      <c r="AG186" s="47"/>
      <c r="AH186" s="47"/>
      <c r="AI186" s="46"/>
      <c r="AJ186" s="46"/>
      <c r="AK186" s="46"/>
      <c r="AL186" s="7"/>
      <c r="AM186" s="49" t="str">
        <f aca="false">IF(OR(C186="",G186=""),"",IFERROR(DATEDIF(C186,G186,"m"),""))</f>
        <v/>
      </c>
      <c r="AN186" s="49" t="str">
        <f aca="false">IF(OR(Q186="",AM186=""),"",60+2*Q186-AM186)</f>
        <v/>
      </c>
      <c r="AO186" s="49" t="str">
        <f aca="false">IF(OR(G186="",AJ186=""),"",AJ186-G186)</f>
        <v/>
      </c>
      <c r="AP186" s="50" t="str">
        <f aca="false">IF(AND(A186="",B186=""),"",IF(J186="","Status needed",IF(OR(J186="Applied",J186="Visit booked",J186="Withdrawn"),"OK",IF(G186="","Date assessed needed",IF(C186="","Date of birth needed",IF(COUNTA(L186,M186,P186,U186,V186,X186,AB186)&lt;7,"Band missing",IF(AND(OR(J186="Decision confirmed",J186="Family told",J186="Enrolled"),AG186=""),"Recommendation needed",IF(AND(OR(J186="Family told",J186="Enrolled"),AJ186=""),"Date family told needed","OK"))))))))</f>
        <v/>
      </c>
    </row>
    <row r="187" customFormat="false" ht="15" hidden="false" customHeight="false" outlineLevel="0" collapsed="false">
      <c r="A187" s="7"/>
      <c r="B187" s="7"/>
      <c r="C187" s="46"/>
      <c r="D187" s="7"/>
      <c r="E187" s="47"/>
      <c r="F187" s="46"/>
      <c r="G187" s="46"/>
      <c r="H187" s="7"/>
      <c r="I187" s="7"/>
      <c r="J187" s="47"/>
      <c r="K187" s="47"/>
      <c r="L187" s="47"/>
      <c r="M187" s="47"/>
      <c r="N187" s="10"/>
      <c r="O187" s="47"/>
      <c r="P187" s="47"/>
      <c r="Q187" s="47"/>
      <c r="R187" s="48" t="str">
        <f aca="false">IF(Q187="","",IF(Q187=0,"below 5:00",IF(Q187&gt;=66,"16:00 or above",INT((60+2*Q187)/12)&amp;":"&amp;TEXT(MOD(60+2*Q187,12),"00"))))</f>
        <v/>
      </c>
      <c r="S187" s="47"/>
      <c r="T187" s="47"/>
      <c r="U187" s="47"/>
      <c r="V187" s="47"/>
      <c r="W187" s="47"/>
      <c r="X187" s="47"/>
      <c r="Y187" s="47"/>
      <c r="Z187" s="47"/>
      <c r="AA187" s="47"/>
      <c r="AB187" s="47"/>
      <c r="AC187" s="47"/>
      <c r="AD187" s="47"/>
      <c r="AE187" s="47"/>
      <c r="AF187" s="47"/>
      <c r="AG187" s="47"/>
      <c r="AH187" s="47"/>
      <c r="AI187" s="46"/>
      <c r="AJ187" s="46"/>
      <c r="AK187" s="46"/>
      <c r="AL187" s="7"/>
      <c r="AM187" s="49" t="str">
        <f aca="false">IF(OR(C187="",G187=""),"",IFERROR(DATEDIF(C187,G187,"m"),""))</f>
        <v/>
      </c>
      <c r="AN187" s="49" t="str">
        <f aca="false">IF(OR(Q187="",AM187=""),"",60+2*Q187-AM187)</f>
        <v/>
      </c>
      <c r="AO187" s="49" t="str">
        <f aca="false">IF(OR(G187="",AJ187=""),"",AJ187-G187)</f>
        <v/>
      </c>
      <c r="AP187" s="50" t="str">
        <f aca="false">IF(AND(A187="",B187=""),"",IF(J187="","Status needed",IF(OR(J187="Applied",J187="Visit booked",J187="Withdrawn"),"OK",IF(G187="","Date assessed needed",IF(C187="","Date of birth needed",IF(COUNTA(L187,M187,P187,U187,V187,X187,AB187)&lt;7,"Band missing",IF(AND(OR(J187="Decision confirmed",J187="Family told",J187="Enrolled"),AG187=""),"Recommendation needed",IF(AND(OR(J187="Family told",J187="Enrolled"),AJ187=""),"Date family told needed","OK"))))))))</f>
        <v/>
      </c>
    </row>
    <row r="188" customFormat="false" ht="15" hidden="false" customHeight="false" outlineLevel="0" collapsed="false">
      <c r="A188" s="7"/>
      <c r="B188" s="7"/>
      <c r="C188" s="46"/>
      <c r="D188" s="7"/>
      <c r="E188" s="47"/>
      <c r="F188" s="46"/>
      <c r="G188" s="46"/>
      <c r="H188" s="7"/>
      <c r="I188" s="7"/>
      <c r="J188" s="47"/>
      <c r="K188" s="47"/>
      <c r="L188" s="47"/>
      <c r="M188" s="47"/>
      <c r="N188" s="10"/>
      <c r="O188" s="47"/>
      <c r="P188" s="47"/>
      <c r="Q188" s="47"/>
      <c r="R188" s="48" t="str">
        <f aca="false">IF(Q188="","",IF(Q188=0,"below 5:00",IF(Q188&gt;=66,"16:00 or above",INT((60+2*Q188)/12)&amp;":"&amp;TEXT(MOD(60+2*Q188,12),"00"))))</f>
        <v/>
      </c>
      <c r="S188" s="47"/>
      <c r="T188" s="47"/>
      <c r="U188" s="47"/>
      <c r="V188" s="47"/>
      <c r="W188" s="47"/>
      <c r="X188" s="47"/>
      <c r="Y188" s="47"/>
      <c r="Z188" s="47"/>
      <c r="AA188" s="47"/>
      <c r="AB188" s="47"/>
      <c r="AC188" s="47"/>
      <c r="AD188" s="47"/>
      <c r="AE188" s="47"/>
      <c r="AF188" s="47"/>
      <c r="AG188" s="47"/>
      <c r="AH188" s="47"/>
      <c r="AI188" s="46"/>
      <c r="AJ188" s="46"/>
      <c r="AK188" s="46"/>
      <c r="AL188" s="7"/>
      <c r="AM188" s="49" t="str">
        <f aca="false">IF(OR(C188="",G188=""),"",IFERROR(DATEDIF(C188,G188,"m"),""))</f>
        <v/>
      </c>
      <c r="AN188" s="49" t="str">
        <f aca="false">IF(OR(Q188="",AM188=""),"",60+2*Q188-AM188)</f>
        <v/>
      </c>
      <c r="AO188" s="49" t="str">
        <f aca="false">IF(OR(G188="",AJ188=""),"",AJ188-G188)</f>
        <v/>
      </c>
      <c r="AP188" s="50" t="str">
        <f aca="false">IF(AND(A188="",B188=""),"",IF(J188="","Status needed",IF(OR(J188="Applied",J188="Visit booked",J188="Withdrawn"),"OK",IF(G188="","Date assessed needed",IF(C188="","Date of birth needed",IF(COUNTA(L188,M188,P188,U188,V188,X188,AB188)&lt;7,"Band missing",IF(AND(OR(J188="Decision confirmed",J188="Family told",J188="Enrolled"),AG188=""),"Recommendation needed",IF(AND(OR(J188="Family told",J188="Enrolled"),AJ188=""),"Date family told needed","OK"))))))))</f>
        <v/>
      </c>
    </row>
    <row r="189" customFormat="false" ht="15" hidden="false" customHeight="false" outlineLevel="0" collapsed="false">
      <c r="A189" s="7"/>
      <c r="B189" s="7"/>
      <c r="C189" s="46"/>
      <c r="D189" s="7"/>
      <c r="E189" s="47"/>
      <c r="F189" s="46"/>
      <c r="G189" s="46"/>
      <c r="H189" s="7"/>
      <c r="I189" s="7"/>
      <c r="J189" s="47"/>
      <c r="K189" s="47"/>
      <c r="L189" s="47"/>
      <c r="M189" s="47"/>
      <c r="N189" s="10"/>
      <c r="O189" s="47"/>
      <c r="P189" s="47"/>
      <c r="Q189" s="47"/>
      <c r="R189" s="48" t="str">
        <f aca="false">IF(Q189="","",IF(Q189=0,"below 5:00",IF(Q189&gt;=66,"16:00 or above",INT((60+2*Q189)/12)&amp;":"&amp;TEXT(MOD(60+2*Q189,12),"00"))))</f>
        <v/>
      </c>
      <c r="S189" s="47"/>
      <c r="T189" s="47"/>
      <c r="U189" s="47"/>
      <c r="V189" s="47"/>
      <c r="W189" s="47"/>
      <c r="X189" s="47"/>
      <c r="Y189" s="47"/>
      <c r="Z189" s="47"/>
      <c r="AA189" s="47"/>
      <c r="AB189" s="47"/>
      <c r="AC189" s="47"/>
      <c r="AD189" s="47"/>
      <c r="AE189" s="47"/>
      <c r="AF189" s="47"/>
      <c r="AG189" s="47"/>
      <c r="AH189" s="47"/>
      <c r="AI189" s="46"/>
      <c r="AJ189" s="46"/>
      <c r="AK189" s="46"/>
      <c r="AL189" s="7"/>
      <c r="AM189" s="49" t="str">
        <f aca="false">IF(OR(C189="",G189=""),"",IFERROR(DATEDIF(C189,G189,"m"),""))</f>
        <v/>
      </c>
      <c r="AN189" s="49" t="str">
        <f aca="false">IF(OR(Q189="",AM189=""),"",60+2*Q189-AM189)</f>
        <v/>
      </c>
      <c r="AO189" s="49" t="str">
        <f aca="false">IF(OR(G189="",AJ189=""),"",AJ189-G189)</f>
        <v/>
      </c>
      <c r="AP189" s="50" t="str">
        <f aca="false">IF(AND(A189="",B189=""),"",IF(J189="","Status needed",IF(OR(J189="Applied",J189="Visit booked",J189="Withdrawn"),"OK",IF(G189="","Date assessed needed",IF(C189="","Date of birth needed",IF(COUNTA(L189,M189,P189,U189,V189,X189,AB189)&lt;7,"Band missing",IF(AND(OR(J189="Decision confirmed",J189="Family told",J189="Enrolled"),AG189=""),"Recommendation needed",IF(AND(OR(J189="Family told",J189="Enrolled"),AJ189=""),"Date family told needed","OK"))))))))</f>
        <v/>
      </c>
    </row>
    <row r="190" customFormat="false" ht="15" hidden="false" customHeight="false" outlineLevel="0" collapsed="false">
      <c r="A190" s="7"/>
      <c r="B190" s="7"/>
      <c r="C190" s="46"/>
      <c r="D190" s="7"/>
      <c r="E190" s="47"/>
      <c r="F190" s="46"/>
      <c r="G190" s="46"/>
      <c r="H190" s="7"/>
      <c r="I190" s="7"/>
      <c r="J190" s="47"/>
      <c r="K190" s="47"/>
      <c r="L190" s="47"/>
      <c r="M190" s="47"/>
      <c r="N190" s="10"/>
      <c r="O190" s="47"/>
      <c r="P190" s="47"/>
      <c r="Q190" s="47"/>
      <c r="R190" s="48" t="str">
        <f aca="false">IF(Q190="","",IF(Q190=0,"below 5:00",IF(Q190&gt;=66,"16:00 or above",INT((60+2*Q190)/12)&amp;":"&amp;TEXT(MOD(60+2*Q190,12),"00"))))</f>
        <v/>
      </c>
      <c r="S190" s="47"/>
      <c r="T190" s="47"/>
      <c r="U190" s="47"/>
      <c r="V190" s="47"/>
      <c r="W190" s="47"/>
      <c r="X190" s="47"/>
      <c r="Y190" s="47"/>
      <c r="Z190" s="47"/>
      <c r="AA190" s="47"/>
      <c r="AB190" s="47"/>
      <c r="AC190" s="47"/>
      <c r="AD190" s="47"/>
      <c r="AE190" s="47"/>
      <c r="AF190" s="47"/>
      <c r="AG190" s="47"/>
      <c r="AH190" s="47"/>
      <c r="AI190" s="46"/>
      <c r="AJ190" s="46"/>
      <c r="AK190" s="46"/>
      <c r="AL190" s="7"/>
      <c r="AM190" s="49" t="str">
        <f aca="false">IF(OR(C190="",G190=""),"",IFERROR(DATEDIF(C190,G190,"m"),""))</f>
        <v/>
      </c>
      <c r="AN190" s="49" t="str">
        <f aca="false">IF(OR(Q190="",AM190=""),"",60+2*Q190-AM190)</f>
        <v/>
      </c>
      <c r="AO190" s="49" t="str">
        <f aca="false">IF(OR(G190="",AJ190=""),"",AJ190-G190)</f>
        <v/>
      </c>
      <c r="AP190" s="50" t="str">
        <f aca="false">IF(AND(A190="",B190=""),"",IF(J190="","Status needed",IF(OR(J190="Applied",J190="Visit booked",J190="Withdrawn"),"OK",IF(G190="","Date assessed needed",IF(C190="","Date of birth needed",IF(COUNTA(L190,M190,P190,U190,V190,X190,AB190)&lt;7,"Band missing",IF(AND(OR(J190="Decision confirmed",J190="Family told",J190="Enrolled"),AG190=""),"Recommendation needed",IF(AND(OR(J190="Family told",J190="Enrolled"),AJ190=""),"Date family told needed","OK"))))))))</f>
        <v/>
      </c>
    </row>
    <row r="191" customFormat="false" ht="15" hidden="false" customHeight="false" outlineLevel="0" collapsed="false">
      <c r="A191" s="7"/>
      <c r="B191" s="7"/>
      <c r="C191" s="46"/>
      <c r="D191" s="7"/>
      <c r="E191" s="47"/>
      <c r="F191" s="46"/>
      <c r="G191" s="46"/>
      <c r="H191" s="7"/>
      <c r="I191" s="7"/>
      <c r="J191" s="47"/>
      <c r="K191" s="47"/>
      <c r="L191" s="47"/>
      <c r="M191" s="47"/>
      <c r="N191" s="10"/>
      <c r="O191" s="47"/>
      <c r="P191" s="47"/>
      <c r="Q191" s="47"/>
      <c r="R191" s="48" t="str">
        <f aca="false">IF(Q191="","",IF(Q191=0,"below 5:00",IF(Q191&gt;=66,"16:00 or above",INT((60+2*Q191)/12)&amp;":"&amp;TEXT(MOD(60+2*Q191,12),"00"))))</f>
        <v/>
      </c>
      <c r="S191" s="47"/>
      <c r="T191" s="47"/>
      <c r="U191" s="47"/>
      <c r="V191" s="47"/>
      <c r="W191" s="47"/>
      <c r="X191" s="47"/>
      <c r="Y191" s="47"/>
      <c r="Z191" s="47"/>
      <c r="AA191" s="47"/>
      <c r="AB191" s="47"/>
      <c r="AC191" s="47"/>
      <c r="AD191" s="47"/>
      <c r="AE191" s="47"/>
      <c r="AF191" s="47"/>
      <c r="AG191" s="47"/>
      <c r="AH191" s="47"/>
      <c r="AI191" s="46"/>
      <c r="AJ191" s="46"/>
      <c r="AK191" s="46"/>
      <c r="AL191" s="7"/>
      <c r="AM191" s="49" t="str">
        <f aca="false">IF(OR(C191="",G191=""),"",IFERROR(DATEDIF(C191,G191,"m"),""))</f>
        <v/>
      </c>
      <c r="AN191" s="49" t="str">
        <f aca="false">IF(OR(Q191="",AM191=""),"",60+2*Q191-AM191)</f>
        <v/>
      </c>
      <c r="AO191" s="49" t="str">
        <f aca="false">IF(OR(G191="",AJ191=""),"",AJ191-G191)</f>
        <v/>
      </c>
      <c r="AP191" s="50" t="str">
        <f aca="false">IF(AND(A191="",B191=""),"",IF(J191="","Status needed",IF(OR(J191="Applied",J191="Visit booked",J191="Withdrawn"),"OK",IF(G191="","Date assessed needed",IF(C191="","Date of birth needed",IF(COUNTA(L191,M191,P191,U191,V191,X191,AB191)&lt;7,"Band missing",IF(AND(OR(J191="Decision confirmed",J191="Family told",J191="Enrolled"),AG191=""),"Recommendation needed",IF(AND(OR(J191="Family told",J191="Enrolled"),AJ191=""),"Date family told needed","OK"))))))))</f>
        <v/>
      </c>
    </row>
    <row r="192" customFormat="false" ht="15" hidden="false" customHeight="false" outlineLevel="0" collapsed="false">
      <c r="A192" s="7"/>
      <c r="B192" s="7"/>
      <c r="C192" s="46"/>
      <c r="D192" s="7"/>
      <c r="E192" s="47"/>
      <c r="F192" s="46"/>
      <c r="G192" s="46"/>
      <c r="H192" s="7"/>
      <c r="I192" s="7"/>
      <c r="J192" s="47"/>
      <c r="K192" s="47"/>
      <c r="L192" s="47"/>
      <c r="M192" s="47"/>
      <c r="N192" s="10"/>
      <c r="O192" s="47"/>
      <c r="P192" s="47"/>
      <c r="Q192" s="47"/>
      <c r="R192" s="48" t="str">
        <f aca="false">IF(Q192="","",IF(Q192=0,"below 5:00",IF(Q192&gt;=66,"16:00 or above",INT((60+2*Q192)/12)&amp;":"&amp;TEXT(MOD(60+2*Q192,12),"00"))))</f>
        <v/>
      </c>
      <c r="S192" s="47"/>
      <c r="T192" s="47"/>
      <c r="U192" s="47"/>
      <c r="V192" s="47"/>
      <c r="W192" s="47"/>
      <c r="X192" s="47"/>
      <c r="Y192" s="47"/>
      <c r="Z192" s="47"/>
      <c r="AA192" s="47"/>
      <c r="AB192" s="47"/>
      <c r="AC192" s="47"/>
      <c r="AD192" s="47"/>
      <c r="AE192" s="47"/>
      <c r="AF192" s="47"/>
      <c r="AG192" s="47"/>
      <c r="AH192" s="47"/>
      <c r="AI192" s="46"/>
      <c r="AJ192" s="46"/>
      <c r="AK192" s="46"/>
      <c r="AL192" s="7"/>
      <c r="AM192" s="49" t="str">
        <f aca="false">IF(OR(C192="",G192=""),"",IFERROR(DATEDIF(C192,G192,"m"),""))</f>
        <v/>
      </c>
      <c r="AN192" s="49" t="str">
        <f aca="false">IF(OR(Q192="",AM192=""),"",60+2*Q192-AM192)</f>
        <v/>
      </c>
      <c r="AO192" s="49" t="str">
        <f aca="false">IF(OR(G192="",AJ192=""),"",AJ192-G192)</f>
        <v/>
      </c>
      <c r="AP192" s="50" t="str">
        <f aca="false">IF(AND(A192="",B192=""),"",IF(J192="","Status needed",IF(OR(J192="Applied",J192="Visit booked",J192="Withdrawn"),"OK",IF(G192="","Date assessed needed",IF(C192="","Date of birth needed",IF(COUNTA(L192,M192,P192,U192,V192,X192,AB192)&lt;7,"Band missing",IF(AND(OR(J192="Decision confirmed",J192="Family told",J192="Enrolled"),AG192=""),"Recommendation needed",IF(AND(OR(J192="Family told",J192="Enrolled"),AJ192=""),"Date family told needed","OK"))))))))</f>
        <v/>
      </c>
    </row>
    <row r="193" customFormat="false" ht="15" hidden="false" customHeight="false" outlineLevel="0" collapsed="false">
      <c r="A193" s="7"/>
      <c r="B193" s="7"/>
      <c r="C193" s="46"/>
      <c r="D193" s="7"/>
      <c r="E193" s="47"/>
      <c r="F193" s="46"/>
      <c r="G193" s="46"/>
      <c r="H193" s="7"/>
      <c r="I193" s="7"/>
      <c r="J193" s="47"/>
      <c r="K193" s="47"/>
      <c r="L193" s="47"/>
      <c r="M193" s="47"/>
      <c r="N193" s="10"/>
      <c r="O193" s="47"/>
      <c r="P193" s="47"/>
      <c r="Q193" s="47"/>
      <c r="R193" s="48" t="str">
        <f aca="false">IF(Q193="","",IF(Q193=0,"below 5:00",IF(Q193&gt;=66,"16:00 or above",INT((60+2*Q193)/12)&amp;":"&amp;TEXT(MOD(60+2*Q193,12),"00"))))</f>
        <v/>
      </c>
      <c r="S193" s="47"/>
      <c r="T193" s="47"/>
      <c r="U193" s="47"/>
      <c r="V193" s="47"/>
      <c r="W193" s="47"/>
      <c r="X193" s="47"/>
      <c r="Y193" s="47"/>
      <c r="Z193" s="47"/>
      <c r="AA193" s="47"/>
      <c r="AB193" s="47"/>
      <c r="AC193" s="47"/>
      <c r="AD193" s="47"/>
      <c r="AE193" s="47"/>
      <c r="AF193" s="47"/>
      <c r="AG193" s="47"/>
      <c r="AH193" s="47"/>
      <c r="AI193" s="46"/>
      <c r="AJ193" s="46"/>
      <c r="AK193" s="46"/>
      <c r="AL193" s="7"/>
      <c r="AM193" s="49" t="str">
        <f aca="false">IF(OR(C193="",G193=""),"",IFERROR(DATEDIF(C193,G193,"m"),""))</f>
        <v/>
      </c>
      <c r="AN193" s="49" t="str">
        <f aca="false">IF(OR(Q193="",AM193=""),"",60+2*Q193-AM193)</f>
        <v/>
      </c>
      <c r="AO193" s="49" t="str">
        <f aca="false">IF(OR(G193="",AJ193=""),"",AJ193-G193)</f>
        <v/>
      </c>
      <c r="AP193" s="50" t="str">
        <f aca="false">IF(AND(A193="",B193=""),"",IF(J193="","Status needed",IF(OR(J193="Applied",J193="Visit booked",J193="Withdrawn"),"OK",IF(G193="","Date assessed needed",IF(C193="","Date of birth needed",IF(COUNTA(L193,M193,P193,U193,V193,X193,AB193)&lt;7,"Band missing",IF(AND(OR(J193="Decision confirmed",J193="Family told",J193="Enrolled"),AG193=""),"Recommendation needed",IF(AND(OR(J193="Family told",J193="Enrolled"),AJ193=""),"Date family told needed","OK"))))))))</f>
        <v/>
      </c>
    </row>
    <row r="194" customFormat="false" ht="15" hidden="false" customHeight="false" outlineLevel="0" collapsed="false">
      <c r="A194" s="7"/>
      <c r="B194" s="7"/>
      <c r="C194" s="46"/>
      <c r="D194" s="7"/>
      <c r="E194" s="47"/>
      <c r="F194" s="46"/>
      <c r="G194" s="46"/>
      <c r="H194" s="7"/>
      <c r="I194" s="7"/>
      <c r="J194" s="47"/>
      <c r="K194" s="47"/>
      <c r="L194" s="47"/>
      <c r="M194" s="47"/>
      <c r="N194" s="10"/>
      <c r="O194" s="47"/>
      <c r="P194" s="47"/>
      <c r="Q194" s="47"/>
      <c r="R194" s="48" t="str">
        <f aca="false">IF(Q194="","",IF(Q194=0,"below 5:00",IF(Q194&gt;=66,"16:00 or above",INT((60+2*Q194)/12)&amp;":"&amp;TEXT(MOD(60+2*Q194,12),"00"))))</f>
        <v/>
      </c>
      <c r="S194" s="47"/>
      <c r="T194" s="47"/>
      <c r="U194" s="47"/>
      <c r="V194" s="47"/>
      <c r="W194" s="47"/>
      <c r="X194" s="47"/>
      <c r="Y194" s="47"/>
      <c r="Z194" s="47"/>
      <c r="AA194" s="47"/>
      <c r="AB194" s="47"/>
      <c r="AC194" s="47"/>
      <c r="AD194" s="47"/>
      <c r="AE194" s="47"/>
      <c r="AF194" s="47"/>
      <c r="AG194" s="47"/>
      <c r="AH194" s="47"/>
      <c r="AI194" s="46"/>
      <c r="AJ194" s="46"/>
      <c r="AK194" s="46"/>
      <c r="AL194" s="7"/>
      <c r="AM194" s="49" t="str">
        <f aca="false">IF(OR(C194="",G194=""),"",IFERROR(DATEDIF(C194,G194,"m"),""))</f>
        <v/>
      </c>
      <c r="AN194" s="49" t="str">
        <f aca="false">IF(OR(Q194="",AM194=""),"",60+2*Q194-AM194)</f>
        <v/>
      </c>
      <c r="AO194" s="49" t="str">
        <f aca="false">IF(OR(G194="",AJ194=""),"",AJ194-G194)</f>
        <v/>
      </c>
      <c r="AP194" s="50" t="str">
        <f aca="false">IF(AND(A194="",B194=""),"",IF(J194="","Status needed",IF(OR(J194="Applied",J194="Visit booked",J194="Withdrawn"),"OK",IF(G194="","Date assessed needed",IF(C194="","Date of birth needed",IF(COUNTA(L194,M194,P194,U194,V194,X194,AB194)&lt;7,"Band missing",IF(AND(OR(J194="Decision confirmed",J194="Family told",J194="Enrolled"),AG194=""),"Recommendation needed",IF(AND(OR(J194="Family told",J194="Enrolled"),AJ194=""),"Date family told needed","OK"))))))))</f>
        <v/>
      </c>
    </row>
    <row r="195" customFormat="false" ht="15" hidden="false" customHeight="false" outlineLevel="0" collapsed="false">
      <c r="A195" s="7"/>
      <c r="B195" s="7"/>
      <c r="C195" s="46"/>
      <c r="D195" s="7"/>
      <c r="E195" s="47"/>
      <c r="F195" s="46"/>
      <c r="G195" s="46"/>
      <c r="H195" s="7"/>
      <c r="I195" s="7"/>
      <c r="J195" s="47"/>
      <c r="K195" s="47"/>
      <c r="L195" s="47"/>
      <c r="M195" s="47"/>
      <c r="N195" s="10"/>
      <c r="O195" s="47"/>
      <c r="P195" s="47"/>
      <c r="Q195" s="47"/>
      <c r="R195" s="48" t="str">
        <f aca="false">IF(Q195="","",IF(Q195=0,"below 5:00",IF(Q195&gt;=66,"16:00 or above",INT((60+2*Q195)/12)&amp;":"&amp;TEXT(MOD(60+2*Q195,12),"00"))))</f>
        <v/>
      </c>
      <c r="S195" s="47"/>
      <c r="T195" s="47"/>
      <c r="U195" s="47"/>
      <c r="V195" s="47"/>
      <c r="W195" s="47"/>
      <c r="X195" s="47"/>
      <c r="Y195" s="47"/>
      <c r="Z195" s="47"/>
      <c r="AA195" s="47"/>
      <c r="AB195" s="47"/>
      <c r="AC195" s="47"/>
      <c r="AD195" s="47"/>
      <c r="AE195" s="47"/>
      <c r="AF195" s="47"/>
      <c r="AG195" s="47"/>
      <c r="AH195" s="47"/>
      <c r="AI195" s="46"/>
      <c r="AJ195" s="46"/>
      <c r="AK195" s="46"/>
      <c r="AL195" s="7"/>
      <c r="AM195" s="49" t="str">
        <f aca="false">IF(OR(C195="",G195=""),"",IFERROR(DATEDIF(C195,G195,"m"),""))</f>
        <v/>
      </c>
      <c r="AN195" s="49" t="str">
        <f aca="false">IF(OR(Q195="",AM195=""),"",60+2*Q195-AM195)</f>
        <v/>
      </c>
      <c r="AO195" s="49" t="str">
        <f aca="false">IF(OR(G195="",AJ195=""),"",AJ195-G195)</f>
        <v/>
      </c>
      <c r="AP195" s="50" t="str">
        <f aca="false">IF(AND(A195="",B195=""),"",IF(J195="","Status needed",IF(OR(J195="Applied",J195="Visit booked",J195="Withdrawn"),"OK",IF(G195="","Date assessed needed",IF(C195="","Date of birth needed",IF(COUNTA(L195,M195,P195,U195,V195,X195,AB195)&lt;7,"Band missing",IF(AND(OR(J195="Decision confirmed",J195="Family told",J195="Enrolled"),AG195=""),"Recommendation needed",IF(AND(OR(J195="Family told",J195="Enrolled"),AJ195=""),"Date family told needed","OK"))))))))</f>
        <v/>
      </c>
    </row>
    <row r="196" customFormat="false" ht="15" hidden="false" customHeight="false" outlineLevel="0" collapsed="false">
      <c r="A196" s="7"/>
      <c r="B196" s="7"/>
      <c r="C196" s="46"/>
      <c r="D196" s="7"/>
      <c r="E196" s="47"/>
      <c r="F196" s="46"/>
      <c r="G196" s="46"/>
      <c r="H196" s="7"/>
      <c r="I196" s="7"/>
      <c r="J196" s="47"/>
      <c r="K196" s="47"/>
      <c r="L196" s="47"/>
      <c r="M196" s="47"/>
      <c r="N196" s="10"/>
      <c r="O196" s="47"/>
      <c r="P196" s="47"/>
      <c r="Q196" s="47"/>
      <c r="R196" s="48" t="str">
        <f aca="false">IF(Q196="","",IF(Q196=0,"below 5:00",IF(Q196&gt;=66,"16:00 or above",INT((60+2*Q196)/12)&amp;":"&amp;TEXT(MOD(60+2*Q196,12),"00"))))</f>
        <v/>
      </c>
      <c r="S196" s="47"/>
      <c r="T196" s="47"/>
      <c r="U196" s="47"/>
      <c r="V196" s="47"/>
      <c r="W196" s="47"/>
      <c r="X196" s="47"/>
      <c r="Y196" s="47"/>
      <c r="Z196" s="47"/>
      <c r="AA196" s="47"/>
      <c r="AB196" s="47"/>
      <c r="AC196" s="47"/>
      <c r="AD196" s="47"/>
      <c r="AE196" s="47"/>
      <c r="AF196" s="47"/>
      <c r="AG196" s="47"/>
      <c r="AH196" s="47"/>
      <c r="AI196" s="46"/>
      <c r="AJ196" s="46"/>
      <c r="AK196" s="46"/>
      <c r="AL196" s="7"/>
      <c r="AM196" s="49" t="str">
        <f aca="false">IF(OR(C196="",G196=""),"",IFERROR(DATEDIF(C196,G196,"m"),""))</f>
        <v/>
      </c>
      <c r="AN196" s="49" t="str">
        <f aca="false">IF(OR(Q196="",AM196=""),"",60+2*Q196-AM196)</f>
        <v/>
      </c>
      <c r="AO196" s="49" t="str">
        <f aca="false">IF(OR(G196="",AJ196=""),"",AJ196-G196)</f>
        <v/>
      </c>
      <c r="AP196" s="50" t="str">
        <f aca="false">IF(AND(A196="",B196=""),"",IF(J196="","Status needed",IF(OR(J196="Applied",J196="Visit booked",J196="Withdrawn"),"OK",IF(G196="","Date assessed needed",IF(C196="","Date of birth needed",IF(COUNTA(L196,M196,P196,U196,V196,X196,AB196)&lt;7,"Band missing",IF(AND(OR(J196="Decision confirmed",J196="Family told",J196="Enrolled"),AG196=""),"Recommendation needed",IF(AND(OR(J196="Family told",J196="Enrolled"),AJ196=""),"Date family told needed","OK"))))))))</f>
        <v/>
      </c>
    </row>
    <row r="197" customFormat="false" ht="15" hidden="false" customHeight="false" outlineLevel="0" collapsed="false">
      <c r="A197" s="7"/>
      <c r="B197" s="7"/>
      <c r="C197" s="46"/>
      <c r="D197" s="7"/>
      <c r="E197" s="47"/>
      <c r="F197" s="46"/>
      <c r="G197" s="46"/>
      <c r="H197" s="7"/>
      <c r="I197" s="7"/>
      <c r="J197" s="47"/>
      <c r="K197" s="47"/>
      <c r="L197" s="47"/>
      <c r="M197" s="47"/>
      <c r="N197" s="10"/>
      <c r="O197" s="47"/>
      <c r="P197" s="47"/>
      <c r="Q197" s="47"/>
      <c r="R197" s="48" t="str">
        <f aca="false">IF(Q197="","",IF(Q197=0,"below 5:00",IF(Q197&gt;=66,"16:00 or above",INT((60+2*Q197)/12)&amp;":"&amp;TEXT(MOD(60+2*Q197,12),"00"))))</f>
        <v/>
      </c>
      <c r="S197" s="47"/>
      <c r="T197" s="47"/>
      <c r="U197" s="47"/>
      <c r="V197" s="47"/>
      <c r="W197" s="47"/>
      <c r="X197" s="47"/>
      <c r="Y197" s="47"/>
      <c r="Z197" s="47"/>
      <c r="AA197" s="47"/>
      <c r="AB197" s="47"/>
      <c r="AC197" s="47"/>
      <c r="AD197" s="47"/>
      <c r="AE197" s="47"/>
      <c r="AF197" s="47"/>
      <c r="AG197" s="47"/>
      <c r="AH197" s="47"/>
      <c r="AI197" s="46"/>
      <c r="AJ197" s="46"/>
      <c r="AK197" s="46"/>
      <c r="AL197" s="7"/>
      <c r="AM197" s="49" t="str">
        <f aca="false">IF(OR(C197="",G197=""),"",IFERROR(DATEDIF(C197,G197,"m"),""))</f>
        <v/>
      </c>
      <c r="AN197" s="49" t="str">
        <f aca="false">IF(OR(Q197="",AM197=""),"",60+2*Q197-AM197)</f>
        <v/>
      </c>
      <c r="AO197" s="49" t="str">
        <f aca="false">IF(OR(G197="",AJ197=""),"",AJ197-G197)</f>
        <v/>
      </c>
      <c r="AP197" s="50" t="str">
        <f aca="false">IF(AND(A197="",B197=""),"",IF(J197="","Status needed",IF(OR(J197="Applied",J197="Visit booked",J197="Withdrawn"),"OK",IF(G197="","Date assessed needed",IF(C197="","Date of birth needed",IF(COUNTA(L197,M197,P197,U197,V197,X197,AB197)&lt;7,"Band missing",IF(AND(OR(J197="Decision confirmed",J197="Family told",J197="Enrolled"),AG197=""),"Recommendation needed",IF(AND(OR(J197="Family told",J197="Enrolled"),AJ197=""),"Date family told needed","OK"))))))))</f>
        <v/>
      </c>
    </row>
    <row r="198" customFormat="false" ht="15" hidden="false" customHeight="false" outlineLevel="0" collapsed="false">
      <c r="A198" s="7"/>
      <c r="B198" s="7"/>
      <c r="C198" s="46"/>
      <c r="D198" s="7"/>
      <c r="E198" s="47"/>
      <c r="F198" s="46"/>
      <c r="G198" s="46"/>
      <c r="H198" s="7"/>
      <c r="I198" s="7"/>
      <c r="J198" s="47"/>
      <c r="K198" s="47"/>
      <c r="L198" s="47"/>
      <c r="M198" s="47"/>
      <c r="N198" s="10"/>
      <c r="O198" s="47"/>
      <c r="P198" s="47"/>
      <c r="Q198" s="47"/>
      <c r="R198" s="48" t="str">
        <f aca="false">IF(Q198="","",IF(Q198=0,"below 5:00",IF(Q198&gt;=66,"16:00 or above",INT((60+2*Q198)/12)&amp;":"&amp;TEXT(MOD(60+2*Q198,12),"00"))))</f>
        <v/>
      </c>
      <c r="S198" s="47"/>
      <c r="T198" s="47"/>
      <c r="U198" s="47"/>
      <c r="V198" s="47"/>
      <c r="W198" s="47"/>
      <c r="X198" s="47"/>
      <c r="Y198" s="47"/>
      <c r="Z198" s="47"/>
      <c r="AA198" s="47"/>
      <c r="AB198" s="47"/>
      <c r="AC198" s="47"/>
      <c r="AD198" s="47"/>
      <c r="AE198" s="47"/>
      <c r="AF198" s="47"/>
      <c r="AG198" s="47"/>
      <c r="AH198" s="47"/>
      <c r="AI198" s="46"/>
      <c r="AJ198" s="46"/>
      <c r="AK198" s="46"/>
      <c r="AL198" s="7"/>
      <c r="AM198" s="49" t="str">
        <f aca="false">IF(OR(C198="",G198=""),"",IFERROR(DATEDIF(C198,G198,"m"),""))</f>
        <v/>
      </c>
      <c r="AN198" s="49" t="str">
        <f aca="false">IF(OR(Q198="",AM198=""),"",60+2*Q198-AM198)</f>
        <v/>
      </c>
      <c r="AO198" s="49" t="str">
        <f aca="false">IF(OR(G198="",AJ198=""),"",AJ198-G198)</f>
        <v/>
      </c>
      <c r="AP198" s="50" t="str">
        <f aca="false">IF(AND(A198="",B198=""),"",IF(J198="","Status needed",IF(OR(J198="Applied",J198="Visit booked",J198="Withdrawn"),"OK",IF(G198="","Date assessed needed",IF(C198="","Date of birth needed",IF(COUNTA(L198,M198,P198,U198,V198,X198,AB198)&lt;7,"Band missing",IF(AND(OR(J198="Decision confirmed",J198="Family told",J198="Enrolled"),AG198=""),"Recommendation needed",IF(AND(OR(J198="Family told",J198="Enrolled"),AJ198=""),"Date family told needed","OK"))))))))</f>
        <v/>
      </c>
    </row>
    <row r="199" customFormat="false" ht="15" hidden="false" customHeight="false" outlineLevel="0" collapsed="false">
      <c r="A199" s="7"/>
      <c r="B199" s="7"/>
      <c r="C199" s="46"/>
      <c r="D199" s="7"/>
      <c r="E199" s="47"/>
      <c r="F199" s="46"/>
      <c r="G199" s="46"/>
      <c r="H199" s="7"/>
      <c r="I199" s="7"/>
      <c r="J199" s="47"/>
      <c r="K199" s="47"/>
      <c r="L199" s="47"/>
      <c r="M199" s="47"/>
      <c r="N199" s="10"/>
      <c r="O199" s="47"/>
      <c r="P199" s="47"/>
      <c r="Q199" s="47"/>
      <c r="R199" s="48" t="str">
        <f aca="false">IF(Q199="","",IF(Q199=0,"below 5:00",IF(Q199&gt;=66,"16:00 or above",INT((60+2*Q199)/12)&amp;":"&amp;TEXT(MOD(60+2*Q199,12),"00"))))</f>
        <v/>
      </c>
      <c r="S199" s="47"/>
      <c r="T199" s="47"/>
      <c r="U199" s="47"/>
      <c r="V199" s="47"/>
      <c r="W199" s="47"/>
      <c r="X199" s="47"/>
      <c r="Y199" s="47"/>
      <c r="Z199" s="47"/>
      <c r="AA199" s="47"/>
      <c r="AB199" s="47"/>
      <c r="AC199" s="47"/>
      <c r="AD199" s="47"/>
      <c r="AE199" s="47"/>
      <c r="AF199" s="47"/>
      <c r="AG199" s="47"/>
      <c r="AH199" s="47"/>
      <c r="AI199" s="46"/>
      <c r="AJ199" s="46"/>
      <c r="AK199" s="46"/>
      <c r="AL199" s="7"/>
      <c r="AM199" s="49" t="str">
        <f aca="false">IF(OR(C199="",G199=""),"",IFERROR(DATEDIF(C199,G199,"m"),""))</f>
        <v/>
      </c>
      <c r="AN199" s="49" t="str">
        <f aca="false">IF(OR(Q199="",AM199=""),"",60+2*Q199-AM199)</f>
        <v/>
      </c>
      <c r="AO199" s="49" t="str">
        <f aca="false">IF(OR(G199="",AJ199=""),"",AJ199-G199)</f>
        <v/>
      </c>
      <c r="AP199" s="50" t="str">
        <f aca="false">IF(AND(A199="",B199=""),"",IF(J199="","Status needed",IF(OR(J199="Applied",J199="Visit booked",J199="Withdrawn"),"OK",IF(G199="","Date assessed needed",IF(C199="","Date of birth needed",IF(COUNTA(L199,M199,P199,U199,V199,X199,AB199)&lt;7,"Band missing",IF(AND(OR(J199="Decision confirmed",J199="Family told",J199="Enrolled"),AG199=""),"Recommendation needed",IF(AND(OR(J199="Family told",J199="Enrolled"),AJ199=""),"Date family told needed","OK"))))))))</f>
        <v/>
      </c>
    </row>
    <row r="200" customFormat="false" ht="15" hidden="false" customHeight="false" outlineLevel="0" collapsed="false">
      <c r="A200" s="7"/>
      <c r="B200" s="7"/>
      <c r="C200" s="46"/>
      <c r="D200" s="7"/>
      <c r="E200" s="47"/>
      <c r="F200" s="46"/>
      <c r="G200" s="46"/>
      <c r="H200" s="7"/>
      <c r="I200" s="7"/>
      <c r="J200" s="47"/>
      <c r="K200" s="47"/>
      <c r="L200" s="47"/>
      <c r="M200" s="47"/>
      <c r="N200" s="10"/>
      <c r="O200" s="47"/>
      <c r="P200" s="47"/>
      <c r="Q200" s="47"/>
      <c r="R200" s="48" t="str">
        <f aca="false">IF(Q200="","",IF(Q200=0,"below 5:00",IF(Q200&gt;=66,"16:00 or above",INT((60+2*Q200)/12)&amp;":"&amp;TEXT(MOD(60+2*Q200,12),"00"))))</f>
        <v/>
      </c>
      <c r="S200" s="47"/>
      <c r="T200" s="47"/>
      <c r="U200" s="47"/>
      <c r="V200" s="47"/>
      <c r="W200" s="47"/>
      <c r="X200" s="47"/>
      <c r="Y200" s="47"/>
      <c r="Z200" s="47"/>
      <c r="AA200" s="47"/>
      <c r="AB200" s="47"/>
      <c r="AC200" s="47"/>
      <c r="AD200" s="47"/>
      <c r="AE200" s="47"/>
      <c r="AF200" s="47"/>
      <c r="AG200" s="47"/>
      <c r="AH200" s="47"/>
      <c r="AI200" s="46"/>
      <c r="AJ200" s="46"/>
      <c r="AK200" s="46"/>
      <c r="AL200" s="7"/>
      <c r="AM200" s="49" t="str">
        <f aca="false">IF(OR(C200="",G200=""),"",IFERROR(DATEDIF(C200,G200,"m"),""))</f>
        <v/>
      </c>
      <c r="AN200" s="49" t="str">
        <f aca="false">IF(OR(Q200="",AM200=""),"",60+2*Q200-AM200)</f>
        <v/>
      </c>
      <c r="AO200" s="49" t="str">
        <f aca="false">IF(OR(G200="",AJ200=""),"",AJ200-G200)</f>
        <v/>
      </c>
      <c r="AP200" s="50" t="str">
        <f aca="false">IF(AND(A200="",B200=""),"",IF(J200="","Status needed",IF(OR(J200="Applied",J200="Visit booked",J200="Withdrawn"),"OK",IF(G200="","Date assessed needed",IF(C200="","Date of birth needed",IF(COUNTA(L200,M200,P200,U200,V200,X200,AB200)&lt;7,"Band missing",IF(AND(OR(J200="Decision confirmed",J200="Family told",J200="Enrolled"),AG200=""),"Recommendation needed",IF(AND(OR(J200="Family told",J200="Enrolled"),AJ200=""),"Date family told needed","OK"))))))))</f>
        <v/>
      </c>
    </row>
    <row r="201" customFormat="false" ht="15" hidden="false" customHeight="false" outlineLevel="0" collapsed="false">
      <c r="A201" s="7"/>
      <c r="B201" s="7"/>
      <c r="C201" s="46"/>
      <c r="D201" s="7"/>
      <c r="E201" s="47"/>
      <c r="F201" s="46"/>
      <c r="G201" s="46"/>
      <c r="H201" s="7"/>
      <c r="I201" s="7"/>
      <c r="J201" s="47"/>
      <c r="K201" s="47"/>
      <c r="L201" s="47"/>
      <c r="M201" s="47"/>
      <c r="N201" s="10"/>
      <c r="O201" s="47"/>
      <c r="P201" s="47"/>
      <c r="Q201" s="47"/>
      <c r="R201" s="48" t="str">
        <f aca="false">IF(Q201="","",IF(Q201=0,"below 5:00",IF(Q201&gt;=66,"16:00 or above",INT((60+2*Q201)/12)&amp;":"&amp;TEXT(MOD(60+2*Q201,12),"00"))))</f>
        <v/>
      </c>
      <c r="S201" s="47"/>
      <c r="T201" s="47"/>
      <c r="U201" s="47"/>
      <c r="V201" s="47"/>
      <c r="W201" s="47"/>
      <c r="X201" s="47"/>
      <c r="Y201" s="47"/>
      <c r="Z201" s="47"/>
      <c r="AA201" s="47"/>
      <c r="AB201" s="47"/>
      <c r="AC201" s="47"/>
      <c r="AD201" s="47"/>
      <c r="AE201" s="47"/>
      <c r="AF201" s="47"/>
      <c r="AG201" s="47"/>
      <c r="AH201" s="47"/>
      <c r="AI201" s="46"/>
      <c r="AJ201" s="46"/>
      <c r="AK201" s="46"/>
      <c r="AL201" s="7"/>
      <c r="AM201" s="49" t="str">
        <f aca="false">IF(OR(C201="",G201=""),"",IFERROR(DATEDIF(C201,G201,"m"),""))</f>
        <v/>
      </c>
      <c r="AN201" s="49" t="str">
        <f aca="false">IF(OR(Q201="",AM201=""),"",60+2*Q201-AM201)</f>
        <v/>
      </c>
      <c r="AO201" s="49" t="str">
        <f aca="false">IF(OR(G201="",AJ201=""),"",AJ201-G201)</f>
        <v/>
      </c>
      <c r="AP201" s="50" t="str">
        <f aca="false">IF(AND(A201="",B201=""),"",IF(J201="","Status needed",IF(OR(J201="Applied",J201="Visit booked",J201="Withdrawn"),"OK",IF(G201="","Date assessed needed",IF(C201="","Date of birth needed",IF(COUNTA(L201,M201,P201,U201,V201,X201,AB201)&lt;7,"Band missing",IF(AND(OR(J201="Decision confirmed",J201="Family told",J201="Enrolled"),AG201=""),"Recommendation needed",IF(AND(OR(J201="Family told",J201="Enrolled"),AJ201=""),"Date family told needed","OK"))))))))</f>
        <v/>
      </c>
    </row>
    <row r="202" customFormat="false" ht="15" hidden="false" customHeight="false" outlineLevel="0" collapsed="false">
      <c r="A202" s="7"/>
      <c r="B202" s="7"/>
      <c r="C202" s="46"/>
      <c r="D202" s="7"/>
      <c r="E202" s="47"/>
      <c r="F202" s="46"/>
      <c r="G202" s="46"/>
      <c r="H202" s="7"/>
      <c r="I202" s="7"/>
      <c r="J202" s="47"/>
      <c r="K202" s="47"/>
      <c r="L202" s="47"/>
      <c r="M202" s="47"/>
      <c r="N202" s="10"/>
      <c r="O202" s="47"/>
      <c r="P202" s="47"/>
      <c r="Q202" s="47"/>
      <c r="R202" s="48" t="str">
        <f aca="false">IF(Q202="","",IF(Q202=0,"below 5:00",IF(Q202&gt;=66,"16:00 or above",INT((60+2*Q202)/12)&amp;":"&amp;TEXT(MOD(60+2*Q202,12),"00"))))</f>
        <v/>
      </c>
      <c r="S202" s="47"/>
      <c r="T202" s="47"/>
      <c r="U202" s="47"/>
      <c r="V202" s="47"/>
      <c r="W202" s="47"/>
      <c r="X202" s="47"/>
      <c r="Y202" s="47"/>
      <c r="Z202" s="47"/>
      <c r="AA202" s="47"/>
      <c r="AB202" s="47"/>
      <c r="AC202" s="47"/>
      <c r="AD202" s="47"/>
      <c r="AE202" s="47"/>
      <c r="AF202" s="47"/>
      <c r="AG202" s="47"/>
      <c r="AH202" s="47"/>
      <c r="AI202" s="46"/>
      <c r="AJ202" s="46"/>
      <c r="AK202" s="46"/>
      <c r="AL202" s="7"/>
      <c r="AM202" s="49" t="str">
        <f aca="false">IF(OR(C202="",G202=""),"",IFERROR(DATEDIF(C202,G202,"m"),""))</f>
        <v/>
      </c>
      <c r="AN202" s="49" t="str">
        <f aca="false">IF(OR(Q202="",AM202=""),"",60+2*Q202-AM202)</f>
        <v/>
      </c>
      <c r="AO202" s="49" t="str">
        <f aca="false">IF(OR(G202="",AJ202=""),"",AJ202-G202)</f>
        <v/>
      </c>
      <c r="AP202" s="50" t="str">
        <f aca="false">IF(AND(A202="",B202=""),"",IF(J202="","Status needed",IF(OR(J202="Applied",J202="Visit booked",J202="Withdrawn"),"OK",IF(G202="","Date assessed needed",IF(C202="","Date of birth needed",IF(COUNTA(L202,M202,P202,U202,V202,X202,AB202)&lt;7,"Band missing",IF(AND(OR(J202="Decision confirmed",J202="Family told",J202="Enrolled"),AG202=""),"Recommendation needed",IF(AND(OR(J202="Family told",J202="Enrolled"),AJ202=""),"Date family told needed","OK"))))))))</f>
        <v/>
      </c>
    </row>
    <row r="203" customFormat="false" ht="15" hidden="false" customHeight="false" outlineLevel="0" collapsed="false">
      <c r="A203" s="7"/>
      <c r="B203" s="7"/>
      <c r="C203" s="46"/>
      <c r="D203" s="7"/>
      <c r="E203" s="47"/>
      <c r="F203" s="46"/>
      <c r="G203" s="46"/>
      <c r="H203" s="7"/>
      <c r="I203" s="7"/>
      <c r="J203" s="47"/>
      <c r="K203" s="47"/>
      <c r="L203" s="47"/>
      <c r="M203" s="47"/>
      <c r="N203" s="10"/>
      <c r="O203" s="47"/>
      <c r="P203" s="47"/>
      <c r="Q203" s="47"/>
      <c r="R203" s="48" t="str">
        <f aca="false">IF(Q203="","",IF(Q203=0,"below 5:00",IF(Q203&gt;=66,"16:00 or above",INT((60+2*Q203)/12)&amp;":"&amp;TEXT(MOD(60+2*Q203,12),"00"))))</f>
        <v/>
      </c>
      <c r="S203" s="47"/>
      <c r="T203" s="47"/>
      <c r="U203" s="47"/>
      <c r="V203" s="47"/>
      <c r="W203" s="47"/>
      <c r="X203" s="47"/>
      <c r="Y203" s="47"/>
      <c r="Z203" s="47"/>
      <c r="AA203" s="47"/>
      <c r="AB203" s="47"/>
      <c r="AC203" s="47"/>
      <c r="AD203" s="47"/>
      <c r="AE203" s="47"/>
      <c r="AF203" s="47"/>
      <c r="AG203" s="47"/>
      <c r="AH203" s="47"/>
      <c r="AI203" s="46"/>
      <c r="AJ203" s="46"/>
      <c r="AK203" s="46"/>
      <c r="AL203" s="7"/>
      <c r="AM203" s="49" t="str">
        <f aca="false">IF(OR(C203="",G203=""),"",IFERROR(DATEDIF(C203,G203,"m"),""))</f>
        <v/>
      </c>
      <c r="AN203" s="49" t="str">
        <f aca="false">IF(OR(Q203="",AM203=""),"",60+2*Q203-AM203)</f>
        <v/>
      </c>
      <c r="AO203" s="49" t="str">
        <f aca="false">IF(OR(G203="",AJ203=""),"",AJ203-G203)</f>
        <v/>
      </c>
      <c r="AP203" s="50" t="str">
        <f aca="false">IF(AND(A203="",B203=""),"",IF(J203="","Status needed",IF(OR(J203="Applied",J203="Visit booked",J203="Withdrawn"),"OK",IF(G203="","Date assessed needed",IF(C203="","Date of birth needed",IF(COUNTA(L203,M203,P203,U203,V203,X203,AB203)&lt;7,"Band missing",IF(AND(OR(J203="Decision confirmed",J203="Family told",J203="Enrolled"),AG203=""),"Recommendation needed",IF(AND(OR(J203="Family told",J203="Enrolled"),AJ203=""),"Date family told needed","OK"))))))))</f>
        <v/>
      </c>
    </row>
    <row r="204" customFormat="false" ht="15" hidden="false" customHeight="false" outlineLevel="0" collapsed="false">
      <c r="A204" s="7"/>
      <c r="B204" s="7"/>
      <c r="C204" s="46"/>
      <c r="D204" s="7"/>
      <c r="E204" s="47"/>
      <c r="F204" s="46"/>
      <c r="G204" s="46"/>
      <c r="H204" s="7"/>
      <c r="I204" s="7"/>
      <c r="J204" s="47"/>
      <c r="K204" s="47"/>
      <c r="L204" s="47"/>
      <c r="M204" s="47"/>
      <c r="N204" s="10"/>
      <c r="O204" s="47"/>
      <c r="P204" s="47"/>
      <c r="Q204" s="47"/>
      <c r="R204" s="48" t="str">
        <f aca="false">IF(Q204="","",IF(Q204=0,"below 5:00",IF(Q204&gt;=66,"16:00 or above",INT((60+2*Q204)/12)&amp;":"&amp;TEXT(MOD(60+2*Q204,12),"00"))))</f>
        <v/>
      </c>
      <c r="S204" s="47"/>
      <c r="T204" s="47"/>
      <c r="U204" s="47"/>
      <c r="V204" s="47"/>
      <c r="W204" s="47"/>
      <c r="X204" s="47"/>
      <c r="Y204" s="47"/>
      <c r="Z204" s="47"/>
      <c r="AA204" s="47"/>
      <c r="AB204" s="47"/>
      <c r="AC204" s="47"/>
      <c r="AD204" s="47"/>
      <c r="AE204" s="47"/>
      <c r="AF204" s="47"/>
      <c r="AG204" s="47"/>
      <c r="AH204" s="47"/>
      <c r="AI204" s="46"/>
      <c r="AJ204" s="46"/>
      <c r="AK204" s="46"/>
      <c r="AL204" s="7"/>
      <c r="AM204" s="49" t="str">
        <f aca="false">IF(OR(C204="",G204=""),"",IFERROR(DATEDIF(C204,G204,"m"),""))</f>
        <v/>
      </c>
      <c r="AN204" s="49" t="str">
        <f aca="false">IF(OR(Q204="",AM204=""),"",60+2*Q204-AM204)</f>
        <v/>
      </c>
      <c r="AO204" s="49" t="str">
        <f aca="false">IF(OR(G204="",AJ204=""),"",AJ204-G204)</f>
        <v/>
      </c>
      <c r="AP204" s="50" t="str">
        <f aca="false">IF(AND(A204="",B204=""),"",IF(J204="","Status needed",IF(OR(J204="Applied",J204="Visit booked",J204="Withdrawn"),"OK",IF(G204="","Date assessed needed",IF(C204="","Date of birth needed",IF(COUNTA(L204,M204,P204,U204,V204,X204,AB204)&lt;7,"Band missing",IF(AND(OR(J204="Decision confirmed",J204="Family told",J204="Enrolled"),AG204=""),"Recommendation needed",IF(AND(OR(J204="Family told",J204="Enrolled"),AJ204=""),"Date family told needed","OK"))))))))</f>
        <v/>
      </c>
    </row>
    <row r="205" customFormat="false" ht="15" hidden="false" customHeight="false" outlineLevel="0" collapsed="false">
      <c r="A205" s="7"/>
      <c r="B205" s="7"/>
      <c r="C205" s="46"/>
      <c r="D205" s="7"/>
      <c r="E205" s="47"/>
      <c r="F205" s="46"/>
      <c r="G205" s="46"/>
      <c r="H205" s="7"/>
      <c r="I205" s="7"/>
      <c r="J205" s="47"/>
      <c r="K205" s="47"/>
      <c r="L205" s="47"/>
      <c r="M205" s="47"/>
      <c r="N205" s="10"/>
      <c r="O205" s="47"/>
      <c r="P205" s="47"/>
      <c r="Q205" s="47"/>
      <c r="R205" s="48" t="str">
        <f aca="false">IF(Q205="","",IF(Q205=0,"below 5:00",IF(Q205&gt;=66,"16:00 or above",INT((60+2*Q205)/12)&amp;":"&amp;TEXT(MOD(60+2*Q205,12),"00"))))</f>
        <v/>
      </c>
      <c r="S205" s="47"/>
      <c r="T205" s="47"/>
      <c r="U205" s="47"/>
      <c r="V205" s="47"/>
      <c r="W205" s="47"/>
      <c r="X205" s="47"/>
      <c r="Y205" s="47"/>
      <c r="Z205" s="47"/>
      <c r="AA205" s="47"/>
      <c r="AB205" s="47"/>
      <c r="AC205" s="47"/>
      <c r="AD205" s="47"/>
      <c r="AE205" s="47"/>
      <c r="AF205" s="47"/>
      <c r="AG205" s="47"/>
      <c r="AH205" s="47"/>
      <c r="AI205" s="46"/>
      <c r="AJ205" s="46"/>
      <c r="AK205" s="46"/>
      <c r="AL205" s="7"/>
      <c r="AM205" s="49" t="str">
        <f aca="false">IF(OR(C205="",G205=""),"",IFERROR(DATEDIF(C205,G205,"m"),""))</f>
        <v/>
      </c>
      <c r="AN205" s="49" t="str">
        <f aca="false">IF(OR(Q205="",AM205=""),"",60+2*Q205-AM205)</f>
        <v/>
      </c>
      <c r="AO205" s="49" t="str">
        <f aca="false">IF(OR(G205="",AJ205=""),"",AJ205-G205)</f>
        <v/>
      </c>
      <c r="AP205" s="50" t="str">
        <f aca="false">IF(AND(A205="",B205=""),"",IF(J205="","Status needed",IF(OR(J205="Applied",J205="Visit booked",J205="Withdrawn"),"OK",IF(G205="","Date assessed needed",IF(C205="","Date of birth needed",IF(COUNTA(L205,M205,P205,U205,V205,X205,AB205)&lt;7,"Band missing",IF(AND(OR(J205="Decision confirmed",J205="Family told",J205="Enrolled"),AG205=""),"Recommendation needed",IF(AND(OR(J205="Family told",J205="Enrolled"),AJ205=""),"Date family told needed","OK"))))))))</f>
        <v/>
      </c>
    </row>
    <row r="206" customFormat="false" ht="15" hidden="false" customHeight="false" outlineLevel="0" collapsed="false">
      <c r="A206" s="7"/>
      <c r="B206" s="7"/>
      <c r="C206" s="46"/>
      <c r="D206" s="7"/>
      <c r="E206" s="47"/>
      <c r="F206" s="46"/>
      <c r="G206" s="46"/>
      <c r="H206" s="7"/>
      <c r="I206" s="7"/>
      <c r="J206" s="47"/>
      <c r="K206" s="47"/>
      <c r="L206" s="47"/>
      <c r="M206" s="47"/>
      <c r="N206" s="10"/>
      <c r="O206" s="47"/>
      <c r="P206" s="47"/>
      <c r="Q206" s="47"/>
      <c r="R206" s="48" t="str">
        <f aca="false">IF(Q206="","",IF(Q206=0,"below 5:00",IF(Q206&gt;=66,"16:00 or above",INT((60+2*Q206)/12)&amp;":"&amp;TEXT(MOD(60+2*Q206,12),"00"))))</f>
        <v/>
      </c>
      <c r="S206" s="47"/>
      <c r="T206" s="47"/>
      <c r="U206" s="47"/>
      <c r="V206" s="47"/>
      <c r="W206" s="47"/>
      <c r="X206" s="47"/>
      <c r="Y206" s="47"/>
      <c r="Z206" s="47"/>
      <c r="AA206" s="47"/>
      <c r="AB206" s="47"/>
      <c r="AC206" s="47"/>
      <c r="AD206" s="47"/>
      <c r="AE206" s="47"/>
      <c r="AF206" s="47"/>
      <c r="AG206" s="47"/>
      <c r="AH206" s="47"/>
      <c r="AI206" s="46"/>
      <c r="AJ206" s="46"/>
      <c r="AK206" s="46"/>
      <c r="AL206" s="7"/>
      <c r="AM206" s="49" t="str">
        <f aca="false">IF(OR(C206="",G206=""),"",IFERROR(DATEDIF(C206,G206,"m"),""))</f>
        <v/>
      </c>
      <c r="AN206" s="49" t="str">
        <f aca="false">IF(OR(Q206="",AM206=""),"",60+2*Q206-AM206)</f>
        <v/>
      </c>
      <c r="AO206" s="49" t="str">
        <f aca="false">IF(OR(G206="",AJ206=""),"",AJ206-G206)</f>
        <v/>
      </c>
      <c r="AP206" s="50" t="str">
        <f aca="false">IF(AND(A206="",B206=""),"",IF(J206="","Status needed",IF(OR(J206="Applied",J206="Visit booked",J206="Withdrawn"),"OK",IF(G206="","Date assessed needed",IF(C206="","Date of birth needed",IF(COUNTA(L206,M206,P206,U206,V206,X206,AB206)&lt;7,"Band missing",IF(AND(OR(J206="Decision confirmed",J206="Family told",J206="Enrolled"),AG206=""),"Recommendation needed",IF(AND(OR(J206="Family told",J206="Enrolled"),AJ206=""),"Date family told needed","OK"))))))))</f>
        <v/>
      </c>
    </row>
    <row r="207" customFormat="false" ht="15" hidden="false" customHeight="false" outlineLevel="0" collapsed="false">
      <c r="A207" s="7"/>
      <c r="B207" s="7"/>
      <c r="C207" s="46"/>
      <c r="D207" s="7"/>
      <c r="E207" s="47"/>
      <c r="F207" s="46"/>
      <c r="G207" s="46"/>
      <c r="H207" s="7"/>
      <c r="I207" s="7"/>
      <c r="J207" s="47"/>
      <c r="K207" s="47"/>
      <c r="L207" s="47"/>
      <c r="M207" s="47"/>
      <c r="N207" s="10"/>
      <c r="O207" s="47"/>
      <c r="P207" s="47"/>
      <c r="Q207" s="47"/>
      <c r="R207" s="48" t="str">
        <f aca="false">IF(Q207="","",IF(Q207=0,"below 5:00",IF(Q207&gt;=66,"16:00 or above",INT((60+2*Q207)/12)&amp;":"&amp;TEXT(MOD(60+2*Q207,12),"00"))))</f>
        <v/>
      </c>
      <c r="S207" s="47"/>
      <c r="T207" s="47"/>
      <c r="U207" s="47"/>
      <c r="V207" s="47"/>
      <c r="W207" s="47"/>
      <c r="X207" s="47"/>
      <c r="Y207" s="47"/>
      <c r="Z207" s="47"/>
      <c r="AA207" s="47"/>
      <c r="AB207" s="47"/>
      <c r="AC207" s="47"/>
      <c r="AD207" s="47"/>
      <c r="AE207" s="47"/>
      <c r="AF207" s="47"/>
      <c r="AG207" s="47"/>
      <c r="AH207" s="47"/>
      <c r="AI207" s="46"/>
      <c r="AJ207" s="46"/>
      <c r="AK207" s="46"/>
      <c r="AL207" s="7"/>
      <c r="AM207" s="49" t="str">
        <f aca="false">IF(OR(C207="",G207=""),"",IFERROR(DATEDIF(C207,G207,"m"),""))</f>
        <v/>
      </c>
      <c r="AN207" s="49" t="str">
        <f aca="false">IF(OR(Q207="",AM207=""),"",60+2*Q207-AM207)</f>
        <v/>
      </c>
      <c r="AO207" s="49" t="str">
        <f aca="false">IF(OR(G207="",AJ207=""),"",AJ207-G207)</f>
        <v/>
      </c>
      <c r="AP207" s="50" t="str">
        <f aca="false">IF(AND(A207="",B207=""),"",IF(J207="","Status needed",IF(OR(J207="Applied",J207="Visit booked",J207="Withdrawn"),"OK",IF(G207="","Date assessed needed",IF(C207="","Date of birth needed",IF(COUNTA(L207,M207,P207,U207,V207,X207,AB207)&lt;7,"Band missing",IF(AND(OR(J207="Decision confirmed",J207="Family told",J207="Enrolled"),AG207=""),"Recommendation needed",IF(AND(OR(J207="Family told",J207="Enrolled"),AJ207=""),"Date family told needed","OK"))))))))</f>
        <v/>
      </c>
    </row>
    <row r="208" customFormat="false" ht="15" hidden="false" customHeight="false" outlineLevel="0" collapsed="false">
      <c r="A208" s="7"/>
      <c r="B208" s="7"/>
      <c r="C208" s="46"/>
      <c r="D208" s="7"/>
      <c r="E208" s="47"/>
      <c r="F208" s="46"/>
      <c r="G208" s="46"/>
      <c r="H208" s="7"/>
      <c r="I208" s="7"/>
      <c r="J208" s="47"/>
      <c r="K208" s="47"/>
      <c r="L208" s="47"/>
      <c r="M208" s="47"/>
      <c r="N208" s="10"/>
      <c r="O208" s="47"/>
      <c r="P208" s="47"/>
      <c r="Q208" s="47"/>
      <c r="R208" s="48" t="str">
        <f aca="false">IF(Q208="","",IF(Q208=0,"below 5:00",IF(Q208&gt;=66,"16:00 or above",INT((60+2*Q208)/12)&amp;":"&amp;TEXT(MOD(60+2*Q208,12),"00"))))</f>
        <v/>
      </c>
      <c r="S208" s="47"/>
      <c r="T208" s="47"/>
      <c r="U208" s="47"/>
      <c r="V208" s="47"/>
      <c r="W208" s="47"/>
      <c r="X208" s="47"/>
      <c r="Y208" s="47"/>
      <c r="Z208" s="47"/>
      <c r="AA208" s="47"/>
      <c r="AB208" s="47"/>
      <c r="AC208" s="47"/>
      <c r="AD208" s="47"/>
      <c r="AE208" s="47"/>
      <c r="AF208" s="47"/>
      <c r="AG208" s="47"/>
      <c r="AH208" s="47"/>
      <c r="AI208" s="46"/>
      <c r="AJ208" s="46"/>
      <c r="AK208" s="46"/>
      <c r="AL208" s="7"/>
      <c r="AM208" s="49" t="str">
        <f aca="false">IF(OR(C208="",G208=""),"",IFERROR(DATEDIF(C208,G208,"m"),""))</f>
        <v/>
      </c>
      <c r="AN208" s="49" t="str">
        <f aca="false">IF(OR(Q208="",AM208=""),"",60+2*Q208-AM208)</f>
        <v/>
      </c>
      <c r="AO208" s="49" t="str">
        <f aca="false">IF(OR(G208="",AJ208=""),"",AJ208-G208)</f>
        <v/>
      </c>
      <c r="AP208" s="50" t="str">
        <f aca="false">IF(AND(A208="",B208=""),"",IF(J208="","Status needed",IF(OR(J208="Applied",J208="Visit booked",J208="Withdrawn"),"OK",IF(G208="","Date assessed needed",IF(C208="","Date of birth needed",IF(COUNTA(L208,M208,P208,U208,V208,X208,AB208)&lt;7,"Band missing",IF(AND(OR(J208="Decision confirmed",J208="Family told",J208="Enrolled"),AG208=""),"Recommendation needed",IF(AND(OR(J208="Family told",J208="Enrolled"),AJ208=""),"Date family told needed","OK"))))))))</f>
        <v/>
      </c>
    </row>
    <row r="209" customFormat="false" ht="15" hidden="false" customHeight="false" outlineLevel="0" collapsed="false">
      <c r="A209" s="7"/>
      <c r="B209" s="7"/>
      <c r="C209" s="46"/>
      <c r="D209" s="7"/>
      <c r="E209" s="47"/>
      <c r="F209" s="46"/>
      <c r="G209" s="46"/>
      <c r="H209" s="7"/>
      <c r="I209" s="7"/>
      <c r="J209" s="47"/>
      <c r="K209" s="47"/>
      <c r="L209" s="47"/>
      <c r="M209" s="47"/>
      <c r="N209" s="10"/>
      <c r="O209" s="47"/>
      <c r="P209" s="47"/>
      <c r="Q209" s="47"/>
      <c r="R209" s="48" t="str">
        <f aca="false">IF(Q209="","",IF(Q209=0,"below 5:00",IF(Q209&gt;=66,"16:00 or above",INT((60+2*Q209)/12)&amp;":"&amp;TEXT(MOD(60+2*Q209,12),"00"))))</f>
        <v/>
      </c>
      <c r="S209" s="47"/>
      <c r="T209" s="47"/>
      <c r="U209" s="47"/>
      <c r="V209" s="47"/>
      <c r="W209" s="47"/>
      <c r="X209" s="47"/>
      <c r="Y209" s="47"/>
      <c r="Z209" s="47"/>
      <c r="AA209" s="47"/>
      <c r="AB209" s="47"/>
      <c r="AC209" s="47"/>
      <c r="AD209" s="47"/>
      <c r="AE209" s="47"/>
      <c r="AF209" s="47"/>
      <c r="AG209" s="47"/>
      <c r="AH209" s="47"/>
      <c r="AI209" s="46"/>
      <c r="AJ209" s="46"/>
      <c r="AK209" s="46"/>
      <c r="AL209" s="7"/>
      <c r="AM209" s="49" t="str">
        <f aca="false">IF(OR(C209="",G209=""),"",IFERROR(DATEDIF(C209,G209,"m"),""))</f>
        <v/>
      </c>
      <c r="AN209" s="49" t="str">
        <f aca="false">IF(OR(Q209="",AM209=""),"",60+2*Q209-AM209)</f>
        <v/>
      </c>
      <c r="AO209" s="49" t="str">
        <f aca="false">IF(OR(G209="",AJ209=""),"",AJ209-G209)</f>
        <v/>
      </c>
      <c r="AP209" s="50" t="str">
        <f aca="false">IF(AND(A209="",B209=""),"",IF(J209="","Status needed",IF(OR(J209="Applied",J209="Visit booked",J209="Withdrawn"),"OK",IF(G209="","Date assessed needed",IF(C209="","Date of birth needed",IF(COUNTA(L209,M209,P209,U209,V209,X209,AB209)&lt;7,"Band missing",IF(AND(OR(J209="Decision confirmed",J209="Family told",J209="Enrolled"),AG209=""),"Recommendation needed",IF(AND(OR(J209="Family told",J209="Enrolled"),AJ209=""),"Date family told needed","OK"))))))))</f>
        <v/>
      </c>
    </row>
    <row r="210" customFormat="false" ht="15" hidden="false" customHeight="false" outlineLevel="0" collapsed="false">
      <c r="A210" s="7"/>
      <c r="B210" s="7"/>
      <c r="C210" s="46"/>
      <c r="D210" s="7"/>
      <c r="E210" s="47"/>
      <c r="F210" s="46"/>
      <c r="G210" s="46"/>
      <c r="H210" s="7"/>
      <c r="I210" s="7"/>
      <c r="J210" s="47"/>
      <c r="K210" s="47"/>
      <c r="L210" s="47"/>
      <c r="M210" s="47"/>
      <c r="N210" s="10"/>
      <c r="O210" s="47"/>
      <c r="P210" s="47"/>
      <c r="Q210" s="47"/>
      <c r="R210" s="48" t="str">
        <f aca="false">IF(Q210="","",IF(Q210=0,"below 5:00",IF(Q210&gt;=66,"16:00 or above",INT((60+2*Q210)/12)&amp;":"&amp;TEXT(MOD(60+2*Q210,12),"00"))))</f>
        <v/>
      </c>
      <c r="S210" s="47"/>
      <c r="T210" s="47"/>
      <c r="U210" s="47"/>
      <c r="V210" s="47"/>
      <c r="W210" s="47"/>
      <c r="X210" s="47"/>
      <c r="Y210" s="47"/>
      <c r="Z210" s="47"/>
      <c r="AA210" s="47"/>
      <c r="AB210" s="47"/>
      <c r="AC210" s="47"/>
      <c r="AD210" s="47"/>
      <c r="AE210" s="47"/>
      <c r="AF210" s="47"/>
      <c r="AG210" s="47"/>
      <c r="AH210" s="47"/>
      <c r="AI210" s="46"/>
      <c r="AJ210" s="46"/>
      <c r="AK210" s="46"/>
      <c r="AL210" s="7"/>
      <c r="AM210" s="49" t="str">
        <f aca="false">IF(OR(C210="",G210=""),"",IFERROR(DATEDIF(C210,G210,"m"),""))</f>
        <v/>
      </c>
      <c r="AN210" s="49" t="str">
        <f aca="false">IF(OR(Q210="",AM210=""),"",60+2*Q210-AM210)</f>
        <v/>
      </c>
      <c r="AO210" s="49" t="str">
        <f aca="false">IF(OR(G210="",AJ210=""),"",AJ210-G210)</f>
        <v/>
      </c>
      <c r="AP210" s="50" t="str">
        <f aca="false">IF(AND(A210="",B210=""),"",IF(J210="","Status needed",IF(OR(J210="Applied",J210="Visit booked",J210="Withdrawn"),"OK",IF(G210="","Date assessed needed",IF(C210="","Date of birth needed",IF(COUNTA(L210,M210,P210,U210,V210,X210,AB210)&lt;7,"Band missing",IF(AND(OR(J210="Decision confirmed",J210="Family told",J210="Enrolled"),AG210=""),"Recommendation needed",IF(AND(OR(J210="Family told",J210="Enrolled"),AJ210=""),"Date family told needed","OK"))))))))</f>
        <v/>
      </c>
    </row>
    <row r="211" customFormat="false" ht="15" hidden="false" customHeight="false" outlineLevel="0" collapsed="false">
      <c r="A211" s="7"/>
      <c r="B211" s="7"/>
      <c r="C211" s="46"/>
      <c r="D211" s="7"/>
      <c r="E211" s="47"/>
      <c r="F211" s="46"/>
      <c r="G211" s="46"/>
      <c r="H211" s="7"/>
      <c r="I211" s="7"/>
      <c r="J211" s="47"/>
      <c r="K211" s="47"/>
      <c r="L211" s="47"/>
      <c r="M211" s="47"/>
      <c r="N211" s="10"/>
      <c r="O211" s="47"/>
      <c r="P211" s="47"/>
      <c r="Q211" s="47"/>
      <c r="R211" s="48" t="str">
        <f aca="false">IF(Q211="","",IF(Q211=0,"below 5:00",IF(Q211&gt;=66,"16:00 or above",INT((60+2*Q211)/12)&amp;":"&amp;TEXT(MOD(60+2*Q211,12),"00"))))</f>
        <v/>
      </c>
      <c r="S211" s="47"/>
      <c r="T211" s="47"/>
      <c r="U211" s="47"/>
      <c r="V211" s="47"/>
      <c r="W211" s="47"/>
      <c r="X211" s="47"/>
      <c r="Y211" s="47"/>
      <c r="Z211" s="47"/>
      <c r="AA211" s="47"/>
      <c r="AB211" s="47"/>
      <c r="AC211" s="47"/>
      <c r="AD211" s="47"/>
      <c r="AE211" s="47"/>
      <c r="AF211" s="47"/>
      <c r="AG211" s="47"/>
      <c r="AH211" s="47"/>
      <c r="AI211" s="46"/>
      <c r="AJ211" s="46"/>
      <c r="AK211" s="46"/>
      <c r="AL211" s="7"/>
      <c r="AM211" s="49" t="str">
        <f aca="false">IF(OR(C211="",G211=""),"",IFERROR(DATEDIF(C211,G211,"m"),""))</f>
        <v/>
      </c>
      <c r="AN211" s="49" t="str">
        <f aca="false">IF(OR(Q211="",AM211=""),"",60+2*Q211-AM211)</f>
        <v/>
      </c>
      <c r="AO211" s="49" t="str">
        <f aca="false">IF(OR(G211="",AJ211=""),"",AJ211-G211)</f>
        <v/>
      </c>
      <c r="AP211" s="50" t="str">
        <f aca="false">IF(AND(A211="",B211=""),"",IF(J211="","Status needed",IF(OR(J211="Applied",J211="Visit booked",J211="Withdrawn"),"OK",IF(G211="","Date assessed needed",IF(C211="","Date of birth needed",IF(COUNTA(L211,M211,P211,U211,V211,X211,AB211)&lt;7,"Band missing",IF(AND(OR(J211="Decision confirmed",J211="Family told",J211="Enrolled"),AG211=""),"Recommendation needed",IF(AND(OR(J211="Family told",J211="Enrolled"),AJ211=""),"Date family told needed","OK"))))))))</f>
        <v/>
      </c>
    </row>
    <row r="212" customFormat="false" ht="15" hidden="false" customHeight="false" outlineLevel="0" collapsed="false">
      <c r="A212" s="7"/>
      <c r="B212" s="7"/>
      <c r="C212" s="46"/>
      <c r="D212" s="7"/>
      <c r="E212" s="47"/>
      <c r="F212" s="46"/>
      <c r="G212" s="46"/>
      <c r="H212" s="7"/>
      <c r="I212" s="7"/>
      <c r="J212" s="47"/>
      <c r="K212" s="47"/>
      <c r="L212" s="47"/>
      <c r="M212" s="47"/>
      <c r="N212" s="10"/>
      <c r="O212" s="47"/>
      <c r="P212" s="47"/>
      <c r="Q212" s="47"/>
      <c r="R212" s="48" t="str">
        <f aca="false">IF(Q212="","",IF(Q212=0,"below 5:00",IF(Q212&gt;=66,"16:00 or above",INT((60+2*Q212)/12)&amp;":"&amp;TEXT(MOD(60+2*Q212,12),"00"))))</f>
        <v/>
      </c>
      <c r="S212" s="47"/>
      <c r="T212" s="47"/>
      <c r="U212" s="47"/>
      <c r="V212" s="47"/>
      <c r="W212" s="47"/>
      <c r="X212" s="47"/>
      <c r="Y212" s="47"/>
      <c r="Z212" s="47"/>
      <c r="AA212" s="47"/>
      <c r="AB212" s="47"/>
      <c r="AC212" s="47"/>
      <c r="AD212" s="47"/>
      <c r="AE212" s="47"/>
      <c r="AF212" s="47"/>
      <c r="AG212" s="47"/>
      <c r="AH212" s="47"/>
      <c r="AI212" s="46"/>
      <c r="AJ212" s="46"/>
      <c r="AK212" s="46"/>
      <c r="AL212" s="7"/>
      <c r="AM212" s="49" t="str">
        <f aca="false">IF(OR(C212="",G212=""),"",IFERROR(DATEDIF(C212,G212,"m"),""))</f>
        <v/>
      </c>
      <c r="AN212" s="49" t="str">
        <f aca="false">IF(OR(Q212="",AM212=""),"",60+2*Q212-AM212)</f>
        <v/>
      </c>
      <c r="AO212" s="49" t="str">
        <f aca="false">IF(OR(G212="",AJ212=""),"",AJ212-G212)</f>
        <v/>
      </c>
      <c r="AP212" s="50" t="str">
        <f aca="false">IF(AND(A212="",B212=""),"",IF(J212="","Status needed",IF(OR(J212="Applied",J212="Visit booked",J212="Withdrawn"),"OK",IF(G212="","Date assessed needed",IF(C212="","Date of birth needed",IF(COUNTA(L212,M212,P212,U212,V212,X212,AB212)&lt;7,"Band missing",IF(AND(OR(J212="Decision confirmed",J212="Family told",J212="Enrolled"),AG212=""),"Recommendation needed",IF(AND(OR(J212="Family told",J212="Enrolled"),AJ212=""),"Date family told needed","OK"))))))))</f>
        <v/>
      </c>
    </row>
    <row r="213" customFormat="false" ht="15" hidden="false" customHeight="false" outlineLevel="0" collapsed="false">
      <c r="A213" s="7"/>
      <c r="B213" s="7"/>
      <c r="C213" s="46"/>
      <c r="D213" s="7"/>
      <c r="E213" s="47"/>
      <c r="F213" s="46"/>
      <c r="G213" s="46"/>
      <c r="H213" s="7"/>
      <c r="I213" s="7"/>
      <c r="J213" s="47"/>
      <c r="K213" s="47"/>
      <c r="L213" s="47"/>
      <c r="M213" s="47"/>
      <c r="N213" s="10"/>
      <c r="O213" s="47"/>
      <c r="P213" s="47"/>
      <c r="Q213" s="47"/>
      <c r="R213" s="48" t="str">
        <f aca="false">IF(Q213="","",IF(Q213=0,"below 5:00",IF(Q213&gt;=66,"16:00 or above",INT((60+2*Q213)/12)&amp;":"&amp;TEXT(MOD(60+2*Q213,12),"00"))))</f>
        <v/>
      </c>
      <c r="S213" s="47"/>
      <c r="T213" s="47"/>
      <c r="U213" s="47"/>
      <c r="V213" s="47"/>
      <c r="W213" s="47"/>
      <c r="X213" s="47"/>
      <c r="Y213" s="47"/>
      <c r="Z213" s="47"/>
      <c r="AA213" s="47"/>
      <c r="AB213" s="47"/>
      <c r="AC213" s="47"/>
      <c r="AD213" s="47"/>
      <c r="AE213" s="47"/>
      <c r="AF213" s="47"/>
      <c r="AG213" s="47"/>
      <c r="AH213" s="47"/>
      <c r="AI213" s="46"/>
      <c r="AJ213" s="46"/>
      <c r="AK213" s="46"/>
      <c r="AL213" s="7"/>
      <c r="AM213" s="49" t="str">
        <f aca="false">IF(OR(C213="",G213=""),"",IFERROR(DATEDIF(C213,G213,"m"),""))</f>
        <v/>
      </c>
      <c r="AN213" s="49" t="str">
        <f aca="false">IF(OR(Q213="",AM213=""),"",60+2*Q213-AM213)</f>
        <v/>
      </c>
      <c r="AO213" s="49" t="str">
        <f aca="false">IF(OR(G213="",AJ213=""),"",AJ213-G213)</f>
        <v/>
      </c>
      <c r="AP213" s="50" t="str">
        <f aca="false">IF(AND(A213="",B213=""),"",IF(J213="","Status needed",IF(OR(J213="Applied",J213="Visit booked",J213="Withdrawn"),"OK",IF(G213="","Date assessed needed",IF(C213="","Date of birth needed",IF(COUNTA(L213,M213,P213,U213,V213,X213,AB213)&lt;7,"Band missing",IF(AND(OR(J213="Decision confirmed",J213="Family told",J213="Enrolled"),AG213=""),"Recommendation needed",IF(AND(OR(J213="Family told",J213="Enrolled"),AJ213=""),"Date family told needed","OK"))))))))</f>
        <v/>
      </c>
    </row>
    <row r="214" customFormat="false" ht="15" hidden="false" customHeight="false" outlineLevel="0" collapsed="false">
      <c r="A214" s="7"/>
      <c r="B214" s="7"/>
      <c r="C214" s="46"/>
      <c r="D214" s="7"/>
      <c r="E214" s="47"/>
      <c r="F214" s="46"/>
      <c r="G214" s="46"/>
      <c r="H214" s="7"/>
      <c r="I214" s="7"/>
      <c r="J214" s="47"/>
      <c r="K214" s="47"/>
      <c r="L214" s="47"/>
      <c r="M214" s="47"/>
      <c r="N214" s="10"/>
      <c r="O214" s="47"/>
      <c r="P214" s="47"/>
      <c r="Q214" s="47"/>
      <c r="R214" s="48" t="str">
        <f aca="false">IF(Q214="","",IF(Q214=0,"below 5:00",IF(Q214&gt;=66,"16:00 or above",INT((60+2*Q214)/12)&amp;":"&amp;TEXT(MOD(60+2*Q214,12),"00"))))</f>
        <v/>
      </c>
      <c r="S214" s="47"/>
      <c r="T214" s="47"/>
      <c r="U214" s="47"/>
      <c r="V214" s="47"/>
      <c r="W214" s="47"/>
      <c r="X214" s="47"/>
      <c r="Y214" s="47"/>
      <c r="Z214" s="47"/>
      <c r="AA214" s="47"/>
      <c r="AB214" s="47"/>
      <c r="AC214" s="47"/>
      <c r="AD214" s="47"/>
      <c r="AE214" s="47"/>
      <c r="AF214" s="47"/>
      <c r="AG214" s="47"/>
      <c r="AH214" s="47"/>
      <c r="AI214" s="46"/>
      <c r="AJ214" s="46"/>
      <c r="AK214" s="46"/>
      <c r="AL214" s="7"/>
      <c r="AM214" s="49" t="str">
        <f aca="false">IF(OR(C214="",G214=""),"",IFERROR(DATEDIF(C214,G214,"m"),""))</f>
        <v/>
      </c>
      <c r="AN214" s="49" t="str">
        <f aca="false">IF(OR(Q214="",AM214=""),"",60+2*Q214-AM214)</f>
        <v/>
      </c>
      <c r="AO214" s="49" t="str">
        <f aca="false">IF(OR(G214="",AJ214=""),"",AJ214-G214)</f>
        <v/>
      </c>
      <c r="AP214" s="50" t="str">
        <f aca="false">IF(AND(A214="",B214=""),"",IF(J214="","Status needed",IF(OR(J214="Applied",J214="Visit booked",J214="Withdrawn"),"OK",IF(G214="","Date assessed needed",IF(C214="","Date of birth needed",IF(COUNTA(L214,M214,P214,U214,V214,X214,AB214)&lt;7,"Band missing",IF(AND(OR(J214="Decision confirmed",J214="Family told",J214="Enrolled"),AG214=""),"Recommendation needed",IF(AND(OR(J214="Family told",J214="Enrolled"),AJ214=""),"Date family told needed","OK"))))))))</f>
        <v/>
      </c>
    </row>
    <row r="215" customFormat="false" ht="15" hidden="false" customHeight="false" outlineLevel="0" collapsed="false">
      <c r="A215" s="7"/>
      <c r="B215" s="7"/>
      <c r="C215" s="46"/>
      <c r="D215" s="7"/>
      <c r="E215" s="47"/>
      <c r="F215" s="46"/>
      <c r="G215" s="46"/>
      <c r="H215" s="7"/>
      <c r="I215" s="7"/>
      <c r="J215" s="47"/>
      <c r="K215" s="47"/>
      <c r="L215" s="47"/>
      <c r="M215" s="47"/>
      <c r="N215" s="10"/>
      <c r="O215" s="47"/>
      <c r="P215" s="47"/>
      <c r="Q215" s="47"/>
      <c r="R215" s="48" t="str">
        <f aca="false">IF(Q215="","",IF(Q215=0,"below 5:00",IF(Q215&gt;=66,"16:00 or above",INT((60+2*Q215)/12)&amp;":"&amp;TEXT(MOD(60+2*Q215,12),"00"))))</f>
        <v/>
      </c>
      <c r="S215" s="47"/>
      <c r="T215" s="47"/>
      <c r="U215" s="47"/>
      <c r="V215" s="47"/>
      <c r="W215" s="47"/>
      <c r="X215" s="47"/>
      <c r="Y215" s="47"/>
      <c r="Z215" s="47"/>
      <c r="AA215" s="47"/>
      <c r="AB215" s="47"/>
      <c r="AC215" s="47"/>
      <c r="AD215" s="47"/>
      <c r="AE215" s="47"/>
      <c r="AF215" s="47"/>
      <c r="AG215" s="47"/>
      <c r="AH215" s="47"/>
      <c r="AI215" s="46"/>
      <c r="AJ215" s="46"/>
      <c r="AK215" s="46"/>
      <c r="AL215" s="7"/>
      <c r="AM215" s="49" t="str">
        <f aca="false">IF(OR(C215="",G215=""),"",IFERROR(DATEDIF(C215,G215,"m"),""))</f>
        <v/>
      </c>
      <c r="AN215" s="49" t="str">
        <f aca="false">IF(OR(Q215="",AM215=""),"",60+2*Q215-AM215)</f>
        <v/>
      </c>
      <c r="AO215" s="49" t="str">
        <f aca="false">IF(OR(G215="",AJ215=""),"",AJ215-G215)</f>
        <v/>
      </c>
      <c r="AP215" s="50" t="str">
        <f aca="false">IF(AND(A215="",B215=""),"",IF(J215="","Status needed",IF(OR(J215="Applied",J215="Visit booked",J215="Withdrawn"),"OK",IF(G215="","Date assessed needed",IF(C215="","Date of birth needed",IF(COUNTA(L215,M215,P215,U215,V215,X215,AB215)&lt;7,"Band missing",IF(AND(OR(J215="Decision confirmed",J215="Family told",J215="Enrolled"),AG215=""),"Recommendation needed",IF(AND(OR(J215="Family told",J215="Enrolled"),AJ215=""),"Date family told needed","OK"))))))))</f>
        <v/>
      </c>
    </row>
    <row r="216" customFormat="false" ht="15" hidden="false" customHeight="false" outlineLevel="0" collapsed="false">
      <c r="A216" s="7"/>
      <c r="B216" s="7"/>
      <c r="C216" s="46"/>
      <c r="D216" s="7"/>
      <c r="E216" s="47"/>
      <c r="F216" s="46"/>
      <c r="G216" s="46"/>
      <c r="H216" s="7"/>
      <c r="I216" s="7"/>
      <c r="J216" s="47"/>
      <c r="K216" s="47"/>
      <c r="L216" s="47"/>
      <c r="M216" s="47"/>
      <c r="N216" s="10"/>
      <c r="O216" s="47"/>
      <c r="P216" s="47"/>
      <c r="Q216" s="47"/>
      <c r="R216" s="48" t="str">
        <f aca="false">IF(Q216="","",IF(Q216=0,"below 5:00",IF(Q216&gt;=66,"16:00 or above",INT((60+2*Q216)/12)&amp;":"&amp;TEXT(MOD(60+2*Q216,12),"00"))))</f>
        <v/>
      </c>
      <c r="S216" s="47"/>
      <c r="T216" s="47"/>
      <c r="U216" s="47"/>
      <c r="V216" s="47"/>
      <c r="W216" s="47"/>
      <c r="X216" s="47"/>
      <c r="Y216" s="47"/>
      <c r="Z216" s="47"/>
      <c r="AA216" s="47"/>
      <c r="AB216" s="47"/>
      <c r="AC216" s="47"/>
      <c r="AD216" s="47"/>
      <c r="AE216" s="47"/>
      <c r="AF216" s="47"/>
      <c r="AG216" s="47"/>
      <c r="AH216" s="47"/>
      <c r="AI216" s="46"/>
      <c r="AJ216" s="46"/>
      <c r="AK216" s="46"/>
      <c r="AL216" s="7"/>
      <c r="AM216" s="49" t="str">
        <f aca="false">IF(OR(C216="",G216=""),"",IFERROR(DATEDIF(C216,G216,"m"),""))</f>
        <v/>
      </c>
      <c r="AN216" s="49" t="str">
        <f aca="false">IF(OR(Q216="",AM216=""),"",60+2*Q216-AM216)</f>
        <v/>
      </c>
      <c r="AO216" s="49" t="str">
        <f aca="false">IF(OR(G216="",AJ216=""),"",AJ216-G216)</f>
        <v/>
      </c>
      <c r="AP216" s="50" t="str">
        <f aca="false">IF(AND(A216="",B216=""),"",IF(J216="","Status needed",IF(OR(J216="Applied",J216="Visit booked",J216="Withdrawn"),"OK",IF(G216="","Date assessed needed",IF(C216="","Date of birth needed",IF(COUNTA(L216,M216,P216,U216,V216,X216,AB216)&lt;7,"Band missing",IF(AND(OR(J216="Decision confirmed",J216="Family told",J216="Enrolled"),AG216=""),"Recommendation needed",IF(AND(OR(J216="Family told",J216="Enrolled"),AJ216=""),"Date family told needed","OK"))))))))</f>
        <v/>
      </c>
    </row>
    <row r="217" customFormat="false" ht="15" hidden="false" customHeight="false" outlineLevel="0" collapsed="false">
      <c r="A217" s="7"/>
      <c r="B217" s="7"/>
      <c r="C217" s="46"/>
      <c r="D217" s="7"/>
      <c r="E217" s="47"/>
      <c r="F217" s="46"/>
      <c r="G217" s="46"/>
      <c r="H217" s="7"/>
      <c r="I217" s="7"/>
      <c r="J217" s="47"/>
      <c r="K217" s="47"/>
      <c r="L217" s="47"/>
      <c r="M217" s="47"/>
      <c r="N217" s="10"/>
      <c r="O217" s="47"/>
      <c r="P217" s="47"/>
      <c r="Q217" s="47"/>
      <c r="R217" s="48" t="str">
        <f aca="false">IF(Q217="","",IF(Q217=0,"below 5:00",IF(Q217&gt;=66,"16:00 or above",INT((60+2*Q217)/12)&amp;":"&amp;TEXT(MOD(60+2*Q217,12),"00"))))</f>
        <v/>
      </c>
      <c r="S217" s="47"/>
      <c r="T217" s="47"/>
      <c r="U217" s="47"/>
      <c r="V217" s="47"/>
      <c r="W217" s="47"/>
      <c r="X217" s="47"/>
      <c r="Y217" s="47"/>
      <c r="Z217" s="47"/>
      <c r="AA217" s="47"/>
      <c r="AB217" s="47"/>
      <c r="AC217" s="47"/>
      <c r="AD217" s="47"/>
      <c r="AE217" s="47"/>
      <c r="AF217" s="47"/>
      <c r="AG217" s="47"/>
      <c r="AH217" s="47"/>
      <c r="AI217" s="46"/>
      <c r="AJ217" s="46"/>
      <c r="AK217" s="46"/>
      <c r="AL217" s="7"/>
      <c r="AM217" s="49" t="str">
        <f aca="false">IF(OR(C217="",G217=""),"",IFERROR(DATEDIF(C217,G217,"m"),""))</f>
        <v/>
      </c>
      <c r="AN217" s="49" t="str">
        <f aca="false">IF(OR(Q217="",AM217=""),"",60+2*Q217-AM217)</f>
        <v/>
      </c>
      <c r="AO217" s="49" t="str">
        <f aca="false">IF(OR(G217="",AJ217=""),"",AJ217-G217)</f>
        <v/>
      </c>
      <c r="AP217" s="50" t="str">
        <f aca="false">IF(AND(A217="",B217=""),"",IF(J217="","Status needed",IF(OR(J217="Applied",J217="Visit booked",J217="Withdrawn"),"OK",IF(G217="","Date assessed needed",IF(C217="","Date of birth needed",IF(COUNTA(L217,M217,P217,U217,V217,X217,AB217)&lt;7,"Band missing",IF(AND(OR(J217="Decision confirmed",J217="Family told",J217="Enrolled"),AG217=""),"Recommendation needed",IF(AND(OR(J217="Family told",J217="Enrolled"),AJ217=""),"Date family told needed","OK"))))))))</f>
        <v/>
      </c>
    </row>
    <row r="218" customFormat="false" ht="15" hidden="false" customHeight="false" outlineLevel="0" collapsed="false">
      <c r="A218" s="7"/>
      <c r="B218" s="7"/>
      <c r="C218" s="46"/>
      <c r="D218" s="7"/>
      <c r="E218" s="47"/>
      <c r="F218" s="46"/>
      <c r="G218" s="46"/>
      <c r="H218" s="7"/>
      <c r="I218" s="7"/>
      <c r="J218" s="47"/>
      <c r="K218" s="47"/>
      <c r="L218" s="47"/>
      <c r="M218" s="47"/>
      <c r="N218" s="10"/>
      <c r="O218" s="47"/>
      <c r="P218" s="47"/>
      <c r="Q218" s="47"/>
      <c r="R218" s="48" t="str">
        <f aca="false">IF(Q218="","",IF(Q218=0,"below 5:00",IF(Q218&gt;=66,"16:00 or above",INT((60+2*Q218)/12)&amp;":"&amp;TEXT(MOD(60+2*Q218,12),"00"))))</f>
        <v/>
      </c>
      <c r="S218" s="47"/>
      <c r="T218" s="47"/>
      <c r="U218" s="47"/>
      <c r="V218" s="47"/>
      <c r="W218" s="47"/>
      <c r="X218" s="47"/>
      <c r="Y218" s="47"/>
      <c r="Z218" s="47"/>
      <c r="AA218" s="47"/>
      <c r="AB218" s="47"/>
      <c r="AC218" s="47"/>
      <c r="AD218" s="47"/>
      <c r="AE218" s="47"/>
      <c r="AF218" s="47"/>
      <c r="AG218" s="47"/>
      <c r="AH218" s="47"/>
      <c r="AI218" s="46"/>
      <c r="AJ218" s="46"/>
      <c r="AK218" s="46"/>
      <c r="AL218" s="7"/>
      <c r="AM218" s="49" t="str">
        <f aca="false">IF(OR(C218="",G218=""),"",IFERROR(DATEDIF(C218,G218,"m"),""))</f>
        <v/>
      </c>
      <c r="AN218" s="49" t="str">
        <f aca="false">IF(OR(Q218="",AM218=""),"",60+2*Q218-AM218)</f>
        <v/>
      </c>
      <c r="AO218" s="49" t="str">
        <f aca="false">IF(OR(G218="",AJ218=""),"",AJ218-G218)</f>
        <v/>
      </c>
      <c r="AP218" s="50" t="str">
        <f aca="false">IF(AND(A218="",B218=""),"",IF(J218="","Status needed",IF(OR(J218="Applied",J218="Visit booked",J218="Withdrawn"),"OK",IF(G218="","Date assessed needed",IF(C218="","Date of birth needed",IF(COUNTA(L218,M218,P218,U218,V218,X218,AB218)&lt;7,"Band missing",IF(AND(OR(J218="Decision confirmed",J218="Family told",J218="Enrolled"),AG218=""),"Recommendation needed",IF(AND(OR(J218="Family told",J218="Enrolled"),AJ218=""),"Date family told needed","OK"))))))))</f>
        <v/>
      </c>
    </row>
    <row r="219" customFormat="false" ht="15" hidden="false" customHeight="false" outlineLevel="0" collapsed="false">
      <c r="A219" s="7"/>
      <c r="B219" s="7"/>
      <c r="C219" s="46"/>
      <c r="D219" s="7"/>
      <c r="E219" s="47"/>
      <c r="F219" s="46"/>
      <c r="G219" s="46"/>
      <c r="H219" s="7"/>
      <c r="I219" s="7"/>
      <c r="J219" s="47"/>
      <c r="K219" s="47"/>
      <c r="L219" s="47"/>
      <c r="M219" s="47"/>
      <c r="N219" s="10"/>
      <c r="O219" s="47"/>
      <c r="P219" s="47"/>
      <c r="Q219" s="47"/>
      <c r="R219" s="48" t="str">
        <f aca="false">IF(Q219="","",IF(Q219=0,"below 5:00",IF(Q219&gt;=66,"16:00 or above",INT((60+2*Q219)/12)&amp;":"&amp;TEXT(MOD(60+2*Q219,12),"00"))))</f>
        <v/>
      </c>
      <c r="S219" s="47"/>
      <c r="T219" s="47"/>
      <c r="U219" s="47"/>
      <c r="V219" s="47"/>
      <c r="W219" s="47"/>
      <c r="X219" s="47"/>
      <c r="Y219" s="47"/>
      <c r="Z219" s="47"/>
      <c r="AA219" s="47"/>
      <c r="AB219" s="47"/>
      <c r="AC219" s="47"/>
      <c r="AD219" s="47"/>
      <c r="AE219" s="47"/>
      <c r="AF219" s="47"/>
      <c r="AG219" s="47"/>
      <c r="AH219" s="47"/>
      <c r="AI219" s="46"/>
      <c r="AJ219" s="46"/>
      <c r="AK219" s="46"/>
      <c r="AL219" s="7"/>
      <c r="AM219" s="49" t="str">
        <f aca="false">IF(OR(C219="",G219=""),"",IFERROR(DATEDIF(C219,G219,"m"),""))</f>
        <v/>
      </c>
      <c r="AN219" s="49" t="str">
        <f aca="false">IF(OR(Q219="",AM219=""),"",60+2*Q219-AM219)</f>
        <v/>
      </c>
      <c r="AO219" s="49" t="str">
        <f aca="false">IF(OR(G219="",AJ219=""),"",AJ219-G219)</f>
        <v/>
      </c>
      <c r="AP219" s="50" t="str">
        <f aca="false">IF(AND(A219="",B219=""),"",IF(J219="","Status needed",IF(OR(J219="Applied",J219="Visit booked",J219="Withdrawn"),"OK",IF(G219="","Date assessed needed",IF(C219="","Date of birth needed",IF(COUNTA(L219,M219,P219,U219,V219,X219,AB219)&lt;7,"Band missing",IF(AND(OR(J219="Decision confirmed",J219="Family told",J219="Enrolled"),AG219=""),"Recommendation needed",IF(AND(OR(J219="Family told",J219="Enrolled"),AJ219=""),"Date family told needed","OK"))))))))</f>
        <v/>
      </c>
    </row>
    <row r="220" customFormat="false" ht="15" hidden="false" customHeight="false" outlineLevel="0" collapsed="false">
      <c r="A220" s="7"/>
      <c r="B220" s="7"/>
      <c r="C220" s="46"/>
      <c r="D220" s="7"/>
      <c r="E220" s="47"/>
      <c r="F220" s="46"/>
      <c r="G220" s="46"/>
      <c r="H220" s="7"/>
      <c r="I220" s="7"/>
      <c r="J220" s="47"/>
      <c r="K220" s="47"/>
      <c r="L220" s="47"/>
      <c r="M220" s="47"/>
      <c r="N220" s="10"/>
      <c r="O220" s="47"/>
      <c r="P220" s="47"/>
      <c r="Q220" s="47"/>
      <c r="R220" s="48" t="str">
        <f aca="false">IF(Q220="","",IF(Q220=0,"below 5:00",IF(Q220&gt;=66,"16:00 or above",INT((60+2*Q220)/12)&amp;":"&amp;TEXT(MOD(60+2*Q220,12),"00"))))</f>
        <v/>
      </c>
      <c r="S220" s="47"/>
      <c r="T220" s="47"/>
      <c r="U220" s="47"/>
      <c r="V220" s="47"/>
      <c r="W220" s="47"/>
      <c r="X220" s="47"/>
      <c r="Y220" s="47"/>
      <c r="Z220" s="47"/>
      <c r="AA220" s="47"/>
      <c r="AB220" s="47"/>
      <c r="AC220" s="47"/>
      <c r="AD220" s="47"/>
      <c r="AE220" s="47"/>
      <c r="AF220" s="47"/>
      <c r="AG220" s="47"/>
      <c r="AH220" s="47"/>
      <c r="AI220" s="46"/>
      <c r="AJ220" s="46"/>
      <c r="AK220" s="46"/>
      <c r="AL220" s="7"/>
      <c r="AM220" s="49" t="str">
        <f aca="false">IF(OR(C220="",G220=""),"",IFERROR(DATEDIF(C220,G220,"m"),""))</f>
        <v/>
      </c>
      <c r="AN220" s="49" t="str">
        <f aca="false">IF(OR(Q220="",AM220=""),"",60+2*Q220-AM220)</f>
        <v/>
      </c>
      <c r="AO220" s="49" t="str">
        <f aca="false">IF(OR(G220="",AJ220=""),"",AJ220-G220)</f>
        <v/>
      </c>
      <c r="AP220" s="50" t="str">
        <f aca="false">IF(AND(A220="",B220=""),"",IF(J220="","Status needed",IF(OR(J220="Applied",J220="Visit booked",J220="Withdrawn"),"OK",IF(G220="","Date assessed needed",IF(C220="","Date of birth needed",IF(COUNTA(L220,M220,P220,U220,V220,X220,AB220)&lt;7,"Band missing",IF(AND(OR(J220="Decision confirmed",J220="Family told",J220="Enrolled"),AG220=""),"Recommendation needed",IF(AND(OR(J220="Family told",J220="Enrolled"),AJ220=""),"Date family told needed","OK"))))))))</f>
        <v/>
      </c>
    </row>
    <row r="221" customFormat="false" ht="15" hidden="false" customHeight="false" outlineLevel="0" collapsed="false">
      <c r="A221" s="7"/>
      <c r="B221" s="7"/>
      <c r="C221" s="46"/>
      <c r="D221" s="7"/>
      <c r="E221" s="47"/>
      <c r="F221" s="46"/>
      <c r="G221" s="46"/>
      <c r="H221" s="7"/>
      <c r="I221" s="7"/>
      <c r="J221" s="47"/>
      <c r="K221" s="47"/>
      <c r="L221" s="47"/>
      <c r="M221" s="47"/>
      <c r="N221" s="10"/>
      <c r="O221" s="47"/>
      <c r="P221" s="47"/>
      <c r="Q221" s="47"/>
      <c r="R221" s="48" t="str">
        <f aca="false">IF(Q221="","",IF(Q221=0,"below 5:00",IF(Q221&gt;=66,"16:00 or above",INT((60+2*Q221)/12)&amp;":"&amp;TEXT(MOD(60+2*Q221,12),"00"))))</f>
        <v/>
      </c>
      <c r="S221" s="47"/>
      <c r="T221" s="47"/>
      <c r="U221" s="47"/>
      <c r="V221" s="47"/>
      <c r="W221" s="47"/>
      <c r="X221" s="47"/>
      <c r="Y221" s="47"/>
      <c r="Z221" s="47"/>
      <c r="AA221" s="47"/>
      <c r="AB221" s="47"/>
      <c r="AC221" s="47"/>
      <c r="AD221" s="47"/>
      <c r="AE221" s="47"/>
      <c r="AF221" s="47"/>
      <c r="AG221" s="47"/>
      <c r="AH221" s="47"/>
      <c r="AI221" s="46"/>
      <c r="AJ221" s="46"/>
      <c r="AK221" s="46"/>
      <c r="AL221" s="7"/>
      <c r="AM221" s="49" t="str">
        <f aca="false">IF(OR(C221="",G221=""),"",IFERROR(DATEDIF(C221,G221,"m"),""))</f>
        <v/>
      </c>
      <c r="AN221" s="49" t="str">
        <f aca="false">IF(OR(Q221="",AM221=""),"",60+2*Q221-AM221)</f>
        <v/>
      </c>
      <c r="AO221" s="49" t="str">
        <f aca="false">IF(OR(G221="",AJ221=""),"",AJ221-G221)</f>
        <v/>
      </c>
      <c r="AP221" s="50" t="str">
        <f aca="false">IF(AND(A221="",B221=""),"",IF(J221="","Status needed",IF(OR(J221="Applied",J221="Visit booked",J221="Withdrawn"),"OK",IF(G221="","Date assessed needed",IF(C221="","Date of birth needed",IF(COUNTA(L221,M221,P221,U221,V221,X221,AB221)&lt;7,"Band missing",IF(AND(OR(J221="Decision confirmed",J221="Family told",J221="Enrolled"),AG221=""),"Recommendation needed",IF(AND(OR(J221="Family told",J221="Enrolled"),AJ221=""),"Date family told needed","OK"))))))))</f>
        <v/>
      </c>
    </row>
    <row r="222" customFormat="false" ht="15" hidden="false" customHeight="false" outlineLevel="0" collapsed="false">
      <c r="A222" s="7"/>
      <c r="B222" s="7"/>
      <c r="C222" s="46"/>
      <c r="D222" s="7"/>
      <c r="E222" s="47"/>
      <c r="F222" s="46"/>
      <c r="G222" s="46"/>
      <c r="H222" s="7"/>
      <c r="I222" s="7"/>
      <c r="J222" s="47"/>
      <c r="K222" s="47"/>
      <c r="L222" s="47"/>
      <c r="M222" s="47"/>
      <c r="N222" s="10"/>
      <c r="O222" s="47"/>
      <c r="P222" s="47"/>
      <c r="Q222" s="47"/>
      <c r="R222" s="48" t="str">
        <f aca="false">IF(Q222="","",IF(Q222=0,"below 5:00",IF(Q222&gt;=66,"16:00 or above",INT((60+2*Q222)/12)&amp;":"&amp;TEXT(MOD(60+2*Q222,12),"00"))))</f>
        <v/>
      </c>
      <c r="S222" s="47"/>
      <c r="T222" s="47"/>
      <c r="U222" s="47"/>
      <c r="V222" s="47"/>
      <c r="W222" s="47"/>
      <c r="X222" s="47"/>
      <c r="Y222" s="47"/>
      <c r="Z222" s="47"/>
      <c r="AA222" s="47"/>
      <c r="AB222" s="47"/>
      <c r="AC222" s="47"/>
      <c r="AD222" s="47"/>
      <c r="AE222" s="47"/>
      <c r="AF222" s="47"/>
      <c r="AG222" s="47"/>
      <c r="AH222" s="47"/>
      <c r="AI222" s="46"/>
      <c r="AJ222" s="46"/>
      <c r="AK222" s="46"/>
      <c r="AL222" s="7"/>
      <c r="AM222" s="49" t="str">
        <f aca="false">IF(OR(C222="",G222=""),"",IFERROR(DATEDIF(C222,G222,"m"),""))</f>
        <v/>
      </c>
      <c r="AN222" s="49" t="str">
        <f aca="false">IF(OR(Q222="",AM222=""),"",60+2*Q222-AM222)</f>
        <v/>
      </c>
      <c r="AO222" s="49" t="str">
        <f aca="false">IF(OR(G222="",AJ222=""),"",AJ222-G222)</f>
        <v/>
      </c>
      <c r="AP222" s="50" t="str">
        <f aca="false">IF(AND(A222="",B222=""),"",IF(J222="","Status needed",IF(OR(J222="Applied",J222="Visit booked",J222="Withdrawn"),"OK",IF(G222="","Date assessed needed",IF(C222="","Date of birth needed",IF(COUNTA(L222,M222,P222,U222,V222,X222,AB222)&lt;7,"Band missing",IF(AND(OR(J222="Decision confirmed",J222="Family told",J222="Enrolled"),AG222=""),"Recommendation needed",IF(AND(OR(J222="Family told",J222="Enrolled"),AJ222=""),"Date family told needed","OK"))))))))</f>
        <v/>
      </c>
    </row>
    <row r="223" customFormat="false" ht="15" hidden="false" customHeight="false" outlineLevel="0" collapsed="false">
      <c r="A223" s="7"/>
      <c r="B223" s="7"/>
      <c r="C223" s="46"/>
      <c r="D223" s="7"/>
      <c r="E223" s="47"/>
      <c r="F223" s="46"/>
      <c r="G223" s="46"/>
      <c r="H223" s="7"/>
      <c r="I223" s="7"/>
      <c r="J223" s="47"/>
      <c r="K223" s="47"/>
      <c r="L223" s="47"/>
      <c r="M223" s="47"/>
      <c r="N223" s="10"/>
      <c r="O223" s="47"/>
      <c r="P223" s="47"/>
      <c r="Q223" s="47"/>
      <c r="R223" s="48" t="str">
        <f aca="false">IF(Q223="","",IF(Q223=0,"below 5:00",IF(Q223&gt;=66,"16:00 or above",INT((60+2*Q223)/12)&amp;":"&amp;TEXT(MOD(60+2*Q223,12),"00"))))</f>
        <v/>
      </c>
      <c r="S223" s="47"/>
      <c r="T223" s="47"/>
      <c r="U223" s="47"/>
      <c r="V223" s="47"/>
      <c r="W223" s="47"/>
      <c r="X223" s="47"/>
      <c r="Y223" s="47"/>
      <c r="Z223" s="47"/>
      <c r="AA223" s="47"/>
      <c r="AB223" s="47"/>
      <c r="AC223" s="47"/>
      <c r="AD223" s="47"/>
      <c r="AE223" s="47"/>
      <c r="AF223" s="47"/>
      <c r="AG223" s="47"/>
      <c r="AH223" s="47"/>
      <c r="AI223" s="46"/>
      <c r="AJ223" s="46"/>
      <c r="AK223" s="46"/>
      <c r="AL223" s="7"/>
      <c r="AM223" s="49" t="str">
        <f aca="false">IF(OR(C223="",G223=""),"",IFERROR(DATEDIF(C223,G223,"m"),""))</f>
        <v/>
      </c>
      <c r="AN223" s="49" t="str">
        <f aca="false">IF(OR(Q223="",AM223=""),"",60+2*Q223-AM223)</f>
        <v/>
      </c>
      <c r="AO223" s="49" t="str">
        <f aca="false">IF(OR(G223="",AJ223=""),"",AJ223-G223)</f>
        <v/>
      </c>
      <c r="AP223" s="50" t="str">
        <f aca="false">IF(AND(A223="",B223=""),"",IF(J223="","Status needed",IF(OR(J223="Applied",J223="Visit booked",J223="Withdrawn"),"OK",IF(G223="","Date assessed needed",IF(C223="","Date of birth needed",IF(COUNTA(L223,M223,P223,U223,V223,X223,AB223)&lt;7,"Band missing",IF(AND(OR(J223="Decision confirmed",J223="Family told",J223="Enrolled"),AG223=""),"Recommendation needed",IF(AND(OR(J223="Family told",J223="Enrolled"),AJ223=""),"Date family told needed","OK"))))))))</f>
        <v/>
      </c>
    </row>
    <row r="224" customFormat="false" ht="15" hidden="false" customHeight="false" outlineLevel="0" collapsed="false">
      <c r="A224" s="7"/>
      <c r="B224" s="7"/>
      <c r="C224" s="46"/>
      <c r="D224" s="7"/>
      <c r="E224" s="47"/>
      <c r="F224" s="46"/>
      <c r="G224" s="46"/>
      <c r="H224" s="7"/>
      <c r="I224" s="7"/>
      <c r="J224" s="47"/>
      <c r="K224" s="47"/>
      <c r="L224" s="47"/>
      <c r="M224" s="47"/>
      <c r="N224" s="10"/>
      <c r="O224" s="47"/>
      <c r="P224" s="47"/>
      <c r="Q224" s="47"/>
      <c r="R224" s="48" t="str">
        <f aca="false">IF(Q224="","",IF(Q224=0,"below 5:00",IF(Q224&gt;=66,"16:00 or above",INT((60+2*Q224)/12)&amp;":"&amp;TEXT(MOD(60+2*Q224,12),"00"))))</f>
        <v/>
      </c>
      <c r="S224" s="47"/>
      <c r="T224" s="47"/>
      <c r="U224" s="47"/>
      <c r="V224" s="47"/>
      <c r="W224" s="47"/>
      <c r="X224" s="47"/>
      <c r="Y224" s="47"/>
      <c r="Z224" s="47"/>
      <c r="AA224" s="47"/>
      <c r="AB224" s="47"/>
      <c r="AC224" s="47"/>
      <c r="AD224" s="47"/>
      <c r="AE224" s="47"/>
      <c r="AF224" s="47"/>
      <c r="AG224" s="47"/>
      <c r="AH224" s="47"/>
      <c r="AI224" s="46"/>
      <c r="AJ224" s="46"/>
      <c r="AK224" s="46"/>
      <c r="AL224" s="7"/>
      <c r="AM224" s="49" t="str">
        <f aca="false">IF(OR(C224="",G224=""),"",IFERROR(DATEDIF(C224,G224,"m"),""))</f>
        <v/>
      </c>
      <c r="AN224" s="49" t="str">
        <f aca="false">IF(OR(Q224="",AM224=""),"",60+2*Q224-AM224)</f>
        <v/>
      </c>
      <c r="AO224" s="49" t="str">
        <f aca="false">IF(OR(G224="",AJ224=""),"",AJ224-G224)</f>
        <v/>
      </c>
      <c r="AP224" s="50" t="str">
        <f aca="false">IF(AND(A224="",B224=""),"",IF(J224="","Status needed",IF(OR(J224="Applied",J224="Visit booked",J224="Withdrawn"),"OK",IF(G224="","Date assessed needed",IF(C224="","Date of birth needed",IF(COUNTA(L224,M224,P224,U224,V224,X224,AB224)&lt;7,"Band missing",IF(AND(OR(J224="Decision confirmed",J224="Family told",J224="Enrolled"),AG224=""),"Recommendation needed",IF(AND(OR(J224="Family told",J224="Enrolled"),AJ224=""),"Date family told needed","OK"))))))))</f>
        <v/>
      </c>
    </row>
    <row r="225" customFormat="false" ht="15" hidden="false" customHeight="false" outlineLevel="0" collapsed="false">
      <c r="A225" s="7"/>
      <c r="B225" s="7"/>
      <c r="C225" s="46"/>
      <c r="D225" s="7"/>
      <c r="E225" s="47"/>
      <c r="F225" s="46"/>
      <c r="G225" s="46"/>
      <c r="H225" s="7"/>
      <c r="I225" s="7"/>
      <c r="J225" s="47"/>
      <c r="K225" s="47"/>
      <c r="L225" s="47"/>
      <c r="M225" s="47"/>
      <c r="N225" s="10"/>
      <c r="O225" s="47"/>
      <c r="P225" s="47"/>
      <c r="Q225" s="47"/>
      <c r="R225" s="48" t="str">
        <f aca="false">IF(Q225="","",IF(Q225=0,"below 5:00",IF(Q225&gt;=66,"16:00 or above",INT((60+2*Q225)/12)&amp;":"&amp;TEXT(MOD(60+2*Q225,12),"00"))))</f>
        <v/>
      </c>
      <c r="S225" s="47"/>
      <c r="T225" s="47"/>
      <c r="U225" s="47"/>
      <c r="V225" s="47"/>
      <c r="W225" s="47"/>
      <c r="X225" s="47"/>
      <c r="Y225" s="47"/>
      <c r="Z225" s="47"/>
      <c r="AA225" s="47"/>
      <c r="AB225" s="47"/>
      <c r="AC225" s="47"/>
      <c r="AD225" s="47"/>
      <c r="AE225" s="47"/>
      <c r="AF225" s="47"/>
      <c r="AG225" s="47"/>
      <c r="AH225" s="47"/>
      <c r="AI225" s="46"/>
      <c r="AJ225" s="46"/>
      <c r="AK225" s="46"/>
      <c r="AL225" s="7"/>
      <c r="AM225" s="49" t="str">
        <f aca="false">IF(OR(C225="",G225=""),"",IFERROR(DATEDIF(C225,G225,"m"),""))</f>
        <v/>
      </c>
      <c r="AN225" s="49" t="str">
        <f aca="false">IF(OR(Q225="",AM225=""),"",60+2*Q225-AM225)</f>
        <v/>
      </c>
      <c r="AO225" s="49" t="str">
        <f aca="false">IF(OR(G225="",AJ225=""),"",AJ225-G225)</f>
        <v/>
      </c>
      <c r="AP225" s="50" t="str">
        <f aca="false">IF(AND(A225="",B225=""),"",IF(J225="","Status needed",IF(OR(J225="Applied",J225="Visit booked",J225="Withdrawn"),"OK",IF(G225="","Date assessed needed",IF(C225="","Date of birth needed",IF(COUNTA(L225,M225,P225,U225,V225,X225,AB225)&lt;7,"Band missing",IF(AND(OR(J225="Decision confirmed",J225="Family told",J225="Enrolled"),AG225=""),"Recommendation needed",IF(AND(OR(J225="Family told",J225="Enrolled"),AJ225=""),"Date family told needed","OK"))))))))</f>
        <v/>
      </c>
    </row>
    <row r="226" customFormat="false" ht="15" hidden="false" customHeight="false" outlineLevel="0" collapsed="false">
      <c r="A226" s="7"/>
      <c r="B226" s="7"/>
      <c r="C226" s="46"/>
      <c r="D226" s="7"/>
      <c r="E226" s="47"/>
      <c r="F226" s="46"/>
      <c r="G226" s="46"/>
      <c r="H226" s="7"/>
      <c r="I226" s="7"/>
      <c r="J226" s="47"/>
      <c r="K226" s="47"/>
      <c r="L226" s="47"/>
      <c r="M226" s="47"/>
      <c r="N226" s="10"/>
      <c r="O226" s="47"/>
      <c r="P226" s="47"/>
      <c r="Q226" s="47"/>
      <c r="R226" s="48" t="str">
        <f aca="false">IF(Q226="","",IF(Q226=0,"below 5:00",IF(Q226&gt;=66,"16:00 or above",INT((60+2*Q226)/12)&amp;":"&amp;TEXT(MOD(60+2*Q226,12),"00"))))</f>
        <v/>
      </c>
      <c r="S226" s="47"/>
      <c r="T226" s="47"/>
      <c r="U226" s="47"/>
      <c r="V226" s="47"/>
      <c r="W226" s="47"/>
      <c r="X226" s="47"/>
      <c r="Y226" s="47"/>
      <c r="Z226" s="47"/>
      <c r="AA226" s="47"/>
      <c r="AB226" s="47"/>
      <c r="AC226" s="47"/>
      <c r="AD226" s="47"/>
      <c r="AE226" s="47"/>
      <c r="AF226" s="47"/>
      <c r="AG226" s="47"/>
      <c r="AH226" s="47"/>
      <c r="AI226" s="46"/>
      <c r="AJ226" s="46"/>
      <c r="AK226" s="46"/>
      <c r="AL226" s="7"/>
      <c r="AM226" s="49" t="str">
        <f aca="false">IF(OR(C226="",G226=""),"",IFERROR(DATEDIF(C226,G226,"m"),""))</f>
        <v/>
      </c>
      <c r="AN226" s="49" t="str">
        <f aca="false">IF(OR(Q226="",AM226=""),"",60+2*Q226-AM226)</f>
        <v/>
      </c>
      <c r="AO226" s="49" t="str">
        <f aca="false">IF(OR(G226="",AJ226=""),"",AJ226-G226)</f>
        <v/>
      </c>
      <c r="AP226" s="50" t="str">
        <f aca="false">IF(AND(A226="",B226=""),"",IF(J226="","Status needed",IF(OR(J226="Applied",J226="Visit booked",J226="Withdrawn"),"OK",IF(G226="","Date assessed needed",IF(C226="","Date of birth needed",IF(COUNTA(L226,M226,P226,U226,V226,X226,AB226)&lt;7,"Band missing",IF(AND(OR(J226="Decision confirmed",J226="Family told",J226="Enrolled"),AG226=""),"Recommendation needed",IF(AND(OR(J226="Family told",J226="Enrolled"),AJ226=""),"Date family told needed","OK"))))))))</f>
        <v/>
      </c>
    </row>
    <row r="227" customFormat="false" ht="15" hidden="false" customHeight="false" outlineLevel="0" collapsed="false">
      <c r="A227" s="7"/>
      <c r="B227" s="7"/>
      <c r="C227" s="46"/>
      <c r="D227" s="7"/>
      <c r="E227" s="47"/>
      <c r="F227" s="46"/>
      <c r="G227" s="46"/>
      <c r="H227" s="7"/>
      <c r="I227" s="7"/>
      <c r="J227" s="47"/>
      <c r="K227" s="47"/>
      <c r="L227" s="47"/>
      <c r="M227" s="47"/>
      <c r="N227" s="10"/>
      <c r="O227" s="47"/>
      <c r="P227" s="47"/>
      <c r="Q227" s="47"/>
      <c r="R227" s="48" t="str">
        <f aca="false">IF(Q227="","",IF(Q227=0,"below 5:00",IF(Q227&gt;=66,"16:00 or above",INT((60+2*Q227)/12)&amp;":"&amp;TEXT(MOD(60+2*Q227,12),"00"))))</f>
        <v/>
      </c>
      <c r="S227" s="47"/>
      <c r="T227" s="47"/>
      <c r="U227" s="47"/>
      <c r="V227" s="47"/>
      <c r="W227" s="47"/>
      <c r="X227" s="47"/>
      <c r="Y227" s="47"/>
      <c r="Z227" s="47"/>
      <c r="AA227" s="47"/>
      <c r="AB227" s="47"/>
      <c r="AC227" s="47"/>
      <c r="AD227" s="47"/>
      <c r="AE227" s="47"/>
      <c r="AF227" s="47"/>
      <c r="AG227" s="47"/>
      <c r="AH227" s="47"/>
      <c r="AI227" s="46"/>
      <c r="AJ227" s="46"/>
      <c r="AK227" s="46"/>
      <c r="AL227" s="7"/>
      <c r="AM227" s="49" t="str">
        <f aca="false">IF(OR(C227="",G227=""),"",IFERROR(DATEDIF(C227,G227,"m"),""))</f>
        <v/>
      </c>
      <c r="AN227" s="49" t="str">
        <f aca="false">IF(OR(Q227="",AM227=""),"",60+2*Q227-AM227)</f>
        <v/>
      </c>
      <c r="AO227" s="49" t="str">
        <f aca="false">IF(OR(G227="",AJ227=""),"",AJ227-G227)</f>
        <v/>
      </c>
      <c r="AP227" s="50" t="str">
        <f aca="false">IF(AND(A227="",B227=""),"",IF(J227="","Status needed",IF(OR(J227="Applied",J227="Visit booked",J227="Withdrawn"),"OK",IF(G227="","Date assessed needed",IF(C227="","Date of birth needed",IF(COUNTA(L227,M227,P227,U227,V227,X227,AB227)&lt;7,"Band missing",IF(AND(OR(J227="Decision confirmed",J227="Family told",J227="Enrolled"),AG227=""),"Recommendation needed",IF(AND(OR(J227="Family told",J227="Enrolled"),AJ227=""),"Date family told needed","OK"))))))))</f>
        <v/>
      </c>
    </row>
    <row r="228" customFormat="false" ht="15" hidden="false" customHeight="false" outlineLevel="0" collapsed="false">
      <c r="A228" s="7"/>
      <c r="B228" s="7"/>
      <c r="C228" s="46"/>
      <c r="D228" s="7"/>
      <c r="E228" s="47"/>
      <c r="F228" s="46"/>
      <c r="G228" s="46"/>
      <c r="H228" s="7"/>
      <c r="I228" s="7"/>
      <c r="J228" s="47"/>
      <c r="K228" s="47"/>
      <c r="L228" s="47"/>
      <c r="M228" s="47"/>
      <c r="N228" s="10"/>
      <c r="O228" s="47"/>
      <c r="P228" s="47"/>
      <c r="Q228" s="47"/>
      <c r="R228" s="48" t="str">
        <f aca="false">IF(Q228="","",IF(Q228=0,"below 5:00",IF(Q228&gt;=66,"16:00 or above",INT((60+2*Q228)/12)&amp;":"&amp;TEXT(MOD(60+2*Q228,12),"00"))))</f>
        <v/>
      </c>
      <c r="S228" s="47"/>
      <c r="T228" s="47"/>
      <c r="U228" s="47"/>
      <c r="V228" s="47"/>
      <c r="W228" s="47"/>
      <c r="X228" s="47"/>
      <c r="Y228" s="47"/>
      <c r="Z228" s="47"/>
      <c r="AA228" s="47"/>
      <c r="AB228" s="47"/>
      <c r="AC228" s="47"/>
      <c r="AD228" s="47"/>
      <c r="AE228" s="47"/>
      <c r="AF228" s="47"/>
      <c r="AG228" s="47"/>
      <c r="AH228" s="47"/>
      <c r="AI228" s="46"/>
      <c r="AJ228" s="46"/>
      <c r="AK228" s="46"/>
      <c r="AL228" s="7"/>
      <c r="AM228" s="49" t="str">
        <f aca="false">IF(OR(C228="",G228=""),"",IFERROR(DATEDIF(C228,G228,"m"),""))</f>
        <v/>
      </c>
      <c r="AN228" s="49" t="str">
        <f aca="false">IF(OR(Q228="",AM228=""),"",60+2*Q228-AM228)</f>
        <v/>
      </c>
      <c r="AO228" s="49" t="str">
        <f aca="false">IF(OR(G228="",AJ228=""),"",AJ228-G228)</f>
        <v/>
      </c>
      <c r="AP228" s="50" t="str">
        <f aca="false">IF(AND(A228="",B228=""),"",IF(J228="","Status needed",IF(OR(J228="Applied",J228="Visit booked",J228="Withdrawn"),"OK",IF(G228="","Date assessed needed",IF(C228="","Date of birth needed",IF(COUNTA(L228,M228,P228,U228,V228,X228,AB228)&lt;7,"Band missing",IF(AND(OR(J228="Decision confirmed",J228="Family told",J228="Enrolled"),AG228=""),"Recommendation needed",IF(AND(OR(J228="Family told",J228="Enrolled"),AJ228=""),"Date family told needed","OK"))))))))</f>
        <v/>
      </c>
    </row>
    <row r="229" customFormat="false" ht="15" hidden="false" customHeight="false" outlineLevel="0" collapsed="false">
      <c r="A229" s="7"/>
      <c r="B229" s="7"/>
      <c r="C229" s="46"/>
      <c r="D229" s="7"/>
      <c r="E229" s="47"/>
      <c r="F229" s="46"/>
      <c r="G229" s="46"/>
      <c r="H229" s="7"/>
      <c r="I229" s="7"/>
      <c r="J229" s="47"/>
      <c r="K229" s="47"/>
      <c r="L229" s="47"/>
      <c r="M229" s="47"/>
      <c r="N229" s="10"/>
      <c r="O229" s="47"/>
      <c r="P229" s="47"/>
      <c r="Q229" s="47"/>
      <c r="R229" s="48" t="str">
        <f aca="false">IF(Q229="","",IF(Q229=0,"below 5:00",IF(Q229&gt;=66,"16:00 or above",INT((60+2*Q229)/12)&amp;":"&amp;TEXT(MOD(60+2*Q229,12),"00"))))</f>
        <v/>
      </c>
      <c r="S229" s="47"/>
      <c r="T229" s="47"/>
      <c r="U229" s="47"/>
      <c r="V229" s="47"/>
      <c r="W229" s="47"/>
      <c r="X229" s="47"/>
      <c r="Y229" s="47"/>
      <c r="Z229" s="47"/>
      <c r="AA229" s="47"/>
      <c r="AB229" s="47"/>
      <c r="AC229" s="47"/>
      <c r="AD229" s="47"/>
      <c r="AE229" s="47"/>
      <c r="AF229" s="47"/>
      <c r="AG229" s="47"/>
      <c r="AH229" s="47"/>
      <c r="AI229" s="46"/>
      <c r="AJ229" s="46"/>
      <c r="AK229" s="46"/>
      <c r="AL229" s="7"/>
      <c r="AM229" s="49" t="str">
        <f aca="false">IF(OR(C229="",G229=""),"",IFERROR(DATEDIF(C229,G229,"m"),""))</f>
        <v/>
      </c>
      <c r="AN229" s="49" t="str">
        <f aca="false">IF(OR(Q229="",AM229=""),"",60+2*Q229-AM229)</f>
        <v/>
      </c>
      <c r="AO229" s="49" t="str">
        <f aca="false">IF(OR(G229="",AJ229=""),"",AJ229-G229)</f>
        <v/>
      </c>
      <c r="AP229" s="50" t="str">
        <f aca="false">IF(AND(A229="",B229=""),"",IF(J229="","Status needed",IF(OR(J229="Applied",J229="Visit booked",J229="Withdrawn"),"OK",IF(G229="","Date assessed needed",IF(C229="","Date of birth needed",IF(COUNTA(L229,M229,P229,U229,V229,X229,AB229)&lt;7,"Band missing",IF(AND(OR(J229="Decision confirmed",J229="Family told",J229="Enrolled"),AG229=""),"Recommendation needed",IF(AND(OR(J229="Family told",J229="Enrolled"),AJ229=""),"Date family told needed","OK"))))))))</f>
        <v/>
      </c>
    </row>
    <row r="230" customFormat="false" ht="15" hidden="false" customHeight="false" outlineLevel="0" collapsed="false">
      <c r="A230" s="7"/>
      <c r="B230" s="7"/>
      <c r="C230" s="46"/>
      <c r="D230" s="7"/>
      <c r="E230" s="47"/>
      <c r="F230" s="46"/>
      <c r="G230" s="46"/>
      <c r="H230" s="7"/>
      <c r="I230" s="7"/>
      <c r="J230" s="47"/>
      <c r="K230" s="47"/>
      <c r="L230" s="47"/>
      <c r="M230" s="47"/>
      <c r="N230" s="10"/>
      <c r="O230" s="47"/>
      <c r="P230" s="47"/>
      <c r="Q230" s="47"/>
      <c r="R230" s="48" t="str">
        <f aca="false">IF(Q230="","",IF(Q230=0,"below 5:00",IF(Q230&gt;=66,"16:00 or above",INT((60+2*Q230)/12)&amp;":"&amp;TEXT(MOD(60+2*Q230,12),"00"))))</f>
        <v/>
      </c>
      <c r="S230" s="47"/>
      <c r="T230" s="47"/>
      <c r="U230" s="47"/>
      <c r="V230" s="47"/>
      <c r="W230" s="47"/>
      <c r="X230" s="47"/>
      <c r="Y230" s="47"/>
      <c r="Z230" s="47"/>
      <c r="AA230" s="47"/>
      <c r="AB230" s="47"/>
      <c r="AC230" s="47"/>
      <c r="AD230" s="47"/>
      <c r="AE230" s="47"/>
      <c r="AF230" s="47"/>
      <c r="AG230" s="47"/>
      <c r="AH230" s="47"/>
      <c r="AI230" s="46"/>
      <c r="AJ230" s="46"/>
      <c r="AK230" s="46"/>
      <c r="AL230" s="7"/>
      <c r="AM230" s="49" t="str">
        <f aca="false">IF(OR(C230="",G230=""),"",IFERROR(DATEDIF(C230,G230,"m"),""))</f>
        <v/>
      </c>
      <c r="AN230" s="49" t="str">
        <f aca="false">IF(OR(Q230="",AM230=""),"",60+2*Q230-AM230)</f>
        <v/>
      </c>
      <c r="AO230" s="49" t="str">
        <f aca="false">IF(OR(G230="",AJ230=""),"",AJ230-G230)</f>
        <v/>
      </c>
      <c r="AP230" s="50" t="str">
        <f aca="false">IF(AND(A230="",B230=""),"",IF(J230="","Status needed",IF(OR(J230="Applied",J230="Visit booked",J230="Withdrawn"),"OK",IF(G230="","Date assessed needed",IF(C230="","Date of birth needed",IF(COUNTA(L230,M230,P230,U230,V230,X230,AB230)&lt;7,"Band missing",IF(AND(OR(J230="Decision confirmed",J230="Family told",J230="Enrolled"),AG230=""),"Recommendation needed",IF(AND(OR(J230="Family told",J230="Enrolled"),AJ230=""),"Date family told needed","OK"))))))))</f>
        <v/>
      </c>
    </row>
    <row r="231" customFormat="false" ht="15" hidden="false" customHeight="false" outlineLevel="0" collapsed="false">
      <c r="A231" s="7"/>
      <c r="B231" s="7"/>
      <c r="C231" s="46"/>
      <c r="D231" s="7"/>
      <c r="E231" s="47"/>
      <c r="F231" s="46"/>
      <c r="G231" s="46"/>
      <c r="H231" s="7"/>
      <c r="I231" s="7"/>
      <c r="J231" s="47"/>
      <c r="K231" s="47"/>
      <c r="L231" s="47"/>
      <c r="M231" s="47"/>
      <c r="N231" s="10"/>
      <c r="O231" s="47"/>
      <c r="P231" s="47"/>
      <c r="Q231" s="47"/>
      <c r="R231" s="48" t="str">
        <f aca="false">IF(Q231="","",IF(Q231=0,"below 5:00",IF(Q231&gt;=66,"16:00 or above",INT((60+2*Q231)/12)&amp;":"&amp;TEXT(MOD(60+2*Q231,12),"00"))))</f>
        <v/>
      </c>
      <c r="S231" s="47"/>
      <c r="T231" s="47"/>
      <c r="U231" s="47"/>
      <c r="V231" s="47"/>
      <c r="W231" s="47"/>
      <c r="X231" s="47"/>
      <c r="Y231" s="47"/>
      <c r="Z231" s="47"/>
      <c r="AA231" s="47"/>
      <c r="AB231" s="47"/>
      <c r="AC231" s="47"/>
      <c r="AD231" s="47"/>
      <c r="AE231" s="47"/>
      <c r="AF231" s="47"/>
      <c r="AG231" s="47"/>
      <c r="AH231" s="47"/>
      <c r="AI231" s="46"/>
      <c r="AJ231" s="46"/>
      <c r="AK231" s="46"/>
      <c r="AL231" s="7"/>
      <c r="AM231" s="49" t="str">
        <f aca="false">IF(OR(C231="",G231=""),"",IFERROR(DATEDIF(C231,G231,"m"),""))</f>
        <v/>
      </c>
      <c r="AN231" s="49" t="str">
        <f aca="false">IF(OR(Q231="",AM231=""),"",60+2*Q231-AM231)</f>
        <v/>
      </c>
      <c r="AO231" s="49" t="str">
        <f aca="false">IF(OR(G231="",AJ231=""),"",AJ231-G231)</f>
        <v/>
      </c>
      <c r="AP231" s="50" t="str">
        <f aca="false">IF(AND(A231="",B231=""),"",IF(J231="","Status needed",IF(OR(J231="Applied",J231="Visit booked",J231="Withdrawn"),"OK",IF(G231="","Date assessed needed",IF(C231="","Date of birth needed",IF(COUNTA(L231,M231,P231,U231,V231,X231,AB231)&lt;7,"Band missing",IF(AND(OR(J231="Decision confirmed",J231="Family told",J231="Enrolled"),AG231=""),"Recommendation needed",IF(AND(OR(J231="Family told",J231="Enrolled"),AJ231=""),"Date family told needed","OK"))))))))</f>
        <v/>
      </c>
    </row>
    <row r="232" customFormat="false" ht="15" hidden="false" customHeight="false" outlineLevel="0" collapsed="false">
      <c r="A232" s="7"/>
      <c r="B232" s="7"/>
      <c r="C232" s="46"/>
      <c r="D232" s="7"/>
      <c r="E232" s="47"/>
      <c r="F232" s="46"/>
      <c r="G232" s="46"/>
      <c r="H232" s="7"/>
      <c r="I232" s="7"/>
      <c r="J232" s="47"/>
      <c r="K232" s="47"/>
      <c r="L232" s="47"/>
      <c r="M232" s="47"/>
      <c r="N232" s="10"/>
      <c r="O232" s="47"/>
      <c r="P232" s="47"/>
      <c r="Q232" s="47"/>
      <c r="R232" s="48" t="str">
        <f aca="false">IF(Q232="","",IF(Q232=0,"below 5:00",IF(Q232&gt;=66,"16:00 or above",INT((60+2*Q232)/12)&amp;":"&amp;TEXT(MOD(60+2*Q232,12),"00"))))</f>
        <v/>
      </c>
      <c r="S232" s="47"/>
      <c r="T232" s="47"/>
      <c r="U232" s="47"/>
      <c r="V232" s="47"/>
      <c r="W232" s="47"/>
      <c r="X232" s="47"/>
      <c r="Y232" s="47"/>
      <c r="Z232" s="47"/>
      <c r="AA232" s="47"/>
      <c r="AB232" s="47"/>
      <c r="AC232" s="47"/>
      <c r="AD232" s="47"/>
      <c r="AE232" s="47"/>
      <c r="AF232" s="47"/>
      <c r="AG232" s="47"/>
      <c r="AH232" s="47"/>
      <c r="AI232" s="46"/>
      <c r="AJ232" s="46"/>
      <c r="AK232" s="46"/>
      <c r="AL232" s="7"/>
      <c r="AM232" s="49" t="str">
        <f aca="false">IF(OR(C232="",G232=""),"",IFERROR(DATEDIF(C232,G232,"m"),""))</f>
        <v/>
      </c>
      <c r="AN232" s="49" t="str">
        <f aca="false">IF(OR(Q232="",AM232=""),"",60+2*Q232-AM232)</f>
        <v/>
      </c>
      <c r="AO232" s="49" t="str">
        <f aca="false">IF(OR(G232="",AJ232=""),"",AJ232-G232)</f>
        <v/>
      </c>
      <c r="AP232" s="50" t="str">
        <f aca="false">IF(AND(A232="",B232=""),"",IF(J232="","Status needed",IF(OR(J232="Applied",J232="Visit booked",J232="Withdrawn"),"OK",IF(G232="","Date assessed needed",IF(C232="","Date of birth needed",IF(COUNTA(L232,M232,P232,U232,V232,X232,AB232)&lt;7,"Band missing",IF(AND(OR(J232="Decision confirmed",J232="Family told",J232="Enrolled"),AG232=""),"Recommendation needed",IF(AND(OR(J232="Family told",J232="Enrolled"),AJ232=""),"Date family told needed","OK"))))))))</f>
        <v/>
      </c>
    </row>
    <row r="233" customFormat="false" ht="15" hidden="false" customHeight="false" outlineLevel="0" collapsed="false">
      <c r="A233" s="7"/>
      <c r="B233" s="7"/>
      <c r="C233" s="46"/>
      <c r="D233" s="7"/>
      <c r="E233" s="47"/>
      <c r="F233" s="46"/>
      <c r="G233" s="46"/>
      <c r="H233" s="7"/>
      <c r="I233" s="7"/>
      <c r="J233" s="47"/>
      <c r="K233" s="47"/>
      <c r="L233" s="47"/>
      <c r="M233" s="47"/>
      <c r="N233" s="10"/>
      <c r="O233" s="47"/>
      <c r="P233" s="47"/>
      <c r="Q233" s="47"/>
      <c r="R233" s="48" t="str">
        <f aca="false">IF(Q233="","",IF(Q233=0,"below 5:00",IF(Q233&gt;=66,"16:00 or above",INT((60+2*Q233)/12)&amp;":"&amp;TEXT(MOD(60+2*Q233,12),"00"))))</f>
        <v/>
      </c>
      <c r="S233" s="47"/>
      <c r="T233" s="47"/>
      <c r="U233" s="47"/>
      <c r="V233" s="47"/>
      <c r="W233" s="47"/>
      <c r="X233" s="47"/>
      <c r="Y233" s="47"/>
      <c r="Z233" s="47"/>
      <c r="AA233" s="47"/>
      <c r="AB233" s="47"/>
      <c r="AC233" s="47"/>
      <c r="AD233" s="47"/>
      <c r="AE233" s="47"/>
      <c r="AF233" s="47"/>
      <c r="AG233" s="47"/>
      <c r="AH233" s="47"/>
      <c r="AI233" s="46"/>
      <c r="AJ233" s="46"/>
      <c r="AK233" s="46"/>
      <c r="AL233" s="7"/>
      <c r="AM233" s="49" t="str">
        <f aca="false">IF(OR(C233="",G233=""),"",IFERROR(DATEDIF(C233,G233,"m"),""))</f>
        <v/>
      </c>
      <c r="AN233" s="49" t="str">
        <f aca="false">IF(OR(Q233="",AM233=""),"",60+2*Q233-AM233)</f>
        <v/>
      </c>
      <c r="AO233" s="49" t="str">
        <f aca="false">IF(OR(G233="",AJ233=""),"",AJ233-G233)</f>
        <v/>
      </c>
      <c r="AP233" s="50" t="str">
        <f aca="false">IF(AND(A233="",B233=""),"",IF(J233="","Status needed",IF(OR(J233="Applied",J233="Visit booked",J233="Withdrawn"),"OK",IF(G233="","Date assessed needed",IF(C233="","Date of birth needed",IF(COUNTA(L233,M233,P233,U233,V233,X233,AB233)&lt;7,"Band missing",IF(AND(OR(J233="Decision confirmed",J233="Family told",J233="Enrolled"),AG233=""),"Recommendation needed",IF(AND(OR(J233="Family told",J233="Enrolled"),AJ233=""),"Date family told needed","OK"))))))))</f>
        <v/>
      </c>
    </row>
    <row r="234" customFormat="false" ht="15" hidden="false" customHeight="false" outlineLevel="0" collapsed="false">
      <c r="A234" s="7"/>
      <c r="B234" s="7"/>
      <c r="C234" s="46"/>
      <c r="D234" s="7"/>
      <c r="E234" s="47"/>
      <c r="F234" s="46"/>
      <c r="G234" s="46"/>
      <c r="H234" s="7"/>
      <c r="I234" s="7"/>
      <c r="J234" s="47"/>
      <c r="K234" s="47"/>
      <c r="L234" s="47"/>
      <c r="M234" s="47"/>
      <c r="N234" s="10"/>
      <c r="O234" s="47"/>
      <c r="P234" s="47"/>
      <c r="Q234" s="47"/>
      <c r="R234" s="48" t="str">
        <f aca="false">IF(Q234="","",IF(Q234=0,"below 5:00",IF(Q234&gt;=66,"16:00 or above",INT((60+2*Q234)/12)&amp;":"&amp;TEXT(MOD(60+2*Q234,12),"00"))))</f>
        <v/>
      </c>
      <c r="S234" s="47"/>
      <c r="T234" s="47"/>
      <c r="U234" s="47"/>
      <c r="V234" s="47"/>
      <c r="W234" s="47"/>
      <c r="X234" s="47"/>
      <c r="Y234" s="47"/>
      <c r="Z234" s="47"/>
      <c r="AA234" s="47"/>
      <c r="AB234" s="47"/>
      <c r="AC234" s="47"/>
      <c r="AD234" s="47"/>
      <c r="AE234" s="47"/>
      <c r="AF234" s="47"/>
      <c r="AG234" s="47"/>
      <c r="AH234" s="47"/>
      <c r="AI234" s="46"/>
      <c r="AJ234" s="46"/>
      <c r="AK234" s="46"/>
      <c r="AL234" s="7"/>
      <c r="AM234" s="49" t="str">
        <f aca="false">IF(OR(C234="",G234=""),"",IFERROR(DATEDIF(C234,G234,"m"),""))</f>
        <v/>
      </c>
      <c r="AN234" s="49" t="str">
        <f aca="false">IF(OR(Q234="",AM234=""),"",60+2*Q234-AM234)</f>
        <v/>
      </c>
      <c r="AO234" s="49" t="str">
        <f aca="false">IF(OR(G234="",AJ234=""),"",AJ234-G234)</f>
        <v/>
      </c>
      <c r="AP234" s="50" t="str">
        <f aca="false">IF(AND(A234="",B234=""),"",IF(J234="","Status needed",IF(OR(J234="Applied",J234="Visit booked",J234="Withdrawn"),"OK",IF(G234="","Date assessed needed",IF(C234="","Date of birth needed",IF(COUNTA(L234,M234,P234,U234,V234,X234,AB234)&lt;7,"Band missing",IF(AND(OR(J234="Decision confirmed",J234="Family told",J234="Enrolled"),AG234=""),"Recommendation needed",IF(AND(OR(J234="Family told",J234="Enrolled"),AJ234=""),"Date family told needed","OK"))))))))</f>
        <v/>
      </c>
    </row>
    <row r="235" customFormat="false" ht="15" hidden="false" customHeight="false" outlineLevel="0" collapsed="false">
      <c r="A235" s="7"/>
      <c r="B235" s="7"/>
      <c r="C235" s="46"/>
      <c r="D235" s="7"/>
      <c r="E235" s="47"/>
      <c r="F235" s="46"/>
      <c r="G235" s="46"/>
      <c r="H235" s="7"/>
      <c r="I235" s="7"/>
      <c r="J235" s="47"/>
      <c r="K235" s="47"/>
      <c r="L235" s="47"/>
      <c r="M235" s="47"/>
      <c r="N235" s="10"/>
      <c r="O235" s="47"/>
      <c r="P235" s="47"/>
      <c r="Q235" s="47"/>
      <c r="R235" s="48" t="str">
        <f aca="false">IF(Q235="","",IF(Q235=0,"below 5:00",IF(Q235&gt;=66,"16:00 or above",INT((60+2*Q235)/12)&amp;":"&amp;TEXT(MOD(60+2*Q235,12),"00"))))</f>
        <v/>
      </c>
      <c r="S235" s="47"/>
      <c r="T235" s="47"/>
      <c r="U235" s="47"/>
      <c r="V235" s="47"/>
      <c r="W235" s="47"/>
      <c r="X235" s="47"/>
      <c r="Y235" s="47"/>
      <c r="Z235" s="47"/>
      <c r="AA235" s="47"/>
      <c r="AB235" s="47"/>
      <c r="AC235" s="47"/>
      <c r="AD235" s="47"/>
      <c r="AE235" s="47"/>
      <c r="AF235" s="47"/>
      <c r="AG235" s="47"/>
      <c r="AH235" s="47"/>
      <c r="AI235" s="46"/>
      <c r="AJ235" s="46"/>
      <c r="AK235" s="46"/>
      <c r="AL235" s="7"/>
      <c r="AM235" s="49" t="str">
        <f aca="false">IF(OR(C235="",G235=""),"",IFERROR(DATEDIF(C235,G235,"m"),""))</f>
        <v/>
      </c>
      <c r="AN235" s="49" t="str">
        <f aca="false">IF(OR(Q235="",AM235=""),"",60+2*Q235-AM235)</f>
        <v/>
      </c>
      <c r="AO235" s="49" t="str">
        <f aca="false">IF(OR(G235="",AJ235=""),"",AJ235-G235)</f>
        <v/>
      </c>
      <c r="AP235" s="50" t="str">
        <f aca="false">IF(AND(A235="",B235=""),"",IF(J235="","Status needed",IF(OR(J235="Applied",J235="Visit booked",J235="Withdrawn"),"OK",IF(G235="","Date assessed needed",IF(C235="","Date of birth needed",IF(COUNTA(L235,M235,P235,U235,V235,X235,AB235)&lt;7,"Band missing",IF(AND(OR(J235="Decision confirmed",J235="Family told",J235="Enrolled"),AG235=""),"Recommendation needed",IF(AND(OR(J235="Family told",J235="Enrolled"),AJ235=""),"Date family told needed","OK"))))))))</f>
        <v/>
      </c>
    </row>
    <row r="236" customFormat="false" ht="15" hidden="false" customHeight="false" outlineLevel="0" collapsed="false">
      <c r="A236" s="7"/>
      <c r="B236" s="7"/>
      <c r="C236" s="46"/>
      <c r="D236" s="7"/>
      <c r="E236" s="47"/>
      <c r="F236" s="46"/>
      <c r="G236" s="46"/>
      <c r="H236" s="7"/>
      <c r="I236" s="7"/>
      <c r="J236" s="47"/>
      <c r="K236" s="47"/>
      <c r="L236" s="47"/>
      <c r="M236" s="47"/>
      <c r="N236" s="10"/>
      <c r="O236" s="47"/>
      <c r="P236" s="47"/>
      <c r="Q236" s="47"/>
      <c r="R236" s="48" t="str">
        <f aca="false">IF(Q236="","",IF(Q236=0,"below 5:00",IF(Q236&gt;=66,"16:00 or above",INT((60+2*Q236)/12)&amp;":"&amp;TEXT(MOD(60+2*Q236,12),"00"))))</f>
        <v/>
      </c>
      <c r="S236" s="47"/>
      <c r="T236" s="47"/>
      <c r="U236" s="47"/>
      <c r="V236" s="47"/>
      <c r="W236" s="47"/>
      <c r="X236" s="47"/>
      <c r="Y236" s="47"/>
      <c r="Z236" s="47"/>
      <c r="AA236" s="47"/>
      <c r="AB236" s="47"/>
      <c r="AC236" s="47"/>
      <c r="AD236" s="47"/>
      <c r="AE236" s="47"/>
      <c r="AF236" s="47"/>
      <c r="AG236" s="47"/>
      <c r="AH236" s="47"/>
      <c r="AI236" s="46"/>
      <c r="AJ236" s="46"/>
      <c r="AK236" s="46"/>
      <c r="AL236" s="7"/>
      <c r="AM236" s="49" t="str">
        <f aca="false">IF(OR(C236="",G236=""),"",IFERROR(DATEDIF(C236,G236,"m"),""))</f>
        <v/>
      </c>
      <c r="AN236" s="49" t="str">
        <f aca="false">IF(OR(Q236="",AM236=""),"",60+2*Q236-AM236)</f>
        <v/>
      </c>
      <c r="AO236" s="49" t="str">
        <f aca="false">IF(OR(G236="",AJ236=""),"",AJ236-G236)</f>
        <v/>
      </c>
      <c r="AP236" s="50" t="str">
        <f aca="false">IF(AND(A236="",B236=""),"",IF(J236="","Status needed",IF(OR(J236="Applied",J236="Visit booked",J236="Withdrawn"),"OK",IF(G236="","Date assessed needed",IF(C236="","Date of birth needed",IF(COUNTA(L236,M236,P236,U236,V236,X236,AB236)&lt;7,"Band missing",IF(AND(OR(J236="Decision confirmed",J236="Family told",J236="Enrolled"),AG236=""),"Recommendation needed",IF(AND(OR(J236="Family told",J236="Enrolled"),AJ236=""),"Date family told needed","OK"))))))))</f>
        <v/>
      </c>
    </row>
    <row r="237" customFormat="false" ht="15" hidden="false" customHeight="false" outlineLevel="0" collapsed="false">
      <c r="A237" s="7"/>
      <c r="B237" s="7"/>
      <c r="C237" s="46"/>
      <c r="D237" s="7"/>
      <c r="E237" s="47"/>
      <c r="F237" s="46"/>
      <c r="G237" s="46"/>
      <c r="H237" s="7"/>
      <c r="I237" s="7"/>
      <c r="J237" s="47"/>
      <c r="K237" s="47"/>
      <c r="L237" s="47"/>
      <c r="M237" s="47"/>
      <c r="N237" s="10"/>
      <c r="O237" s="47"/>
      <c r="P237" s="47"/>
      <c r="Q237" s="47"/>
      <c r="R237" s="48" t="str">
        <f aca="false">IF(Q237="","",IF(Q237=0,"below 5:00",IF(Q237&gt;=66,"16:00 or above",INT((60+2*Q237)/12)&amp;":"&amp;TEXT(MOD(60+2*Q237,12),"00"))))</f>
        <v/>
      </c>
      <c r="S237" s="47"/>
      <c r="T237" s="47"/>
      <c r="U237" s="47"/>
      <c r="V237" s="47"/>
      <c r="W237" s="47"/>
      <c r="X237" s="47"/>
      <c r="Y237" s="47"/>
      <c r="Z237" s="47"/>
      <c r="AA237" s="47"/>
      <c r="AB237" s="47"/>
      <c r="AC237" s="47"/>
      <c r="AD237" s="47"/>
      <c r="AE237" s="47"/>
      <c r="AF237" s="47"/>
      <c r="AG237" s="47"/>
      <c r="AH237" s="47"/>
      <c r="AI237" s="46"/>
      <c r="AJ237" s="46"/>
      <c r="AK237" s="46"/>
      <c r="AL237" s="7"/>
      <c r="AM237" s="49" t="str">
        <f aca="false">IF(OR(C237="",G237=""),"",IFERROR(DATEDIF(C237,G237,"m"),""))</f>
        <v/>
      </c>
      <c r="AN237" s="49" t="str">
        <f aca="false">IF(OR(Q237="",AM237=""),"",60+2*Q237-AM237)</f>
        <v/>
      </c>
      <c r="AO237" s="49" t="str">
        <f aca="false">IF(OR(G237="",AJ237=""),"",AJ237-G237)</f>
        <v/>
      </c>
      <c r="AP237" s="50" t="str">
        <f aca="false">IF(AND(A237="",B237=""),"",IF(J237="","Status needed",IF(OR(J237="Applied",J237="Visit booked",J237="Withdrawn"),"OK",IF(G237="","Date assessed needed",IF(C237="","Date of birth needed",IF(COUNTA(L237,M237,P237,U237,V237,X237,AB237)&lt;7,"Band missing",IF(AND(OR(J237="Decision confirmed",J237="Family told",J237="Enrolled"),AG237=""),"Recommendation needed",IF(AND(OR(J237="Family told",J237="Enrolled"),AJ237=""),"Date family told needed","OK"))))))))</f>
        <v/>
      </c>
    </row>
    <row r="238" customFormat="false" ht="15" hidden="false" customHeight="false" outlineLevel="0" collapsed="false">
      <c r="A238" s="7"/>
      <c r="B238" s="7"/>
      <c r="C238" s="46"/>
      <c r="D238" s="7"/>
      <c r="E238" s="47"/>
      <c r="F238" s="46"/>
      <c r="G238" s="46"/>
      <c r="H238" s="7"/>
      <c r="I238" s="7"/>
      <c r="J238" s="47"/>
      <c r="K238" s="47"/>
      <c r="L238" s="47"/>
      <c r="M238" s="47"/>
      <c r="N238" s="10"/>
      <c r="O238" s="47"/>
      <c r="P238" s="47"/>
      <c r="Q238" s="47"/>
      <c r="R238" s="48" t="str">
        <f aca="false">IF(Q238="","",IF(Q238=0,"below 5:00",IF(Q238&gt;=66,"16:00 or above",INT((60+2*Q238)/12)&amp;":"&amp;TEXT(MOD(60+2*Q238,12),"00"))))</f>
        <v/>
      </c>
      <c r="S238" s="47"/>
      <c r="T238" s="47"/>
      <c r="U238" s="47"/>
      <c r="V238" s="47"/>
      <c r="W238" s="47"/>
      <c r="X238" s="47"/>
      <c r="Y238" s="47"/>
      <c r="Z238" s="47"/>
      <c r="AA238" s="47"/>
      <c r="AB238" s="47"/>
      <c r="AC238" s="47"/>
      <c r="AD238" s="47"/>
      <c r="AE238" s="47"/>
      <c r="AF238" s="47"/>
      <c r="AG238" s="47"/>
      <c r="AH238" s="47"/>
      <c r="AI238" s="46"/>
      <c r="AJ238" s="46"/>
      <c r="AK238" s="46"/>
      <c r="AL238" s="7"/>
      <c r="AM238" s="49" t="str">
        <f aca="false">IF(OR(C238="",G238=""),"",IFERROR(DATEDIF(C238,G238,"m"),""))</f>
        <v/>
      </c>
      <c r="AN238" s="49" t="str">
        <f aca="false">IF(OR(Q238="",AM238=""),"",60+2*Q238-AM238)</f>
        <v/>
      </c>
      <c r="AO238" s="49" t="str">
        <f aca="false">IF(OR(G238="",AJ238=""),"",AJ238-G238)</f>
        <v/>
      </c>
      <c r="AP238" s="50" t="str">
        <f aca="false">IF(AND(A238="",B238=""),"",IF(J238="","Status needed",IF(OR(J238="Applied",J238="Visit booked",J238="Withdrawn"),"OK",IF(G238="","Date assessed needed",IF(C238="","Date of birth needed",IF(COUNTA(L238,M238,P238,U238,V238,X238,AB238)&lt;7,"Band missing",IF(AND(OR(J238="Decision confirmed",J238="Family told",J238="Enrolled"),AG238=""),"Recommendation needed",IF(AND(OR(J238="Family told",J238="Enrolled"),AJ238=""),"Date family told needed","OK"))))))))</f>
        <v/>
      </c>
    </row>
    <row r="239" customFormat="false" ht="15" hidden="false" customHeight="false" outlineLevel="0" collapsed="false">
      <c r="A239" s="7"/>
      <c r="B239" s="7"/>
      <c r="C239" s="46"/>
      <c r="D239" s="7"/>
      <c r="E239" s="47"/>
      <c r="F239" s="46"/>
      <c r="G239" s="46"/>
      <c r="H239" s="7"/>
      <c r="I239" s="7"/>
      <c r="J239" s="47"/>
      <c r="K239" s="47"/>
      <c r="L239" s="47"/>
      <c r="M239" s="47"/>
      <c r="N239" s="10"/>
      <c r="O239" s="47"/>
      <c r="P239" s="47"/>
      <c r="Q239" s="47"/>
      <c r="R239" s="48" t="str">
        <f aca="false">IF(Q239="","",IF(Q239=0,"below 5:00",IF(Q239&gt;=66,"16:00 or above",INT((60+2*Q239)/12)&amp;":"&amp;TEXT(MOD(60+2*Q239,12),"00"))))</f>
        <v/>
      </c>
      <c r="S239" s="47"/>
      <c r="T239" s="47"/>
      <c r="U239" s="47"/>
      <c r="V239" s="47"/>
      <c r="W239" s="47"/>
      <c r="X239" s="47"/>
      <c r="Y239" s="47"/>
      <c r="Z239" s="47"/>
      <c r="AA239" s="47"/>
      <c r="AB239" s="47"/>
      <c r="AC239" s="47"/>
      <c r="AD239" s="47"/>
      <c r="AE239" s="47"/>
      <c r="AF239" s="47"/>
      <c r="AG239" s="47"/>
      <c r="AH239" s="47"/>
      <c r="AI239" s="46"/>
      <c r="AJ239" s="46"/>
      <c r="AK239" s="46"/>
      <c r="AL239" s="7"/>
      <c r="AM239" s="49" t="str">
        <f aca="false">IF(OR(C239="",G239=""),"",IFERROR(DATEDIF(C239,G239,"m"),""))</f>
        <v/>
      </c>
      <c r="AN239" s="49" t="str">
        <f aca="false">IF(OR(Q239="",AM239=""),"",60+2*Q239-AM239)</f>
        <v/>
      </c>
      <c r="AO239" s="49" t="str">
        <f aca="false">IF(OR(G239="",AJ239=""),"",AJ239-G239)</f>
        <v/>
      </c>
      <c r="AP239" s="50" t="str">
        <f aca="false">IF(AND(A239="",B239=""),"",IF(J239="","Status needed",IF(OR(J239="Applied",J239="Visit booked",J239="Withdrawn"),"OK",IF(G239="","Date assessed needed",IF(C239="","Date of birth needed",IF(COUNTA(L239,M239,P239,U239,V239,X239,AB239)&lt;7,"Band missing",IF(AND(OR(J239="Decision confirmed",J239="Family told",J239="Enrolled"),AG239=""),"Recommendation needed",IF(AND(OR(J239="Family told",J239="Enrolled"),AJ239=""),"Date family told needed","OK"))))))))</f>
        <v/>
      </c>
    </row>
    <row r="240" customFormat="false" ht="15" hidden="false" customHeight="false" outlineLevel="0" collapsed="false">
      <c r="A240" s="7"/>
      <c r="B240" s="7"/>
      <c r="C240" s="46"/>
      <c r="D240" s="7"/>
      <c r="E240" s="47"/>
      <c r="F240" s="46"/>
      <c r="G240" s="46"/>
      <c r="H240" s="7"/>
      <c r="I240" s="7"/>
      <c r="J240" s="47"/>
      <c r="K240" s="47"/>
      <c r="L240" s="47"/>
      <c r="M240" s="47"/>
      <c r="N240" s="10"/>
      <c r="O240" s="47"/>
      <c r="P240" s="47"/>
      <c r="Q240" s="47"/>
      <c r="R240" s="48" t="str">
        <f aca="false">IF(Q240="","",IF(Q240=0,"below 5:00",IF(Q240&gt;=66,"16:00 or above",INT((60+2*Q240)/12)&amp;":"&amp;TEXT(MOD(60+2*Q240,12),"00"))))</f>
        <v/>
      </c>
      <c r="S240" s="47"/>
      <c r="T240" s="47"/>
      <c r="U240" s="47"/>
      <c r="V240" s="47"/>
      <c r="W240" s="47"/>
      <c r="X240" s="47"/>
      <c r="Y240" s="47"/>
      <c r="Z240" s="47"/>
      <c r="AA240" s="47"/>
      <c r="AB240" s="47"/>
      <c r="AC240" s="47"/>
      <c r="AD240" s="47"/>
      <c r="AE240" s="47"/>
      <c r="AF240" s="47"/>
      <c r="AG240" s="47"/>
      <c r="AH240" s="47"/>
      <c r="AI240" s="46"/>
      <c r="AJ240" s="46"/>
      <c r="AK240" s="46"/>
      <c r="AL240" s="7"/>
      <c r="AM240" s="49" t="str">
        <f aca="false">IF(OR(C240="",G240=""),"",IFERROR(DATEDIF(C240,G240,"m"),""))</f>
        <v/>
      </c>
      <c r="AN240" s="49" t="str">
        <f aca="false">IF(OR(Q240="",AM240=""),"",60+2*Q240-AM240)</f>
        <v/>
      </c>
      <c r="AO240" s="49" t="str">
        <f aca="false">IF(OR(G240="",AJ240=""),"",AJ240-G240)</f>
        <v/>
      </c>
      <c r="AP240" s="50" t="str">
        <f aca="false">IF(AND(A240="",B240=""),"",IF(J240="","Status needed",IF(OR(J240="Applied",J240="Visit booked",J240="Withdrawn"),"OK",IF(G240="","Date assessed needed",IF(C240="","Date of birth needed",IF(COUNTA(L240,M240,P240,U240,V240,X240,AB240)&lt;7,"Band missing",IF(AND(OR(J240="Decision confirmed",J240="Family told",J240="Enrolled"),AG240=""),"Recommendation needed",IF(AND(OR(J240="Family told",J240="Enrolled"),AJ240=""),"Date family told needed","OK"))))))))</f>
        <v/>
      </c>
    </row>
    <row r="241" customFormat="false" ht="15" hidden="false" customHeight="false" outlineLevel="0" collapsed="false">
      <c r="A241" s="7"/>
      <c r="B241" s="7"/>
      <c r="C241" s="46"/>
      <c r="D241" s="7"/>
      <c r="E241" s="47"/>
      <c r="F241" s="46"/>
      <c r="G241" s="46"/>
      <c r="H241" s="7"/>
      <c r="I241" s="7"/>
      <c r="J241" s="47"/>
      <c r="K241" s="47"/>
      <c r="L241" s="47"/>
      <c r="M241" s="47"/>
      <c r="N241" s="10"/>
      <c r="O241" s="47"/>
      <c r="P241" s="47"/>
      <c r="Q241" s="47"/>
      <c r="R241" s="48" t="str">
        <f aca="false">IF(Q241="","",IF(Q241=0,"below 5:00",IF(Q241&gt;=66,"16:00 or above",INT((60+2*Q241)/12)&amp;":"&amp;TEXT(MOD(60+2*Q241,12),"00"))))</f>
        <v/>
      </c>
      <c r="S241" s="47"/>
      <c r="T241" s="47"/>
      <c r="U241" s="47"/>
      <c r="V241" s="47"/>
      <c r="W241" s="47"/>
      <c r="X241" s="47"/>
      <c r="Y241" s="47"/>
      <c r="Z241" s="47"/>
      <c r="AA241" s="47"/>
      <c r="AB241" s="47"/>
      <c r="AC241" s="47"/>
      <c r="AD241" s="47"/>
      <c r="AE241" s="47"/>
      <c r="AF241" s="47"/>
      <c r="AG241" s="47"/>
      <c r="AH241" s="47"/>
      <c r="AI241" s="46"/>
      <c r="AJ241" s="46"/>
      <c r="AK241" s="46"/>
      <c r="AL241" s="7"/>
      <c r="AM241" s="49" t="str">
        <f aca="false">IF(OR(C241="",G241=""),"",IFERROR(DATEDIF(C241,G241,"m"),""))</f>
        <v/>
      </c>
      <c r="AN241" s="49" t="str">
        <f aca="false">IF(OR(Q241="",AM241=""),"",60+2*Q241-AM241)</f>
        <v/>
      </c>
      <c r="AO241" s="49" t="str">
        <f aca="false">IF(OR(G241="",AJ241=""),"",AJ241-G241)</f>
        <v/>
      </c>
      <c r="AP241" s="50" t="str">
        <f aca="false">IF(AND(A241="",B241=""),"",IF(J241="","Status needed",IF(OR(J241="Applied",J241="Visit booked",J241="Withdrawn"),"OK",IF(G241="","Date assessed needed",IF(C241="","Date of birth needed",IF(COUNTA(L241,M241,P241,U241,V241,X241,AB241)&lt;7,"Band missing",IF(AND(OR(J241="Decision confirmed",J241="Family told",J241="Enrolled"),AG241=""),"Recommendation needed",IF(AND(OR(J241="Family told",J241="Enrolled"),AJ241=""),"Date family told needed","OK"))))))))</f>
        <v/>
      </c>
    </row>
    <row r="242" customFormat="false" ht="15" hidden="false" customHeight="false" outlineLevel="0" collapsed="false">
      <c r="A242" s="7"/>
      <c r="B242" s="7"/>
      <c r="C242" s="46"/>
      <c r="D242" s="7"/>
      <c r="E242" s="47"/>
      <c r="F242" s="46"/>
      <c r="G242" s="46"/>
      <c r="H242" s="7"/>
      <c r="I242" s="7"/>
      <c r="J242" s="47"/>
      <c r="K242" s="47"/>
      <c r="L242" s="47"/>
      <c r="M242" s="47"/>
      <c r="N242" s="10"/>
      <c r="O242" s="47"/>
      <c r="P242" s="47"/>
      <c r="Q242" s="47"/>
      <c r="R242" s="48" t="str">
        <f aca="false">IF(Q242="","",IF(Q242=0,"below 5:00",IF(Q242&gt;=66,"16:00 or above",INT((60+2*Q242)/12)&amp;":"&amp;TEXT(MOD(60+2*Q242,12),"00"))))</f>
        <v/>
      </c>
      <c r="S242" s="47"/>
      <c r="T242" s="47"/>
      <c r="U242" s="47"/>
      <c r="V242" s="47"/>
      <c r="W242" s="47"/>
      <c r="X242" s="47"/>
      <c r="Y242" s="47"/>
      <c r="Z242" s="47"/>
      <c r="AA242" s="47"/>
      <c r="AB242" s="47"/>
      <c r="AC242" s="47"/>
      <c r="AD242" s="47"/>
      <c r="AE242" s="47"/>
      <c r="AF242" s="47"/>
      <c r="AG242" s="47"/>
      <c r="AH242" s="47"/>
      <c r="AI242" s="46"/>
      <c r="AJ242" s="46"/>
      <c r="AK242" s="46"/>
      <c r="AL242" s="7"/>
      <c r="AM242" s="49" t="str">
        <f aca="false">IF(OR(C242="",G242=""),"",IFERROR(DATEDIF(C242,G242,"m"),""))</f>
        <v/>
      </c>
      <c r="AN242" s="49" t="str">
        <f aca="false">IF(OR(Q242="",AM242=""),"",60+2*Q242-AM242)</f>
        <v/>
      </c>
      <c r="AO242" s="49" t="str">
        <f aca="false">IF(OR(G242="",AJ242=""),"",AJ242-G242)</f>
        <v/>
      </c>
      <c r="AP242" s="50" t="str">
        <f aca="false">IF(AND(A242="",B242=""),"",IF(J242="","Status needed",IF(OR(J242="Applied",J242="Visit booked",J242="Withdrawn"),"OK",IF(G242="","Date assessed needed",IF(C242="","Date of birth needed",IF(COUNTA(L242,M242,P242,U242,V242,X242,AB242)&lt;7,"Band missing",IF(AND(OR(J242="Decision confirmed",J242="Family told",J242="Enrolled"),AG242=""),"Recommendation needed",IF(AND(OR(J242="Family told",J242="Enrolled"),AJ242=""),"Date family told needed","OK"))))))))</f>
        <v/>
      </c>
    </row>
    <row r="243" customFormat="false" ht="15" hidden="false" customHeight="false" outlineLevel="0" collapsed="false">
      <c r="A243" s="7"/>
      <c r="B243" s="7"/>
      <c r="C243" s="46"/>
      <c r="D243" s="7"/>
      <c r="E243" s="47"/>
      <c r="F243" s="46"/>
      <c r="G243" s="46"/>
      <c r="H243" s="7"/>
      <c r="I243" s="7"/>
      <c r="J243" s="47"/>
      <c r="K243" s="47"/>
      <c r="L243" s="47"/>
      <c r="M243" s="47"/>
      <c r="N243" s="10"/>
      <c r="O243" s="47"/>
      <c r="P243" s="47"/>
      <c r="Q243" s="47"/>
      <c r="R243" s="48" t="str">
        <f aca="false">IF(Q243="","",IF(Q243=0,"below 5:00",IF(Q243&gt;=66,"16:00 or above",INT((60+2*Q243)/12)&amp;":"&amp;TEXT(MOD(60+2*Q243,12),"00"))))</f>
        <v/>
      </c>
      <c r="S243" s="47"/>
      <c r="T243" s="47"/>
      <c r="U243" s="47"/>
      <c r="V243" s="47"/>
      <c r="W243" s="47"/>
      <c r="X243" s="47"/>
      <c r="Y243" s="47"/>
      <c r="Z243" s="47"/>
      <c r="AA243" s="47"/>
      <c r="AB243" s="47"/>
      <c r="AC243" s="47"/>
      <c r="AD243" s="47"/>
      <c r="AE243" s="47"/>
      <c r="AF243" s="47"/>
      <c r="AG243" s="47"/>
      <c r="AH243" s="47"/>
      <c r="AI243" s="46"/>
      <c r="AJ243" s="46"/>
      <c r="AK243" s="46"/>
      <c r="AL243" s="7"/>
      <c r="AM243" s="49" t="str">
        <f aca="false">IF(OR(C243="",G243=""),"",IFERROR(DATEDIF(C243,G243,"m"),""))</f>
        <v/>
      </c>
      <c r="AN243" s="49" t="str">
        <f aca="false">IF(OR(Q243="",AM243=""),"",60+2*Q243-AM243)</f>
        <v/>
      </c>
      <c r="AO243" s="49" t="str">
        <f aca="false">IF(OR(G243="",AJ243=""),"",AJ243-G243)</f>
        <v/>
      </c>
      <c r="AP243" s="50" t="str">
        <f aca="false">IF(AND(A243="",B243=""),"",IF(J243="","Status needed",IF(OR(J243="Applied",J243="Visit booked",J243="Withdrawn"),"OK",IF(G243="","Date assessed needed",IF(C243="","Date of birth needed",IF(COUNTA(L243,M243,P243,U243,V243,X243,AB243)&lt;7,"Band missing",IF(AND(OR(J243="Decision confirmed",J243="Family told",J243="Enrolled"),AG243=""),"Recommendation needed",IF(AND(OR(J243="Family told",J243="Enrolled"),AJ243=""),"Date family told needed","OK"))))))))</f>
        <v/>
      </c>
    </row>
    <row r="244" customFormat="false" ht="15" hidden="false" customHeight="false" outlineLevel="0" collapsed="false">
      <c r="A244" s="7"/>
      <c r="B244" s="7"/>
      <c r="C244" s="46"/>
      <c r="D244" s="7"/>
      <c r="E244" s="47"/>
      <c r="F244" s="46"/>
      <c r="G244" s="46"/>
      <c r="H244" s="7"/>
      <c r="I244" s="7"/>
      <c r="J244" s="47"/>
      <c r="K244" s="47"/>
      <c r="L244" s="47"/>
      <c r="M244" s="47"/>
      <c r="N244" s="10"/>
      <c r="O244" s="47"/>
      <c r="P244" s="47"/>
      <c r="Q244" s="47"/>
      <c r="R244" s="48" t="str">
        <f aca="false">IF(Q244="","",IF(Q244=0,"below 5:00",IF(Q244&gt;=66,"16:00 or above",INT((60+2*Q244)/12)&amp;":"&amp;TEXT(MOD(60+2*Q244,12),"00"))))</f>
        <v/>
      </c>
      <c r="S244" s="47"/>
      <c r="T244" s="47"/>
      <c r="U244" s="47"/>
      <c r="V244" s="47"/>
      <c r="W244" s="47"/>
      <c r="X244" s="47"/>
      <c r="Y244" s="47"/>
      <c r="Z244" s="47"/>
      <c r="AA244" s="47"/>
      <c r="AB244" s="47"/>
      <c r="AC244" s="47"/>
      <c r="AD244" s="47"/>
      <c r="AE244" s="47"/>
      <c r="AF244" s="47"/>
      <c r="AG244" s="47"/>
      <c r="AH244" s="47"/>
      <c r="AI244" s="46"/>
      <c r="AJ244" s="46"/>
      <c r="AK244" s="46"/>
      <c r="AL244" s="7"/>
      <c r="AM244" s="49" t="str">
        <f aca="false">IF(OR(C244="",G244=""),"",IFERROR(DATEDIF(C244,G244,"m"),""))</f>
        <v/>
      </c>
      <c r="AN244" s="49" t="str">
        <f aca="false">IF(OR(Q244="",AM244=""),"",60+2*Q244-AM244)</f>
        <v/>
      </c>
      <c r="AO244" s="49" t="str">
        <f aca="false">IF(OR(G244="",AJ244=""),"",AJ244-G244)</f>
        <v/>
      </c>
      <c r="AP244" s="50" t="str">
        <f aca="false">IF(AND(A244="",B244=""),"",IF(J244="","Status needed",IF(OR(J244="Applied",J244="Visit booked",J244="Withdrawn"),"OK",IF(G244="","Date assessed needed",IF(C244="","Date of birth needed",IF(COUNTA(L244,M244,P244,U244,V244,X244,AB244)&lt;7,"Band missing",IF(AND(OR(J244="Decision confirmed",J244="Family told",J244="Enrolled"),AG244=""),"Recommendation needed",IF(AND(OR(J244="Family told",J244="Enrolled"),AJ244=""),"Date family told needed","OK"))))))))</f>
        <v/>
      </c>
    </row>
    <row r="245" customFormat="false" ht="15" hidden="false" customHeight="false" outlineLevel="0" collapsed="false">
      <c r="A245" s="7"/>
      <c r="B245" s="7"/>
      <c r="C245" s="46"/>
      <c r="D245" s="7"/>
      <c r="E245" s="47"/>
      <c r="F245" s="46"/>
      <c r="G245" s="46"/>
      <c r="H245" s="7"/>
      <c r="I245" s="7"/>
      <c r="J245" s="47"/>
      <c r="K245" s="47"/>
      <c r="L245" s="47"/>
      <c r="M245" s="47"/>
      <c r="N245" s="10"/>
      <c r="O245" s="47"/>
      <c r="P245" s="47"/>
      <c r="Q245" s="47"/>
      <c r="R245" s="48" t="str">
        <f aca="false">IF(Q245="","",IF(Q245=0,"below 5:00",IF(Q245&gt;=66,"16:00 or above",INT((60+2*Q245)/12)&amp;":"&amp;TEXT(MOD(60+2*Q245,12),"00"))))</f>
        <v/>
      </c>
      <c r="S245" s="47"/>
      <c r="T245" s="47"/>
      <c r="U245" s="47"/>
      <c r="V245" s="47"/>
      <c r="W245" s="47"/>
      <c r="X245" s="47"/>
      <c r="Y245" s="47"/>
      <c r="Z245" s="47"/>
      <c r="AA245" s="47"/>
      <c r="AB245" s="47"/>
      <c r="AC245" s="47"/>
      <c r="AD245" s="47"/>
      <c r="AE245" s="47"/>
      <c r="AF245" s="47"/>
      <c r="AG245" s="47"/>
      <c r="AH245" s="47"/>
      <c r="AI245" s="46"/>
      <c r="AJ245" s="46"/>
      <c r="AK245" s="46"/>
      <c r="AL245" s="7"/>
      <c r="AM245" s="49" t="str">
        <f aca="false">IF(OR(C245="",G245=""),"",IFERROR(DATEDIF(C245,G245,"m"),""))</f>
        <v/>
      </c>
      <c r="AN245" s="49" t="str">
        <f aca="false">IF(OR(Q245="",AM245=""),"",60+2*Q245-AM245)</f>
        <v/>
      </c>
      <c r="AO245" s="49" t="str">
        <f aca="false">IF(OR(G245="",AJ245=""),"",AJ245-G245)</f>
        <v/>
      </c>
      <c r="AP245" s="50" t="str">
        <f aca="false">IF(AND(A245="",B245=""),"",IF(J245="","Status needed",IF(OR(J245="Applied",J245="Visit booked",J245="Withdrawn"),"OK",IF(G245="","Date assessed needed",IF(C245="","Date of birth needed",IF(COUNTA(L245,M245,P245,U245,V245,X245,AB245)&lt;7,"Band missing",IF(AND(OR(J245="Decision confirmed",J245="Family told",J245="Enrolled"),AG245=""),"Recommendation needed",IF(AND(OR(J245="Family told",J245="Enrolled"),AJ245=""),"Date family told needed","OK"))))))))</f>
        <v/>
      </c>
    </row>
    <row r="246" customFormat="false" ht="15" hidden="false" customHeight="false" outlineLevel="0" collapsed="false">
      <c r="A246" s="7"/>
      <c r="B246" s="7"/>
      <c r="C246" s="46"/>
      <c r="D246" s="7"/>
      <c r="E246" s="47"/>
      <c r="F246" s="46"/>
      <c r="G246" s="46"/>
      <c r="H246" s="7"/>
      <c r="I246" s="7"/>
      <c r="J246" s="47"/>
      <c r="K246" s="47"/>
      <c r="L246" s="47"/>
      <c r="M246" s="47"/>
      <c r="N246" s="10"/>
      <c r="O246" s="47"/>
      <c r="P246" s="47"/>
      <c r="Q246" s="47"/>
      <c r="R246" s="48" t="str">
        <f aca="false">IF(Q246="","",IF(Q246=0,"below 5:00",IF(Q246&gt;=66,"16:00 or above",INT((60+2*Q246)/12)&amp;":"&amp;TEXT(MOD(60+2*Q246,12),"00"))))</f>
        <v/>
      </c>
      <c r="S246" s="47"/>
      <c r="T246" s="47"/>
      <c r="U246" s="47"/>
      <c r="V246" s="47"/>
      <c r="W246" s="47"/>
      <c r="X246" s="47"/>
      <c r="Y246" s="47"/>
      <c r="Z246" s="47"/>
      <c r="AA246" s="47"/>
      <c r="AB246" s="47"/>
      <c r="AC246" s="47"/>
      <c r="AD246" s="47"/>
      <c r="AE246" s="47"/>
      <c r="AF246" s="47"/>
      <c r="AG246" s="47"/>
      <c r="AH246" s="47"/>
      <c r="AI246" s="46"/>
      <c r="AJ246" s="46"/>
      <c r="AK246" s="46"/>
      <c r="AL246" s="7"/>
      <c r="AM246" s="49" t="str">
        <f aca="false">IF(OR(C246="",G246=""),"",IFERROR(DATEDIF(C246,G246,"m"),""))</f>
        <v/>
      </c>
      <c r="AN246" s="49" t="str">
        <f aca="false">IF(OR(Q246="",AM246=""),"",60+2*Q246-AM246)</f>
        <v/>
      </c>
      <c r="AO246" s="49" t="str">
        <f aca="false">IF(OR(G246="",AJ246=""),"",AJ246-G246)</f>
        <v/>
      </c>
      <c r="AP246" s="50" t="str">
        <f aca="false">IF(AND(A246="",B246=""),"",IF(J246="","Status needed",IF(OR(J246="Applied",J246="Visit booked",J246="Withdrawn"),"OK",IF(G246="","Date assessed needed",IF(C246="","Date of birth needed",IF(COUNTA(L246,M246,P246,U246,V246,X246,AB246)&lt;7,"Band missing",IF(AND(OR(J246="Decision confirmed",J246="Family told",J246="Enrolled"),AG246=""),"Recommendation needed",IF(AND(OR(J246="Family told",J246="Enrolled"),AJ246=""),"Date family told needed","OK"))))))))</f>
        <v/>
      </c>
    </row>
    <row r="247" customFormat="false" ht="15" hidden="false" customHeight="false" outlineLevel="0" collapsed="false">
      <c r="A247" s="7"/>
      <c r="B247" s="7"/>
      <c r="C247" s="46"/>
      <c r="D247" s="7"/>
      <c r="E247" s="47"/>
      <c r="F247" s="46"/>
      <c r="G247" s="46"/>
      <c r="H247" s="7"/>
      <c r="I247" s="7"/>
      <c r="J247" s="47"/>
      <c r="K247" s="47"/>
      <c r="L247" s="47"/>
      <c r="M247" s="47"/>
      <c r="N247" s="10"/>
      <c r="O247" s="47"/>
      <c r="P247" s="47"/>
      <c r="Q247" s="47"/>
      <c r="R247" s="48" t="str">
        <f aca="false">IF(Q247="","",IF(Q247=0,"below 5:00",IF(Q247&gt;=66,"16:00 or above",INT((60+2*Q247)/12)&amp;":"&amp;TEXT(MOD(60+2*Q247,12),"00"))))</f>
        <v/>
      </c>
      <c r="S247" s="47"/>
      <c r="T247" s="47"/>
      <c r="U247" s="47"/>
      <c r="V247" s="47"/>
      <c r="W247" s="47"/>
      <c r="X247" s="47"/>
      <c r="Y247" s="47"/>
      <c r="Z247" s="47"/>
      <c r="AA247" s="47"/>
      <c r="AB247" s="47"/>
      <c r="AC247" s="47"/>
      <c r="AD247" s="47"/>
      <c r="AE247" s="47"/>
      <c r="AF247" s="47"/>
      <c r="AG247" s="47"/>
      <c r="AH247" s="47"/>
      <c r="AI247" s="46"/>
      <c r="AJ247" s="46"/>
      <c r="AK247" s="46"/>
      <c r="AL247" s="7"/>
      <c r="AM247" s="49" t="str">
        <f aca="false">IF(OR(C247="",G247=""),"",IFERROR(DATEDIF(C247,G247,"m"),""))</f>
        <v/>
      </c>
      <c r="AN247" s="49" t="str">
        <f aca="false">IF(OR(Q247="",AM247=""),"",60+2*Q247-AM247)</f>
        <v/>
      </c>
      <c r="AO247" s="49" t="str">
        <f aca="false">IF(OR(G247="",AJ247=""),"",AJ247-G247)</f>
        <v/>
      </c>
      <c r="AP247" s="50" t="str">
        <f aca="false">IF(AND(A247="",B247=""),"",IF(J247="","Status needed",IF(OR(J247="Applied",J247="Visit booked",J247="Withdrawn"),"OK",IF(G247="","Date assessed needed",IF(C247="","Date of birth needed",IF(COUNTA(L247,M247,P247,U247,V247,X247,AB247)&lt;7,"Band missing",IF(AND(OR(J247="Decision confirmed",J247="Family told",J247="Enrolled"),AG247=""),"Recommendation needed",IF(AND(OR(J247="Family told",J247="Enrolled"),AJ247=""),"Date family told needed","OK"))))))))</f>
        <v/>
      </c>
    </row>
    <row r="248" customFormat="false" ht="15" hidden="false" customHeight="false" outlineLevel="0" collapsed="false">
      <c r="A248" s="7"/>
      <c r="B248" s="7"/>
      <c r="C248" s="46"/>
      <c r="D248" s="7"/>
      <c r="E248" s="47"/>
      <c r="F248" s="46"/>
      <c r="G248" s="46"/>
      <c r="H248" s="7"/>
      <c r="I248" s="7"/>
      <c r="J248" s="47"/>
      <c r="K248" s="47"/>
      <c r="L248" s="47"/>
      <c r="M248" s="47"/>
      <c r="N248" s="10"/>
      <c r="O248" s="47"/>
      <c r="P248" s="47"/>
      <c r="Q248" s="47"/>
      <c r="R248" s="48" t="str">
        <f aca="false">IF(Q248="","",IF(Q248=0,"below 5:00",IF(Q248&gt;=66,"16:00 or above",INT((60+2*Q248)/12)&amp;":"&amp;TEXT(MOD(60+2*Q248,12),"00"))))</f>
        <v/>
      </c>
      <c r="S248" s="47"/>
      <c r="T248" s="47"/>
      <c r="U248" s="47"/>
      <c r="V248" s="47"/>
      <c r="W248" s="47"/>
      <c r="X248" s="47"/>
      <c r="Y248" s="47"/>
      <c r="Z248" s="47"/>
      <c r="AA248" s="47"/>
      <c r="AB248" s="47"/>
      <c r="AC248" s="47"/>
      <c r="AD248" s="47"/>
      <c r="AE248" s="47"/>
      <c r="AF248" s="47"/>
      <c r="AG248" s="47"/>
      <c r="AH248" s="47"/>
      <c r="AI248" s="46"/>
      <c r="AJ248" s="46"/>
      <c r="AK248" s="46"/>
      <c r="AL248" s="7"/>
      <c r="AM248" s="49" t="str">
        <f aca="false">IF(OR(C248="",G248=""),"",IFERROR(DATEDIF(C248,G248,"m"),""))</f>
        <v/>
      </c>
      <c r="AN248" s="49" t="str">
        <f aca="false">IF(OR(Q248="",AM248=""),"",60+2*Q248-AM248)</f>
        <v/>
      </c>
      <c r="AO248" s="49" t="str">
        <f aca="false">IF(OR(G248="",AJ248=""),"",AJ248-G248)</f>
        <v/>
      </c>
      <c r="AP248" s="50" t="str">
        <f aca="false">IF(AND(A248="",B248=""),"",IF(J248="","Status needed",IF(OR(J248="Applied",J248="Visit booked",J248="Withdrawn"),"OK",IF(G248="","Date assessed needed",IF(C248="","Date of birth needed",IF(COUNTA(L248,M248,P248,U248,V248,X248,AB248)&lt;7,"Band missing",IF(AND(OR(J248="Decision confirmed",J248="Family told",J248="Enrolled"),AG248=""),"Recommendation needed",IF(AND(OR(J248="Family told",J248="Enrolled"),AJ248=""),"Date family told needed","OK"))))))))</f>
        <v/>
      </c>
    </row>
    <row r="249" customFormat="false" ht="15" hidden="false" customHeight="false" outlineLevel="0" collapsed="false">
      <c r="A249" s="7"/>
      <c r="B249" s="7"/>
      <c r="C249" s="46"/>
      <c r="D249" s="7"/>
      <c r="E249" s="47"/>
      <c r="F249" s="46"/>
      <c r="G249" s="46"/>
      <c r="H249" s="7"/>
      <c r="I249" s="7"/>
      <c r="J249" s="47"/>
      <c r="K249" s="47"/>
      <c r="L249" s="47"/>
      <c r="M249" s="47"/>
      <c r="N249" s="10"/>
      <c r="O249" s="47"/>
      <c r="P249" s="47"/>
      <c r="Q249" s="47"/>
      <c r="R249" s="48" t="str">
        <f aca="false">IF(Q249="","",IF(Q249=0,"below 5:00",IF(Q249&gt;=66,"16:00 or above",INT((60+2*Q249)/12)&amp;":"&amp;TEXT(MOD(60+2*Q249,12),"00"))))</f>
        <v/>
      </c>
      <c r="S249" s="47"/>
      <c r="T249" s="47"/>
      <c r="U249" s="47"/>
      <c r="V249" s="47"/>
      <c r="W249" s="47"/>
      <c r="X249" s="47"/>
      <c r="Y249" s="47"/>
      <c r="Z249" s="47"/>
      <c r="AA249" s="47"/>
      <c r="AB249" s="47"/>
      <c r="AC249" s="47"/>
      <c r="AD249" s="47"/>
      <c r="AE249" s="47"/>
      <c r="AF249" s="47"/>
      <c r="AG249" s="47"/>
      <c r="AH249" s="47"/>
      <c r="AI249" s="46"/>
      <c r="AJ249" s="46"/>
      <c r="AK249" s="46"/>
      <c r="AL249" s="7"/>
      <c r="AM249" s="49" t="str">
        <f aca="false">IF(OR(C249="",G249=""),"",IFERROR(DATEDIF(C249,G249,"m"),""))</f>
        <v/>
      </c>
      <c r="AN249" s="49" t="str">
        <f aca="false">IF(OR(Q249="",AM249=""),"",60+2*Q249-AM249)</f>
        <v/>
      </c>
      <c r="AO249" s="49" t="str">
        <f aca="false">IF(OR(G249="",AJ249=""),"",AJ249-G249)</f>
        <v/>
      </c>
      <c r="AP249" s="50" t="str">
        <f aca="false">IF(AND(A249="",B249=""),"",IF(J249="","Status needed",IF(OR(J249="Applied",J249="Visit booked",J249="Withdrawn"),"OK",IF(G249="","Date assessed needed",IF(C249="","Date of birth needed",IF(COUNTA(L249,M249,P249,U249,V249,X249,AB249)&lt;7,"Band missing",IF(AND(OR(J249="Decision confirmed",J249="Family told",J249="Enrolled"),AG249=""),"Recommendation needed",IF(AND(OR(J249="Family told",J249="Enrolled"),AJ249=""),"Date family told needed","OK"))))))))</f>
        <v/>
      </c>
    </row>
    <row r="250" customFormat="false" ht="15" hidden="false" customHeight="false" outlineLevel="0" collapsed="false">
      <c r="A250" s="7"/>
      <c r="B250" s="7"/>
      <c r="C250" s="46"/>
      <c r="D250" s="7"/>
      <c r="E250" s="47"/>
      <c r="F250" s="46"/>
      <c r="G250" s="46"/>
      <c r="H250" s="7"/>
      <c r="I250" s="7"/>
      <c r="J250" s="47"/>
      <c r="K250" s="47"/>
      <c r="L250" s="47"/>
      <c r="M250" s="47"/>
      <c r="N250" s="10"/>
      <c r="O250" s="47"/>
      <c r="P250" s="47"/>
      <c r="Q250" s="47"/>
      <c r="R250" s="48" t="str">
        <f aca="false">IF(Q250="","",IF(Q250=0,"below 5:00",IF(Q250&gt;=66,"16:00 or above",INT((60+2*Q250)/12)&amp;":"&amp;TEXT(MOD(60+2*Q250,12),"00"))))</f>
        <v/>
      </c>
      <c r="S250" s="47"/>
      <c r="T250" s="47"/>
      <c r="U250" s="47"/>
      <c r="V250" s="47"/>
      <c r="W250" s="47"/>
      <c r="X250" s="47"/>
      <c r="Y250" s="47"/>
      <c r="Z250" s="47"/>
      <c r="AA250" s="47"/>
      <c r="AB250" s="47"/>
      <c r="AC250" s="47"/>
      <c r="AD250" s="47"/>
      <c r="AE250" s="47"/>
      <c r="AF250" s="47"/>
      <c r="AG250" s="47"/>
      <c r="AH250" s="47"/>
      <c r="AI250" s="46"/>
      <c r="AJ250" s="46"/>
      <c r="AK250" s="46"/>
      <c r="AL250" s="7"/>
      <c r="AM250" s="49" t="str">
        <f aca="false">IF(OR(C250="",G250=""),"",IFERROR(DATEDIF(C250,G250,"m"),""))</f>
        <v/>
      </c>
      <c r="AN250" s="49" t="str">
        <f aca="false">IF(OR(Q250="",AM250=""),"",60+2*Q250-AM250)</f>
        <v/>
      </c>
      <c r="AO250" s="49" t="str">
        <f aca="false">IF(OR(G250="",AJ250=""),"",AJ250-G250)</f>
        <v/>
      </c>
      <c r="AP250" s="50" t="str">
        <f aca="false">IF(AND(A250="",B250=""),"",IF(J250="","Status needed",IF(OR(J250="Applied",J250="Visit booked",J250="Withdrawn"),"OK",IF(G250="","Date assessed needed",IF(C250="","Date of birth needed",IF(COUNTA(L250,M250,P250,U250,V250,X250,AB250)&lt;7,"Band missing",IF(AND(OR(J250="Decision confirmed",J250="Family told",J250="Enrolled"),AG250=""),"Recommendation needed",IF(AND(OR(J250="Family told",J250="Enrolled"),AJ250=""),"Date family told needed","OK"))))))))</f>
        <v/>
      </c>
    </row>
    <row r="251" customFormat="false" ht="15" hidden="false" customHeight="false" outlineLevel="0" collapsed="false">
      <c r="A251" s="7"/>
      <c r="B251" s="7"/>
      <c r="C251" s="46"/>
      <c r="D251" s="7"/>
      <c r="E251" s="47"/>
      <c r="F251" s="46"/>
      <c r="G251" s="46"/>
      <c r="H251" s="7"/>
      <c r="I251" s="7"/>
      <c r="J251" s="47"/>
      <c r="K251" s="47"/>
      <c r="L251" s="47"/>
      <c r="M251" s="47"/>
      <c r="N251" s="10"/>
      <c r="O251" s="47"/>
      <c r="P251" s="47"/>
      <c r="Q251" s="47"/>
      <c r="R251" s="48" t="str">
        <f aca="false">IF(Q251="","",IF(Q251=0,"below 5:00",IF(Q251&gt;=66,"16:00 or above",INT((60+2*Q251)/12)&amp;":"&amp;TEXT(MOD(60+2*Q251,12),"00"))))</f>
        <v/>
      </c>
      <c r="S251" s="47"/>
      <c r="T251" s="47"/>
      <c r="U251" s="47"/>
      <c r="V251" s="47"/>
      <c r="W251" s="47"/>
      <c r="X251" s="47"/>
      <c r="Y251" s="47"/>
      <c r="Z251" s="47"/>
      <c r="AA251" s="47"/>
      <c r="AB251" s="47"/>
      <c r="AC251" s="47"/>
      <c r="AD251" s="47"/>
      <c r="AE251" s="47"/>
      <c r="AF251" s="47"/>
      <c r="AG251" s="47"/>
      <c r="AH251" s="47"/>
      <c r="AI251" s="46"/>
      <c r="AJ251" s="46"/>
      <c r="AK251" s="46"/>
      <c r="AL251" s="7"/>
      <c r="AM251" s="49" t="str">
        <f aca="false">IF(OR(C251="",G251=""),"",IFERROR(DATEDIF(C251,G251,"m"),""))</f>
        <v/>
      </c>
      <c r="AN251" s="49" t="str">
        <f aca="false">IF(OR(Q251="",AM251=""),"",60+2*Q251-AM251)</f>
        <v/>
      </c>
      <c r="AO251" s="49" t="str">
        <f aca="false">IF(OR(G251="",AJ251=""),"",AJ251-G251)</f>
        <v/>
      </c>
      <c r="AP251" s="50" t="str">
        <f aca="false">IF(AND(A251="",B251=""),"",IF(J251="","Status needed",IF(OR(J251="Applied",J251="Visit booked",J251="Withdrawn"),"OK",IF(G251="","Date assessed needed",IF(C251="","Date of birth needed",IF(COUNTA(L251,M251,P251,U251,V251,X251,AB251)&lt;7,"Band missing",IF(AND(OR(J251="Decision confirmed",J251="Family told",J251="Enrolled"),AG251=""),"Recommendation needed",IF(AND(OR(J251="Family told",J251="Enrolled"),AJ251=""),"Date family told needed","OK"))))))))</f>
        <v/>
      </c>
    </row>
    <row r="252" customFormat="false" ht="15" hidden="false" customHeight="false" outlineLevel="0" collapsed="false">
      <c r="A252" s="7"/>
      <c r="B252" s="7"/>
      <c r="C252" s="46"/>
      <c r="D252" s="7"/>
      <c r="E252" s="47"/>
      <c r="F252" s="46"/>
      <c r="G252" s="46"/>
      <c r="H252" s="7"/>
      <c r="I252" s="7"/>
      <c r="J252" s="47"/>
      <c r="K252" s="47"/>
      <c r="L252" s="47"/>
      <c r="M252" s="47"/>
      <c r="N252" s="10"/>
      <c r="O252" s="47"/>
      <c r="P252" s="47"/>
      <c r="Q252" s="47"/>
      <c r="R252" s="48" t="str">
        <f aca="false">IF(Q252="","",IF(Q252=0,"below 5:00",IF(Q252&gt;=66,"16:00 or above",INT((60+2*Q252)/12)&amp;":"&amp;TEXT(MOD(60+2*Q252,12),"00"))))</f>
        <v/>
      </c>
      <c r="S252" s="47"/>
      <c r="T252" s="47"/>
      <c r="U252" s="47"/>
      <c r="V252" s="47"/>
      <c r="W252" s="47"/>
      <c r="X252" s="47"/>
      <c r="Y252" s="47"/>
      <c r="Z252" s="47"/>
      <c r="AA252" s="47"/>
      <c r="AB252" s="47"/>
      <c r="AC252" s="47"/>
      <c r="AD252" s="47"/>
      <c r="AE252" s="47"/>
      <c r="AF252" s="47"/>
      <c r="AG252" s="47"/>
      <c r="AH252" s="47"/>
      <c r="AI252" s="46"/>
      <c r="AJ252" s="46"/>
      <c r="AK252" s="46"/>
      <c r="AL252" s="7"/>
      <c r="AM252" s="49" t="str">
        <f aca="false">IF(OR(C252="",G252=""),"",IFERROR(DATEDIF(C252,G252,"m"),""))</f>
        <v/>
      </c>
      <c r="AN252" s="49" t="str">
        <f aca="false">IF(OR(Q252="",AM252=""),"",60+2*Q252-AM252)</f>
        <v/>
      </c>
      <c r="AO252" s="49" t="str">
        <f aca="false">IF(OR(G252="",AJ252=""),"",AJ252-G252)</f>
        <v/>
      </c>
      <c r="AP252" s="50" t="str">
        <f aca="false">IF(AND(A252="",B252=""),"",IF(J252="","Status needed",IF(OR(J252="Applied",J252="Visit booked",J252="Withdrawn"),"OK",IF(G252="","Date assessed needed",IF(C252="","Date of birth needed",IF(COUNTA(L252,M252,P252,U252,V252,X252,AB252)&lt;7,"Band missing",IF(AND(OR(J252="Decision confirmed",J252="Family told",J252="Enrolled"),AG252=""),"Recommendation needed",IF(AND(OR(J252="Family told",J252="Enrolled"),AJ252=""),"Date family told needed","OK"))))))))</f>
        <v/>
      </c>
    </row>
    <row r="253" customFormat="false" ht="15" hidden="false" customHeight="false" outlineLevel="0" collapsed="false">
      <c r="A253" s="7"/>
      <c r="B253" s="7"/>
      <c r="C253" s="46"/>
      <c r="D253" s="7"/>
      <c r="E253" s="47"/>
      <c r="F253" s="46"/>
      <c r="G253" s="46"/>
      <c r="H253" s="7"/>
      <c r="I253" s="7"/>
      <c r="J253" s="47"/>
      <c r="K253" s="47"/>
      <c r="L253" s="47"/>
      <c r="M253" s="47"/>
      <c r="N253" s="10"/>
      <c r="O253" s="47"/>
      <c r="P253" s="47"/>
      <c r="Q253" s="47"/>
      <c r="R253" s="48" t="str">
        <f aca="false">IF(Q253="","",IF(Q253=0,"below 5:00",IF(Q253&gt;=66,"16:00 or above",INT((60+2*Q253)/12)&amp;":"&amp;TEXT(MOD(60+2*Q253,12),"00"))))</f>
        <v/>
      </c>
      <c r="S253" s="47"/>
      <c r="T253" s="47"/>
      <c r="U253" s="47"/>
      <c r="V253" s="47"/>
      <c r="W253" s="47"/>
      <c r="X253" s="47"/>
      <c r="Y253" s="47"/>
      <c r="Z253" s="47"/>
      <c r="AA253" s="47"/>
      <c r="AB253" s="47"/>
      <c r="AC253" s="47"/>
      <c r="AD253" s="47"/>
      <c r="AE253" s="47"/>
      <c r="AF253" s="47"/>
      <c r="AG253" s="47"/>
      <c r="AH253" s="47"/>
      <c r="AI253" s="46"/>
      <c r="AJ253" s="46"/>
      <c r="AK253" s="46"/>
      <c r="AL253" s="7"/>
      <c r="AM253" s="49" t="str">
        <f aca="false">IF(OR(C253="",G253=""),"",IFERROR(DATEDIF(C253,G253,"m"),""))</f>
        <v/>
      </c>
      <c r="AN253" s="49" t="str">
        <f aca="false">IF(OR(Q253="",AM253=""),"",60+2*Q253-AM253)</f>
        <v/>
      </c>
      <c r="AO253" s="49" t="str">
        <f aca="false">IF(OR(G253="",AJ253=""),"",AJ253-G253)</f>
        <v/>
      </c>
      <c r="AP253" s="50" t="str">
        <f aca="false">IF(AND(A253="",B253=""),"",IF(J253="","Status needed",IF(OR(J253="Applied",J253="Visit booked",J253="Withdrawn"),"OK",IF(G253="","Date assessed needed",IF(C253="","Date of birth needed",IF(COUNTA(L253,M253,P253,U253,V253,X253,AB253)&lt;7,"Band missing",IF(AND(OR(J253="Decision confirmed",J253="Family told",J253="Enrolled"),AG253=""),"Recommendation needed",IF(AND(OR(J253="Family told",J253="Enrolled"),AJ253=""),"Date family told needed","OK"))))))))</f>
        <v/>
      </c>
    </row>
    <row r="254" customFormat="false" ht="15" hidden="false" customHeight="false" outlineLevel="0" collapsed="false">
      <c r="A254" s="7"/>
      <c r="B254" s="7"/>
      <c r="C254" s="46"/>
      <c r="D254" s="7"/>
      <c r="E254" s="47"/>
      <c r="F254" s="46"/>
      <c r="G254" s="46"/>
      <c r="H254" s="7"/>
      <c r="I254" s="7"/>
      <c r="J254" s="47"/>
      <c r="K254" s="47"/>
      <c r="L254" s="47"/>
      <c r="M254" s="47"/>
      <c r="N254" s="10"/>
      <c r="O254" s="47"/>
      <c r="P254" s="47"/>
      <c r="Q254" s="47"/>
      <c r="R254" s="48" t="str">
        <f aca="false">IF(Q254="","",IF(Q254=0,"below 5:00",IF(Q254&gt;=66,"16:00 or above",INT((60+2*Q254)/12)&amp;":"&amp;TEXT(MOD(60+2*Q254,12),"00"))))</f>
        <v/>
      </c>
      <c r="S254" s="47"/>
      <c r="T254" s="47"/>
      <c r="U254" s="47"/>
      <c r="V254" s="47"/>
      <c r="W254" s="47"/>
      <c r="X254" s="47"/>
      <c r="Y254" s="47"/>
      <c r="Z254" s="47"/>
      <c r="AA254" s="47"/>
      <c r="AB254" s="47"/>
      <c r="AC254" s="47"/>
      <c r="AD254" s="47"/>
      <c r="AE254" s="47"/>
      <c r="AF254" s="47"/>
      <c r="AG254" s="47"/>
      <c r="AH254" s="47"/>
      <c r="AI254" s="46"/>
      <c r="AJ254" s="46"/>
      <c r="AK254" s="46"/>
      <c r="AL254" s="7"/>
      <c r="AM254" s="49" t="str">
        <f aca="false">IF(OR(C254="",G254=""),"",IFERROR(DATEDIF(C254,G254,"m"),""))</f>
        <v/>
      </c>
      <c r="AN254" s="49" t="str">
        <f aca="false">IF(OR(Q254="",AM254=""),"",60+2*Q254-AM254)</f>
        <v/>
      </c>
      <c r="AO254" s="49" t="str">
        <f aca="false">IF(OR(G254="",AJ254=""),"",AJ254-G254)</f>
        <v/>
      </c>
      <c r="AP254" s="50" t="str">
        <f aca="false">IF(AND(A254="",B254=""),"",IF(J254="","Status needed",IF(OR(J254="Applied",J254="Visit booked",J254="Withdrawn"),"OK",IF(G254="","Date assessed needed",IF(C254="","Date of birth needed",IF(COUNTA(L254,M254,P254,U254,V254,X254,AB254)&lt;7,"Band missing",IF(AND(OR(J254="Decision confirmed",J254="Family told",J254="Enrolled"),AG254=""),"Recommendation needed",IF(AND(OR(J254="Family told",J254="Enrolled"),AJ254=""),"Date family told needed","OK"))))))))</f>
        <v/>
      </c>
    </row>
    <row r="255" customFormat="false" ht="15" hidden="false" customHeight="false" outlineLevel="0" collapsed="false">
      <c r="A255" s="7"/>
      <c r="B255" s="7"/>
      <c r="C255" s="46"/>
      <c r="D255" s="7"/>
      <c r="E255" s="47"/>
      <c r="F255" s="46"/>
      <c r="G255" s="46"/>
      <c r="H255" s="7"/>
      <c r="I255" s="7"/>
      <c r="J255" s="47"/>
      <c r="K255" s="47"/>
      <c r="L255" s="47"/>
      <c r="M255" s="47"/>
      <c r="N255" s="10"/>
      <c r="O255" s="47"/>
      <c r="P255" s="47"/>
      <c r="Q255" s="47"/>
      <c r="R255" s="48" t="str">
        <f aca="false">IF(Q255="","",IF(Q255=0,"below 5:00",IF(Q255&gt;=66,"16:00 or above",INT((60+2*Q255)/12)&amp;":"&amp;TEXT(MOD(60+2*Q255,12),"00"))))</f>
        <v/>
      </c>
      <c r="S255" s="47"/>
      <c r="T255" s="47"/>
      <c r="U255" s="47"/>
      <c r="V255" s="47"/>
      <c r="W255" s="47"/>
      <c r="X255" s="47"/>
      <c r="Y255" s="47"/>
      <c r="Z255" s="47"/>
      <c r="AA255" s="47"/>
      <c r="AB255" s="47"/>
      <c r="AC255" s="47"/>
      <c r="AD255" s="47"/>
      <c r="AE255" s="47"/>
      <c r="AF255" s="47"/>
      <c r="AG255" s="47"/>
      <c r="AH255" s="47"/>
      <c r="AI255" s="46"/>
      <c r="AJ255" s="46"/>
      <c r="AK255" s="46"/>
      <c r="AL255" s="7"/>
      <c r="AM255" s="49" t="str">
        <f aca="false">IF(OR(C255="",G255=""),"",IFERROR(DATEDIF(C255,G255,"m"),""))</f>
        <v/>
      </c>
      <c r="AN255" s="49" t="str">
        <f aca="false">IF(OR(Q255="",AM255=""),"",60+2*Q255-AM255)</f>
        <v/>
      </c>
      <c r="AO255" s="49" t="str">
        <f aca="false">IF(OR(G255="",AJ255=""),"",AJ255-G255)</f>
        <v/>
      </c>
      <c r="AP255" s="50" t="str">
        <f aca="false">IF(AND(A255="",B255=""),"",IF(J255="","Status needed",IF(OR(J255="Applied",J255="Visit booked",J255="Withdrawn"),"OK",IF(G255="","Date assessed needed",IF(C255="","Date of birth needed",IF(COUNTA(L255,M255,P255,U255,V255,X255,AB255)&lt;7,"Band missing",IF(AND(OR(J255="Decision confirmed",J255="Family told",J255="Enrolled"),AG255=""),"Recommendation needed",IF(AND(OR(J255="Family told",J255="Enrolled"),AJ255=""),"Date family told needed","OK"))))))))</f>
        <v/>
      </c>
    </row>
    <row r="256" customFormat="false" ht="15" hidden="false" customHeight="false" outlineLevel="0" collapsed="false">
      <c r="A256" s="7"/>
      <c r="B256" s="7"/>
      <c r="C256" s="46"/>
      <c r="D256" s="7"/>
      <c r="E256" s="47"/>
      <c r="F256" s="46"/>
      <c r="G256" s="46"/>
      <c r="H256" s="7"/>
      <c r="I256" s="7"/>
      <c r="J256" s="47"/>
      <c r="K256" s="47"/>
      <c r="L256" s="47"/>
      <c r="M256" s="47"/>
      <c r="N256" s="10"/>
      <c r="O256" s="47"/>
      <c r="P256" s="47"/>
      <c r="Q256" s="47"/>
      <c r="R256" s="48" t="str">
        <f aca="false">IF(Q256="","",IF(Q256=0,"below 5:00",IF(Q256&gt;=66,"16:00 or above",INT((60+2*Q256)/12)&amp;":"&amp;TEXT(MOD(60+2*Q256,12),"00"))))</f>
        <v/>
      </c>
      <c r="S256" s="47"/>
      <c r="T256" s="47"/>
      <c r="U256" s="47"/>
      <c r="V256" s="47"/>
      <c r="W256" s="47"/>
      <c r="X256" s="47"/>
      <c r="Y256" s="47"/>
      <c r="Z256" s="47"/>
      <c r="AA256" s="47"/>
      <c r="AB256" s="47"/>
      <c r="AC256" s="47"/>
      <c r="AD256" s="47"/>
      <c r="AE256" s="47"/>
      <c r="AF256" s="47"/>
      <c r="AG256" s="47"/>
      <c r="AH256" s="47"/>
      <c r="AI256" s="46"/>
      <c r="AJ256" s="46"/>
      <c r="AK256" s="46"/>
      <c r="AL256" s="7"/>
      <c r="AM256" s="49" t="str">
        <f aca="false">IF(OR(C256="",G256=""),"",IFERROR(DATEDIF(C256,G256,"m"),""))</f>
        <v/>
      </c>
      <c r="AN256" s="49" t="str">
        <f aca="false">IF(OR(Q256="",AM256=""),"",60+2*Q256-AM256)</f>
        <v/>
      </c>
      <c r="AO256" s="49" t="str">
        <f aca="false">IF(OR(G256="",AJ256=""),"",AJ256-G256)</f>
        <v/>
      </c>
      <c r="AP256" s="50" t="str">
        <f aca="false">IF(AND(A256="",B256=""),"",IF(J256="","Status needed",IF(OR(J256="Applied",J256="Visit booked",J256="Withdrawn"),"OK",IF(G256="","Date assessed needed",IF(C256="","Date of birth needed",IF(COUNTA(L256,M256,P256,U256,V256,X256,AB256)&lt;7,"Band missing",IF(AND(OR(J256="Decision confirmed",J256="Family told",J256="Enrolled"),AG256=""),"Recommendation needed",IF(AND(OR(J256="Family told",J256="Enrolled"),AJ256=""),"Date family told needed","OK"))))))))</f>
        <v/>
      </c>
    </row>
    <row r="257" customFormat="false" ht="15" hidden="false" customHeight="false" outlineLevel="0" collapsed="false">
      <c r="A257" s="7"/>
      <c r="B257" s="7"/>
      <c r="C257" s="46"/>
      <c r="D257" s="7"/>
      <c r="E257" s="47"/>
      <c r="F257" s="46"/>
      <c r="G257" s="46"/>
      <c r="H257" s="7"/>
      <c r="I257" s="7"/>
      <c r="J257" s="47"/>
      <c r="K257" s="47"/>
      <c r="L257" s="47"/>
      <c r="M257" s="47"/>
      <c r="N257" s="10"/>
      <c r="O257" s="47"/>
      <c r="P257" s="47"/>
      <c r="Q257" s="47"/>
      <c r="R257" s="48" t="str">
        <f aca="false">IF(Q257="","",IF(Q257=0,"below 5:00",IF(Q257&gt;=66,"16:00 or above",INT((60+2*Q257)/12)&amp;":"&amp;TEXT(MOD(60+2*Q257,12),"00"))))</f>
        <v/>
      </c>
      <c r="S257" s="47"/>
      <c r="T257" s="47"/>
      <c r="U257" s="47"/>
      <c r="V257" s="47"/>
      <c r="W257" s="47"/>
      <c r="X257" s="47"/>
      <c r="Y257" s="47"/>
      <c r="Z257" s="47"/>
      <c r="AA257" s="47"/>
      <c r="AB257" s="47"/>
      <c r="AC257" s="47"/>
      <c r="AD257" s="47"/>
      <c r="AE257" s="47"/>
      <c r="AF257" s="47"/>
      <c r="AG257" s="47"/>
      <c r="AH257" s="47"/>
      <c r="AI257" s="46"/>
      <c r="AJ257" s="46"/>
      <c r="AK257" s="46"/>
      <c r="AL257" s="7"/>
      <c r="AM257" s="49" t="str">
        <f aca="false">IF(OR(C257="",G257=""),"",IFERROR(DATEDIF(C257,G257,"m"),""))</f>
        <v/>
      </c>
      <c r="AN257" s="49" t="str">
        <f aca="false">IF(OR(Q257="",AM257=""),"",60+2*Q257-AM257)</f>
        <v/>
      </c>
      <c r="AO257" s="49" t="str">
        <f aca="false">IF(OR(G257="",AJ257=""),"",AJ257-G257)</f>
        <v/>
      </c>
      <c r="AP257" s="50" t="str">
        <f aca="false">IF(AND(A257="",B257=""),"",IF(J257="","Status needed",IF(OR(J257="Applied",J257="Visit booked",J257="Withdrawn"),"OK",IF(G257="","Date assessed needed",IF(C257="","Date of birth needed",IF(COUNTA(L257,M257,P257,U257,V257,X257,AB257)&lt;7,"Band missing",IF(AND(OR(J257="Decision confirmed",J257="Family told",J257="Enrolled"),AG257=""),"Recommendation needed",IF(AND(OR(J257="Family told",J257="Enrolled"),AJ257=""),"Date family told needed","OK"))))))))</f>
        <v/>
      </c>
    </row>
    <row r="258" customFormat="false" ht="15" hidden="false" customHeight="false" outlineLevel="0" collapsed="false">
      <c r="A258" s="7"/>
      <c r="B258" s="7"/>
      <c r="C258" s="46"/>
      <c r="D258" s="7"/>
      <c r="E258" s="47"/>
      <c r="F258" s="46"/>
      <c r="G258" s="46"/>
      <c r="H258" s="7"/>
      <c r="I258" s="7"/>
      <c r="J258" s="47"/>
      <c r="K258" s="47"/>
      <c r="L258" s="47"/>
      <c r="M258" s="47"/>
      <c r="N258" s="10"/>
      <c r="O258" s="47"/>
      <c r="P258" s="47"/>
      <c r="Q258" s="47"/>
      <c r="R258" s="48" t="str">
        <f aca="false">IF(Q258="","",IF(Q258=0,"below 5:00",IF(Q258&gt;=66,"16:00 or above",INT((60+2*Q258)/12)&amp;":"&amp;TEXT(MOD(60+2*Q258,12),"00"))))</f>
        <v/>
      </c>
      <c r="S258" s="47"/>
      <c r="T258" s="47"/>
      <c r="U258" s="47"/>
      <c r="V258" s="47"/>
      <c r="W258" s="47"/>
      <c r="X258" s="47"/>
      <c r="Y258" s="47"/>
      <c r="Z258" s="47"/>
      <c r="AA258" s="47"/>
      <c r="AB258" s="47"/>
      <c r="AC258" s="47"/>
      <c r="AD258" s="47"/>
      <c r="AE258" s="47"/>
      <c r="AF258" s="47"/>
      <c r="AG258" s="47"/>
      <c r="AH258" s="47"/>
      <c r="AI258" s="46"/>
      <c r="AJ258" s="46"/>
      <c r="AK258" s="46"/>
      <c r="AL258" s="7"/>
      <c r="AM258" s="49" t="str">
        <f aca="false">IF(OR(C258="",G258=""),"",IFERROR(DATEDIF(C258,G258,"m"),""))</f>
        <v/>
      </c>
      <c r="AN258" s="49" t="str">
        <f aca="false">IF(OR(Q258="",AM258=""),"",60+2*Q258-AM258)</f>
        <v/>
      </c>
      <c r="AO258" s="49" t="str">
        <f aca="false">IF(OR(G258="",AJ258=""),"",AJ258-G258)</f>
        <v/>
      </c>
      <c r="AP258" s="50" t="str">
        <f aca="false">IF(AND(A258="",B258=""),"",IF(J258="","Status needed",IF(OR(J258="Applied",J258="Visit booked",J258="Withdrawn"),"OK",IF(G258="","Date assessed needed",IF(C258="","Date of birth needed",IF(COUNTA(L258,M258,P258,U258,V258,X258,AB258)&lt;7,"Band missing",IF(AND(OR(J258="Decision confirmed",J258="Family told",J258="Enrolled"),AG258=""),"Recommendation needed",IF(AND(OR(J258="Family told",J258="Enrolled"),AJ258=""),"Date family told needed","OK"))))))))</f>
        <v/>
      </c>
    </row>
    <row r="259" customFormat="false" ht="15" hidden="false" customHeight="false" outlineLevel="0" collapsed="false">
      <c r="A259" s="7"/>
      <c r="B259" s="7"/>
      <c r="C259" s="46"/>
      <c r="D259" s="7"/>
      <c r="E259" s="47"/>
      <c r="F259" s="46"/>
      <c r="G259" s="46"/>
      <c r="H259" s="7"/>
      <c r="I259" s="7"/>
      <c r="J259" s="47"/>
      <c r="K259" s="47"/>
      <c r="L259" s="47"/>
      <c r="M259" s="47"/>
      <c r="N259" s="10"/>
      <c r="O259" s="47"/>
      <c r="P259" s="47"/>
      <c r="Q259" s="47"/>
      <c r="R259" s="48" t="str">
        <f aca="false">IF(Q259="","",IF(Q259=0,"below 5:00",IF(Q259&gt;=66,"16:00 or above",INT((60+2*Q259)/12)&amp;":"&amp;TEXT(MOD(60+2*Q259,12),"00"))))</f>
        <v/>
      </c>
      <c r="S259" s="47"/>
      <c r="T259" s="47"/>
      <c r="U259" s="47"/>
      <c r="V259" s="47"/>
      <c r="W259" s="47"/>
      <c r="X259" s="47"/>
      <c r="Y259" s="47"/>
      <c r="Z259" s="47"/>
      <c r="AA259" s="47"/>
      <c r="AB259" s="47"/>
      <c r="AC259" s="47"/>
      <c r="AD259" s="47"/>
      <c r="AE259" s="47"/>
      <c r="AF259" s="47"/>
      <c r="AG259" s="47"/>
      <c r="AH259" s="47"/>
      <c r="AI259" s="46"/>
      <c r="AJ259" s="46"/>
      <c r="AK259" s="46"/>
      <c r="AL259" s="7"/>
      <c r="AM259" s="49" t="str">
        <f aca="false">IF(OR(C259="",G259=""),"",IFERROR(DATEDIF(C259,G259,"m"),""))</f>
        <v/>
      </c>
      <c r="AN259" s="49" t="str">
        <f aca="false">IF(OR(Q259="",AM259=""),"",60+2*Q259-AM259)</f>
        <v/>
      </c>
      <c r="AO259" s="49" t="str">
        <f aca="false">IF(OR(G259="",AJ259=""),"",AJ259-G259)</f>
        <v/>
      </c>
      <c r="AP259" s="50" t="str">
        <f aca="false">IF(AND(A259="",B259=""),"",IF(J259="","Status needed",IF(OR(J259="Applied",J259="Visit booked",J259="Withdrawn"),"OK",IF(G259="","Date assessed needed",IF(C259="","Date of birth needed",IF(COUNTA(L259,M259,P259,U259,V259,X259,AB259)&lt;7,"Band missing",IF(AND(OR(J259="Decision confirmed",J259="Family told",J259="Enrolled"),AG259=""),"Recommendation needed",IF(AND(OR(J259="Family told",J259="Enrolled"),AJ259=""),"Date family told needed","OK"))))))))</f>
        <v/>
      </c>
    </row>
    <row r="260" customFormat="false" ht="15" hidden="false" customHeight="false" outlineLevel="0" collapsed="false">
      <c r="A260" s="7"/>
      <c r="B260" s="7"/>
      <c r="C260" s="46"/>
      <c r="D260" s="7"/>
      <c r="E260" s="47"/>
      <c r="F260" s="46"/>
      <c r="G260" s="46"/>
      <c r="H260" s="7"/>
      <c r="I260" s="7"/>
      <c r="J260" s="47"/>
      <c r="K260" s="47"/>
      <c r="L260" s="47"/>
      <c r="M260" s="47"/>
      <c r="N260" s="10"/>
      <c r="O260" s="47"/>
      <c r="P260" s="47"/>
      <c r="Q260" s="47"/>
      <c r="R260" s="48" t="str">
        <f aca="false">IF(Q260="","",IF(Q260=0,"below 5:00",IF(Q260&gt;=66,"16:00 or above",INT((60+2*Q260)/12)&amp;":"&amp;TEXT(MOD(60+2*Q260,12),"00"))))</f>
        <v/>
      </c>
      <c r="S260" s="47"/>
      <c r="T260" s="47"/>
      <c r="U260" s="47"/>
      <c r="V260" s="47"/>
      <c r="W260" s="47"/>
      <c r="X260" s="47"/>
      <c r="Y260" s="47"/>
      <c r="Z260" s="47"/>
      <c r="AA260" s="47"/>
      <c r="AB260" s="47"/>
      <c r="AC260" s="47"/>
      <c r="AD260" s="47"/>
      <c r="AE260" s="47"/>
      <c r="AF260" s="47"/>
      <c r="AG260" s="47"/>
      <c r="AH260" s="47"/>
      <c r="AI260" s="46"/>
      <c r="AJ260" s="46"/>
      <c r="AK260" s="46"/>
      <c r="AL260" s="7"/>
      <c r="AM260" s="49" t="str">
        <f aca="false">IF(OR(C260="",G260=""),"",IFERROR(DATEDIF(C260,G260,"m"),""))</f>
        <v/>
      </c>
      <c r="AN260" s="49" t="str">
        <f aca="false">IF(OR(Q260="",AM260=""),"",60+2*Q260-AM260)</f>
        <v/>
      </c>
      <c r="AO260" s="49" t="str">
        <f aca="false">IF(OR(G260="",AJ260=""),"",AJ260-G260)</f>
        <v/>
      </c>
      <c r="AP260" s="50" t="str">
        <f aca="false">IF(AND(A260="",B260=""),"",IF(J260="","Status needed",IF(OR(J260="Applied",J260="Visit booked",J260="Withdrawn"),"OK",IF(G260="","Date assessed needed",IF(C260="","Date of birth needed",IF(COUNTA(L260,M260,P260,U260,V260,X260,AB260)&lt;7,"Band missing",IF(AND(OR(J260="Decision confirmed",J260="Family told",J260="Enrolled"),AG260=""),"Recommendation needed",IF(AND(OR(J260="Family told",J260="Enrolled"),AJ260=""),"Date family told needed","OK"))))))))</f>
        <v/>
      </c>
    </row>
    <row r="261" customFormat="false" ht="15" hidden="false" customHeight="false" outlineLevel="0" collapsed="false">
      <c r="A261" s="7"/>
      <c r="B261" s="7"/>
      <c r="C261" s="46"/>
      <c r="D261" s="7"/>
      <c r="E261" s="47"/>
      <c r="F261" s="46"/>
      <c r="G261" s="46"/>
      <c r="H261" s="7"/>
      <c r="I261" s="7"/>
      <c r="J261" s="47"/>
      <c r="K261" s="47"/>
      <c r="L261" s="47"/>
      <c r="M261" s="47"/>
      <c r="N261" s="10"/>
      <c r="O261" s="47"/>
      <c r="P261" s="47"/>
      <c r="Q261" s="47"/>
      <c r="R261" s="48" t="str">
        <f aca="false">IF(Q261="","",IF(Q261=0,"below 5:00",IF(Q261&gt;=66,"16:00 or above",INT((60+2*Q261)/12)&amp;":"&amp;TEXT(MOD(60+2*Q261,12),"00"))))</f>
        <v/>
      </c>
      <c r="S261" s="47"/>
      <c r="T261" s="47"/>
      <c r="U261" s="47"/>
      <c r="V261" s="47"/>
      <c r="W261" s="47"/>
      <c r="X261" s="47"/>
      <c r="Y261" s="47"/>
      <c r="Z261" s="47"/>
      <c r="AA261" s="47"/>
      <c r="AB261" s="47"/>
      <c r="AC261" s="47"/>
      <c r="AD261" s="47"/>
      <c r="AE261" s="47"/>
      <c r="AF261" s="47"/>
      <c r="AG261" s="47"/>
      <c r="AH261" s="47"/>
      <c r="AI261" s="46"/>
      <c r="AJ261" s="46"/>
      <c r="AK261" s="46"/>
      <c r="AL261" s="7"/>
      <c r="AM261" s="49" t="str">
        <f aca="false">IF(OR(C261="",G261=""),"",IFERROR(DATEDIF(C261,G261,"m"),""))</f>
        <v/>
      </c>
      <c r="AN261" s="49" t="str">
        <f aca="false">IF(OR(Q261="",AM261=""),"",60+2*Q261-AM261)</f>
        <v/>
      </c>
      <c r="AO261" s="49" t="str">
        <f aca="false">IF(OR(G261="",AJ261=""),"",AJ261-G261)</f>
        <v/>
      </c>
      <c r="AP261" s="50" t="str">
        <f aca="false">IF(AND(A261="",B261=""),"",IF(J261="","Status needed",IF(OR(J261="Applied",J261="Visit booked",J261="Withdrawn"),"OK",IF(G261="","Date assessed needed",IF(C261="","Date of birth needed",IF(COUNTA(L261,M261,P261,U261,V261,X261,AB261)&lt;7,"Band missing",IF(AND(OR(J261="Decision confirmed",J261="Family told",J261="Enrolled"),AG261=""),"Recommendation needed",IF(AND(OR(J261="Family told",J261="Enrolled"),AJ261=""),"Date family told needed","OK"))))))))</f>
        <v/>
      </c>
    </row>
    <row r="262" customFormat="false" ht="15" hidden="false" customHeight="false" outlineLevel="0" collapsed="false">
      <c r="A262" s="7"/>
      <c r="B262" s="7"/>
      <c r="C262" s="46"/>
      <c r="D262" s="7"/>
      <c r="E262" s="47"/>
      <c r="F262" s="46"/>
      <c r="G262" s="46"/>
      <c r="H262" s="7"/>
      <c r="I262" s="7"/>
      <c r="J262" s="47"/>
      <c r="K262" s="47"/>
      <c r="L262" s="47"/>
      <c r="M262" s="47"/>
      <c r="N262" s="10"/>
      <c r="O262" s="47"/>
      <c r="P262" s="47"/>
      <c r="Q262" s="47"/>
      <c r="R262" s="48" t="str">
        <f aca="false">IF(Q262="","",IF(Q262=0,"below 5:00",IF(Q262&gt;=66,"16:00 or above",INT((60+2*Q262)/12)&amp;":"&amp;TEXT(MOD(60+2*Q262,12),"00"))))</f>
        <v/>
      </c>
      <c r="S262" s="47"/>
      <c r="T262" s="47"/>
      <c r="U262" s="47"/>
      <c r="V262" s="47"/>
      <c r="W262" s="47"/>
      <c r="X262" s="47"/>
      <c r="Y262" s="47"/>
      <c r="Z262" s="47"/>
      <c r="AA262" s="47"/>
      <c r="AB262" s="47"/>
      <c r="AC262" s="47"/>
      <c r="AD262" s="47"/>
      <c r="AE262" s="47"/>
      <c r="AF262" s="47"/>
      <c r="AG262" s="47"/>
      <c r="AH262" s="47"/>
      <c r="AI262" s="46"/>
      <c r="AJ262" s="46"/>
      <c r="AK262" s="46"/>
      <c r="AL262" s="7"/>
      <c r="AM262" s="49" t="str">
        <f aca="false">IF(OR(C262="",G262=""),"",IFERROR(DATEDIF(C262,G262,"m"),""))</f>
        <v/>
      </c>
      <c r="AN262" s="49" t="str">
        <f aca="false">IF(OR(Q262="",AM262=""),"",60+2*Q262-AM262)</f>
        <v/>
      </c>
      <c r="AO262" s="49" t="str">
        <f aca="false">IF(OR(G262="",AJ262=""),"",AJ262-G262)</f>
        <v/>
      </c>
      <c r="AP262" s="50" t="str">
        <f aca="false">IF(AND(A262="",B262=""),"",IF(J262="","Status needed",IF(OR(J262="Applied",J262="Visit booked",J262="Withdrawn"),"OK",IF(G262="","Date assessed needed",IF(C262="","Date of birth needed",IF(COUNTA(L262,M262,P262,U262,V262,X262,AB262)&lt;7,"Band missing",IF(AND(OR(J262="Decision confirmed",J262="Family told",J262="Enrolled"),AG262=""),"Recommendation needed",IF(AND(OR(J262="Family told",J262="Enrolled"),AJ262=""),"Date family told needed","OK"))))))))</f>
        <v/>
      </c>
    </row>
    <row r="263" customFormat="false" ht="15" hidden="false" customHeight="false" outlineLevel="0" collapsed="false">
      <c r="A263" s="7"/>
      <c r="B263" s="7"/>
      <c r="C263" s="46"/>
      <c r="D263" s="7"/>
      <c r="E263" s="47"/>
      <c r="F263" s="46"/>
      <c r="G263" s="46"/>
      <c r="H263" s="7"/>
      <c r="I263" s="7"/>
      <c r="J263" s="47"/>
      <c r="K263" s="47"/>
      <c r="L263" s="47"/>
      <c r="M263" s="47"/>
      <c r="N263" s="10"/>
      <c r="O263" s="47"/>
      <c r="P263" s="47"/>
      <c r="Q263" s="47"/>
      <c r="R263" s="48" t="str">
        <f aca="false">IF(Q263="","",IF(Q263=0,"below 5:00",IF(Q263&gt;=66,"16:00 or above",INT((60+2*Q263)/12)&amp;":"&amp;TEXT(MOD(60+2*Q263,12),"00"))))</f>
        <v/>
      </c>
      <c r="S263" s="47"/>
      <c r="T263" s="47"/>
      <c r="U263" s="47"/>
      <c r="V263" s="47"/>
      <c r="W263" s="47"/>
      <c r="X263" s="47"/>
      <c r="Y263" s="47"/>
      <c r="Z263" s="47"/>
      <c r="AA263" s="47"/>
      <c r="AB263" s="47"/>
      <c r="AC263" s="47"/>
      <c r="AD263" s="47"/>
      <c r="AE263" s="47"/>
      <c r="AF263" s="47"/>
      <c r="AG263" s="47"/>
      <c r="AH263" s="47"/>
      <c r="AI263" s="46"/>
      <c r="AJ263" s="46"/>
      <c r="AK263" s="46"/>
      <c r="AL263" s="7"/>
      <c r="AM263" s="49" t="str">
        <f aca="false">IF(OR(C263="",G263=""),"",IFERROR(DATEDIF(C263,G263,"m"),""))</f>
        <v/>
      </c>
      <c r="AN263" s="49" t="str">
        <f aca="false">IF(OR(Q263="",AM263=""),"",60+2*Q263-AM263)</f>
        <v/>
      </c>
      <c r="AO263" s="49" t="str">
        <f aca="false">IF(OR(G263="",AJ263=""),"",AJ263-G263)</f>
        <v/>
      </c>
      <c r="AP263" s="50" t="str">
        <f aca="false">IF(AND(A263="",B263=""),"",IF(J263="","Status needed",IF(OR(J263="Applied",J263="Visit booked",J263="Withdrawn"),"OK",IF(G263="","Date assessed needed",IF(C263="","Date of birth needed",IF(COUNTA(L263,M263,P263,U263,V263,X263,AB263)&lt;7,"Band missing",IF(AND(OR(J263="Decision confirmed",J263="Family told",J263="Enrolled"),AG263=""),"Recommendation needed",IF(AND(OR(J263="Family told",J263="Enrolled"),AJ263=""),"Date family told needed","OK"))))))))</f>
        <v/>
      </c>
    </row>
    <row r="264" customFormat="false" ht="15" hidden="false" customHeight="false" outlineLevel="0" collapsed="false">
      <c r="A264" s="7"/>
      <c r="B264" s="7"/>
      <c r="C264" s="46"/>
      <c r="D264" s="7"/>
      <c r="E264" s="47"/>
      <c r="F264" s="46"/>
      <c r="G264" s="46"/>
      <c r="H264" s="7"/>
      <c r="I264" s="7"/>
      <c r="J264" s="47"/>
      <c r="K264" s="47"/>
      <c r="L264" s="47"/>
      <c r="M264" s="47"/>
      <c r="N264" s="10"/>
      <c r="O264" s="47"/>
      <c r="P264" s="47"/>
      <c r="Q264" s="47"/>
      <c r="R264" s="48" t="str">
        <f aca="false">IF(Q264="","",IF(Q264=0,"below 5:00",IF(Q264&gt;=66,"16:00 or above",INT((60+2*Q264)/12)&amp;":"&amp;TEXT(MOD(60+2*Q264,12),"00"))))</f>
        <v/>
      </c>
      <c r="S264" s="47"/>
      <c r="T264" s="47"/>
      <c r="U264" s="47"/>
      <c r="V264" s="47"/>
      <c r="W264" s="47"/>
      <c r="X264" s="47"/>
      <c r="Y264" s="47"/>
      <c r="Z264" s="47"/>
      <c r="AA264" s="47"/>
      <c r="AB264" s="47"/>
      <c r="AC264" s="47"/>
      <c r="AD264" s="47"/>
      <c r="AE264" s="47"/>
      <c r="AF264" s="47"/>
      <c r="AG264" s="47"/>
      <c r="AH264" s="47"/>
      <c r="AI264" s="46"/>
      <c r="AJ264" s="46"/>
      <c r="AK264" s="46"/>
      <c r="AL264" s="7"/>
      <c r="AM264" s="49" t="str">
        <f aca="false">IF(OR(C264="",G264=""),"",IFERROR(DATEDIF(C264,G264,"m"),""))</f>
        <v/>
      </c>
      <c r="AN264" s="49" t="str">
        <f aca="false">IF(OR(Q264="",AM264=""),"",60+2*Q264-AM264)</f>
        <v/>
      </c>
      <c r="AO264" s="49" t="str">
        <f aca="false">IF(OR(G264="",AJ264=""),"",AJ264-G264)</f>
        <v/>
      </c>
      <c r="AP264" s="50" t="str">
        <f aca="false">IF(AND(A264="",B264=""),"",IF(J264="","Status needed",IF(OR(J264="Applied",J264="Visit booked",J264="Withdrawn"),"OK",IF(G264="","Date assessed needed",IF(C264="","Date of birth needed",IF(COUNTA(L264,M264,P264,U264,V264,X264,AB264)&lt;7,"Band missing",IF(AND(OR(J264="Decision confirmed",J264="Family told",J264="Enrolled"),AG264=""),"Recommendation needed",IF(AND(OR(J264="Family told",J264="Enrolled"),AJ264=""),"Date family told needed","OK"))))))))</f>
        <v/>
      </c>
    </row>
    <row r="265" customFormat="false" ht="15" hidden="false" customHeight="false" outlineLevel="0" collapsed="false">
      <c r="A265" s="7"/>
      <c r="B265" s="7"/>
      <c r="C265" s="46"/>
      <c r="D265" s="7"/>
      <c r="E265" s="47"/>
      <c r="F265" s="46"/>
      <c r="G265" s="46"/>
      <c r="H265" s="7"/>
      <c r="I265" s="7"/>
      <c r="J265" s="47"/>
      <c r="K265" s="47"/>
      <c r="L265" s="47"/>
      <c r="M265" s="47"/>
      <c r="N265" s="10"/>
      <c r="O265" s="47"/>
      <c r="P265" s="47"/>
      <c r="Q265" s="47"/>
      <c r="R265" s="48" t="str">
        <f aca="false">IF(Q265="","",IF(Q265=0,"below 5:00",IF(Q265&gt;=66,"16:00 or above",INT((60+2*Q265)/12)&amp;":"&amp;TEXT(MOD(60+2*Q265,12),"00"))))</f>
        <v/>
      </c>
      <c r="S265" s="47"/>
      <c r="T265" s="47"/>
      <c r="U265" s="47"/>
      <c r="V265" s="47"/>
      <c r="W265" s="47"/>
      <c r="X265" s="47"/>
      <c r="Y265" s="47"/>
      <c r="Z265" s="47"/>
      <c r="AA265" s="47"/>
      <c r="AB265" s="47"/>
      <c r="AC265" s="47"/>
      <c r="AD265" s="47"/>
      <c r="AE265" s="47"/>
      <c r="AF265" s="47"/>
      <c r="AG265" s="47"/>
      <c r="AH265" s="47"/>
      <c r="AI265" s="46"/>
      <c r="AJ265" s="46"/>
      <c r="AK265" s="46"/>
      <c r="AL265" s="7"/>
      <c r="AM265" s="49" t="str">
        <f aca="false">IF(OR(C265="",G265=""),"",IFERROR(DATEDIF(C265,G265,"m"),""))</f>
        <v/>
      </c>
      <c r="AN265" s="49" t="str">
        <f aca="false">IF(OR(Q265="",AM265=""),"",60+2*Q265-AM265)</f>
        <v/>
      </c>
      <c r="AO265" s="49" t="str">
        <f aca="false">IF(OR(G265="",AJ265=""),"",AJ265-G265)</f>
        <v/>
      </c>
      <c r="AP265" s="50" t="str">
        <f aca="false">IF(AND(A265="",B265=""),"",IF(J265="","Status needed",IF(OR(J265="Applied",J265="Visit booked",J265="Withdrawn"),"OK",IF(G265="","Date assessed needed",IF(C265="","Date of birth needed",IF(COUNTA(L265,M265,P265,U265,V265,X265,AB265)&lt;7,"Band missing",IF(AND(OR(J265="Decision confirmed",J265="Family told",J265="Enrolled"),AG265=""),"Recommendation needed",IF(AND(OR(J265="Family told",J265="Enrolled"),AJ265=""),"Date family told needed","OK"))))))))</f>
        <v/>
      </c>
    </row>
    <row r="266" customFormat="false" ht="15" hidden="false" customHeight="false" outlineLevel="0" collapsed="false">
      <c r="A266" s="7"/>
      <c r="B266" s="7"/>
      <c r="C266" s="46"/>
      <c r="D266" s="7"/>
      <c r="E266" s="47"/>
      <c r="F266" s="46"/>
      <c r="G266" s="46"/>
      <c r="H266" s="7"/>
      <c r="I266" s="7"/>
      <c r="J266" s="47"/>
      <c r="K266" s="47"/>
      <c r="L266" s="47"/>
      <c r="M266" s="47"/>
      <c r="N266" s="10"/>
      <c r="O266" s="47"/>
      <c r="P266" s="47"/>
      <c r="Q266" s="47"/>
      <c r="R266" s="48" t="str">
        <f aca="false">IF(Q266="","",IF(Q266=0,"below 5:00",IF(Q266&gt;=66,"16:00 or above",INT((60+2*Q266)/12)&amp;":"&amp;TEXT(MOD(60+2*Q266,12),"00"))))</f>
        <v/>
      </c>
      <c r="S266" s="47"/>
      <c r="T266" s="47"/>
      <c r="U266" s="47"/>
      <c r="V266" s="47"/>
      <c r="W266" s="47"/>
      <c r="X266" s="47"/>
      <c r="Y266" s="47"/>
      <c r="Z266" s="47"/>
      <c r="AA266" s="47"/>
      <c r="AB266" s="47"/>
      <c r="AC266" s="47"/>
      <c r="AD266" s="47"/>
      <c r="AE266" s="47"/>
      <c r="AF266" s="47"/>
      <c r="AG266" s="47"/>
      <c r="AH266" s="47"/>
      <c r="AI266" s="46"/>
      <c r="AJ266" s="46"/>
      <c r="AK266" s="46"/>
      <c r="AL266" s="7"/>
      <c r="AM266" s="49" t="str">
        <f aca="false">IF(OR(C266="",G266=""),"",IFERROR(DATEDIF(C266,G266,"m"),""))</f>
        <v/>
      </c>
      <c r="AN266" s="49" t="str">
        <f aca="false">IF(OR(Q266="",AM266=""),"",60+2*Q266-AM266)</f>
        <v/>
      </c>
      <c r="AO266" s="49" t="str">
        <f aca="false">IF(OR(G266="",AJ266=""),"",AJ266-G266)</f>
        <v/>
      </c>
      <c r="AP266" s="50" t="str">
        <f aca="false">IF(AND(A266="",B266=""),"",IF(J266="","Status needed",IF(OR(J266="Applied",J266="Visit booked",J266="Withdrawn"),"OK",IF(G266="","Date assessed needed",IF(C266="","Date of birth needed",IF(COUNTA(L266,M266,P266,U266,V266,X266,AB266)&lt;7,"Band missing",IF(AND(OR(J266="Decision confirmed",J266="Family told",J266="Enrolled"),AG266=""),"Recommendation needed",IF(AND(OR(J266="Family told",J266="Enrolled"),AJ266=""),"Date family told needed","OK"))))))))</f>
        <v/>
      </c>
    </row>
    <row r="267" customFormat="false" ht="15" hidden="false" customHeight="false" outlineLevel="0" collapsed="false">
      <c r="A267" s="7"/>
      <c r="B267" s="7"/>
      <c r="C267" s="46"/>
      <c r="D267" s="7"/>
      <c r="E267" s="47"/>
      <c r="F267" s="46"/>
      <c r="G267" s="46"/>
      <c r="H267" s="7"/>
      <c r="I267" s="7"/>
      <c r="J267" s="47"/>
      <c r="K267" s="47"/>
      <c r="L267" s="47"/>
      <c r="M267" s="47"/>
      <c r="N267" s="10"/>
      <c r="O267" s="47"/>
      <c r="P267" s="47"/>
      <c r="Q267" s="47"/>
      <c r="R267" s="48" t="str">
        <f aca="false">IF(Q267="","",IF(Q267=0,"below 5:00",IF(Q267&gt;=66,"16:00 or above",INT((60+2*Q267)/12)&amp;":"&amp;TEXT(MOD(60+2*Q267,12),"00"))))</f>
        <v/>
      </c>
      <c r="S267" s="47"/>
      <c r="T267" s="47"/>
      <c r="U267" s="47"/>
      <c r="V267" s="47"/>
      <c r="W267" s="47"/>
      <c r="X267" s="47"/>
      <c r="Y267" s="47"/>
      <c r="Z267" s="47"/>
      <c r="AA267" s="47"/>
      <c r="AB267" s="47"/>
      <c r="AC267" s="47"/>
      <c r="AD267" s="47"/>
      <c r="AE267" s="47"/>
      <c r="AF267" s="47"/>
      <c r="AG267" s="47"/>
      <c r="AH267" s="47"/>
      <c r="AI267" s="46"/>
      <c r="AJ267" s="46"/>
      <c r="AK267" s="46"/>
      <c r="AL267" s="7"/>
      <c r="AM267" s="49" t="str">
        <f aca="false">IF(OR(C267="",G267=""),"",IFERROR(DATEDIF(C267,G267,"m"),""))</f>
        <v/>
      </c>
      <c r="AN267" s="49" t="str">
        <f aca="false">IF(OR(Q267="",AM267=""),"",60+2*Q267-AM267)</f>
        <v/>
      </c>
      <c r="AO267" s="49" t="str">
        <f aca="false">IF(OR(G267="",AJ267=""),"",AJ267-G267)</f>
        <v/>
      </c>
      <c r="AP267" s="50" t="str">
        <f aca="false">IF(AND(A267="",B267=""),"",IF(J267="","Status needed",IF(OR(J267="Applied",J267="Visit booked",J267="Withdrawn"),"OK",IF(G267="","Date assessed needed",IF(C267="","Date of birth needed",IF(COUNTA(L267,M267,P267,U267,V267,X267,AB267)&lt;7,"Band missing",IF(AND(OR(J267="Decision confirmed",J267="Family told",J267="Enrolled"),AG267=""),"Recommendation needed",IF(AND(OR(J267="Family told",J267="Enrolled"),AJ267=""),"Date family told needed","OK"))))))))</f>
        <v/>
      </c>
    </row>
    <row r="268" customFormat="false" ht="15" hidden="false" customHeight="false" outlineLevel="0" collapsed="false">
      <c r="A268" s="7"/>
      <c r="B268" s="7"/>
      <c r="C268" s="46"/>
      <c r="D268" s="7"/>
      <c r="E268" s="47"/>
      <c r="F268" s="46"/>
      <c r="G268" s="46"/>
      <c r="H268" s="7"/>
      <c r="I268" s="7"/>
      <c r="J268" s="47"/>
      <c r="K268" s="47"/>
      <c r="L268" s="47"/>
      <c r="M268" s="47"/>
      <c r="N268" s="10"/>
      <c r="O268" s="47"/>
      <c r="P268" s="47"/>
      <c r="Q268" s="47"/>
      <c r="R268" s="48" t="str">
        <f aca="false">IF(Q268="","",IF(Q268=0,"below 5:00",IF(Q268&gt;=66,"16:00 or above",INT((60+2*Q268)/12)&amp;":"&amp;TEXT(MOD(60+2*Q268,12),"00"))))</f>
        <v/>
      </c>
      <c r="S268" s="47"/>
      <c r="T268" s="47"/>
      <c r="U268" s="47"/>
      <c r="V268" s="47"/>
      <c r="W268" s="47"/>
      <c r="X268" s="47"/>
      <c r="Y268" s="47"/>
      <c r="Z268" s="47"/>
      <c r="AA268" s="47"/>
      <c r="AB268" s="47"/>
      <c r="AC268" s="47"/>
      <c r="AD268" s="47"/>
      <c r="AE268" s="47"/>
      <c r="AF268" s="47"/>
      <c r="AG268" s="47"/>
      <c r="AH268" s="47"/>
      <c r="AI268" s="46"/>
      <c r="AJ268" s="46"/>
      <c r="AK268" s="46"/>
      <c r="AL268" s="7"/>
      <c r="AM268" s="49" t="str">
        <f aca="false">IF(OR(C268="",G268=""),"",IFERROR(DATEDIF(C268,G268,"m"),""))</f>
        <v/>
      </c>
      <c r="AN268" s="49" t="str">
        <f aca="false">IF(OR(Q268="",AM268=""),"",60+2*Q268-AM268)</f>
        <v/>
      </c>
      <c r="AO268" s="49" t="str">
        <f aca="false">IF(OR(G268="",AJ268=""),"",AJ268-G268)</f>
        <v/>
      </c>
      <c r="AP268" s="50" t="str">
        <f aca="false">IF(AND(A268="",B268=""),"",IF(J268="","Status needed",IF(OR(J268="Applied",J268="Visit booked",J268="Withdrawn"),"OK",IF(G268="","Date assessed needed",IF(C268="","Date of birth needed",IF(COUNTA(L268,M268,P268,U268,V268,X268,AB268)&lt;7,"Band missing",IF(AND(OR(J268="Decision confirmed",J268="Family told",J268="Enrolled"),AG268=""),"Recommendation needed",IF(AND(OR(J268="Family told",J268="Enrolled"),AJ268=""),"Date family told needed","OK"))))))))</f>
        <v/>
      </c>
    </row>
    <row r="269" customFormat="false" ht="15" hidden="false" customHeight="false" outlineLevel="0" collapsed="false">
      <c r="A269" s="7"/>
      <c r="B269" s="7"/>
      <c r="C269" s="46"/>
      <c r="D269" s="7"/>
      <c r="E269" s="47"/>
      <c r="F269" s="46"/>
      <c r="G269" s="46"/>
      <c r="H269" s="7"/>
      <c r="I269" s="7"/>
      <c r="J269" s="47"/>
      <c r="K269" s="47"/>
      <c r="L269" s="47"/>
      <c r="M269" s="47"/>
      <c r="N269" s="10"/>
      <c r="O269" s="47"/>
      <c r="P269" s="47"/>
      <c r="Q269" s="47"/>
      <c r="R269" s="48" t="str">
        <f aca="false">IF(Q269="","",IF(Q269=0,"below 5:00",IF(Q269&gt;=66,"16:00 or above",INT((60+2*Q269)/12)&amp;":"&amp;TEXT(MOD(60+2*Q269,12),"00"))))</f>
        <v/>
      </c>
      <c r="S269" s="47"/>
      <c r="T269" s="47"/>
      <c r="U269" s="47"/>
      <c r="V269" s="47"/>
      <c r="W269" s="47"/>
      <c r="X269" s="47"/>
      <c r="Y269" s="47"/>
      <c r="Z269" s="47"/>
      <c r="AA269" s="47"/>
      <c r="AB269" s="47"/>
      <c r="AC269" s="47"/>
      <c r="AD269" s="47"/>
      <c r="AE269" s="47"/>
      <c r="AF269" s="47"/>
      <c r="AG269" s="47"/>
      <c r="AH269" s="47"/>
      <c r="AI269" s="46"/>
      <c r="AJ269" s="46"/>
      <c r="AK269" s="46"/>
      <c r="AL269" s="7"/>
      <c r="AM269" s="49" t="str">
        <f aca="false">IF(OR(C269="",G269=""),"",IFERROR(DATEDIF(C269,G269,"m"),""))</f>
        <v/>
      </c>
      <c r="AN269" s="49" t="str">
        <f aca="false">IF(OR(Q269="",AM269=""),"",60+2*Q269-AM269)</f>
        <v/>
      </c>
      <c r="AO269" s="49" t="str">
        <f aca="false">IF(OR(G269="",AJ269=""),"",AJ269-G269)</f>
        <v/>
      </c>
      <c r="AP269" s="50" t="str">
        <f aca="false">IF(AND(A269="",B269=""),"",IF(J269="","Status needed",IF(OR(J269="Applied",J269="Visit booked",J269="Withdrawn"),"OK",IF(G269="","Date assessed needed",IF(C269="","Date of birth needed",IF(COUNTA(L269,M269,P269,U269,V269,X269,AB269)&lt;7,"Band missing",IF(AND(OR(J269="Decision confirmed",J269="Family told",J269="Enrolled"),AG269=""),"Recommendation needed",IF(AND(OR(J269="Family told",J269="Enrolled"),AJ269=""),"Date family told needed","OK"))))))))</f>
        <v/>
      </c>
    </row>
    <row r="270" customFormat="false" ht="15" hidden="false" customHeight="false" outlineLevel="0" collapsed="false">
      <c r="A270" s="7"/>
      <c r="B270" s="7"/>
      <c r="C270" s="46"/>
      <c r="D270" s="7"/>
      <c r="E270" s="47"/>
      <c r="F270" s="46"/>
      <c r="G270" s="46"/>
      <c r="H270" s="7"/>
      <c r="I270" s="7"/>
      <c r="J270" s="47"/>
      <c r="K270" s="47"/>
      <c r="L270" s="47"/>
      <c r="M270" s="47"/>
      <c r="N270" s="10"/>
      <c r="O270" s="47"/>
      <c r="P270" s="47"/>
      <c r="Q270" s="47"/>
      <c r="R270" s="48" t="str">
        <f aca="false">IF(Q270="","",IF(Q270=0,"below 5:00",IF(Q270&gt;=66,"16:00 or above",INT((60+2*Q270)/12)&amp;":"&amp;TEXT(MOD(60+2*Q270,12),"00"))))</f>
        <v/>
      </c>
      <c r="S270" s="47"/>
      <c r="T270" s="47"/>
      <c r="U270" s="47"/>
      <c r="V270" s="47"/>
      <c r="W270" s="47"/>
      <c r="X270" s="47"/>
      <c r="Y270" s="47"/>
      <c r="Z270" s="47"/>
      <c r="AA270" s="47"/>
      <c r="AB270" s="47"/>
      <c r="AC270" s="47"/>
      <c r="AD270" s="47"/>
      <c r="AE270" s="47"/>
      <c r="AF270" s="47"/>
      <c r="AG270" s="47"/>
      <c r="AH270" s="47"/>
      <c r="AI270" s="46"/>
      <c r="AJ270" s="46"/>
      <c r="AK270" s="46"/>
      <c r="AL270" s="7"/>
      <c r="AM270" s="49" t="str">
        <f aca="false">IF(OR(C270="",G270=""),"",IFERROR(DATEDIF(C270,G270,"m"),""))</f>
        <v/>
      </c>
      <c r="AN270" s="49" t="str">
        <f aca="false">IF(OR(Q270="",AM270=""),"",60+2*Q270-AM270)</f>
        <v/>
      </c>
      <c r="AO270" s="49" t="str">
        <f aca="false">IF(OR(G270="",AJ270=""),"",AJ270-G270)</f>
        <v/>
      </c>
      <c r="AP270" s="50" t="str">
        <f aca="false">IF(AND(A270="",B270=""),"",IF(J270="","Status needed",IF(OR(J270="Applied",J270="Visit booked",J270="Withdrawn"),"OK",IF(G270="","Date assessed needed",IF(C270="","Date of birth needed",IF(COUNTA(L270,M270,P270,U270,V270,X270,AB270)&lt;7,"Band missing",IF(AND(OR(J270="Decision confirmed",J270="Family told",J270="Enrolled"),AG270=""),"Recommendation needed",IF(AND(OR(J270="Family told",J270="Enrolled"),AJ270=""),"Date family told needed","OK"))))))))</f>
        <v/>
      </c>
    </row>
    <row r="271" customFormat="false" ht="15" hidden="false" customHeight="false" outlineLevel="0" collapsed="false">
      <c r="A271" s="7"/>
      <c r="B271" s="7"/>
      <c r="C271" s="46"/>
      <c r="D271" s="7"/>
      <c r="E271" s="47"/>
      <c r="F271" s="46"/>
      <c r="G271" s="46"/>
      <c r="H271" s="7"/>
      <c r="I271" s="7"/>
      <c r="J271" s="47"/>
      <c r="K271" s="47"/>
      <c r="L271" s="47"/>
      <c r="M271" s="47"/>
      <c r="N271" s="10"/>
      <c r="O271" s="47"/>
      <c r="P271" s="47"/>
      <c r="Q271" s="47"/>
      <c r="R271" s="48" t="str">
        <f aca="false">IF(Q271="","",IF(Q271=0,"below 5:00",IF(Q271&gt;=66,"16:00 or above",INT((60+2*Q271)/12)&amp;":"&amp;TEXT(MOD(60+2*Q271,12),"00"))))</f>
        <v/>
      </c>
      <c r="S271" s="47"/>
      <c r="T271" s="47"/>
      <c r="U271" s="47"/>
      <c r="V271" s="47"/>
      <c r="W271" s="47"/>
      <c r="X271" s="47"/>
      <c r="Y271" s="47"/>
      <c r="Z271" s="47"/>
      <c r="AA271" s="47"/>
      <c r="AB271" s="47"/>
      <c r="AC271" s="47"/>
      <c r="AD271" s="47"/>
      <c r="AE271" s="47"/>
      <c r="AF271" s="47"/>
      <c r="AG271" s="47"/>
      <c r="AH271" s="47"/>
      <c r="AI271" s="46"/>
      <c r="AJ271" s="46"/>
      <c r="AK271" s="46"/>
      <c r="AL271" s="7"/>
      <c r="AM271" s="49" t="str">
        <f aca="false">IF(OR(C271="",G271=""),"",IFERROR(DATEDIF(C271,G271,"m"),""))</f>
        <v/>
      </c>
      <c r="AN271" s="49" t="str">
        <f aca="false">IF(OR(Q271="",AM271=""),"",60+2*Q271-AM271)</f>
        <v/>
      </c>
      <c r="AO271" s="49" t="str">
        <f aca="false">IF(OR(G271="",AJ271=""),"",AJ271-G271)</f>
        <v/>
      </c>
      <c r="AP271" s="50" t="str">
        <f aca="false">IF(AND(A271="",B271=""),"",IF(J271="","Status needed",IF(OR(J271="Applied",J271="Visit booked",J271="Withdrawn"),"OK",IF(G271="","Date assessed needed",IF(C271="","Date of birth needed",IF(COUNTA(L271,M271,P271,U271,V271,X271,AB271)&lt;7,"Band missing",IF(AND(OR(J271="Decision confirmed",J271="Family told",J271="Enrolled"),AG271=""),"Recommendation needed",IF(AND(OR(J271="Family told",J271="Enrolled"),AJ271=""),"Date family told needed","OK"))))))))</f>
        <v/>
      </c>
    </row>
    <row r="272" customFormat="false" ht="15" hidden="false" customHeight="false" outlineLevel="0" collapsed="false">
      <c r="A272" s="7"/>
      <c r="B272" s="7"/>
      <c r="C272" s="46"/>
      <c r="D272" s="7"/>
      <c r="E272" s="47"/>
      <c r="F272" s="46"/>
      <c r="G272" s="46"/>
      <c r="H272" s="7"/>
      <c r="I272" s="7"/>
      <c r="J272" s="47"/>
      <c r="K272" s="47"/>
      <c r="L272" s="47"/>
      <c r="M272" s="47"/>
      <c r="N272" s="10"/>
      <c r="O272" s="47"/>
      <c r="P272" s="47"/>
      <c r="Q272" s="47"/>
      <c r="R272" s="48" t="str">
        <f aca="false">IF(Q272="","",IF(Q272=0,"below 5:00",IF(Q272&gt;=66,"16:00 or above",INT((60+2*Q272)/12)&amp;":"&amp;TEXT(MOD(60+2*Q272,12),"00"))))</f>
        <v/>
      </c>
      <c r="S272" s="47"/>
      <c r="T272" s="47"/>
      <c r="U272" s="47"/>
      <c r="V272" s="47"/>
      <c r="W272" s="47"/>
      <c r="X272" s="47"/>
      <c r="Y272" s="47"/>
      <c r="Z272" s="47"/>
      <c r="AA272" s="47"/>
      <c r="AB272" s="47"/>
      <c r="AC272" s="47"/>
      <c r="AD272" s="47"/>
      <c r="AE272" s="47"/>
      <c r="AF272" s="47"/>
      <c r="AG272" s="47"/>
      <c r="AH272" s="47"/>
      <c r="AI272" s="46"/>
      <c r="AJ272" s="46"/>
      <c r="AK272" s="46"/>
      <c r="AL272" s="7"/>
      <c r="AM272" s="49" t="str">
        <f aca="false">IF(OR(C272="",G272=""),"",IFERROR(DATEDIF(C272,G272,"m"),""))</f>
        <v/>
      </c>
      <c r="AN272" s="49" t="str">
        <f aca="false">IF(OR(Q272="",AM272=""),"",60+2*Q272-AM272)</f>
        <v/>
      </c>
      <c r="AO272" s="49" t="str">
        <f aca="false">IF(OR(G272="",AJ272=""),"",AJ272-G272)</f>
        <v/>
      </c>
      <c r="AP272" s="50" t="str">
        <f aca="false">IF(AND(A272="",B272=""),"",IF(J272="","Status needed",IF(OR(J272="Applied",J272="Visit booked",J272="Withdrawn"),"OK",IF(G272="","Date assessed needed",IF(C272="","Date of birth needed",IF(COUNTA(L272,M272,P272,U272,V272,X272,AB272)&lt;7,"Band missing",IF(AND(OR(J272="Decision confirmed",J272="Family told",J272="Enrolled"),AG272=""),"Recommendation needed",IF(AND(OR(J272="Family told",J272="Enrolled"),AJ272=""),"Date family told needed","OK"))))))))</f>
        <v/>
      </c>
    </row>
    <row r="273" customFormat="false" ht="15" hidden="false" customHeight="false" outlineLevel="0" collapsed="false">
      <c r="A273" s="7"/>
      <c r="B273" s="7"/>
      <c r="C273" s="46"/>
      <c r="D273" s="7"/>
      <c r="E273" s="47"/>
      <c r="F273" s="46"/>
      <c r="G273" s="46"/>
      <c r="H273" s="7"/>
      <c r="I273" s="7"/>
      <c r="J273" s="47"/>
      <c r="K273" s="47"/>
      <c r="L273" s="47"/>
      <c r="M273" s="47"/>
      <c r="N273" s="10"/>
      <c r="O273" s="47"/>
      <c r="P273" s="47"/>
      <c r="Q273" s="47"/>
      <c r="R273" s="48" t="str">
        <f aca="false">IF(Q273="","",IF(Q273=0,"below 5:00",IF(Q273&gt;=66,"16:00 or above",INT((60+2*Q273)/12)&amp;":"&amp;TEXT(MOD(60+2*Q273,12),"00"))))</f>
        <v/>
      </c>
      <c r="S273" s="47"/>
      <c r="T273" s="47"/>
      <c r="U273" s="47"/>
      <c r="V273" s="47"/>
      <c r="W273" s="47"/>
      <c r="X273" s="47"/>
      <c r="Y273" s="47"/>
      <c r="Z273" s="47"/>
      <c r="AA273" s="47"/>
      <c r="AB273" s="47"/>
      <c r="AC273" s="47"/>
      <c r="AD273" s="47"/>
      <c r="AE273" s="47"/>
      <c r="AF273" s="47"/>
      <c r="AG273" s="47"/>
      <c r="AH273" s="47"/>
      <c r="AI273" s="46"/>
      <c r="AJ273" s="46"/>
      <c r="AK273" s="46"/>
      <c r="AL273" s="7"/>
      <c r="AM273" s="49" t="str">
        <f aca="false">IF(OR(C273="",G273=""),"",IFERROR(DATEDIF(C273,G273,"m"),""))</f>
        <v/>
      </c>
      <c r="AN273" s="49" t="str">
        <f aca="false">IF(OR(Q273="",AM273=""),"",60+2*Q273-AM273)</f>
        <v/>
      </c>
      <c r="AO273" s="49" t="str">
        <f aca="false">IF(OR(G273="",AJ273=""),"",AJ273-G273)</f>
        <v/>
      </c>
      <c r="AP273" s="50" t="str">
        <f aca="false">IF(AND(A273="",B273=""),"",IF(J273="","Status needed",IF(OR(J273="Applied",J273="Visit booked",J273="Withdrawn"),"OK",IF(G273="","Date assessed needed",IF(C273="","Date of birth needed",IF(COUNTA(L273,M273,P273,U273,V273,X273,AB273)&lt;7,"Band missing",IF(AND(OR(J273="Decision confirmed",J273="Family told",J273="Enrolled"),AG273=""),"Recommendation needed",IF(AND(OR(J273="Family told",J273="Enrolled"),AJ273=""),"Date family told needed","OK"))))))))</f>
        <v/>
      </c>
    </row>
    <row r="274" customFormat="false" ht="15" hidden="false" customHeight="false" outlineLevel="0" collapsed="false">
      <c r="A274" s="7"/>
      <c r="B274" s="7"/>
      <c r="C274" s="46"/>
      <c r="D274" s="7"/>
      <c r="E274" s="47"/>
      <c r="F274" s="46"/>
      <c r="G274" s="46"/>
      <c r="H274" s="7"/>
      <c r="I274" s="7"/>
      <c r="J274" s="47"/>
      <c r="K274" s="47"/>
      <c r="L274" s="47"/>
      <c r="M274" s="47"/>
      <c r="N274" s="10"/>
      <c r="O274" s="47"/>
      <c r="P274" s="47"/>
      <c r="Q274" s="47"/>
      <c r="R274" s="48" t="str">
        <f aca="false">IF(Q274="","",IF(Q274=0,"below 5:00",IF(Q274&gt;=66,"16:00 or above",INT((60+2*Q274)/12)&amp;":"&amp;TEXT(MOD(60+2*Q274,12),"00"))))</f>
        <v/>
      </c>
      <c r="S274" s="47"/>
      <c r="T274" s="47"/>
      <c r="U274" s="47"/>
      <c r="V274" s="47"/>
      <c r="W274" s="47"/>
      <c r="X274" s="47"/>
      <c r="Y274" s="47"/>
      <c r="Z274" s="47"/>
      <c r="AA274" s="47"/>
      <c r="AB274" s="47"/>
      <c r="AC274" s="47"/>
      <c r="AD274" s="47"/>
      <c r="AE274" s="47"/>
      <c r="AF274" s="47"/>
      <c r="AG274" s="47"/>
      <c r="AH274" s="47"/>
      <c r="AI274" s="46"/>
      <c r="AJ274" s="46"/>
      <c r="AK274" s="46"/>
      <c r="AL274" s="7"/>
      <c r="AM274" s="49" t="str">
        <f aca="false">IF(OR(C274="",G274=""),"",IFERROR(DATEDIF(C274,G274,"m"),""))</f>
        <v/>
      </c>
      <c r="AN274" s="49" t="str">
        <f aca="false">IF(OR(Q274="",AM274=""),"",60+2*Q274-AM274)</f>
        <v/>
      </c>
      <c r="AO274" s="49" t="str">
        <f aca="false">IF(OR(G274="",AJ274=""),"",AJ274-G274)</f>
        <v/>
      </c>
      <c r="AP274" s="50" t="str">
        <f aca="false">IF(AND(A274="",B274=""),"",IF(J274="","Status needed",IF(OR(J274="Applied",J274="Visit booked",J274="Withdrawn"),"OK",IF(G274="","Date assessed needed",IF(C274="","Date of birth needed",IF(COUNTA(L274,M274,P274,U274,V274,X274,AB274)&lt;7,"Band missing",IF(AND(OR(J274="Decision confirmed",J274="Family told",J274="Enrolled"),AG274=""),"Recommendation needed",IF(AND(OR(J274="Family told",J274="Enrolled"),AJ274=""),"Date family told needed","OK"))))))))</f>
        <v/>
      </c>
    </row>
    <row r="275" customFormat="false" ht="15" hidden="false" customHeight="false" outlineLevel="0" collapsed="false">
      <c r="A275" s="7"/>
      <c r="B275" s="7"/>
      <c r="C275" s="46"/>
      <c r="D275" s="7"/>
      <c r="E275" s="47"/>
      <c r="F275" s="46"/>
      <c r="G275" s="46"/>
      <c r="H275" s="7"/>
      <c r="I275" s="7"/>
      <c r="J275" s="47"/>
      <c r="K275" s="47"/>
      <c r="L275" s="47"/>
      <c r="M275" s="47"/>
      <c r="N275" s="10"/>
      <c r="O275" s="47"/>
      <c r="P275" s="47"/>
      <c r="Q275" s="47"/>
      <c r="R275" s="48" t="str">
        <f aca="false">IF(Q275="","",IF(Q275=0,"below 5:00",IF(Q275&gt;=66,"16:00 or above",INT((60+2*Q275)/12)&amp;":"&amp;TEXT(MOD(60+2*Q275,12),"00"))))</f>
        <v/>
      </c>
      <c r="S275" s="47"/>
      <c r="T275" s="47"/>
      <c r="U275" s="47"/>
      <c r="V275" s="47"/>
      <c r="W275" s="47"/>
      <c r="X275" s="47"/>
      <c r="Y275" s="47"/>
      <c r="Z275" s="47"/>
      <c r="AA275" s="47"/>
      <c r="AB275" s="47"/>
      <c r="AC275" s="47"/>
      <c r="AD275" s="47"/>
      <c r="AE275" s="47"/>
      <c r="AF275" s="47"/>
      <c r="AG275" s="47"/>
      <c r="AH275" s="47"/>
      <c r="AI275" s="46"/>
      <c r="AJ275" s="46"/>
      <c r="AK275" s="46"/>
      <c r="AL275" s="7"/>
      <c r="AM275" s="49" t="str">
        <f aca="false">IF(OR(C275="",G275=""),"",IFERROR(DATEDIF(C275,G275,"m"),""))</f>
        <v/>
      </c>
      <c r="AN275" s="49" t="str">
        <f aca="false">IF(OR(Q275="",AM275=""),"",60+2*Q275-AM275)</f>
        <v/>
      </c>
      <c r="AO275" s="49" t="str">
        <f aca="false">IF(OR(G275="",AJ275=""),"",AJ275-G275)</f>
        <v/>
      </c>
      <c r="AP275" s="50" t="str">
        <f aca="false">IF(AND(A275="",B275=""),"",IF(J275="","Status needed",IF(OR(J275="Applied",J275="Visit booked",J275="Withdrawn"),"OK",IF(G275="","Date assessed needed",IF(C275="","Date of birth needed",IF(COUNTA(L275,M275,P275,U275,V275,X275,AB275)&lt;7,"Band missing",IF(AND(OR(J275="Decision confirmed",J275="Family told",J275="Enrolled"),AG275=""),"Recommendation needed",IF(AND(OR(J275="Family told",J275="Enrolled"),AJ275=""),"Date family told needed","OK"))))))))</f>
        <v/>
      </c>
    </row>
    <row r="276" customFormat="false" ht="15" hidden="false" customHeight="false" outlineLevel="0" collapsed="false">
      <c r="A276" s="7"/>
      <c r="B276" s="7"/>
      <c r="C276" s="46"/>
      <c r="D276" s="7"/>
      <c r="E276" s="47"/>
      <c r="F276" s="46"/>
      <c r="G276" s="46"/>
      <c r="H276" s="7"/>
      <c r="I276" s="7"/>
      <c r="J276" s="47"/>
      <c r="K276" s="47"/>
      <c r="L276" s="47"/>
      <c r="M276" s="47"/>
      <c r="N276" s="10"/>
      <c r="O276" s="47"/>
      <c r="P276" s="47"/>
      <c r="Q276" s="47"/>
      <c r="R276" s="48" t="str">
        <f aca="false">IF(Q276="","",IF(Q276=0,"below 5:00",IF(Q276&gt;=66,"16:00 or above",INT((60+2*Q276)/12)&amp;":"&amp;TEXT(MOD(60+2*Q276,12),"00"))))</f>
        <v/>
      </c>
      <c r="S276" s="47"/>
      <c r="T276" s="47"/>
      <c r="U276" s="47"/>
      <c r="V276" s="47"/>
      <c r="W276" s="47"/>
      <c r="X276" s="47"/>
      <c r="Y276" s="47"/>
      <c r="Z276" s="47"/>
      <c r="AA276" s="47"/>
      <c r="AB276" s="47"/>
      <c r="AC276" s="47"/>
      <c r="AD276" s="47"/>
      <c r="AE276" s="47"/>
      <c r="AF276" s="47"/>
      <c r="AG276" s="47"/>
      <c r="AH276" s="47"/>
      <c r="AI276" s="46"/>
      <c r="AJ276" s="46"/>
      <c r="AK276" s="46"/>
      <c r="AL276" s="7"/>
      <c r="AM276" s="49" t="str">
        <f aca="false">IF(OR(C276="",G276=""),"",IFERROR(DATEDIF(C276,G276,"m"),""))</f>
        <v/>
      </c>
      <c r="AN276" s="49" t="str">
        <f aca="false">IF(OR(Q276="",AM276=""),"",60+2*Q276-AM276)</f>
        <v/>
      </c>
      <c r="AO276" s="49" t="str">
        <f aca="false">IF(OR(G276="",AJ276=""),"",AJ276-G276)</f>
        <v/>
      </c>
      <c r="AP276" s="50" t="str">
        <f aca="false">IF(AND(A276="",B276=""),"",IF(J276="","Status needed",IF(OR(J276="Applied",J276="Visit booked",J276="Withdrawn"),"OK",IF(G276="","Date assessed needed",IF(C276="","Date of birth needed",IF(COUNTA(L276,M276,P276,U276,V276,X276,AB276)&lt;7,"Band missing",IF(AND(OR(J276="Decision confirmed",J276="Family told",J276="Enrolled"),AG276=""),"Recommendation needed",IF(AND(OR(J276="Family told",J276="Enrolled"),AJ276=""),"Date family told needed","OK"))))))))</f>
        <v/>
      </c>
    </row>
    <row r="277" customFormat="false" ht="15" hidden="false" customHeight="false" outlineLevel="0" collapsed="false">
      <c r="A277" s="7"/>
      <c r="B277" s="7"/>
      <c r="C277" s="46"/>
      <c r="D277" s="7"/>
      <c r="E277" s="47"/>
      <c r="F277" s="46"/>
      <c r="G277" s="46"/>
      <c r="H277" s="7"/>
      <c r="I277" s="7"/>
      <c r="J277" s="47"/>
      <c r="K277" s="47"/>
      <c r="L277" s="47"/>
      <c r="M277" s="47"/>
      <c r="N277" s="10"/>
      <c r="O277" s="47"/>
      <c r="P277" s="47"/>
      <c r="Q277" s="47"/>
      <c r="R277" s="48" t="str">
        <f aca="false">IF(Q277="","",IF(Q277=0,"below 5:00",IF(Q277&gt;=66,"16:00 or above",INT((60+2*Q277)/12)&amp;":"&amp;TEXT(MOD(60+2*Q277,12),"00"))))</f>
        <v/>
      </c>
      <c r="S277" s="47"/>
      <c r="T277" s="47"/>
      <c r="U277" s="47"/>
      <c r="V277" s="47"/>
      <c r="W277" s="47"/>
      <c r="X277" s="47"/>
      <c r="Y277" s="47"/>
      <c r="Z277" s="47"/>
      <c r="AA277" s="47"/>
      <c r="AB277" s="47"/>
      <c r="AC277" s="47"/>
      <c r="AD277" s="47"/>
      <c r="AE277" s="47"/>
      <c r="AF277" s="47"/>
      <c r="AG277" s="47"/>
      <c r="AH277" s="47"/>
      <c r="AI277" s="46"/>
      <c r="AJ277" s="46"/>
      <c r="AK277" s="46"/>
      <c r="AL277" s="7"/>
      <c r="AM277" s="49" t="str">
        <f aca="false">IF(OR(C277="",G277=""),"",IFERROR(DATEDIF(C277,G277,"m"),""))</f>
        <v/>
      </c>
      <c r="AN277" s="49" t="str">
        <f aca="false">IF(OR(Q277="",AM277=""),"",60+2*Q277-AM277)</f>
        <v/>
      </c>
      <c r="AO277" s="49" t="str">
        <f aca="false">IF(OR(G277="",AJ277=""),"",AJ277-G277)</f>
        <v/>
      </c>
      <c r="AP277" s="50" t="str">
        <f aca="false">IF(AND(A277="",B277=""),"",IF(J277="","Status needed",IF(OR(J277="Applied",J277="Visit booked",J277="Withdrawn"),"OK",IF(G277="","Date assessed needed",IF(C277="","Date of birth needed",IF(COUNTA(L277,M277,P277,U277,V277,X277,AB277)&lt;7,"Band missing",IF(AND(OR(J277="Decision confirmed",J277="Family told",J277="Enrolled"),AG277=""),"Recommendation needed",IF(AND(OR(J277="Family told",J277="Enrolled"),AJ277=""),"Date family told needed","OK"))))))))</f>
        <v/>
      </c>
    </row>
    <row r="278" customFormat="false" ht="15" hidden="false" customHeight="false" outlineLevel="0" collapsed="false">
      <c r="A278" s="7"/>
      <c r="B278" s="7"/>
      <c r="C278" s="46"/>
      <c r="D278" s="7"/>
      <c r="E278" s="47"/>
      <c r="F278" s="46"/>
      <c r="G278" s="46"/>
      <c r="H278" s="7"/>
      <c r="I278" s="7"/>
      <c r="J278" s="47"/>
      <c r="K278" s="47"/>
      <c r="L278" s="47"/>
      <c r="M278" s="47"/>
      <c r="N278" s="10"/>
      <c r="O278" s="47"/>
      <c r="P278" s="47"/>
      <c r="Q278" s="47"/>
      <c r="R278" s="48" t="str">
        <f aca="false">IF(Q278="","",IF(Q278=0,"below 5:00",IF(Q278&gt;=66,"16:00 or above",INT((60+2*Q278)/12)&amp;":"&amp;TEXT(MOD(60+2*Q278,12),"00"))))</f>
        <v/>
      </c>
      <c r="S278" s="47"/>
      <c r="T278" s="47"/>
      <c r="U278" s="47"/>
      <c r="V278" s="47"/>
      <c r="W278" s="47"/>
      <c r="X278" s="47"/>
      <c r="Y278" s="47"/>
      <c r="Z278" s="47"/>
      <c r="AA278" s="47"/>
      <c r="AB278" s="47"/>
      <c r="AC278" s="47"/>
      <c r="AD278" s="47"/>
      <c r="AE278" s="47"/>
      <c r="AF278" s="47"/>
      <c r="AG278" s="47"/>
      <c r="AH278" s="47"/>
      <c r="AI278" s="46"/>
      <c r="AJ278" s="46"/>
      <c r="AK278" s="46"/>
      <c r="AL278" s="7"/>
      <c r="AM278" s="49" t="str">
        <f aca="false">IF(OR(C278="",G278=""),"",IFERROR(DATEDIF(C278,G278,"m"),""))</f>
        <v/>
      </c>
      <c r="AN278" s="49" t="str">
        <f aca="false">IF(OR(Q278="",AM278=""),"",60+2*Q278-AM278)</f>
        <v/>
      </c>
      <c r="AO278" s="49" t="str">
        <f aca="false">IF(OR(G278="",AJ278=""),"",AJ278-G278)</f>
        <v/>
      </c>
      <c r="AP278" s="50" t="str">
        <f aca="false">IF(AND(A278="",B278=""),"",IF(J278="","Status needed",IF(OR(J278="Applied",J278="Visit booked",J278="Withdrawn"),"OK",IF(G278="","Date assessed needed",IF(C278="","Date of birth needed",IF(COUNTA(L278,M278,P278,U278,V278,X278,AB278)&lt;7,"Band missing",IF(AND(OR(J278="Decision confirmed",J278="Family told",J278="Enrolled"),AG278=""),"Recommendation needed",IF(AND(OR(J278="Family told",J278="Enrolled"),AJ278=""),"Date family told needed","OK"))))))))</f>
        <v/>
      </c>
    </row>
    <row r="279" customFormat="false" ht="15" hidden="false" customHeight="false" outlineLevel="0" collapsed="false">
      <c r="A279" s="7"/>
      <c r="B279" s="7"/>
      <c r="C279" s="46"/>
      <c r="D279" s="7"/>
      <c r="E279" s="47"/>
      <c r="F279" s="46"/>
      <c r="G279" s="46"/>
      <c r="H279" s="7"/>
      <c r="I279" s="7"/>
      <c r="J279" s="47"/>
      <c r="K279" s="47"/>
      <c r="L279" s="47"/>
      <c r="M279" s="47"/>
      <c r="N279" s="10"/>
      <c r="O279" s="47"/>
      <c r="P279" s="47"/>
      <c r="Q279" s="47"/>
      <c r="R279" s="48" t="str">
        <f aca="false">IF(Q279="","",IF(Q279=0,"below 5:00",IF(Q279&gt;=66,"16:00 or above",INT((60+2*Q279)/12)&amp;":"&amp;TEXT(MOD(60+2*Q279,12),"00"))))</f>
        <v/>
      </c>
      <c r="S279" s="47"/>
      <c r="T279" s="47"/>
      <c r="U279" s="47"/>
      <c r="V279" s="47"/>
      <c r="W279" s="47"/>
      <c r="X279" s="47"/>
      <c r="Y279" s="47"/>
      <c r="Z279" s="47"/>
      <c r="AA279" s="47"/>
      <c r="AB279" s="47"/>
      <c r="AC279" s="47"/>
      <c r="AD279" s="47"/>
      <c r="AE279" s="47"/>
      <c r="AF279" s="47"/>
      <c r="AG279" s="47"/>
      <c r="AH279" s="47"/>
      <c r="AI279" s="46"/>
      <c r="AJ279" s="46"/>
      <c r="AK279" s="46"/>
      <c r="AL279" s="7"/>
      <c r="AM279" s="49" t="str">
        <f aca="false">IF(OR(C279="",G279=""),"",IFERROR(DATEDIF(C279,G279,"m"),""))</f>
        <v/>
      </c>
      <c r="AN279" s="49" t="str">
        <f aca="false">IF(OR(Q279="",AM279=""),"",60+2*Q279-AM279)</f>
        <v/>
      </c>
      <c r="AO279" s="49" t="str">
        <f aca="false">IF(OR(G279="",AJ279=""),"",AJ279-G279)</f>
        <v/>
      </c>
      <c r="AP279" s="50" t="str">
        <f aca="false">IF(AND(A279="",B279=""),"",IF(J279="","Status needed",IF(OR(J279="Applied",J279="Visit booked",J279="Withdrawn"),"OK",IF(G279="","Date assessed needed",IF(C279="","Date of birth needed",IF(COUNTA(L279,M279,P279,U279,V279,X279,AB279)&lt;7,"Band missing",IF(AND(OR(J279="Decision confirmed",J279="Family told",J279="Enrolled"),AG279=""),"Recommendation needed",IF(AND(OR(J279="Family told",J279="Enrolled"),AJ279=""),"Date family told needed","OK"))))))))</f>
        <v/>
      </c>
    </row>
    <row r="280" customFormat="false" ht="15" hidden="false" customHeight="false" outlineLevel="0" collapsed="false">
      <c r="A280" s="7"/>
      <c r="B280" s="7"/>
      <c r="C280" s="46"/>
      <c r="D280" s="7"/>
      <c r="E280" s="47"/>
      <c r="F280" s="46"/>
      <c r="G280" s="46"/>
      <c r="H280" s="7"/>
      <c r="I280" s="7"/>
      <c r="J280" s="47"/>
      <c r="K280" s="47"/>
      <c r="L280" s="47"/>
      <c r="M280" s="47"/>
      <c r="N280" s="10"/>
      <c r="O280" s="47"/>
      <c r="P280" s="47"/>
      <c r="Q280" s="47"/>
      <c r="R280" s="48" t="str">
        <f aca="false">IF(Q280="","",IF(Q280=0,"below 5:00",IF(Q280&gt;=66,"16:00 or above",INT((60+2*Q280)/12)&amp;":"&amp;TEXT(MOD(60+2*Q280,12),"00"))))</f>
        <v/>
      </c>
      <c r="S280" s="47"/>
      <c r="T280" s="47"/>
      <c r="U280" s="47"/>
      <c r="V280" s="47"/>
      <c r="W280" s="47"/>
      <c r="X280" s="47"/>
      <c r="Y280" s="47"/>
      <c r="Z280" s="47"/>
      <c r="AA280" s="47"/>
      <c r="AB280" s="47"/>
      <c r="AC280" s="47"/>
      <c r="AD280" s="47"/>
      <c r="AE280" s="47"/>
      <c r="AF280" s="47"/>
      <c r="AG280" s="47"/>
      <c r="AH280" s="47"/>
      <c r="AI280" s="46"/>
      <c r="AJ280" s="46"/>
      <c r="AK280" s="46"/>
      <c r="AL280" s="7"/>
      <c r="AM280" s="49" t="str">
        <f aca="false">IF(OR(C280="",G280=""),"",IFERROR(DATEDIF(C280,G280,"m"),""))</f>
        <v/>
      </c>
      <c r="AN280" s="49" t="str">
        <f aca="false">IF(OR(Q280="",AM280=""),"",60+2*Q280-AM280)</f>
        <v/>
      </c>
      <c r="AO280" s="49" t="str">
        <f aca="false">IF(OR(G280="",AJ280=""),"",AJ280-G280)</f>
        <v/>
      </c>
      <c r="AP280" s="50" t="str">
        <f aca="false">IF(AND(A280="",B280=""),"",IF(J280="","Status needed",IF(OR(J280="Applied",J280="Visit booked",J280="Withdrawn"),"OK",IF(G280="","Date assessed needed",IF(C280="","Date of birth needed",IF(COUNTA(L280,M280,P280,U280,V280,X280,AB280)&lt;7,"Band missing",IF(AND(OR(J280="Decision confirmed",J280="Family told",J280="Enrolled"),AG280=""),"Recommendation needed",IF(AND(OR(J280="Family told",J280="Enrolled"),AJ280=""),"Date family told needed","OK"))))))))</f>
        <v/>
      </c>
    </row>
    <row r="281" customFormat="false" ht="15" hidden="false" customHeight="false" outlineLevel="0" collapsed="false">
      <c r="A281" s="7"/>
      <c r="B281" s="7"/>
      <c r="C281" s="46"/>
      <c r="D281" s="7"/>
      <c r="E281" s="47"/>
      <c r="F281" s="46"/>
      <c r="G281" s="46"/>
      <c r="H281" s="7"/>
      <c r="I281" s="7"/>
      <c r="J281" s="47"/>
      <c r="K281" s="47"/>
      <c r="L281" s="47"/>
      <c r="M281" s="47"/>
      <c r="N281" s="10"/>
      <c r="O281" s="47"/>
      <c r="P281" s="47"/>
      <c r="Q281" s="47"/>
      <c r="R281" s="48" t="str">
        <f aca="false">IF(Q281="","",IF(Q281=0,"below 5:00",IF(Q281&gt;=66,"16:00 or above",INT((60+2*Q281)/12)&amp;":"&amp;TEXT(MOD(60+2*Q281,12),"00"))))</f>
        <v/>
      </c>
      <c r="S281" s="47"/>
      <c r="T281" s="47"/>
      <c r="U281" s="47"/>
      <c r="V281" s="47"/>
      <c r="W281" s="47"/>
      <c r="X281" s="47"/>
      <c r="Y281" s="47"/>
      <c r="Z281" s="47"/>
      <c r="AA281" s="47"/>
      <c r="AB281" s="47"/>
      <c r="AC281" s="47"/>
      <c r="AD281" s="47"/>
      <c r="AE281" s="47"/>
      <c r="AF281" s="47"/>
      <c r="AG281" s="47"/>
      <c r="AH281" s="47"/>
      <c r="AI281" s="46"/>
      <c r="AJ281" s="46"/>
      <c r="AK281" s="46"/>
      <c r="AL281" s="7"/>
      <c r="AM281" s="49" t="str">
        <f aca="false">IF(OR(C281="",G281=""),"",IFERROR(DATEDIF(C281,G281,"m"),""))</f>
        <v/>
      </c>
      <c r="AN281" s="49" t="str">
        <f aca="false">IF(OR(Q281="",AM281=""),"",60+2*Q281-AM281)</f>
        <v/>
      </c>
      <c r="AO281" s="49" t="str">
        <f aca="false">IF(OR(G281="",AJ281=""),"",AJ281-G281)</f>
        <v/>
      </c>
      <c r="AP281" s="50" t="str">
        <f aca="false">IF(AND(A281="",B281=""),"",IF(J281="","Status needed",IF(OR(J281="Applied",J281="Visit booked",J281="Withdrawn"),"OK",IF(G281="","Date assessed needed",IF(C281="","Date of birth needed",IF(COUNTA(L281,M281,P281,U281,V281,X281,AB281)&lt;7,"Band missing",IF(AND(OR(J281="Decision confirmed",J281="Family told",J281="Enrolled"),AG281=""),"Recommendation needed",IF(AND(OR(J281="Family told",J281="Enrolled"),AJ281=""),"Date family told needed","OK"))))))))</f>
        <v/>
      </c>
    </row>
    <row r="282" customFormat="false" ht="15" hidden="false" customHeight="false" outlineLevel="0" collapsed="false">
      <c r="A282" s="7"/>
      <c r="B282" s="7"/>
      <c r="C282" s="46"/>
      <c r="D282" s="7"/>
      <c r="E282" s="47"/>
      <c r="F282" s="46"/>
      <c r="G282" s="46"/>
      <c r="H282" s="7"/>
      <c r="I282" s="7"/>
      <c r="J282" s="47"/>
      <c r="K282" s="47"/>
      <c r="L282" s="47"/>
      <c r="M282" s="47"/>
      <c r="N282" s="10"/>
      <c r="O282" s="47"/>
      <c r="P282" s="47"/>
      <c r="Q282" s="47"/>
      <c r="R282" s="48" t="str">
        <f aca="false">IF(Q282="","",IF(Q282=0,"below 5:00",IF(Q282&gt;=66,"16:00 or above",INT((60+2*Q282)/12)&amp;":"&amp;TEXT(MOD(60+2*Q282,12),"00"))))</f>
        <v/>
      </c>
      <c r="S282" s="47"/>
      <c r="T282" s="47"/>
      <c r="U282" s="47"/>
      <c r="V282" s="47"/>
      <c r="W282" s="47"/>
      <c r="X282" s="47"/>
      <c r="Y282" s="47"/>
      <c r="Z282" s="47"/>
      <c r="AA282" s="47"/>
      <c r="AB282" s="47"/>
      <c r="AC282" s="47"/>
      <c r="AD282" s="47"/>
      <c r="AE282" s="47"/>
      <c r="AF282" s="47"/>
      <c r="AG282" s="47"/>
      <c r="AH282" s="47"/>
      <c r="AI282" s="46"/>
      <c r="AJ282" s="46"/>
      <c r="AK282" s="46"/>
      <c r="AL282" s="7"/>
      <c r="AM282" s="49" t="str">
        <f aca="false">IF(OR(C282="",G282=""),"",IFERROR(DATEDIF(C282,G282,"m"),""))</f>
        <v/>
      </c>
      <c r="AN282" s="49" t="str">
        <f aca="false">IF(OR(Q282="",AM282=""),"",60+2*Q282-AM282)</f>
        <v/>
      </c>
      <c r="AO282" s="49" t="str">
        <f aca="false">IF(OR(G282="",AJ282=""),"",AJ282-G282)</f>
        <v/>
      </c>
      <c r="AP282" s="50" t="str">
        <f aca="false">IF(AND(A282="",B282=""),"",IF(J282="","Status needed",IF(OR(J282="Applied",J282="Visit booked",J282="Withdrawn"),"OK",IF(G282="","Date assessed needed",IF(C282="","Date of birth needed",IF(COUNTA(L282,M282,P282,U282,V282,X282,AB282)&lt;7,"Band missing",IF(AND(OR(J282="Decision confirmed",J282="Family told",J282="Enrolled"),AG282=""),"Recommendation needed",IF(AND(OR(J282="Family told",J282="Enrolled"),AJ282=""),"Date family told needed","OK"))))))))</f>
        <v/>
      </c>
    </row>
    <row r="283" customFormat="false" ht="15" hidden="false" customHeight="false" outlineLevel="0" collapsed="false">
      <c r="A283" s="7"/>
      <c r="B283" s="7"/>
      <c r="C283" s="46"/>
      <c r="D283" s="7"/>
      <c r="E283" s="47"/>
      <c r="F283" s="46"/>
      <c r="G283" s="46"/>
      <c r="H283" s="7"/>
      <c r="I283" s="7"/>
      <c r="J283" s="47"/>
      <c r="K283" s="47"/>
      <c r="L283" s="47"/>
      <c r="M283" s="47"/>
      <c r="N283" s="10"/>
      <c r="O283" s="47"/>
      <c r="P283" s="47"/>
      <c r="Q283" s="47"/>
      <c r="R283" s="48" t="str">
        <f aca="false">IF(Q283="","",IF(Q283=0,"below 5:00",IF(Q283&gt;=66,"16:00 or above",INT((60+2*Q283)/12)&amp;":"&amp;TEXT(MOD(60+2*Q283,12),"00"))))</f>
        <v/>
      </c>
      <c r="S283" s="47"/>
      <c r="T283" s="47"/>
      <c r="U283" s="47"/>
      <c r="V283" s="47"/>
      <c r="W283" s="47"/>
      <c r="X283" s="47"/>
      <c r="Y283" s="47"/>
      <c r="Z283" s="47"/>
      <c r="AA283" s="47"/>
      <c r="AB283" s="47"/>
      <c r="AC283" s="47"/>
      <c r="AD283" s="47"/>
      <c r="AE283" s="47"/>
      <c r="AF283" s="47"/>
      <c r="AG283" s="47"/>
      <c r="AH283" s="47"/>
      <c r="AI283" s="46"/>
      <c r="AJ283" s="46"/>
      <c r="AK283" s="46"/>
      <c r="AL283" s="7"/>
      <c r="AM283" s="49" t="str">
        <f aca="false">IF(OR(C283="",G283=""),"",IFERROR(DATEDIF(C283,G283,"m"),""))</f>
        <v/>
      </c>
      <c r="AN283" s="49" t="str">
        <f aca="false">IF(OR(Q283="",AM283=""),"",60+2*Q283-AM283)</f>
        <v/>
      </c>
      <c r="AO283" s="49" t="str">
        <f aca="false">IF(OR(G283="",AJ283=""),"",AJ283-G283)</f>
        <v/>
      </c>
      <c r="AP283" s="50" t="str">
        <f aca="false">IF(AND(A283="",B283=""),"",IF(J283="","Status needed",IF(OR(J283="Applied",J283="Visit booked",J283="Withdrawn"),"OK",IF(G283="","Date assessed needed",IF(C283="","Date of birth needed",IF(COUNTA(L283,M283,P283,U283,V283,X283,AB283)&lt;7,"Band missing",IF(AND(OR(J283="Decision confirmed",J283="Family told",J283="Enrolled"),AG283=""),"Recommendation needed",IF(AND(OR(J283="Family told",J283="Enrolled"),AJ283=""),"Date family told needed","OK"))))))))</f>
        <v/>
      </c>
    </row>
    <row r="284" customFormat="false" ht="15" hidden="false" customHeight="false" outlineLevel="0" collapsed="false">
      <c r="A284" s="7"/>
      <c r="B284" s="7"/>
      <c r="C284" s="46"/>
      <c r="D284" s="7"/>
      <c r="E284" s="47"/>
      <c r="F284" s="46"/>
      <c r="G284" s="46"/>
      <c r="H284" s="7"/>
      <c r="I284" s="7"/>
      <c r="J284" s="47"/>
      <c r="K284" s="47"/>
      <c r="L284" s="47"/>
      <c r="M284" s="47"/>
      <c r="N284" s="10"/>
      <c r="O284" s="47"/>
      <c r="P284" s="47"/>
      <c r="Q284" s="47"/>
      <c r="R284" s="48" t="str">
        <f aca="false">IF(Q284="","",IF(Q284=0,"below 5:00",IF(Q284&gt;=66,"16:00 or above",INT((60+2*Q284)/12)&amp;":"&amp;TEXT(MOD(60+2*Q284,12),"00"))))</f>
        <v/>
      </c>
      <c r="S284" s="47"/>
      <c r="T284" s="47"/>
      <c r="U284" s="47"/>
      <c r="V284" s="47"/>
      <c r="W284" s="47"/>
      <c r="X284" s="47"/>
      <c r="Y284" s="47"/>
      <c r="Z284" s="47"/>
      <c r="AA284" s="47"/>
      <c r="AB284" s="47"/>
      <c r="AC284" s="47"/>
      <c r="AD284" s="47"/>
      <c r="AE284" s="47"/>
      <c r="AF284" s="47"/>
      <c r="AG284" s="47"/>
      <c r="AH284" s="47"/>
      <c r="AI284" s="46"/>
      <c r="AJ284" s="46"/>
      <c r="AK284" s="46"/>
      <c r="AL284" s="7"/>
      <c r="AM284" s="49" t="str">
        <f aca="false">IF(OR(C284="",G284=""),"",IFERROR(DATEDIF(C284,G284,"m"),""))</f>
        <v/>
      </c>
      <c r="AN284" s="49" t="str">
        <f aca="false">IF(OR(Q284="",AM284=""),"",60+2*Q284-AM284)</f>
        <v/>
      </c>
      <c r="AO284" s="49" t="str">
        <f aca="false">IF(OR(G284="",AJ284=""),"",AJ284-G284)</f>
        <v/>
      </c>
      <c r="AP284" s="50" t="str">
        <f aca="false">IF(AND(A284="",B284=""),"",IF(J284="","Status needed",IF(OR(J284="Applied",J284="Visit booked",J284="Withdrawn"),"OK",IF(G284="","Date assessed needed",IF(C284="","Date of birth needed",IF(COUNTA(L284,M284,P284,U284,V284,X284,AB284)&lt;7,"Band missing",IF(AND(OR(J284="Decision confirmed",J284="Family told",J284="Enrolled"),AG284=""),"Recommendation needed",IF(AND(OR(J284="Family told",J284="Enrolled"),AJ284=""),"Date family told needed","OK"))))))))</f>
        <v/>
      </c>
    </row>
    <row r="285" customFormat="false" ht="15" hidden="false" customHeight="false" outlineLevel="0" collapsed="false">
      <c r="A285" s="7"/>
      <c r="B285" s="7"/>
      <c r="C285" s="46"/>
      <c r="D285" s="7"/>
      <c r="E285" s="47"/>
      <c r="F285" s="46"/>
      <c r="G285" s="46"/>
      <c r="H285" s="7"/>
      <c r="I285" s="7"/>
      <c r="J285" s="47"/>
      <c r="K285" s="47"/>
      <c r="L285" s="47"/>
      <c r="M285" s="47"/>
      <c r="N285" s="10"/>
      <c r="O285" s="47"/>
      <c r="P285" s="47"/>
      <c r="Q285" s="47"/>
      <c r="R285" s="48" t="str">
        <f aca="false">IF(Q285="","",IF(Q285=0,"below 5:00",IF(Q285&gt;=66,"16:00 or above",INT((60+2*Q285)/12)&amp;":"&amp;TEXT(MOD(60+2*Q285,12),"00"))))</f>
        <v/>
      </c>
      <c r="S285" s="47"/>
      <c r="T285" s="47"/>
      <c r="U285" s="47"/>
      <c r="V285" s="47"/>
      <c r="W285" s="47"/>
      <c r="X285" s="47"/>
      <c r="Y285" s="47"/>
      <c r="Z285" s="47"/>
      <c r="AA285" s="47"/>
      <c r="AB285" s="47"/>
      <c r="AC285" s="47"/>
      <c r="AD285" s="47"/>
      <c r="AE285" s="47"/>
      <c r="AF285" s="47"/>
      <c r="AG285" s="47"/>
      <c r="AH285" s="47"/>
      <c r="AI285" s="46"/>
      <c r="AJ285" s="46"/>
      <c r="AK285" s="46"/>
      <c r="AL285" s="7"/>
      <c r="AM285" s="49" t="str">
        <f aca="false">IF(OR(C285="",G285=""),"",IFERROR(DATEDIF(C285,G285,"m"),""))</f>
        <v/>
      </c>
      <c r="AN285" s="49" t="str">
        <f aca="false">IF(OR(Q285="",AM285=""),"",60+2*Q285-AM285)</f>
        <v/>
      </c>
      <c r="AO285" s="49" t="str">
        <f aca="false">IF(OR(G285="",AJ285=""),"",AJ285-G285)</f>
        <v/>
      </c>
      <c r="AP285" s="50" t="str">
        <f aca="false">IF(AND(A285="",B285=""),"",IF(J285="","Status needed",IF(OR(J285="Applied",J285="Visit booked",J285="Withdrawn"),"OK",IF(G285="","Date assessed needed",IF(C285="","Date of birth needed",IF(COUNTA(L285,M285,P285,U285,V285,X285,AB285)&lt;7,"Band missing",IF(AND(OR(J285="Decision confirmed",J285="Family told",J285="Enrolled"),AG285=""),"Recommendation needed",IF(AND(OR(J285="Family told",J285="Enrolled"),AJ285=""),"Date family told needed","OK"))))))))</f>
        <v/>
      </c>
    </row>
    <row r="286" customFormat="false" ht="15" hidden="false" customHeight="false" outlineLevel="0" collapsed="false">
      <c r="A286" s="7"/>
      <c r="B286" s="7"/>
      <c r="C286" s="46"/>
      <c r="D286" s="7"/>
      <c r="E286" s="47"/>
      <c r="F286" s="46"/>
      <c r="G286" s="46"/>
      <c r="H286" s="7"/>
      <c r="I286" s="7"/>
      <c r="J286" s="47"/>
      <c r="K286" s="47"/>
      <c r="L286" s="47"/>
      <c r="M286" s="47"/>
      <c r="N286" s="10"/>
      <c r="O286" s="47"/>
      <c r="P286" s="47"/>
      <c r="Q286" s="47"/>
      <c r="R286" s="48" t="str">
        <f aca="false">IF(Q286="","",IF(Q286=0,"below 5:00",IF(Q286&gt;=66,"16:00 or above",INT((60+2*Q286)/12)&amp;":"&amp;TEXT(MOD(60+2*Q286,12),"00"))))</f>
        <v/>
      </c>
      <c r="S286" s="47"/>
      <c r="T286" s="47"/>
      <c r="U286" s="47"/>
      <c r="V286" s="47"/>
      <c r="W286" s="47"/>
      <c r="X286" s="47"/>
      <c r="Y286" s="47"/>
      <c r="Z286" s="47"/>
      <c r="AA286" s="47"/>
      <c r="AB286" s="47"/>
      <c r="AC286" s="47"/>
      <c r="AD286" s="47"/>
      <c r="AE286" s="47"/>
      <c r="AF286" s="47"/>
      <c r="AG286" s="47"/>
      <c r="AH286" s="47"/>
      <c r="AI286" s="46"/>
      <c r="AJ286" s="46"/>
      <c r="AK286" s="46"/>
      <c r="AL286" s="7"/>
      <c r="AM286" s="49" t="str">
        <f aca="false">IF(OR(C286="",G286=""),"",IFERROR(DATEDIF(C286,G286,"m"),""))</f>
        <v/>
      </c>
      <c r="AN286" s="49" t="str">
        <f aca="false">IF(OR(Q286="",AM286=""),"",60+2*Q286-AM286)</f>
        <v/>
      </c>
      <c r="AO286" s="49" t="str">
        <f aca="false">IF(OR(G286="",AJ286=""),"",AJ286-G286)</f>
        <v/>
      </c>
      <c r="AP286" s="50" t="str">
        <f aca="false">IF(AND(A286="",B286=""),"",IF(J286="","Status needed",IF(OR(J286="Applied",J286="Visit booked",J286="Withdrawn"),"OK",IF(G286="","Date assessed needed",IF(C286="","Date of birth needed",IF(COUNTA(L286,M286,P286,U286,V286,X286,AB286)&lt;7,"Band missing",IF(AND(OR(J286="Decision confirmed",J286="Family told",J286="Enrolled"),AG286=""),"Recommendation needed",IF(AND(OR(J286="Family told",J286="Enrolled"),AJ286=""),"Date family told needed","OK"))))))))</f>
        <v/>
      </c>
    </row>
    <row r="287" customFormat="false" ht="15" hidden="false" customHeight="false" outlineLevel="0" collapsed="false">
      <c r="A287" s="7"/>
      <c r="B287" s="7"/>
      <c r="C287" s="46"/>
      <c r="D287" s="7"/>
      <c r="E287" s="47"/>
      <c r="F287" s="46"/>
      <c r="G287" s="46"/>
      <c r="H287" s="7"/>
      <c r="I287" s="7"/>
      <c r="J287" s="47"/>
      <c r="K287" s="47"/>
      <c r="L287" s="47"/>
      <c r="M287" s="47"/>
      <c r="N287" s="10"/>
      <c r="O287" s="47"/>
      <c r="P287" s="47"/>
      <c r="Q287" s="47"/>
      <c r="R287" s="48" t="str">
        <f aca="false">IF(Q287="","",IF(Q287=0,"below 5:00",IF(Q287&gt;=66,"16:00 or above",INT((60+2*Q287)/12)&amp;":"&amp;TEXT(MOD(60+2*Q287,12),"00"))))</f>
        <v/>
      </c>
      <c r="S287" s="47"/>
      <c r="T287" s="47"/>
      <c r="U287" s="47"/>
      <c r="V287" s="47"/>
      <c r="W287" s="47"/>
      <c r="X287" s="47"/>
      <c r="Y287" s="47"/>
      <c r="Z287" s="47"/>
      <c r="AA287" s="47"/>
      <c r="AB287" s="47"/>
      <c r="AC287" s="47"/>
      <c r="AD287" s="47"/>
      <c r="AE287" s="47"/>
      <c r="AF287" s="47"/>
      <c r="AG287" s="47"/>
      <c r="AH287" s="47"/>
      <c r="AI287" s="46"/>
      <c r="AJ287" s="46"/>
      <c r="AK287" s="46"/>
      <c r="AL287" s="7"/>
      <c r="AM287" s="49" t="str">
        <f aca="false">IF(OR(C287="",G287=""),"",IFERROR(DATEDIF(C287,G287,"m"),""))</f>
        <v/>
      </c>
      <c r="AN287" s="49" t="str">
        <f aca="false">IF(OR(Q287="",AM287=""),"",60+2*Q287-AM287)</f>
        <v/>
      </c>
      <c r="AO287" s="49" t="str">
        <f aca="false">IF(OR(G287="",AJ287=""),"",AJ287-G287)</f>
        <v/>
      </c>
      <c r="AP287" s="50" t="str">
        <f aca="false">IF(AND(A287="",B287=""),"",IF(J287="","Status needed",IF(OR(J287="Applied",J287="Visit booked",J287="Withdrawn"),"OK",IF(G287="","Date assessed needed",IF(C287="","Date of birth needed",IF(COUNTA(L287,M287,P287,U287,V287,X287,AB287)&lt;7,"Band missing",IF(AND(OR(J287="Decision confirmed",J287="Family told",J287="Enrolled"),AG287=""),"Recommendation needed",IF(AND(OR(J287="Family told",J287="Enrolled"),AJ287=""),"Date family told needed","OK"))))))))</f>
        <v/>
      </c>
    </row>
    <row r="288" customFormat="false" ht="15" hidden="false" customHeight="false" outlineLevel="0" collapsed="false">
      <c r="A288" s="7"/>
      <c r="B288" s="7"/>
      <c r="C288" s="46"/>
      <c r="D288" s="7"/>
      <c r="E288" s="47"/>
      <c r="F288" s="46"/>
      <c r="G288" s="46"/>
      <c r="H288" s="7"/>
      <c r="I288" s="7"/>
      <c r="J288" s="47"/>
      <c r="K288" s="47"/>
      <c r="L288" s="47"/>
      <c r="M288" s="47"/>
      <c r="N288" s="10"/>
      <c r="O288" s="47"/>
      <c r="P288" s="47"/>
      <c r="Q288" s="47"/>
      <c r="R288" s="48" t="str">
        <f aca="false">IF(Q288="","",IF(Q288=0,"below 5:00",IF(Q288&gt;=66,"16:00 or above",INT((60+2*Q288)/12)&amp;":"&amp;TEXT(MOD(60+2*Q288,12),"00"))))</f>
        <v/>
      </c>
      <c r="S288" s="47"/>
      <c r="T288" s="47"/>
      <c r="U288" s="47"/>
      <c r="V288" s="47"/>
      <c r="W288" s="47"/>
      <c r="X288" s="47"/>
      <c r="Y288" s="47"/>
      <c r="Z288" s="47"/>
      <c r="AA288" s="47"/>
      <c r="AB288" s="47"/>
      <c r="AC288" s="47"/>
      <c r="AD288" s="47"/>
      <c r="AE288" s="47"/>
      <c r="AF288" s="47"/>
      <c r="AG288" s="47"/>
      <c r="AH288" s="47"/>
      <c r="AI288" s="46"/>
      <c r="AJ288" s="46"/>
      <c r="AK288" s="46"/>
      <c r="AL288" s="7"/>
      <c r="AM288" s="49" t="str">
        <f aca="false">IF(OR(C288="",G288=""),"",IFERROR(DATEDIF(C288,G288,"m"),""))</f>
        <v/>
      </c>
      <c r="AN288" s="49" t="str">
        <f aca="false">IF(OR(Q288="",AM288=""),"",60+2*Q288-AM288)</f>
        <v/>
      </c>
      <c r="AO288" s="49" t="str">
        <f aca="false">IF(OR(G288="",AJ288=""),"",AJ288-G288)</f>
        <v/>
      </c>
      <c r="AP288" s="50" t="str">
        <f aca="false">IF(AND(A288="",B288=""),"",IF(J288="","Status needed",IF(OR(J288="Applied",J288="Visit booked",J288="Withdrawn"),"OK",IF(G288="","Date assessed needed",IF(C288="","Date of birth needed",IF(COUNTA(L288,M288,P288,U288,V288,X288,AB288)&lt;7,"Band missing",IF(AND(OR(J288="Decision confirmed",J288="Family told",J288="Enrolled"),AG288=""),"Recommendation needed",IF(AND(OR(J288="Family told",J288="Enrolled"),AJ288=""),"Date family told needed","OK"))))))))</f>
        <v/>
      </c>
    </row>
    <row r="289" customFormat="false" ht="15" hidden="false" customHeight="false" outlineLevel="0" collapsed="false">
      <c r="A289" s="7"/>
      <c r="B289" s="7"/>
      <c r="C289" s="46"/>
      <c r="D289" s="7"/>
      <c r="E289" s="47"/>
      <c r="F289" s="46"/>
      <c r="G289" s="46"/>
      <c r="H289" s="7"/>
      <c r="I289" s="7"/>
      <c r="J289" s="47"/>
      <c r="K289" s="47"/>
      <c r="L289" s="47"/>
      <c r="M289" s="47"/>
      <c r="N289" s="10"/>
      <c r="O289" s="47"/>
      <c r="P289" s="47"/>
      <c r="Q289" s="47"/>
      <c r="R289" s="48" t="str">
        <f aca="false">IF(Q289="","",IF(Q289=0,"below 5:00",IF(Q289&gt;=66,"16:00 or above",INT((60+2*Q289)/12)&amp;":"&amp;TEXT(MOD(60+2*Q289,12),"00"))))</f>
        <v/>
      </c>
      <c r="S289" s="47"/>
      <c r="T289" s="47"/>
      <c r="U289" s="47"/>
      <c r="V289" s="47"/>
      <c r="W289" s="47"/>
      <c r="X289" s="47"/>
      <c r="Y289" s="47"/>
      <c r="Z289" s="47"/>
      <c r="AA289" s="47"/>
      <c r="AB289" s="47"/>
      <c r="AC289" s="47"/>
      <c r="AD289" s="47"/>
      <c r="AE289" s="47"/>
      <c r="AF289" s="47"/>
      <c r="AG289" s="47"/>
      <c r="AH289" s="47"/>
      <c r="AI289" s="46"/>
      <c r="AJ289" s="46"/>
      <c r="AK289" s="46"/>
      <c r="AL289" s="7"/>
      <c r="AM289" s="49" t="str">
        <f aca="false">IF(OR(C289="",G289=""),"",IFERROR(DATEDIF(C289,G289,"m"),""))</f>
        <v/>
      </c>
      <c r="AN289" s="49" t="str">
        <f aca="false">IF(OR(Q289="",AM289=""),"",60+2*Q289-AM289)</f>
        <v/>
      </c>
      <c r="AO289" s="49" t="str">
        <f aca="false">IF(OR(G289="",AJ289=""),"",AJ289-G289)</f>
        <v/>
      </c>
      <c r="AP289" s="50" t="str">
        <f aca="false">IF(AND(A289="",B289=""),"",IF(J289="","Status needed",IF(OR(J289="Applied",J289="Visit booked",J289="Withdrawn"),"OK",IF(G289="","Date assessed needed",IF(C289="","Date of birth needed",IF(COUNTA(L289,M289,P289,U289,V289,X289,AB289)&lt;7,"Band missing",IF(AND(OR(J289="Decision confirmed",J289="Family told",J289="Enrolled"),AG289=""),"Recommendation needed",IF(AND(OR(J289="Family told",J289="Enrolled"),AJ289=""),"Date family told needed","OK"))))))))</f>
        <v/>
      </c>
    </row>
    <row r="290" customFormat="false" ht="15" hidden="false" customHeight="false" outlineLevel="0" collapsed="false">
      <c r="A290" s="7"/>
      <c r="B290" s="7"/>
      <c r="C290" s="46"/>
      <c r="D290" s="7"/>
      <c r="E290" s="47"/>
      <c r="F290" s="46"/>
      <c r="G290" s="46"/>
      <c r="H290" s="7"/>
      <c r="I290" s="7"/>
      <c r="J290" s="47"/>
      <c r="K290" s="47"/>
      <c r="L290" s="47"/>
      <c r="M290" s="47"/>
      <c r="N290" s="10"/>
      <c r="O290" s="47"/>
      <c r="P290" s="47"/>
      <c r="Q290" s="47"/>
      <c r="R290" s="48" t="str">
        <f aca="false">IF(Q290="","",IF(Q290=0,"below 5:00",IF(Q290&gt;=66,"16:00 or above",INT((60+2*Q290)/12)&amp;":"&amp;TEXT(MOD(60+2*Q290,12),"00"))))</f>
        <v/>
      </c>
      <c r="S290" s="47"/>
      <c r="T290" s="47"/>
      <c r="U290" s="47"/>
      <c r="V290" s="47"/>
      <c r="W290" s="47"/>
      <c r="X290" s="47"/>
      <c r="Y290" s="47"/>
      <c r="Z290" s="47"/>
      <c r="AA290" s="47"/>
      <c r="AB290" s="47"/>
      <c r="AC290" s="47"/>
      <c r="AD290" s="47"/>
      <c r="AE290" s="47"/>
      <c r="AF290" s="47"/>
      <c r="AG290" s="47"/>
      <c r="AH290" s="47"/>
      <c r="AI290" s="46"/>
      <c r="AJ290" s="46"/>
      <c r="AK290" s="46"/>
      <c r="AL290" s="7"/>
      <c r="AM290" s="49" t="str">
        <f aca="false">IF(OR(C290="",G290=""),"",IFERROR(DATEDIF(C290,G290,"m"),""))</f>
        <v/>
      </c>
      <c r="AN290" s="49" t="str">
        <f aca="false">IF(OR(Q290="",AM290=""),"",60+2*Q290-AM290)</f>
        <v/>
      </c>
      <c r="AO290" s="49" t="str">
        <f aca="false">IF(OR(G290="",AJ290=""),"",AJ290-G290)</f>
        <v/>
      </c>
      <c r="AP290" s="50" t="str">
        <f aca="false">IF(AND(A290="",B290=""),"",IF(J290="","Status needed",IF(OR(J290="Applied",J290="Visit booked",J290="Withdrawn"),"OK",IF(G290="","Date assessed needed",IF(C290="","Date of birth needed",IF(COUNTA(L290,M290,P290,U290,V290,X290,AB290)&lt;7,"Band missing",IF(AND(OR(J290="Decision confirmed",J290="Family told",J290="Enrolled"),AG290=""),"Recommendation needed",IF(AND(OR(J290="Family told",J290="Enrolled"),AJ290=""),"Date family told needed","OK"))))))))</f>
        <v/>
      </c>
    </row>
    <row r="291" customFormat="false" ht="15" hidden="false" customHeight="false" outlineLevel="0" collapsed="false">
      <c r="A291" s="7"/>
      <c r="B291" s="7"/>
      <c r="C291" s="46"/>
      <c r="D291" s="7"/>
      <c r="E291" s="47"/>
      <c r="F291" s="46"/>
      <c r="G291" s="46"/>
      <c r="H291" s="7"/>
      <c r="I291" s="7"/>
      <c r="J291" s="47"/>
      <c r="K291" s="47"/>
      <c r="L291" s="47"/>
      <c r="M291" s="47"/>
      <c r="N291" s="10"/>
      <c r="O291" s="47"/>
      <c r="P291" s="47"/>
      <c r="Q291" s="47"/>
      <c r="R291" s="48" t="str">
        <f aca="false">IF(Q291="","",IF(Q291=0,"below 5:00",IF(Q291&gt;=66,"16:00 or above",INT((60+2*Q291)/12)&amp;":"&amp;TEXT(MOD(60+2*Q291,12),"00"))))</f>
        <v/>
      </c>
      <c r="S291" s="47"/>
      <c r="T291" s="47"/>
      <c r="U291" s="47"/>
      <c r="V291" s="47"/>
      <c r="W291" s="47"/>
      <c r="X291" s="47"/>
      <c r="Y291" s="47"/>
      <c r="Z291" s="47"/>
      <c r="AA291" s="47"/>
      <c r="AB291" s="47"/>
      <c r="AC291" s="47"/>
      <c r="AD291" s="47"/>
      <c r="AE291" s="47"/>
      <c r="AF291" s="47"/>
      <c r="AG291" s="47"/>
      <c r="AH291" s="47"/>
      <c r="AI291" s="46"/>
      <c r="AJ291" s="46"/>
      <c r="AK291" s="46"/>
      <c r="AL291" s="7"/>
      <c r="AM291" s="49" t="str">
        <f aca="false">IF(OR(C291="",G291=""),"",IFERROR(DATEDIF(C291,G291,"m"),""))</f>
        <v/>
      </c>
      <c r="AN291" s="49" t="str">
        <f aca="false">IF(OR(Q291="",AM291=""),"",60+2*Q291-AM291)</f>
        <v/>
      </c>
      <c r="AO291" s="49" t="str">
        <f aca="false">IF(OR(G291="",AJ291=""),"",AJ291-G291)</f>
        <v/>
      </c>
      <c r="AP291" s="50" t="str">
        <f aca="false">IF(AND(A291="",B291=""),"",IF(J291="","Status needed",IF(OR(J291="Applied",J291="Visit booked",J291="Withdrawn"),"OK",IF(G291="","Date assessed needed",IF(C291="","Date of birth needed",IF(COUNTA(L291,M291,P291,U291,V291,X291,AB291)&lt;7,"Band missing",IF(AND(OR(J291="Decision confirmed",J291="Family told",J291="Enrolled"),AG291=""),"Recommendation needed",IF(AND(OR(J291="Family told",J291="Enrolled"),AJ291=""),"Date family told needed","OK"))))))))</f>
        <v/>
      </c>
    </row>
    <row r="292" customFormat="false" ht="15" hidden="false" customHeight="false" outlineLevel="0" collapsed="false">
      <c r="A292" s="7"/>
      <c r="B292" s="7"/>
      <c r="C292" s="46"/>
      <c r="D292" s="7"/>
      <c r="E292" s="47"/>
      <c r="F292" s="46"/>
      <c r="G292" s="46"/>
      <c r="H292" s="7"/>
      <c r="I292" s="7"/>
      <c r="J292" s="47"/>
      <c r="K292" s="47"/>
      <c r="L292" s="47"/>
      <c r="M292" s="47"/>
      <c r="N292" s="10"/>
      <c r="O292" s="47"/>
      <c r="P292" s="47"/>
      <c r="Q292" s="47"/>
      <c r="R292" s="48" t="str">
        <f aca="false">IF(Q292="","",IF(Q292=0,"below 5:00",IF(Q292&gt;=66,"16:00 or above",INT((60+2*Q292)/12)&amp;":"&amp;TEXT(MOD(60+2*Q292,12),"00"))))</f>
        <v/>
      </c>
      <c r="S292" s="47"/>
      <c r="T292" s="47"/>
      <c r="U292" s="47"/>
      <c r="V292" s="47"/>
      <c r="W292" s="47"/>
      <c r="X292" s="47"/>
      <c r="Y292" s="47"/>
      <c r="Z292" s="47"/>
      <c r="AA292" s="47"/>
      <c r="AB292" s="47"/>
      <c r="AC292" s="47"/>
      <c r="AD292" s="47"/>
      <c r="AE292" s="47"/>
      <c r="AF292" s="47"/>
      <c r="AG292" s="47"/>
      <c r="AH292" s="47"/>
      <c r="AI292" s="46"/>
      <c r="AJ292" s="46"/>
      <c r="AK292" s="46"/>
      <c r="AL292" s="7"/>
      <c r="AM292" s="49" t="str">
        <f aca="false">IF(OR(C292="",G292=""),"",IFERROR(DATEDIF(C292,G292,"m"),""))</f>
        <v/>
      </c>
      <c r="AN292" s="49" t="str">
        <f aca="false">IF(OR(Q292="",AM292=""),"",60+2*Q292-AM292)</f>
        <v/>
      </c>
      <c r="AO292" s="49" t="str">
        <f aca="false">IF(OR(G292="",AJ292=""),"",AJ292-G292)</f>
        <v/>
      </c>
      <c r="AP292" s="50" t="str">
        <f aca="false">IF(AND(A292="",B292=""),"",IF(J292="","Status needed",IF(OR(J292="Applied",J292="Visit booked",J292="Withdrawn"),"OK",IF(G292="","Date assessed needed",IF(C292="","Date of birth needed",IF(COUNTA(L292,M292,P292,U292,V292,X292,AB292)&lt;7,"Band missing",IF(AND(OR(J292="Decision confirmed",J292="Family told",J292="Enrolled"),AG292=""),"Recommendation needed",IF(AND(OR(J292="Family told",J292="Enrolled"),AJ292=""),"Date family told needed","OK"))))))))</f>
        <v/>
      </c>
    </row>
    <row r="293" customFormat="false" ht="15" hidden="false" customHeight="false" outlineLevel="0" collapsed="false">
      <c r="A293" s="7"/>
      <c r="B293" s="7"/>
      <c r="C293" s="46"/>
      <c r="D293" s="7"/>
      <c r="E293" s="47"/>
      <c r="F293" s="46"/>
      <c r="G293" s="46"/>
      <c r="H293" s="7"/>
      <c r="I293" s="7"/>
      <c r="J293" s="47"/>
      <c r="K293" s="47"/>
      <c r="L293" s="47"/>
      <c r="M293" s="47"/>
      <c r="N293" s="10"/>
      <c r="O293" s="47"/>
      <c r="P293" s="47"/>
      <c r="Q293" s="47"/>
      <c r="R293" s="48" t="str">
        <f aca="false">IF(Q293="","",IF(Q293=0,"below 5:00",IF(Q293&gt;=66,"16:00 or above",INT((60+2*Q293)/12)&amp;":"&amp;TEXT(MOD(60+2*Q293,12),"00"))))</f>
        <v/>
      </c>
      <c r="S293" s="47"/>
      <c r="T293" s="47"/>
      <c r="U293" s="47"/>
      <c r="V293" s="47"/>
      <c r="W293" s="47"/>
      <c r="X293" s="47"/>
      <c r="Y293" s="47"/>
      <c r="Z293" s="47"/>
      <c r="AA293" s="47"/>
      <c r="AB293" s="47"/>
      <c r="AC293" s="47"/>
      <c r="AD293" s="47"/>
      <c r="AE293" s="47"/>
      <c r="AF293" s="47"/>
      <c r="AG293" s="47"/>
      <c r="AH293" s="47"/>
      <c r="AI293" s="46"/>
      <c r="AJ293" s="46"/>
      <c r="AK293" s="46"/>
      <c r="AL293" s="7"/>
      <c r="AM293" s="49" t="str">
        <f aca="false">IF(OR(C293="",G293=""),"",IFERROR(DATEDIF(C293,G293,"m"),""))</f>
        <v/>
      </c>
      <c r="AN293" s="49" t="str">
        <f aca="false">IF(OR(Q293="",AM293=""),"",60+2*Q293-AM293)</f>
        <v/>
      </c>
      <c r="AO293" s="49" t="str">
        <f aca="false">IF(OR(G293="",AJ293=""),"",AJ293-G293)</f>
        <v/>
      </c>
      <c r="AP293" s="50" t="str">
        <f aca="false">IF(AND(A293="",B293=""),"",IF(J293="","Status needed",IF(OR(J293="Applied",J293="Visit booked",J293="Withdrawn"),"OK",IF(G293="","Date assessed needed",IF(C293="","Date of birth needed",IF(COUNTA(L293,M293,P293,U293,V293,X293,AB293)&lt;7,"Band missing",IF(AND(OR(J293="Decision confirmed",J293="Family told",J293="Enrolled"),AG293=""),"Recommendation needed",IF(AND(OR(J293="Family told",J293="Enrolled"),AJ293=""),"Date family told needed","OK"))))))))</f>
        <v/>
      </c>
    </row>
    <row r="294" customFormat="false" ht="15" hidden="false" customHeight="false" outlineLevel="0" collapsed="false">
      <c r="A294" s="7"/>
      <c r="B294" s="7"/>
      <c r="C294" s="46"/>
      <c r="D294" s="7"/>
      <c r="E294" s="47"/>
      <c r="F294" s="46"/>
      <c r="G294" s="46"/>
      <c r="H294" s="7"/>
      <c r="I294" s="7"/>
      <c r="J294" s="47"/>
      <c r="K294" s="47"/>
      <c r="L294" s="47"/>
      <c r="M294" s="47"/>
      <c r="N294" s="10"/>
      <c r="O294" s="47"/>
      <c r="P294" s="47"/>
      <c r="Q294" s="47"/>
      <c r="R294" s="48" t="str">
        <f aca="false">IF(Q294="","",IF(Q294=0,"below 5:00",IF(Q294&gt;=66,"16:00 or above",INT((60+2*Q294)/12)&amp;":"&amp;TEXT(MOD(60+2*Q294,12),"00"))))</f>
        <v/>
      </c>
      <c r="S294" s="47"/>
      <c r="T294" s="47"/>
      <c r="U294" s="47"/>
      <c r="V294" s="47"/>
      <c r="W294" s="47"/>
      <c r="X294" s="47"/>
      <c r="Y294" s="47"/>
      <c r="Z294" s="47"/>
      <c r="AA294" s="47"/>
      <c r="AB294" s="47"/>
      <c r="AC294" s="47"/>
      <c r="AD294" s="47"/>
      <c r="AE294" s="47"/>
      <c r="AF294" s="47"/>
      <c r="AG294" s="47"/>
      <c r="AH294" s="47"/>
      <c r="AI294" s="46"/>
      <c r="AJ294" s="46"/>
      <c r="AK294" s="46"/>
      <c r="AL294" s="7"/>
      <c r="AM294" s="49" t="str">
        <f aca="false">IF(OR(C294="",G294=""),"",IFERROR(DATEDIF(C294,G294,"m"),""))</f>
        <v/>
      </c>
      <c r="AN294" s="49" t="str">
        <f aca="false">IF(OR(Q294="",AM294=""),"",60+2*Q294-AM294)</f>
        <v/>
      </c>
      <c r="AO294" s="49" t="str">
        <f aca="false">IF(OR(G294="",AJ294=""),"",AJ294-G294)</f>
        <v/>
      </c>
      <c r="AP294" s="50" t="str">
        <f aca="false">IF(AND(A294="",B294=""),"",IF(J294="","Status needed",IF(OR(J294="Applied",J294="Visit booked",J294="Withdrawn"),"OK",IF(G294="","Date assessed needed",IF(C294="","Date of birth needed",IF(COUNTA(L294,M294,P294,U294,V294,X294,AB294)&lt;7,"Band missing",IF(AND(OR(J294="Decision confirmed",J294="Family told",J294="Enrolled"),AG294=""),"Recommendation needed",IF(AND(OR(J294="Family told",J294="Enrolled"),AJ294=""),"Date family told needed","OK"))))))))</f>
        <v/>
      </c>
    </row>
    <row r="295" customFormat="false" ht="15" hidden="false" customHeight="false" outlineLevel="0" collapsed="false">
      <c r="A295" s="7"/>
      <c r="B295" s="7"/>
      <c r="C295" s="46"/>
      <c r="D295" s="7"/>
      <c r="E295" s="47"/>
      <c r="F295" s="46"/>
      <c r="G295" s="46"/>
      <c r="H295" s="7"/>
      <c r="I295" s="7"/>
      <c r="J295" s="47"/>
      <c r="K295" s="47"/>
      <c r="L295" s="47"/>
      <c r="M295" s="47"/>
      <c r="N295" s="10"/>
      <c r="O295" s="47"/>
      <c r="P295" s="47"/>
      <c r="Q295" s="47"/>
      <c r="R295" s="48" t="str">
        <f aca="false">IF(Q295="","",IF(Q295=0,"below 5:00",IF(Q295&gt;=66,"16:00 or above",INT((60+2*Q295)/12)&amp;":"&amp;TEXT(MOD(60+2*Q295,12),"00"))))</f>
        <v/>
      </c>
      <c r="S295" s="47"/>
      <c r="T295" s="47"/>
      <c r="U295" s="47"/>
      <c r="V295" s="47"/>
      <c r="W295" s="47"/>
      <c r="X295" s="47"/>
      <c r="Y295" s="47"/>
      <c r="Z295" s="47"/>
      <c r="AA295" s="47"/>
      <c r="AB295" s="47"/>
      <c r="AC295" s="47"/>
      <c r="AD295" s="47"/>
      <c r="AE295" s="47"/>
      <c r="AF295" s="47"/>
      <c r="AG295" s="47"/>
      <c r="AH295" s="47"/>
      <c r="AI295" s="46"/>
      <c r="AJ295" s="46"/>
      <c r="AK295" s="46"/>
      <c r="AL295" s="7"/>
      <c r="AM295" s="49" t="str">
        <f aca="false">IF(OR(C295="",G295=""),"",IFERROR(DATEDIF(C295,G295,"m"),""))</f>
        <v/>
      </c>
      <c r="AN295" s="49" t="str">
        <f aca="false">IF(OR(Q295="",AM295=""),"",60+2*Q295-AM295)</f>
        <v/>
      </c>
      <c r="AO295" s="49" t="str">
        <f aca="false">IF(OR(G295="",AJ295=""),"",AJ295-G295)</f>
        <v/>
      </c>
      <c r="AP295" s="50" t="str">
        <f aca="false">IF(AND(A295="",B295=""),"",IF(J295="","Status needed",IF(OR(J295="Applied",J295="Visit booked",J295="Withdrawn"),"OK",IF(G295="","Date assessed needed",IF(C295="","Date of birth needed",IF(COUNTA(L295,M295,P295,U295,V295,X295,AB295)&lt;7,"Band missing",IF(AND(OR(J295="Decision confirmed",J295="Family told",J295="Enrolled"),AG295=""),"Recommendation needed",IF(AND(OR(J295="Family told",J295="Enrolled"),AJ295=""),"Date family told needed","OK"))))))))</f>
        <v/>
      </c>
    </row>
    <row r="296" customFormat="false" ht="15" hidden="false" customHeight="false" outlineLevel="0" collapsed="false">
      <c r="A296" s="7"/>
      <c r="B296" s="7"/>
      <c r="C296" s="46"/>
      <c r="D296" s="7"/>
      <c r="E296" s="47"/>
      <c r="F296" s="46"/>
      <c r="G296" s="46"/>
      <c r="H296" s="7"/>
      <c r="I296" s="7"/>
      <c r="J296" s="47"/>
      <c r="K296" s="47"/>
      <c r="L296" s="47"/>
      <c r="M296" s="47"/>
      <c r="N296" s="10"/>
      <c r="O296" s="47"/>
      <c r="P296" s="47"/>
      <c r="Q296" s="47"/>
      <c r="R296" s="48" t="str">
        <f aca="false">IF(Q296="","",IF(Q296=0,"below 5:00",IF(Q296&gt;=66,"16:00 or above",INT((60+2*Q296)/12)&amp;":"&amp;TEXT(MOD(60+2*Q296,12),"00"))))</f>
        <v/>
      </c>
      <c r="S296" s="47"/>
      <c r="T296" s="47"/>
      <c r="U296" s="47"/>
      <c r="V296" s="47"/>
      <c r="W296" s="47"/>
      <c r="X296" s="47"/>
      <c r="Y296" s="47"/>
      <c r="Z296" s="47"/>
      <c r="AA296" s="47"/>
      <c r="AB296" s="47"/>
      <c r="AC296" s="47"/>
      <c r="AD296" s="47"/>
      <c r="AE296" s="47"/>
      <c r="AF296" s="47"/>
      <c r="AG296" s="47"/>
      <c r="AH296" s="47"/>
      <c r="AI296" s="46"/>
      <c r="AJ296" s="46"/>
      <c r="AK296" s="46"/>
      <c r="AL296" s="7"/>
      <c r="AM296" s="49" t="str">
        <f aca="false">IF(OR(C296="",G296=""),"",IFERROR(DATEDIF(C296,G296,"m"),""))</f>
        <v/>
      </c>
      <c r="AN296" s="49" t="str">
        <f aca="false">IF(OR(Q296="",AM296=""),"",60+2*Q296-AM296)</f>
        <v/>
      </c>
      <c r="AO296" s="49" t="str">
        <f aca="false">IF(OR(G296="",AJ296=""),"",AJ296-G296)</f>
        <v/>
      </c>
      <c r="AP296" s="50" t="str">
        <f aca="false">IF(AND(A296="",B296=""),"",IF(J296="","Status needed",IF(OR(J296="Applied",J296="Visit booked",J296="Withdrawn"),"OK",IF(G296="","Date assessed needed",IF(C296="","Date of birth needed",IF(COUNTA(L296,M296,P296,U296,V296,X296,AB296)&lt;7,"Band missing",IF(AND(OR(J296="Decision confirmed",J296="Family told",J296="Enrolled"),AG296=""),"Recommendation needed",IF(AND(OR(J296="Family told",J296="Enrolled"),AJ296=""),"Date family told needed","OK"))))))))</f>
        <v/>
      </c>
    </row>
    <row r="297" customFormat="false" ht="15" hidden="false" customHeight="false" outlineLevel="0" collapsed="false">
      <c r="A297" s="7"/>
      <c r="B297" s="7"/>
      <c r="C297" s="46"/>
      <c r="D297" s="7"/>
      <c r="E297" s="47"/>
      <c r="F297" s="46"/>
      <c r="G297" s="46"/>
      <c r="H297" s="7"/>
      <c r="I297" s="7"/>
      <c r="J297" s="47"/>
      <c r="K297" s="47"/>
      <c r="L297" s="47"/>
      <c r="M297" s="47"/>
      <c r="N297" s="10"/>
      <c r="O297" s="47"/>
      <c r="P297" s="47"/>
      <c r="Q297" s="47"/>
      <c r="R297" s="48" t="str">
        <f aca="false">IF(Q297="","",IF(Q297=0,"below 5:00",IF(Q297&gt;=66,"16:00 or above",INT((60+2*Q297)/12)&amp;":"&amp;TEXT(MOD(60+2*Q297,12),"00"))))</f>
        <v/>
      </c>
      <c r="S297" s="47"/>
      <c r="T297" s="47"/>
      <c r="U297" s="47"/>
      <c r="V297" s="47"/>
      <c r="W297" s="47"/>
      <c r="X297" s="47"/>
      <c r="Y297" s="47"/>
      <c r="Z297" s="47"/>
      <c r="AA297" s="47"/>
      <c r="AB297" s="47"/>
      <c r="AC297" s="47"/>
      <c r="AD297" s="47"/>
      <c r="AE297" s="47"/>
      <c r="AF297" s="47"/>
      <c r="AG297" s="47"/>
      <c r="AH297" s="47"/>
      <c r="AI297" s="46"/>
      <c r="AJ297" s="46"/>
      <c r="AK297" s="46"/>
      <c r="AL297" s="7"/>
      <c r="AM297" s="49" t="str">
        <f aca="false">IF(OR(C297="",G297=""),"",IFERROR(DATEDIF(C297,G297,"m"),""))</f>
        <v/>
      </c>
      <c r="AN297" s="49" t="str">
        <f aca="false">IF(OR(Q297="",AM297=""),"",60+2*Q297-AM297)</f>
        <v/>
      </c>
      <c r="AO297" s="49" t="str">
        <f aca="false">IF(OR(G297="",AJ297=""),"",AJ297-G297)</f>
        <v/>
      </c>
      <c r="AP297" s="50" t="str">
        <f aca="false">IF(AND(A297="",B297=""),"",IF(J297="","Status needed",IF(OR(J297="Applied",J297="Visit booked",J297="Withdrawn"),"OK",IF(G297="","Date assessed needed",IF(C297="","Date of birth needed",IF(COUNTA(L297,M297,P297,U297,V297,X297,AB297)&lt;7,"Band missing",IF(AND(OR(J297="Decision confirmed",J297="Family told",J297="Enrolled"),AG297=""),"Recommendation needed",IF(AND(OR(J297="Family told",J297="Enrolled"),AJ297=""),"Date family told needed","OK"))))))))</f>
        <v/>
      </c>
    </row>
    <row r="298" customFormat="false" ht="15" hidden="false" customHeight="false" outlineLevel="0" collapsed="false">
      <c r="A298" s="7"/>
      <c r="B298" s="7"/>
      <c r="C298" s="46"/>
      <c r="D298" s="7"/>
      <c r="E298" s="47"/>
      <c r="F298" s="46"/>
      <c r="G298" s="46"/>
      <c r="H298" s="7"/>
      <c r="I298" s="7"/>
      <c r="J298" s="47"/>
      <c r="K298" s="47"/>
      <c r="L298" s="47"/>
      <c r="M298" s="47"/>
      <c r="N298" s="10"/>
      <c r="O298" s="47"/>
      <c r="P298" s="47"/>
      <c r="Q298" s="47"/>
      <c r="R298" s="48" t="str">
        <f aca="false">IF(Q298="","",IF(Q298=0,"below 5:00",IF(Q298&gt;=66,"16:00 or above",INT((60+2*Q298)/12)&amp;":"&amp;TEXT(MOD(60+2*Q298,12),"00"))))</f>
        <v/>
      </c>
      <c r="S298" s="47"/>
      <c r="T298" s="47"/>
      <c r="U298" s="47"/>
      <c r="V298" s="47"/>
      <c r="W298" s="47"/>
      <c r="X298" s="47"/>
      <c r="Y298" s="47"/>
      <c r="Z298" s="47"/>
      <c r="AA298" s="47"/>
      <c r="AB298" s="47"/>
      <c r="AC298" s="47"/>
      <c r="AD298" s="47"/>
      <c r="AE298" s="47"/>
      <c r="AF298" s="47"/>
      <c r="AG298" s="47"/>
      <c r="AH298" s="47"/>
      <c r="AI298" s="46"/>
      <c r="AJ298" s="46"/>
      <c r="AK298" s="46"/>
      <c r="AL298" s="7"/>
      <c r="AM298" s="49" t="str">
        <f aca="false">IF(OR(C298="",G298=""),"",IFERROR(DATEDIF(C298,G298,"m"),""))</f>
        <v/>
      </c>
      <c r="AN298" s="49" t="str">
        <f aca="false">IF(OR(Q298="",AM298=""),"",60+2*Q298-AM298)</f>
        <v/>
      </c>
      <c r="AO298" s="49" t="str">
        <f aca="false">IF(OR(G298="",AJ298=""),"",AJ298-G298)</f>
        <v/>
      </c>
      <c r="AP298" s="50" t="str">
        <f aca="false">IF(AND(A298="",B298=""),"",IF(J298="","Status needed",IF(OR(J298="Applied",J298="Visit booked",J298="Withdrawn"),"OK",IF(G298="","Date assessed needed",IF(C298="","Date of birth needed",IF(COUNTA(L298,M298,P298,U298,V298,X298,AB298)&lt;7,"Band missing",IF(AND(OR(J298="Decision confirmed",J298="Family told",J298="Enrolled"),AG298=""),"Recommendation needed",IF(AND(OR(J298="Family told",J298="Enrolled"),AJ298=""),"Date family told needed","OK"))))))))</f>
        <v/>
      </c>
    </row>
    <row r="299" customFormat="false" ht="15" hidden="false" customHeight="false" outlineLevel="0" collapsed="false">
      <c r="A299" s="7"/>
      <c r="B299" s="7"/>
      <c r="C299" s="46"/>
      <c r="D299" s="7"/>
      <c r="E299" s="47"/>
      <c r="F299" s="46"/>
      <c r="G299" s="46"/>
      <c r="H299" s="7"/>
      <c r="I299" s="7"/>
      <c r="J299" s="47"/>
      <c r="K299" s="47"/>
      <c r="L299" s="47"/>
      <c r="M299" s="47"/>
      <c r="N299" s="10"/>
      <c r="O299" s="47"/>
      <c r="P299" s="47"/>
      <c r="Q299" s="47"/>
      <c r="R299" s="48" t="str">
        <f aca="false">IF(Q299="","",IF(Q299=0,"below 5:00",IF(Q299&gt;=66,"16:00 or above",INT((60+2*Q299)/12)&amp;":"&amp;TEXT(MOD(60+2*Q299,12),"00"))))</f>
        <v/>
      </c>
      <c r="S299" s="47"/>
      <c r="T299" s="47"/>
      <c r="U299" s="47"/>
      <c r="V299" s="47"/>
      <c r="W299" s="47"/>
      <c r="X299" s="47"/>
      <c r="Y299" s="47"/>
      <c r="Z299" s="47"/>
      <c r="AA299" s="47"/>
      <c r="AB299" s="47"/>
      <c r="AC299" s="47"/>
      <c r="AD299" s="47"/>
      <c r="AE299" s="47"/>
      <c r="AF299" s="47"/>
      <c r="AG299" s="47"/>
      <c r="AH299" s="47"/>
      <c r="AI299" s="46"/>
      <c r="AJ299" s="46"/>
      <c r="AK299" s="46"/>
      <c r="AL299" s="7"/>
      <c r="AM299" s="49" t="str">
        <f aca="false">IF(OR(C299="",G299=""),"",IFERROR(DATEDIF(C299,G299,"m"),""))</f>
        <v/>
      </c>
      <c r="AN299" s="49" t="str">
        <f aca="false">IF(OR(Q299="",AM299=""),"",60+2*Q299-AM299)</f>
        <v/>
      </c>
      <c r="AO299" s="49" t="str">
        <f aca="false">IF(OR(G299="",AJ299=""),"",AJ299-G299)</f>
        <v/>
      </c>
      <c r="AP299" s="50" t="str">
        <f aca="false">IF(AND(A299="",B299=""),"",IF(J299="","Status needed",IF(OR(J299="Applied",J299="Visit booked",J299="Withdrawn"),"OK",IF(G299="","Date assessed needed",IF(C299="","Date of birth needed",IF(COUNTA(L299,M299,P299,U299,V299,X299,AB299)&lt;7,"Band missing",IF(AND(OR(J299="Decision confirmed",J299="Family told",J299="Enrolled"),AG299=""),"Recommendation needed",IF(AND(OR(J299="Family told",J299="Enrolled"),AJ299=""),"Date family told needed","OK"))))))))</f>
        <v/>
      </c>
    </row>
    <row r="300" customFormat="false" ht="15" hidden="false" customHeight="false" outlineLevel="0" collapsed="false">
      <c r="A300" s="7"/>
      <c r="B300" s="7"/>
      <c r="C300" s="46"/>
      <c r="D300" s="7"/>
      <c r="E300" s="47"/>
      <c r="F300" s="46"/>
      <c r="G300" s="46"/>
      <c r="H300" s="7"/>
      <c r="I300" s="7"/>
      <c r="J300" s="47"/>
      <c r="K300" s="47"/>
      <c r="L300" s="47"/>
      <c r="M300" s="47"/>
      <c r="N300" s="10"/>
      <c r="O300" s="47"/>
      <c r="P300" s="47"/>
      <c r="Q300" s="47"/>
      <c r="R300" s="48" t="str">
        <f aca="false">IF(Q300="","",IF(Q300=0,"below 5:00",IF(Q300&gt;=66,"16:00 or above",INT((60+2*Q300)/12)&amp;":"&amp;TEXT(MOD(60+2*Q300,12),"00"))))</f>
        <v/>
      </c>
      <c r="S300" s="47"/>
      <c r="T300" s="47"/>
      <c r="U300" s="47"/>
      <c r="V300" s="47"/>
      <c r="W300" s="47"/>
      <c r="X300" s="47"/>
      <c r="Y300" s="47"/>
      <c r="Z300" s="47"/>
      <c r="AA300" s="47"/>
      <c r="AB300" s="47"/>
      <c r="AC300" s="47"/>
      <c r="AD300" s="47"/>
      <c r="AE300" s="47"/>
      <c r="AF300" s="47"/>
      <c r="AG300" s="47"/>
      <c r="AH300" s="47"/>
      <c r="AI300" s="46"/>
      <c r="AJ300" s="46"/>
      <c r="AK300" s="46"/>
      <c r="AL300" s="7"/>
      <c r="AM300" s="49" t="str">
        <f aca="false">IF(OR(C300="",G300=""),"",IFERROR(DATEDIF(C300,G300,"m"),""))</f>
        <v/>
      </c>
      <c r="AN300" s="49" t="str">
        <f aca="false">IF(OR(Q300="",AM300=""),"",60+2*Q300-AM300)</f>
        <v/>
      </c>
      <c r="AO300" s="49" t="str">
        <f aca="false">IF(OR(G300="",AJ300=""),"",AJ300-G300)</f>
        <v/>
      </c>
      <c r="AP300" s="50" t="str">
        <f aca="false">IF(AND(A300="",B300=""),"",IF(J300="","Status needed",IF(OR(J300="Applied",J300="Visit booked",J300="Withdrawn"),"OK",IF(G300="","Date assessed needed",IF(C300="","Date of birth needed",IF(COUNTA(L300,M300,P300,U300,V300,X300,AB300)&lt;7,"Band missing",IF(AND(OR(J300="Decision confirmed",J300="Family told",J300="Enrolled"),AG300=""),"Recommendation needed",IF(AND(OR(J300="Family told",J300="Enrolled"),AJ300=""),"Date family told needed","OK"))))))))</f>
        <v/>
      </c>
    </row>
    <row r="301" customFormat="false" ht="15" hidden="false" customHeight="false" outlineLevel="0" collapsed="false">
      <c r="A301" s="7"/>
      <c r="B301" s="7"/>
      <c r="C301" s="46"/>
      <c r="D301" s="7"/>
      <c r="E301" s="47"/>
      <c r="F301" s="46"/>
      <c r="G301" s="46"/>
      <c r="H301" s="7"/>
      <c r="I301" s="7"/>
      <c r="J301" s="47"/>
      <c r="K301" s="47"/>
      <c r="L301" s="47"/>
      <c r="M301" s="47"/>
      <c r="N301" s="10"/>
      <c r="O301" s="47"/>
      <c r="P301" s="47"/>
      <c r="Q301" s="47"/>
      <c r="R301" s="48" t="str">
        <f aca="false">IF(Q301="","",IF(Q301=0,"below 5:00",IF(Q301&gt;=66,"16:00 or above",INT((60+2*Q301)/12)&amp;":"&amp;TEXT(MOD(60+2*Q301,12),"00"))))</f>
        <v/>
      </c>
      <c r="S301" s="47"/>
      <c r="T301" s="47"/>
      <c r="U301" s="47"/>
      <c r="V301" s="47"/>
      <c r="W301" s="47"/>
      <c r="X301" s="47"/>
      <c r="Y301" s="47"/>
      <c r="Z301" s="47"/>
      <c r="AA301" s="47"/>
      <c r="AB301" s="47"/>
      <c r="AC301" s="47"/>
      <c r="AD301" s="47"/>
      <c r="AE301" s="47"/>
      <c r="AF301" s="47"/>
      <c r="AG301" s="47"/>
      <c r="AH301" s="47"/>
      <c r="AI301" s="46"/>
      <c r="AJ301" s="46"/>
      <c r="AK301" s="46"/>
      <c r="AL301" s="7"/>
      <c r="AM301" s="49" t="str">
        <f aca="false">IF(OR(C301="",G301=""),"",IFERROR(DATEDIF(C301,G301,"m"),""))</f>
        <v/>
      </c>
      <c r="AN301" s="49" t="str">
        <f aca="false">IF(OR(Q301="",AM301=""),"",60+2*Q301-AM301)</f>
        <v/>
      </c>
      <c r="AO301" s="49" t="str">
        <f aca="false">IF(OR(G301="",AJ301=""),"",AJ301-G301)</f>
        <v/>
      </c>
      <c r="AP301" s="50" t="str">
        <f aca="false">IF(AND(A301="",B301=""),"",IF(J301="","Status needed",IF(OR(J301="Applied",J301="Visit booked",J301="Withdrawn"),"OK",IF(G301="","Date assessed needed",IF(C301="","Date of birth needed",IF(COUNTA(L301,M301,P301,U301,V301,X301,AB301)&lt;7,"Band missing",IF(AND(OR(J301="Decision confirmed",J301="Family told",J301="Enrolled"),AG301=""),"Recommendation needed",IF(AND(OR(J301="Family told",J301="Enrolled"),AJ301=""),"Date family told needed","OK"))))))))</f>
        <v/>
      </c>
    </row>
    <row r="302" customFormat="false" ht="15" hidden="false" customHeight="false" outlineLevel="0" collapsed="false">
      <c r="A302" s="7"/>
      <c r="B302" s="7"/>
      <c r="C302" s="46"/>
      <c r="D302" s="7"/>
      <c r="E302" s="47"/>
      <c r="F302" s="46"/>
      <c r="G302" s="46"/>
      <c r="H302" s="7"/>
      <c r="I302" s="7"/>
      <c r="J302" s="47"/>
      <c r="K302" s="47"/>
      <c r="L302" s="47"/>
      <c r="M302" s="47"/>
      <c r="N302" s="10"/>
      <c r="O302" s="47"/>
      <c r="P302" s="47"/>
      <c r="Q302" s="47"/>
      <c r="R302" s="48" t="str">
        <f aca="false">IF(Q302="","",IF(Q302=0,"below 5:00",IF(Q302&gt;=66,"16:00 or above",INT((60+2*Q302)/12)&amp;":"&amp;TEXT(MOD(60+2*Q302,12),"00"))))</f>
        <v/>
      </c>
      <c r="S302" s="47"/>
      <c r="T302" s="47"/>
      <c r="U302" s="47"/>
      <c r="V302" s="47"/>
      <c r="W302" s="47"/>
      <c r="X302" s="47"/>
      <c r="Y302" s="47"/>
      <c r="Z302" s="47"/>
      <c r="AA302" s="47"/>
      <c r="AB302" s="47"/>
      <c r="AC302" s="47"/>
      <c r="AD302" s="47"/>
      <c r="AE302" s="47"/>
      <c r="AF302" s="47"/>
      <c r="AG302" s="47"/>
      <c r="AH302" s="47"/>
      <c r="AI302" s="46"/>
      <c r="AJ302" s="46"/>
      <c r="AK302" s="46"/>
      <c r="AL302" s="7"/>
      <c r="AM302" s="49" t="str">
        <f aca="false">IF(OR(C302="",G302=""),"",IFERROR(DATEDIF(C302,G302,"m"),""))</f>
        <v/>
      </c>
      <c r="AN302" s="49" t="str">
        <f aca="false">IF(OR(Q302="",AM302=""),"",60+2*Q302-AM302)</f>
        <v/>
      </c>
      <c r="AO302" s="49" t="str">
        <f aca="false">IF(OR(G302="",AJ302=""),"",AJ302-G302)</f>
        <v/>
      </c>
      <c r="AP302" s="50" t="str">
        <f aca="false">IF(AND(A302="",B302=""),"",IF(J302="","Status needed",IF(OR(J302="Applied",J302="Visit booked",J302="Withdrawn"),"OK",IF(G302="","Date assessed needed",IF(C302="","Date of birth needed",IF(COUNTA(L302,M302,P302,U302,V302,X302,AB302)&lt;7,"Band missing",IF(AND(OR(J302="Decision confirmed",J302="Family told",J302="Enrolled"),AG302=""),"Recommendation needed",IF(AND(OR(J302="Family told",J302="Enrolled"),AJ302=""),"Date family told needed","OK"))))))))</f>
        <v/>
      </c>
    </row>
    <row r="303" customFormat="false" ht="15" hidden="false" customHeight="false" outlineLevel="0" collapsed="false">
      <c r="A303" s="7"/>
      <c r="B303" s="7"/>
      <c r="C303" s="46"/>
      <c r="D303" s="7"/>
      <c r="E303" s="47"/>
      <c r="F303" s="46"/>
      <c r="G303" s="46"/>
      <c r="H303" s="7"/>
      <c r="I303" s="7"/>
      <c r="J303" s="47"/>
      <c r="K303" s="47"/>
      <c r="L303" s="47"/>
      <c r="M303" s="47"/>
      <c r="N303" s="10"/>
      <c r="O303" s="47"/>
      <c r="P303" s="47"/>
      <c r="Q303" s="47"/>
      <c r="R303" s="48" t="str">
        <f aca="false">IF(Q303="","",IF(Q303=0,"below 5:00",IF(Q303&gt;=66,"16:00 or above",INT((60+2*Q303)/12)&amp;":"&amp;TEXT(MOD(60+2*Q303,12),"00"))))</f>
        <v/>
      </c>
      <c r="S303" s="47"/>
      <c r="T303" s="47"/>
      <c r="U303" s="47"/>
      <c r="V303" s="47"/>
      <c r="W303" s="47"/>
      <c r="X303" s="47"/>
      <c r="Y303" s="47"/>
      <c r="Z303" s="47"/>
      <c r="AA303" s="47"/>
      <c r="AB303" s="47"/>
      <c r="AC303" s="47"/>
      <c r="AD303" s="47"/>
      <c r="AE303" s="47"/>
      <c r="AF303" s="47"/>
      <c r="AG303" s="47"/>
      <c r="AH303" s="47"/>
      <c r="AI303" s="46"/>
      <c r="AJ303" s="46"/>
      <c r="AK303" s="46"/>
      <c r="AL303" s="7"/>
      <c r="AM303" s="49" t="str">
        <f aca="false">IF(OR(C303="",G303=""),"",IFERROR(DATEDIF(C303,G303,"m"),""))</f>
        <v/>
      </c>
      <c r="AN303" s="49" t="str">
        <f aca="false">IF(OR(Q303="",AM303=""),"",60+2*Q303-AM303)</f>
        <v/>
      </c>
      <c r="AO303" s="49" t="str">
        <f aca="false">IF(OR(G303="",AJ303=""),"",AJ303-G303)</f>
        <v/>
      </c>
      <c r="AP303" s="50" t="str">
        <f aca="false">IF(AND(A303="",B303=""),"",IF(J303="","Status needed",IF(OR(J303="Applied",J303="Visit booked",J303="Withdrawn"),"OK",IF(G303="","Date assessed needed",IF(C303="","Date of birth needed",IF(COUNTA(L303,M303,P303,U303,V303,X303,AB303)&lt;7,"Band missing",IF(AND(OR(J303="Decision confirmed",J303="Family told",J303="Enrolled"),AG303=""),"Recommendation needed",IF(AND(OR(J303="Family told",J303="Enrolled"),AJ303=""),"Date family told needed","OK"))))))))</f>
        <v/>
      </c>
    </row>
    <row r="304" customFormat="false" ht="15" hidden="false" customHeight="false" outlineLevel="0" collapsed="false">
      <c r="A304" s="7"/>
      <c r="B304" s="7"/>
      <c r="C304" s="46"/>
      <c r="D304" s="7"/>
      <c r="E304" s="47"/>
      <c r="F304" s="46"/>
      <c r="G304" s="46"/>
      <c r="H304" s="7"/>
      <c r="I304" s="7"/>
      <c r="J304" s="47"/>
      <c r="K304" s="47"/>
      <c r="L304" s="47"/>
      <c r="M304" s="47"/>
      <c r="N304" s="10"/>
      <c r="O304" s="47"/>
      <c r="P304" s="47"/>
      <c r="Q304" s="47"/>
      <c r="R304" s="48" t="str">
        <f aca="false">IF(Q304="","",IF(Q304=0,"below 5:00",IF(Q304&gt;=66,"16:00 or above",INT((60+2*Q304)/12)&amp;":"&amp;TEXT(MOD(60+2*Q304,12),"00"))))</f>
        <v/>
      </c>
      <c r="S304" s="47"/>
      <c r="T304" s="47"/>
      <c r="U304" s="47"/>
      <c r="V304" s="47"/>
      <c r="W304" s="47"/>
      <c r="X304" s="47"/>
      <c r="Y304" s="47"/>
      <c r="Z304" s="47"/>
      <c r="AA304" s="47"/>
      <c r="AB304" s="47"/>
      <c r="AC304" s="47"/>
      <c r="AD304" s="47"/>
      <c r="AE304" s="47"/>
      <c r="AF304" s="47"/>
      <c r="AG304" s="47"/>
      <c r="AH304" s="47"/>
      <c r="AI304" s="46"/>
      <c r="AJ304" s="46"/>
      <c r="AK304" s="46"/>
      <c r="AL304" s="7"/>
      <c r="AM304" s="49" t="str">
        <f aca="false">IF(OR(C304="",G304=""),"",IFERROR(DATEDIF(C304,G304,"m"),""))</f>
        <v/>
      </c>
      <c r="AN304" s="49" t="str">
        <f aca="false">IF(OR(Q304="",AM304=""),"",60+2*Q304-AM304)</f>
        <v/>
      </c>
      <c r="AO304" s="49" t="str">
        <f aca="false">IF(OR(G304="",AJ304=""),"",AJ304-G304)</f>
        <v/>
      </c>
      <c r="AP304" s="50" t="str">
        <f aca="false">IF(AND(A304="",B304=""),"",IF(J304="","Status needed",IF(OR(J304="Applied",J304="Visit booked",J304="Withdrawn"),"OK",IF(G304="","Date assessed needed",IF(C304="","Date of birth needed",IF(COUNTA(L304,M304,P304,U304,V304,X304,AB304)&lt;7,"Band missing",IF(AND(OR(J304="Decision confirmed",J304="Family told",J304="Enrolled"),AG304=""),"Recommendation needed",IF(AND(OR(J304="Family told",J304="Enrolled"),AJ304=""),"Date family told needed","OK"))))))))</f>
        <v/>
      </c>
    </row>
    <row r="305" customFormat="false" ht="15" hidden="false" customHeight="false" outlineLevel="0" collapsed="false">
      <c r="A305" s="7"/>
      <c r="B305" s="7"/>
      <c r="C305" s="46"/>
      <c r="D305" s="7"/>
      <c r="E305" s="47"/>
      <c r="F305" s="46"/>
      <c r="G305" s="46"/>
      <c r="H305" s="7"/>
      <c r="I305" s="7"/>
      <c r="J305" s="47"/>
      <c r="K305" s="47"/>
      <c r="L305" s="47"/>
      <c r="M305" s="47"/>
      <c r="N305" s="10"/>
      <c r="O305" s="47"/>
      <c r="P305" s="47"/>
      <c r="Q305" s="47"/>
      <c r="R305" s="48" t="str">
        <f aca="false">IF(Q305="","",IF(Q305=0,"below 5:00",IF(Q305&gt;=66,"16:00 or above",INT((60+2*Q305)/12)&amp;":"&amp;TEXT(MOD(60+2*Q305,12),"00"))))</f>
        <v/>
      </c>
      <c r="S305" s="47"/>
      <c r="T305" s="47"/>
      <c r="U305" s="47"/>
      <c r="V305" s="47"/>
      <c r="W305" s="47"/>
      <c r="X305" s="47"/>
      <c r="Y305" s="47"/>
      <c r="Z305" s="47"/>
      <c r="AA305" s="47"/>
      <c r="AB305" s="47"/>
      <c r="AC305" s="47"/>
      <c r="AD305" s="47"/>
      <c r="AE305" s="47"/>
      <c r="AF305" s="47"/>
      <c r="AG305" s="47"/>
      <c r="AH305" s="47"/>
      <c r="AI305" s="46"/>
      <c r="AJ305" s="46"/>
      <c r="AK305" s="46"/>
      <c r="AL305" s="7"/>
      <c r="AM305" s="49" t="str">
        <f aca="false">IF(OR(C305="",G305=""),"",IFERROR(DATEDIF(C305,G305,"m"),""))</f>
        <v/>
      </c>
      <c r="AN305" s="49" t="str">
        <f aca="false">IF(OR(Q305="",AM305=""),"",60+2*Q305-AM305)</f>
        <v/>
      </c>
      <c r="AO305" s="49" t="str">
        <f aca="false">IF(OR(G305="",AJ305=""),"",AJ305-G305)</f>
        <v/>
      </c>
      <c r="AP305" s="50" t="str">
        <f aca="false">IF(AND(A305="",B305=""),"",IF(J305="","Status needed",IF(OR(J305="Applied",J305="Visit booked",J305="Withdrawn"),"OK",IF(G305="","Date assessed needed",IF(C305="","Date of birth needed",IF(COUNTA(L305,M305,P305,U305,V305,X305,AB305)&lt;7,"Band missing",IF(AND(OR(J305="Decision confirmed",J305="Family told",J305="Enrolled"),AG305=""),"Recommendation needed",IF(AND(OR(J305="Family told",J305="Enrolled"),AJ305=""),"Date family told needed","OK"))))))))</f>
        <v/>
      </c>
    </row>
  </sheetData>
  <autoFilter ref="A5:AP305"/>
  <mergeCells count="7">
    <mergeCell ref="A4:E4"/>
    <mergeCell ref="F4:J4"/>
    <mergeCell ref="K4:V4"/>
    <mergeCell ref="W4:AB4"/>
    <mergeCell ref="AC4:AF4"/>
    <mergeCell ref="AG4:AL4"/>
    <mergeCell ref="AM4:AP4"/>
  </mergeCells>
  <conditionalFormatting sqref="L6:L305">
    <cfRule type="cellIs" priority="2" operator="equal" aboveAverage="0" equalAverage="0" bottom="0" percent="0" rank="0" text="" dxfId="13">
      <formula>"A"</formula>
    </cfRule>
    <cfRule type="cellIs" priority="3" operator="equal" aboveAverage="0" equalAverage="0" bottom="0" percent="0" rank="0" text="" dxfId="14">
      <formula>"B"</formula>
    </cfRule>
    <cfRule type="cellIs" priority="4" operator="equal" aboveAverage="0" equalAverage="0" bottom="0" percent="0" rank="0" text="" dxfId="15">
      <formula>"C"</formula>
    </cfRule>
    <cfRule type="cellIs" priority="5" operator="equal" aboveAverage="0" equalAverage="0" bottom="0" percent="0" rank="0" text="" dxfId="16">
      <formula>"D"</formula>
    </cfRule>
    <cfRule type="cellIs" priority="6" operator="equal" aboveAverage="0" equalAverage="0" bottom="0" percent="0" rank="0" text="" dxfId="17">
      <formula>"E"</formula>
    </cfRule>
  </conditionalFormatting>
  <conditionalFormatting sqref="M6:M305">
    <cfRule type="cellIs" priority="7" operator="equal" aboveAverage="0" equalAverage="0" bottom="0" percent="0" rank="0" text="" dxfId="13">
      <formula>"A"</formula>
    </cfRule>
    <cfRule type="cellIs" priority="8" operator="equal" aboveAverage="0" equalAverage="0" bottom="0" percent="0" rank="0" text="" dxfId="14">
      <formula>"B"</formula>
    </cfRule>
    <cfRule type="cellIs" priority="9" operator="equal" aboveAverage="0" equalAverage="0" bottom="0" percent="0" rank="0" text="" dxfId="15">
      <formula>"C"</formula>
    </cfRule>
    <cfRule type="cellIs" priority="10" operator="equal" aboveAverage="0" equalAverage="0" bottom="0" percent="0" rank="0" text="" dxfId="16">
      <formula>"D"</formula>
    </cfRule>
    <cfRule type="cellIs" priority="11" operator="equal" aboveAverage="0" equalAverage="0" bottom="0" percent="0" rank="0" text="" dxfId="17">
      <formula>"E"</formula>
    </cfRule>
  </conditionalFormatting>
  <conditionalFormatting sqref="P6:P305">
    <cfRule type="cellIs" priority="12" operator="equal" aboveAverage="0" equalAverage="0" bottom="0" percent="0" rank="0" text="" dxfId="13">
      <formula>"A"</formula>
    </cfRule>
    <cfRule type="cellIs" priority="13" operator="equal" aboveAverage="0" equalAverage="0" bottom="0" percent="0" rank="0" text="" dxfId="14">
      <formula>"B"</formula>
    </cfRule>
    <cfRule type="cellIs" priority="14" operator="equal" aboveAverage="0" equalAverage="0" bottom="0" percent="0" rank="0" text="" dxfId="15">
      <formula>"C"</formula>
    </cfRule>
    <cfRule type="cellIs" priority="15" operator="equal" aboveAverage="0" equalAverage="0" bottom="0" percent="0" rank="0" text="" dxfId="16">
      <formula>"D"</formula>
    </cfRule>
    <cfRule type="cellIs" priority="16" operator="equal" aboveAverage="0" equalAverage="0" bottom="0" percent="0" rank="0" text="" dxfId="17">
      <formula>"E"</formula>
    </cfRule>
  </conditionalFormatting>
  <conditionalFormatting sqref="S6:S305">
    <cfRule type="cellIs" priority="17" operator="equal" aboveAverage="0" equalAverage="0" bottom="0" percent="0" rank="0" text="" dxfId="13">
      <formula>"A"</formula>
    </cfRule>
    <cfRule type="cellIs" priority="18" operator="equal" aboveAverage="0" equalAverage="0" bottom="0" percent="0" rank="0" text="" dxfId="14">
      <formula>"B"</formula>
    </cfRule>
    <cfRule type="cellIs" priority="19" operator="equal" aboveAverage="0" equalAverage="0" bottom="0" percent="0" rank="0" text="" dxfId="15">
      <formula>"C"</formula>
    </cfRule>
    <cfRule type="cellIs" priority="20" operator="equal" aboveAverage="0" equalAverage="0" bottom="0" percent="0" rank="0" text="" dxfId="16">
      <formula>"D"</formula>
    </cfRule>
    <cfRule type="cellIs" priority="21" operator="equal" aboveAverage="0" equalAverage="0" bottom="0" percent="0" rank="0" text="" dxfId="17">
      <formula>"E"</formula>
    </cfRule>
  </conditionalFormatting>
  <conditionalFormatting sqref="U6:U305">
    <cfRule type="cellIs" priority="22" operator="equal" aboveAverage="0" equalAverage="0" bottom="0" percent="0" rank="0" text="" dxfId="13">
      <formula>"A"</formula>
    </cfRule>
    <cfRule type="cellIs" priority="23" operator="equal" aboveAverage="0" equalAverage="0" bottom="0" percent="0" rank="0" text="" dxfId="14">
      <formula>"B"</formula>
    </cfRule>
    <cfRule type="cellIs" priority="24" operator="equal" aboveAverage="0" equalAverage="0" bottom="0" percent="0" rank="0" text="" dxfId="15">
      <formula>"C"</formula>
    </cfRule>
    <cfRule type="cellIs" priority="25" operator="equal" aboveAverage="0" equalAverage="0" bottom="0" percent="0" rank="0" text="" dxfId="16">
      <formula>"D"</formula>
    </cfRule>
    <cfRule type="cellIs" priority="26" operator="equal" aboveAverage="0" equalAverage="0" bottom="0" percent="0" rank="0" text="" dxfId="17">
      <formula>"E"</formula>
    </cfRule>
  </conditionalFormatting>
  <conditionalFormatting sqref="V6:V305">
    <cfRule type="cellIs" priority="27" operator="equal" aboveAverage="0" equalAverage="0" bottom="0" percent="0" rank="0" text="" dxfId="13">
      <formula>"A"</formula>
    </cfRule>
    <cfRule type="cellIs" priority="28" operator="equal" aboveAverage="0" equalAverage="0" bottom="0" percent="0" rank="0" text="" dxfId="14">
      <formula>"B"</formula>
    </cfRule>
    <cfRule type="cellIs" priority="29" operator="equal" aboveAverage="0" equalAverage="0" bottom="0" percent="0" rank="0" text="" dxfId="15">
      <formula>"C"</formula>
    </cfRule>
    <cfRule type="cellIs" priority="30" operator="equal" aboveAverage="0" equalAverage="0" bottom="0" percent="0" rank="0" text="" dxfId="16">
      <formula>"D"</formula>
    </cfRule>
    <cfRule type="cellIs" priority="31" operator="equal" aboveAverage="0" equalAverage="0" bottom="0" percent="0" rank="0" text="" dxfId="17">
      <formula>"E"</formula>
    </cfRule>
  </conditionalFormatting>
  <conditionalFormatting sqref="X6:X305">
    <cfRule type="cellIs" priority="32" operator="equal" aboveAverage="0" equalAverage="0" bottom="0" percent="0" rank="0" text="" dxfId="13">
      <formula>1</formula>
    </cfRule>
    <cfRule type="cellIs" priority="33" operator="equal" aboveAverage="0" equalAverage="0" bottom="0" percent="0" rank="0" text="" dxfId="14">
      <formula>2</formula>
    </cfRule>
    <cfRule type="cellIs" priority="34" operator="equal" aboveAverage="0" equalAverage="0" bottom="0" percent="0" rank="0" text="" dxfId="16">
      <formula>3</formula>
    </cfRule>
    <cfRule type="cellIs" priority="35" operator="equal" aboveAverage="0" equalAverage="0" bottom="0" percent="0" rank="0" text="" dxfId="17">
      <formula>4</formula>
    </cfRule>
  </conditionalFormatting>
  <conditionalFormatting sqref="AB6:AB305">
    <cfRule type="cellIs" priority="36" operator="equal" aboveAverage="0" equalAverage="0" bottom="0" percent="0" rank="0" text="" dxfId="13">
      <formula>1</formula>
    </cfRule>
    <cfRule type="cellIs" priority="37" operator="equal" aboveAverage="0" equalAverage="0" bottom="0" percent="0" rank="0" text="" dxfId="14">
      <formula>2</formula>
    </cfRule>
    <cfRule type="cellIs" priority="38" operator="equal" aboveAverage="0" equalAverage="0" bottom="0" percent="0" rank="0" text="" dxfId="16">
      <formula>3</formula>
    </cfRule>
    <cfRule type="cellIs" priority="39" operator="equal" aboveAverage="0" equalAverage="0" bottom="0" percent="0" rank="0" text="" dxfId="17">
      <formula>4</formula>
    </cfRule>
  </conditionalFormatting>
  <conditionalFormatting sqref="AC6:AC305">
    <cfRule type="cellIs" priority="40" operator="equal" aboveAverage="0" equalAverage="0" bottom="0" percent="0" rank="0" text="" dxfId="13">
      <formula>1</formula>
    </cfRule>
    <cfRule type="cellIs" priority="41" operator="equal" aboveAverage="0" equalAverage="0" bottom="0" percent="0" rank="0" text="" dxfId="14">
      <formula>2</formula>
    </cfRule>
  </conditionalFormatting>
  <conditionalFormatting sqref="AD6:AD305">
    <cfRule type="cellIs" priority="42" operator="equal" aboveAverage="0" equalAverage="0" bottom="0" percent="0" rank="0" text="" dxfId="14">
      <formula>"Y"</formula>
    </cfRule>
  </conditionalFormatting>
  <conditionalFormatting sqref="AE6:AE305">
    <cfRule type="cellIs" priority="43" operator="equal" aboveAverage="0" equalAverage="0" bottom="0" percent="0" rank="0" text="" dxfId="14">
      <formula>"Y"</formula>
    </cfRule>
  </conditionalFormatting>
  <conditionalFormatting sqref="AF6:AF305">
    <cfRule type="cellIs" priority="44" operator="equal" aboveAverage="0" equalAverage="0" bottom="0" percent="0" rank="0" text="" dxfId="14">
      <formula>"Y"</formula>
    </cfRule>
  </conditionalFormatting>
  <conditionalFormatting sqref="Z6:Z305">
    <cfRule type="cellIs" priority="45" operator="equal" aboveAverage="0" equalAverage="0" bottom="0" percent="0" rank="0" text="" dxfId="14">
      <formula>"Yes"</formula>
    </cfRule>
  </conditionalFormatting>
  <conditionalFormatting sqref="AN6:AN305">
    <cfRule type="cellIs" priority="46" operator="lessThanOrEqual" aboveAverage="0" equalAverage="0" bottom="0" percent="0" rank="0" text="" dxfId="14">
      <formula>-12</formula>
    </cfRule>
  </conditionalFormatting>
  <conditionalFormatting sqref="J6:J305">
    <cfRule type="cellIs" priority="47" operator="equal" aboveAverage="0" equalAverage="0" bottom="0" percent="0" rank="0" text="" dxfId="18">
      <formula>"Withdrawn"</formula>
    </cfRule>
  </conditionalFormatting>
  <conditionalFormatting sqref="AP6:AP305">
    <cfRule type="expression" priority="48" aboveAverage="0" equalAverage="0" bottom="0" percent="0" rank="0" text="" dxfId="19">
      <formula>AND(AP6&lt;&gt;"",AP6&lt;&gt;"OK")</formula>
    </cfRule>
    <cfRule type="expression" priority="49" aboveAverage="0" equalAverage="0" bottom="0" percent="0" rank="0" text="" dxfId="20">
      <formula>AP6="OK"</formula>
    </cfRule>
  </conditionalFormatting>
  <dataValidations count="25">
    <dataValidation allowBlank="true" error="Enter a date, day first, for example 14/10/2026." errorStyle="stop" errorTitle="Date" operator="between" showDropDown="false" showErrorMessage="true" showInputMessage="false" sqref="C6:C305 F6:G305 AI6:AK305" type="date">
      <formula1>36526</formula1>
      <formula2>73050</formula2>
    </dataValidation>
    <dataValidation allowBlank="true" error="Enter the lowest strand rating on the Interview sheet: 1, 2, 3 or 4." errorStyle="stop" errorTitle="Rating" operator="between" showDropDown="false" showErrorMessage="true" showInputMessage="false" sqref="AC6:AC305" type="whole">
      <formula1>1</formula1>
      <formula2>4</formula2>
    </dataValidation>
    <dataValidation allowBlank="true" error="Enter Y or N, or leave blank." errorStyle="stop" errorTitle="Y or N" operator="between" showDropDown="false" showErrorMessage="true" showInputMessage="false" sqref="E6:E305" type="list">
      <formula1>"Y,N"</formula1>
      <formula2>0</formula2>
    </dataValidation>
    <dataValidation allowBlank="true" error="Choose a status from the list." errorStyle="stop" errorTitle="Status" operator="between" showDropDown="false" showErrorMessage="true" showInputMessage="false" sqref="J6:J305" type="list">
      <formula1>Lists!$A$2:$A$8</formula1>
      <formula2>0</formula2>
    </dataValidation>
    <dataValidation allowBlank="true" error="Enter a whole number from 0 to the maximum shown in row 3 of this column." errorStyle="stop" errorTitle="Score" operator="between" showDropDown="false" showErrorMessage="true" showInputMessage="false" sqref="K6:K305" type="whole">
      <formula1>0</formula1>
      <formula2>$K$3</formula2>
    </dataValidation>
    <dataValidation allowBlank="true" error="Enter a band from the list: A, B, C, D or E." errorStyle="stop" errorTitle="Band" operator="between" showDropDown="false" showErrorMessage="true" showInputMessage="false" sqref="L6:L305" type="list">
      <formula1>"A,B,C,D,E"</formula1>
      <formula2>0</formula2>
    </dataValidation>
    <dataValidation allowBlank="true" error="Enter a band from the list: A, B, C, D or E." errorStyle="stop" errorTitle="Band" operator="between" showDropDown="false" showErrorMessage="true" showInputMessage="false" sqref="M6:M305" type="list">
      <formula1>"A,B,C,D,E"</formula1>
      <formula2>0</formula2>
    </dataValidation>
    <dataValidation allowBlank="true" error="Enter a whole number from 0 to the maximum shown in row 3 of this column." errorStyle="stop" errorTitle="Score" operator="between" showDropDown="false" showErrorMessage="true" showInputMessage="false" sqref="O6:O305" type="whole">
      <formula1>0</formula1>
      <formula2>$O$3</formula2>
    </dataValidation>
    <dataValidation allowBlank="true" error="Enter a band from the list: A, B, C, D or E." errorStyle="stop" errorTitle="Band" operator="between" showDropDown="false" showErrorMessage="true" showInputMessage="false" sqref="P6:P305" type="list">
      <formula1>"A,B,C,D,E"</formula1>
      <formula2>0</formula2>
    </dataValidation>
    <dataValidation allowBlank="true" error="Enter a whole number from 0 to the maximum shown in row 3 of this column." errorStyle="stop" errorTitle="Score" operator="between" showDropDown="false" showErrorMessage="true" showInputMessage="false" sqref="Q6:Q305" type="whole">
      <formula1>0</formula1>
      <formula2>$Q$3</formula2>
    </dataValidation>
    <dataValidation allowBlank="true" error="Enter a band from the list: A, B, C, D or E." errorStyle="stop" errorTitle="Band" operator="between" showDropDown="false" showErrorMessage="true" showInputMessage="false" sqref="S6:S305" type="list">
      <formula1>"A,B,C,D,E"</formula1>
      <formula2>0</formula2>
    </dataValidation>
    <dataValidation allowBlank="true" error="Enter a whole number from 0 to the maximum shown in row 3 of this column." errorStyle="stop" errorTitle="Score" operator="between" showDropDown="false" showErrorMessage="true" showInputMessage="false" sqref="T6:T305" type="whole">
      <formula1>0</formula1>
      <formula2>$T$3</formula2>
    </dataValidation>
    <dataValidation allowBlank="true" error="Enter a band from the list: A, B, C, D or E." errorStyle="stop" errorTitle="Band" operator="between" showDropDown="false" showErrorMessage="true" showInputMessage="false" sqref="U6:U305" type="list">
      <formula1>"A,B,C,D,E"</formula1>
      <formula2>0</formula2>
    </dataValidation>
    <dataValidation allowBlank="true" error="Enter a band from the list: A, B, C, D or E." errorStyle="stop" errorTitle="Band" operator="between" showDropDown="false" showErrorMessage="true" showInputMessage="false" sqref="V6:V305" type="list">
      <formula1>"A,B,C,D,E"</formula1>
      <formula2>0</formula2>
    </dataValidation>
    <dataValidation allowBlank="true" error="Enter a whole number from 0 to the maximum shown in row 3 of this column." errorStyle="stop" errorTitle="Score" operator="between" showDropDown="false" showErrorMessage="true" showInputMessage="false" sqref="W6:W305" type="whole">
      <formula1>0</formula1>
      <formula2>$W$3</formula2>
    </dataValidation>
    <dataValidation allowBlank="true" error="Enter a band from the list: 1, 2, 3 or 4." errorStyle="stop" errorTitle="Band" operator="between" showDropDown="false" showErrorMessage="true" showInputMessage="false" sqref="X6:X305" type="list">
      <formula1>"1,2,3,4"</formula1>
      <formula2>0</formula2>
    </dataValidation>
    <dataValidation allowBlank="true" error="Enter a whole number from 0 to the maximum shown in row 3 of this column." errorStyle="stop" errorTitle="Score" operator="between" showDropDown="false" showErrorMessage="true" showInputMessage="false" sqref="Y6:Y305" type="whole">
      <formula1>0</formula1>
      <formula2>$Y$3</formula2>
    </dataValidation>
    <dataValidation allowBlank="true" error="Choose Yes, No or Unsure." errorStyle="stop" errorTitle="English barrier in maths" operator="between" showDropDown="false" showErrorMessage="true" showInputMessage="false" sqref="Z6:Z305" type="list">
      <formula1>Lists!$E$2:$E$4</formula1>
      <formula2>0</formula2>
    </dataValidation>
    <dataValidation allowBlank="true" error="Enter a whole number from 0 to the maximum shown in row 3 of this column." errorStyle="stop" errorTitle="Score" operator="between" showDropDown="false" showErrorMessage="true" showInputMessage="false" sqref="AA6:AA305" type="whole">
      <formula1>0</formula1>
      <formula2>$AA$3</formula2>
    </dataValidation>
    <dataValidation allowBlank="true" error="Enter a band from the list: 1, 2, 3 or 4." errorStyle="stop" errorTitle="Band" operator="between" showDropDown="false" showErrorMessage="true" showInputMessage="false" sqref="AB6:AB305" type="list">
      <formula1>"1,2,3,4"</formula1>
      <formula2>0</formula2>
    </dataValidation>
    <dataValidation allowBlank="true" error="Enter Y or N, or leave blank." errorStyle="stop" errorTitle="Y or N" operator="between" showDropDown="false" showErrorMessage="true" showInputMessage="false" sqref="AD6:AD305" type="list">
      <formula1>"Y,N"</formula1>
      <formula2>0</formula2>
    </dataValidation>
    <dataValidation allowBlank="true" error="Enter Y or N, or leave blank." errorStyle="stop" errorTitle="Y or N" operator="between" showDropDown="false" showErrorMessage="true" showInputMessage="false" sqref="AE6:AE305" type="list">
      <formula1>"Y,N"</formula1>
      <formula2>0</formula2>
    </dataValidation>
    <dataValidation allowBlank="true" error="Enter Y or N, or leave blank." errorStyle="stop" errorTitle="Y or N" operator="between" showDropDown="false" showErrorMessage="true" showInputMessage="false" sqref="AF6:AF305" type="list">
      <formula1>"Y,N"</formula1>
      <formula2>0</formula2>
    </dataValidation>
    <dataValidation allowBlank="true" error="Choose a recommendation from the list." errorStyle="stop" errorTitle="Recommendation" operator="between" showDropDown="false" showErrorMessage="true" showInputMessage="false" sqref="AG6:AG305" type="list">
      <formula1>Lists!$B$2:$B$6</formula1>
      <formula2>0</formula2>
    </dataValidation>
    <dataValidation allowBlank="true" error="Choose a support level from the list." errorStyle="stop" errorTitle="English support level" operator="between" showDropDown="false" showErrorMessage="true" showInputMessage="false" sqref="AH6:AH305" type="list">
      <formula1>Lists!$C$2:$C$5</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78D6"/>
    <pageSetUpPr fitToPage="true"/>
  </sheetPr>
  <dimension ref="A1:AP3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4"/>
    <col collapsed="false" customWidth="true" hidden="false" outlineLevel="0" max="3" min="3" style="0" width="12"/>
    <col collapsed="false" customWidth="true" hidden="false" outlineLevel="0" max="4" min="4" style="0" width="24"/>
    <col collapsed="false" customWidth="true" hidden="false" outlineLevel="0" max="5" min="5" style="0" width="9"/>
    <col collapsed="false" customWidth="true" hidden="false" outlineLevel="0" max="7" min="6" style="0" width="12"/>
    <col collapsed="false" customWidth="true" hidden="false" outlineLevel="0" max="8" min="8" style="0" width="10"/>
    <col collapsed="false" customWidth="true" hidden="false" outlineLevel="0" max="9" min="9" style="0" width="9"/>
    <col collapsed="false" customWidth="true" hidden="false" outlineLevel="0" max="10" min="10" style="0" width="18"/>
    <col collapsed="false" customWidth="true" hidden="false" outlineLevel="0" max="13" min="11" style="0" width="9"/>
    <col collapsed="false" customWidth="true" hidden="false" outlineLevel="0" max="14" min="14" style="0" width="17"/>
    <col collapsed="false" customWidth="true" hidden="false" outlineLevel="0" max="15" min="15" style="0" width="10"/>
    <col collapsed="false" customWidth="true" hidden="false" outlineLevel="0" max="16" min="16" style="0" width="9"/>
    <col collapsed="false" customWidth="true" hidden="false" outlineLevel="0" max="17" min="17" style="0" width="10"/>
    <col collapsed="false" customWidth="true" hidden="false" outlineLevel="0" max="18" min="18" style="0" width="11"/>
    <col collapsed="false" customWidth="true" hidden="false" outlineLevel="0" max="19" min="19" style="0" width="10"/>
    <col collapsed="false" customWidth="true" hidden="false" outlineLevel="0" max="24" min="20" style="0" width="9"/>
    <col collapsed="false" customWidth="true" hidden="false" outlineLevel="0" max="25" min="25" style="0" width="10"/>
    <col collapsed="false" customWidth="true" hidden="false" outlineLevel="0" max="26" min="26" style="0" width="11"/>
    <col collapsed="false" customWidth="true" hidden="false" outlineLevel="0" max="28" min="27" style="0" width="9"/>
    <col collapsed="false" customWidth="true" hidden="false" outlineLevel="0" max="29" min="29" style="0" width="11"/>
    <col collapsed="false" customWidth="true" hidden="false" outlineLevel="0" max="31" min="30" style="0" width="10"/>
    <col collapsed="false" customWidth="true" hidden="false" outlineLevel="0" max="32" min="32" style="0" width="11"/>
    <col collapsed="false" customWidth="true" hidden="false" outlineLevel="0" max="33" min="33" style="0" width="32"/>
    <col collapsed="false" customWidth="true" hidden="false" outlineLevel="0" max="34" min="34" style="0" width="28"/>
    <col collapsed="false" customWidth="true" hidden="false" outlineLevel="0" max="37" min="35" style="0" width="12"/>
    <col collapsed="false" customWidth="true" hidden="false" outlineLevel="0" max="38" min="38" style="0" width="36"/>
    <col collapsed="false" customWidth="true" hidden="false" outlineLevel="0" max="39" min="39" style="0" width="11"/>
    <col collapsed="false" customWidth="true" hidden="false" outlineLevel="0" max="41" min="40" style="0" width="12"/>
    <col collapsed="false" customWidth="true" hidden="false" outlineLevel="0" max="42" min="42" style="0" width="26"/>
  </cols>
  <sheetData>
    <row r="1" customFormat="false" ht="17.35" hidden="false" customHeight="false" outlineLevel="0" collapsed="false">
      <c r="A1" s="38" t="s">
        <v>395</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row>
    <row r="2" customFormat="false" ht="15" hidden="false" customHeight="false" outlineLevel="0" collapsed="false">
      <c r="A2" s="18" t="s">
        <v>286</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row>
    <row r="3" customFormat="false" ht="15" hidden="false" customHeight="false" outlineLevel="0" collapsed="false">
      <c r="A3" s="1"/>
      <c r="B3" s="39" t="s">
        <v>396</v>
      </c>
      <c r="C3" s="1"/>
      <c r="D3" s="1"/>
      <c r="E3" s="1"/>
      <c r="F3" s="1"/>
      <c r="G3" s="1"/>
      <c r="H3" s="1"/>
      <c r="I3" s="1"/>
      <c r="J3" s="1"/>
      <c r="K3" s="40" t="n">
        <v>8</v>
      </c>
      <c r="L3" s="1"/>
      <c r="M3" s="1"/>
      <c r="N3" s="41" t="s">
        <v>288</v>
      </c>
      <c r="O3" s="40" t="n">
        <v>24</v>
      </c>
      <c r="P3" s="1"/>
      <c r="Q3" s="40" t="n">
        <v>72</v>
      </c>
      <c r="R3" s="1"/>
      <c r="S3" s="1"/>
      <c r="T3" s="40" t="n">
        <v>16</v>
      </c>
      <c r="U3" s="1"/>
      <c r="V3" s="1"/>
      <c r="W3" s="40" t="n">
        <v>25</v>
      </c>
      <c r="X3" s="1"/>
      <c r="Y3" s="40" t="n">
        <v>5</v>
      </c>
      <c r="Z3" s="1"/>
      <c r="AA3" s="40" t="n">
        <v>10</v>
      </c>
      <c r="AB3" s="1"/>
      <c r="AC3" s="1"/>
      <c r="AD3" s="1"/>
      <c r="AE3" s="1"/>
      <c r="AF3" s="1"/>
      <c r="AG3" s="1"/>
      <c r="AH3" s="1"/>
      <c r="AI3" s="1"/>
      <c r="AJ3" s="1"/>
      <c r="AK3" s="1"/>
      <c r="AL3" s="1"/>
      <c r="AM3" s="1"/>
      <c r="AN3" s="1"/>
      <c r="AO3" s="1"/>
      <c r="AP3" s="1"/>
    </row>
    <row r="4" customFormat="false" ht="19.5" hidden="false" customHeight="true" outlineLevel="0" collapsed="false">
      <c r="A4" s="42" t="s">
        <v>289</v>
      </c>
      <c r="B4" s="42"/>
      <c r="C4" s="42"/>
      <c r="D4" s="42"/>
      <c r="E4" s="42"/>
      <c r="F4" s="42" t="s">
        <v>290</v>
      </c>
      <c r="G4" s="42"/>
      <c r="H4" s="42"/>
      <c r="I4" s="42"/>
      <c r="J4" s="42"/>
      <c r="K4" s="42" t="s">
        <v>291</v>
      </c>
      <c r="L4" s="42"/>
      <c r="M4" s="42"/>
      <c r="N4" s="42"/>
      <c r="O4" s="42"/>
      <c r="P4" s="42"/>
      <c r="Q4" s="42"/>
      <c r="R4" s="42"/>
      <c r="S4" s="42"/>
      <c r="T4" s="42"/>
      <c r="U4" s="42"/>
      <c r="V4" s="42"/>
      <c r="W4" s="42" t="s">
        <v>292</v>
      </c>
      <c r="X4" s="42"/>
      <c r="Y4" s="42"/>
      <c r="Z4" s="42"/>
      <c r="AA4" s="42"/>
      <c r="AB4" s="42"/>
      <c r="AC4" s="42" t="s">
        <v>293</v>
      </c>
      <c r="AD4" s="42"/>
      <c r="AE4" s="42"/>
      <c r="AF4" s="42"/>
      <c r="AG4" s="42" t="s">
        <v>294</v>
      </c>
      <c r="AH4" s="42"/>
      <c r="AI4" s="42"/>
      <c r="AJ4" s="42"/>
      <c r="AK4" s="42"/>
      <c r="AL4" s="42"/>
      <c r="AM4" s="43" t="s">
        <v>295</v>
      </c>
      <c r="AN4" s="43"/>
      <c r="AO4" s="43"/>
      <c r="AP4" s="43"/>
    </row>
    <row r="5" customFormat="false" ht="61.5" hidden="false" customHeight="true" outlineLevel="0" collapsed="false">
      <c r="A5" s="44" t="s">
        <v>55</v>
      </c>
      <c r="B5" s="44" t="s">
        <v>59</v>
      </c>
      <c r="C5" s="44" t="s">
        <v>62</v>
      </c>
      <c r="D5" s="44" t="s">
        <v>65</v>
      </c>
      <c r="E5" s="44" t="s">
        <v>68</v>
      </c>
      <c r="F5" s="44" t="s">
        <v>72</v>
      </c>
      <c r="G5" s="44" t="s">
        <v>76</v>
      </c>
      <c r="H5" s="44" t="s">
        <v>79</v>
      </c>
      <c r="I5" s="44" t="s">
        <v>83</v>
      </c>
      <c r="J5" s="44" t="s">
        <v>86</v>
      </c>
      <c r="K5" s="44" t="s">
        <v>88</v>
      </c>
      <c r="L5" s="44" t="s">
        <v>91</v>
      </c>
      <c r="M5" s="44" t="s">
        <v>95</v>
      </c>
      <c r="N5" s="45" t="s">
        <v>98</v>
      </c>
      <c r="O5" s="44" t="s">
        <v>102</v>
      </c>
      <c r="P5" s="44" t="s">
        <v>106</v>
      </c>
      <c r="Q5" s="44" t="s">
        <v>109</v>
      </c>
      <c r="R5" s="44" t="s">
        <v>113</v>
      </c>
      <c r="S5" s="44" t="s">
        <v>117</v>
      </c>
      <c r="T5" s="44" t="s">
        <v>120</v>
      </c>
      <c r="U5" s="44" t="s">
        <v>123</v>
      </c>
      <c r="V5" s="44" t="s">
        <v>125</v>
      </c>
      <c r="W5" s="44" t="s">
        <v>127</v>
      </c>
      <c r="X5" s="44" t="s">
        <v>130</v>
      </c>
      <c r="Y5" s="44" t="s">
        <v>134</v>
      </c>
      <c r="Z5" s="44" t="s">
        <v>136</v>
      </c>
      <c r="AA5" s="44" t="s">
        <v>139</v>
      </c>
      <c r="AB5" s="44" t="s">
        <v>141</v>
      </c>
      <c r="AC5" s="44" t="s">
        <v>143</v>
      </c>
      <c r="AD5" s="44" t="s">
        <v>146</v>
      </c>
      <c r="AE5" s="44" t="s">
        <v>149</v>
      </c>
      <c r="AF5" s="44" t="s">
        <v>151</v>
      </c>
      <c r="AG5" s="44" t="s">
        <v>48</v>
      </c>
      <c r="AH5" s="44" t="s">
        <v>156</v>
      </c>
      <c r="AI5" s="44" t="s">
        <v>160</v>
      </c>
      <c r="AJ5" s="44" t="s">
        <v>164</v>
      </c>
      <c r="AK5" s="44" t="s">
        <v>167</v>
      </c>
      <c r="AL5" s="44" t="s">
        <v>170</v>
      </c>
      <c r="AM5" s="44" t="s">
        <v>173</v>
      </c>
      <c r="AN5" s="44" t="s">
        <v>176</v>
      </c>
      <c r="AO5" s="44" t="s">
        <v>179</v>
      </c>
      <c r="AP5" s="44" t="s">
        <v>181</v>
      </c>
    </row>
    <row r="6" customFormat="false" ht="15" hidden="false" customHeight="false" outlineLevel="0" collapsed="false">
      <c r="A6" s="7" t="s">
        <v>397</v>
      </c>
      <c r="B6" s="7" t="s">
        <v>398</v>
      </c>
      <c r="C6" s="46" t="n">
        <v>42301</v>
      </c>
      <c r="D6" s="7" t="s">
        <v>298</v>
      </c>
      <c r="E6" s="47" t="s">
        <v>69</v>
      </c>
      <c r="F6" s="46" t="n">
        <v>46276</v>
      </c>
      <c r="G6" s="46" t="n">
        <v>46304</v>
      </c>
      <c r="H6" s="7" t="s">
        <v>314</v>
      </c>
      <c r="I6" s="7" t="s">
        <v>84</v>
      </c>
      <c r="J6" s="47" t="s">
        <v>35</v>
      </c>
      <c r="K6" s="47" t="n">
        <v>4</v>
      </c>
      <c r="L6" s="47" t="s">
        <v>92</v>
      </c>
      <c r="M6" s="47" t="s">
        <v>92</v>
      </c>
      <c r="N6" s="10"/>
      <c r="O6" s="47" t="n">
        <v>11</v>
      </c>
      <c r="P6" s="47" t="s">
        <v>92</v>
      </c>
      <c r="Q6" s="47" t="n">
        <v>34</v>
      </c>
      <c r="R6" s="48" t="str">
        <f aca="false">IF(Q6="","",IF(Q6=0,"below 5:00",IF(Q6&gt;=66,"16:00 or above",INT((60+2*Q6)/12)&amp;":"&amp;TEXT(MOD(60+2*Q6,12),"00"))))</f>
        <v>10:08</v>
      </c>
      <c r="S6" s="47" t="s">
        <v>222</v>
      </c>
      <c r="T6" s="47" t="n">
        <v>7</v>
      </c>
      <c r="U6" s="47" t="s">
        <v>92</v>
      </c>
      <c r="V6" s="47" t="s">
        <v>92</v>
      </c>
      <c r="W6" s="47" t="n">
        <v>15</v>
      </c>
      <c r="X6" s="47" t="n">
        <v>3</v>
      </c>
      <c r="Y6" s="47" t="n">
        <v>3</v>
      </c>
      <c r="Z6" s="47" t="s">
        <v>137</v>
      </c>
      <c r="AA6" s="47" t="n">
        <v>4</v>
      </c>
      <c r="AB6" s="47" t="n">
        <v>2</v>
      </c>
      <c r="AC6" s="47" t="n">
        <v>4</v>
      </c>
      <c r="AD6" s="47"/>
      <c r="AE6" s="47"/>
      <c r="AF6" s="47"/>
      <c r="AG6" s="47" t="s">
        <v>153</v>
      </c>
      <c r="AH6" s="47" t="s">
        <v>157</v>
      </c>
      <c r="AI6" s="46" t="n">
        <v>46308</v>
      </c>
      <c r="AJ6" s="46" t="n">
        <v>46310</v>
      </c>
      <c r="AK6" s="46" t="n">
        <v>46310</v>
      </c>
      <c r="AL6" s="7"/>
      <c r="AM6" s="49" t="n">
        <f aca="false">IF(OR(C6="",G6=""),"",IFERROR(DATEDIF(C6,G6,"m"),""))</f>
        <v>131</v>
      </c>
      <c r="AN6" s="49" t="n">
        <f aca="false">IF(OR(Q6="",AM6=""),"",60+2*Q6-AM6)</f>
        <v>-3</v>
      </c>
      <c r="AO6" s="49" t="n">
        <f aca="false">IF(OR(G6="",AJ6=""),"",AJ6-G6)</f>
        <v>6</v>
      </c>
      <c r="AP6" s="50" t="str">
        <f aca="false">IF(AND(A6="",B6=""),"",IF(J6="","Status needed",IF(OR(J6="Applied",J6="Visit booked",J6="Withdrawn"),"OK",IF(G6="","Date assessed needed",IF(C6="","Date of birth needed",IF(COUNTA(L6,M6,P6,U6,V6,X6,AB6)&lt;7,"Band missing",IF(AND(OR(J6="Decision confirmed",J6="Family told",J6="Enrolled"),AG6=""),"Recommendation needed",IF(AND(OR(J6="Family told",J6="Enrolled"),AJ6=""),"Date family told needed","OK"))))))))</f>
        <v>OK</v>
      </c>
    </row>
    <row r="7" customFormat="false" ht="15" hidden="false" customHeight="false" outlineLevel="0" collapsed="false">
      <c r="A7" s="7" t="s">
        <v>399</v>
      </c>
      <c r="B7" s="7" t="s">
        <v>400</v>
      </c>
      <c r="C7" s="46" t="n">
        <v>42558</v>
      </c>
      <c r="D7" s="7" t="s">
        <v>307</v>
      </c>
      <c r="E7" s="47" t="s">
        <v>69</v>
      </c>
      <c r="F7" s="46" t="n">
        <v>46266</v>
      </c>
      <c r="G7" s="46" t="n">
        <v>46307</v>
      </c>
      <c r="H7" s="7" t="s">
        <v>80</v>
      </c>
      <c r="I7" s="7" t="s">
        <v>84</v>
      </c>
      <c r="J7" s="47" t="s">
        <v>35</v>
      </c>
      <c r="K7" s="47" t="n">
        <v>3</v>
      </c>
      <c r="L7" s="47" t="s">
        <v>221</v>
      </c>
      <c r="M7" s="47" t="s">
        <v>221</v>
      </c>
      <c r="N7" s="10"/>
      <c r="O7" s="47" t="n">
        <v>11</v>
      </c>
      <c r="P7" s="47" t="s">
        <v>92</v>
      </c>
      <c r="Q7" s="47" t="n">
        <v>30</v>
      </c>
      <c r="R7" s="48" t="str">
        <f aca="false">IF(Q7="","",IF(Q7=0,"below 5:00",IF(Q7&gt;=66,"16:00 or above",INT((60+2*Q7)/12)&amp;":"&amp;TEXT(MOD(60+2*Q7,12),"00"))))</f>
        <v>10:00</v>
      </c>
      <c r="S7" s="47" t="s">
        <v>222</v>
      </c>
      <c r="T7" s="47" t="n">
        <v>7</v>
      </c>
      <c r="U7" s="47" t="s">
        <v>221</v>
      </c>
      <c r="V7" s="47" t="s">
        <v>221</v>
      </c>
      <c r="W7" s="47" t="n">
        <v>12</v>
      </c>
      <c r="X7" s="47" t="n">
        <v>2</v>
      </c>
      <c r="Y7" s="47" t="n">
        <v>3</v>
      </c>
      <c r="Z7" s="47" t="s">
        <v>137</v>
      </c>
      <c r="AA7" s="47" t="n">
        <v>6</v>
      </c>
      <c r="AB7" s="47" t="n">
        <v>3</v>
      </c>
      <c r="AC7" s="47" t="n">
        <v>1</v>
      </c>
      <c r="AD7" s="47"/>
      <c r="AE7" s="47" t="s">
        <v>311</v>
      </c>
      <c r="AF7" s="47"/>
      <c r="AG7" s="47" t="s">
        <v>231</v>
      </c>
      <c r="AH7" s="47"/>
      <c r="AI7" s="46" t="n">
        <v>46311</v>
      </c>
      <c r="AJ7" s="46" t="n">
        <v>46314</v>
      </c>
      <c r="AK7" s="46" t="n">
        <v>46314</v>
      </c>
      <c r="AL7" s="7" t="s">
        <v>315</v>
      </c>
      <c r="AM7" s="49" t="n">
        <f aca="false">IF(OR(C7="",G7=""),"",IFERROR(DATEDIF(C7,G7,"m"),""))</f>
        <v>123</v>
      </c>
      <c r="AN7" s="49" t="n">
        <f aca="false">IF(OR(Q7="",AM7=""),"",60+2*Q7-AM7)</f>
        <v>-3</v>
      </c>
      <c r="AO7" s="49" t="n">
        <f aca="false">IF(OR(G7="",AJ7=""),"",AJ7-G7)</f>
        <v>7</v>
      </c>
      <c r="AP7" s="50" t="str">
        <f aca="false">IF(AND(A7="",B7=""),"",IF(J7="","Status needed",IF(OR(J7="Applied",J7="Visit booked",J7="Withdrawn"),"OK",IF(G7="","Date assessed needed",IF(C7="","Date of birth needed",IF(COUNTA(L7,M7,P7,U7,V7,X7,AB7)&lt;7,"Band missing",IF(AND(OR(J7="Decision confirmed",J7="Family told",J7="Enrolled"),AG7=""),"Recommendation needed",IF(AND(OR(J7="Family told",J7="Enrolled"),AJ7=""),"Date family told needed","OK"))))))))</f>
        <v>OK</v>
      </c>
    </row>
    <row r="8" customFormat="false" ht="15" hidden="false" customHeight="false" outlineLevel="0" collapsed="false">
      <c r="A8" s="7" t="s">
        <v>401</v>
      </c>
      <c r="B8" s="7" t="s">
        <v>402</v>
      </c>
      <c r="C8" s="46" t="n">
        <v>42411</v>
      </c>
      <c r="D8" s="7" t="s">
        <v>361</v>
      </c>
      <c r="E8" s="47" t="s">
        <v>69</v>
      </c>
      <c r="F8" s="46" t="n">
        <v>46290</v>
      </c>
      <c r="G8" s="46" t="n">
        <v>46300</v>
      </c>
      <c r="H8" s="7" t="s">
        <v>314</v>
      </c>
      <c r="I8" s="7" t="s">
        <v>84</v>
      </c>
      <c r="J8" s="47" t="s">
        <v>37</v>
      </c>
      <c r="K8" s="47" t="n">
        <v>3</v>
      </c>
      <c r="L8" s="47" t="s">
        <v>221</v>
      </c>
      <c r="M8" s="47" t="s">
        <v>92</v>
      </c>
      <c r="N8" s="10"/>
      <c r="O8" s="47" t="n">
        <v>8</v>
      </c>
      <c r="P8" s="47" t="s">
        <v>221</v>
      </c>
      <c r="Q8" s="47" t="n">
        <v>17</v>
      </c>
      <c r="R8" s="48" t="str">
        <f aca="false">IF(Q8="","",IF(Q8=0,"below 5:00",IF(Q8&gt;=66,"16:00 or above",INT((60+2*Q8)/12)&amp;":"&amp;TEXT(MOD(60+2*Q8,12),"00"))))</f>
        <v>7:10</v>
      </c>
      <c r="S8" s="47" t="s">
        <v>92</v>
      </c>
      <c r="T8" s="47" t="n">
        <v>6</v>
      </c>
      <c r="U8" s="47" t="s">
        <v>221</v>
      </c>
      <c r="V8" s="47" t="s">
        <v>221</v>
      </c>
      <c r="W8" s="47" t="n">
        <v>12</v>
      </c>
      <c r="X8" s="47" t="n">
        <v>2</v>
      </c>
      <c r="Y8" s="47" t="n">
        <v>2</v>
      </c>
      <c r="Z8" s="47" t="s">
        <v>137</v>
      </c>
      <c r="AA8" s="47" t="n">
        <v>7</v>
      </c>
      <c r="AB8" s="47" t="n">
        <v>3</v>
      </c>
      <c r="AC8" s="47" t="n">
        <v>3</v>
      </c>
      <c r="AD8" s="47"/>
      <c r="AE8" s="47" t="s">
        <v>311</v>
      </c>
      <c r="AF8" s="47"/>
      <c r="AG8" s="47" t="s">
        <v>153</v>
      </c>
      <c r="AH8" s="47" t="s">
        <v>252</v>
      </c>
      <c r="AI8" s="46" t="n">
        <v>46302</v>
      </c>
      <c r="AJ8" s="46" t="n">
        <v>46305</v>
      </c>
      <c r="AK8" s="46" t="n">
        <v>46305</v>
      </c>
      <c r="AL8" s="7"/>
      <c r="AM8" s="49" t="n">
        <f aca="false">IF(OR(C8="",G8=""),"",IFERROR(DATEDIF(C8,G8,"m"),""))</f>
        <v>127</v>
      </c>
      <c r="AN8" s="49" t="n">
        <f aca="false">IF(OR(Q8="",AM8=""),"",60+2*Q8-AM8)</f>
        <v>-33</v>
      </c>
      <c r="AO8" s="49" t="n">
        <f aca="false">IF(OR(G8="",AJ8=""),"",AJ8-G8)</f>
        <v>5</v>
      </c>
      <c r="AP8" s="50" t="str">
        <f aca="false">IF(AND(A8="",B8=""),"",IF(J8="","Status needed",IF(OR(J8="Applied",J8="Visit booked",J8="Withdrawn"),"OK",IF(G8="","Date assessed needed",IF(C8="","Date of birth needed",IF(COUNTA(L8,M8,P8,U8,V8,X8,AB8)&lt;7,"Band missing",IF(AND(OR(J8="Decision confirmed",J8="Family told",J8="Enrolled"),AG8=""),"Recommendation needed",IF(AND(OR(J8="Family told",J8="Enrolled"),AJ8=""),"Date family told needed","OK"))))))))</f>
        <v>OK</v>
      </c>
    </row>
    <row r="9" customFormat="false" ht="15" hidden="false" customHeight="false" outlineLevel="0" collapsed="false">
      <c r="A9" s="7" t="s">
        <v>403</v>
      </c>
      <c r="B9" s="7" t="s">
        <v>404</v>
      </c>
      <c r="C9" s="46" t="n">
        <v>42394</v>
      </c>
      <c r="D9" s="7" t="s">
        <v>361</v>
      </c>
      <c r="E9" s="47" t="s">
        <v>69</v>
      </c>
      <c r="F9" s="46" t="n">
        <v>46241</v>
      </c>
      <c r="G9" s="46" t="n">
        <v>46282</v>
      </c>
      <c r="H9" s="7" t="s">
        <v>299</v>
      </c>
      <c r="I9" s="7" t="s">
        <v>84</v>
      </c>
      <c r="J9" s="47" t="s">
        <v>31</v>
      </c>
      <c r="K9" s="47" t="n">
        <v>2</v>
      </c>
      <c r="L9" s="47" t="s">
        <v>221</v>
      </c>
      <c r="M9" s="47" t="s">
        <v>220</v>
      </c>
      <c r="N9" s="10"/>
      <c r="O9" s="47" t="n">
        <v>7</v>
      </c>
      <c r="P9" s="47" t="s">
        <v>221</v>
      </c>
      <c r="Q9" s="47" t="n">
        <v>20</v>
      </c>
      <c r="R9" s="48" t="str">
        <f aca="false">IF(Q9="","",IF(Q9=0,"below 5:00",IF(Q9&gt;=66,"16:00 or above",INT((60+2*Q9)/12)&amp;":"&amp;TEXT(MOD(60+2*Q9,12),"00"))))</f>
        <v>8:04</v>
      </c>
      <c r="S9" s="47" t="s">
        <v>92</v>
      </c>
      <c r="T9" s="47" t="n">
        <v>6</v>
      </c>
      <c r="U9" s="47" t="s">
        <v>221</v>
      </c>
      <c r="V9" s="47" t="s">
        <v>221</v>
      </c>
      <c r="W9" s="47" t="n">
        <v>7</v>
      </c>
      <c r="X9" s="47" t="n">
        <v>1</v>
      </c>
      <c r="Y9" s="47" t="n">
        <v>1</v>
      </c>
      <c r="Z9" s="47" t="s">
        <v>137</v>
      </c>
      <c r="AA9" s="47" t="n">
        <v>4</v>
      </c>
      <c r="AB9" s="47" t="n">
        <v>2</v>
      </c>
      <c r="AC9" s="47" t="n">
        <v>4</v>
      </c>
      <c r="AD9" s="47"/>
      <c r="AE9" s="47"/>
      <c r="AF9" s="47"/>
      <c r="AG9" s="47"/>
      <c r="AH9" s="47"/>
      <c r="AI9" s="46"/>
      <c r="AJ9" s="46"/>
      <c r="AK9" s="46"/>
      <c r="AL9" s="7"/>
      <c r="AM9" s="49" t="n">
        <f aca="false">IF(OR(C9="",G9=""),"",IFERROR(DATEDIF(C9,G9,"m"),""))</f>
        <v>127</v>
      </c>
      <c r="AN9" s="49" t="n">
        <f aca="false">IF(OR(Q9="",AM9=""),"",60+2*Q9-AM9)</f>
        <v>-27</v>
      </c>
      <c r="AO9" s="49" t="str">
        <f aca="false">IF(OR(G9="",AJ9=""),"",AJ9-G9)</f>
        <v/>
      </c>
      <c r="AP9" s="50" t="str">
        <f aca="false">IF(AND(A9="",B9=""),"",IF(J9="","Status needed",IF(OR(J9="Applied",J9="Visit booked",J9="Withdrawn"),"OK",IF(G9="","Date assessed needed",IF(C9="","Date of birth needed",IF(COUNTA(L9,M9,P9,U9,V9,X9,AB9)&lt;7,"Band missing",IF(AND(OR(J9="Decision confirmed",J9="Family told",J9="Enrolled"),AG9=""),"Recommendation needed",IF(AND(OR(J9="Family told",J9="Enrolled"),AJ9=""),"Date family told needed","OK"))))))))</f>
        <v>OK</v>
      </c>
    </row>
    <row r="10" customFormat="false" ht="15" hidden="false" customHeight="false" outlineLevel="0" collapsed="false">
      <c r="A10" s="7" t="s">
        <v>405</v>
      </c>
      <c r="B10" s="7" t="s">
        <v>406</v>
      </c>
      <c r="C10" s="46" t="n">
        <v>42579</v>
      </c>
      <c r="D10" s="7" t="s">
        <v>361</v>
      </c>
      <c r="E10" s="47" t="s">
        <v>69</v>
      </c>
      <c r="F10" s="46" t="n">
        <v>46271</v>
      </c>
      <c r="G10" s="46" t="n">
        <v>46301</v>
      </c>
      <c r="H10" s="7" t="s">
        <v>80</v>
      </c>
      <c r="I10" s="7" t="s">
        <v>84</v>
      </c>
      <c r="J10" s="47" t="s">
        <v>33</v>
      </c>
      <c r="K10" s="47" t="n">
        <v>4</v>
      </c>
      <c r="L10" s="47" t="s">
        <v>92</v>
      </c>
      <c r="M10" s="47" t="s">
        <v>92</v>
      </c>
      <c r="N10" s="10"/>
      <c r="O10" s="47" t="n">
        <v>10</v>
      </c>
      <c r="P10" s="47" t="s">
        <v>221</v>
      </c>
      <c r="Q10" s="47" t="n">
        <v>23</v>
      </c>
      <c r="R10" s="48" t="str">
        <f aca="false">IF(Q10="","",IF(Q10=0,"below 5:00",IF(Q10&gt;=66,"16:00 or above",INT((60+2*Q10)/12)&amp;":"&amp;TEXT(MOD(60+2*Q10,12),"00"))))</f>
        <v>8:10</v>
      </c>
      <c r="S10" s="47" t="s">
        <v>118</v>
      </c>
      <c r="T10" s="47" t="n">
        <v>10</v>
      </c>
      <c r="U10" s="47" t="s">
        <v>92</v>
      </c>
      <c r="V10" s="47" t="s">
        <v>92</v>
      </c>
      <c r="W10" s="47" t="n">
        <v>10</v>
      </c>
      <c r="X10" s="47" t="n">
        <v>2</v>
      </c>
      <c r="Y10" s="47" t="n">
        <v>0</v>
      </c>
      <c r="Z10" s="47" t="s">
        <v>137</v>
      </c>
      <c r="AA10" s="47" t="n">
        <v>3</v>
      </c>
      <c r="AB10" s="47" t="n">
        <v>2</v>
      </c>
      <c r="AC10" s="47" t="n">
        <v>3</v>
      </c>
      <c r="AD10" s="47"/>
      <c r="AE10" s="47"/>
      <c r="AF10" s="47" t="s">
        <v>311</v>
      </c>
      <c r="AG10" s="47" t="s">
        <v>231</v>
      </c>
      <c r="AH10" s="47"/>
      <c r="AI10" s="46" t="n">
        <v>46306</v>
      </c>
      <c r="AJ10" s="46"/>
      <c r="AK10" s="46"/>
      <c r="AL10" s="7"/>
      <c r="AM10" s="49" t="n">
        <f aca="false">IF(OR(C10="",G10=""),"",IFERROR(DATEDIF(C10,G10,"m"),""))</f>
        <v>122</v>
      </c>
      <c r="AN10" s="49" t="n">
        <f aca="false">IF(OR(Q10="",AM10=""),"",60+2*Q10-AM10)</f>
        <v>-16</v>
      </c>
      <c r="AO10" s="49" t="str">
        <f aca="false">IF(OR(G10="",AJ10=""),"",AJ10-G10)</f>
        <v/>
      </c>
      <c r="AP10" s="50" t="str">
        <f aca="false">IF(AND(A10="",B10=""),"",IF(J10="","Status needed",IF(OR(J10="Applied",J10="Visit booked",J10="Withdrawn"),"OK",IF(G10="","Date assessed needed",IF(C10="","Date of birth needed",IF(COUNTA(L10,M10,P10,U10,V10,X10,AB10)&lt;7,"Band missing",IF(AND(OR(J10="Decision confirmed",J10="Family told",J10="Enrolled"),AG10=""),"Recommendation needed",IF(AND(OR(J10="Family told",J10="Enrolled"),AJ10=""),"Date family told needed","OK"))))))))</f>
        <v>OK</v>
      </c>
    </row>
    <row r="11" customFormat="false" ht="15" hidden="false" customHeight="false" outlineLevel="0" collapsed="false">
      <c r="A11" s="7" t="s">
        <v>407</v>
      </c>
      <c r="B11" s="7" t="s">
        <v>408</v>
      </c>
      <c r="C11" s="46" t="n">
        <v>42533</v>
      </c>
      <c r="D11" s="7" t="s">
        <v>361</v>
      </c>
      <c r="E11" s="47" t="s">
        <v>69</v>
      </c>
      <c r="F11" s="46" t="n">
        <v>46299</v>
      </c>
      <c r="G11" s="46"/>
      <c r="H11" s="7" t="s">
        <v>314</v>
      </c>
      <c r="I11" s="7" t="s">
        <v>84</v>
      </c>
      <c r="J11" s="47" t="s">
        <v>29</v>
      </c>
      <c r="K11" s="47"/>
      <c r="L11" s="47"/>
      <c r="M11" s="47"/>
      <c r="N11" s="10"/>
      <c r="O11" s="47"/>
      <c r="P11" s="47"/>
      <c r="Q11" s="47"/>
      <c r="R11" s="48" t="str">
        <f aca="false">IF(Q11="","",IF(Q11=0,"below 5:00",IF(Q11&gt;=66,"16:00 or above",INT((60+2*Q11)/12)&amp;":"&amp;TEXT(MOD(60+2*Q11,12),"00"))))</f>
        <v/>
      </c>
      <c r="S11" s="47"/>
      <c r="T11" s="47"/>
      <c r="U11" s="47"/>
      <c r="V11" s="47"/>
      <c r="W11" s="47"/>
      <c r="X11" s="47"/>
      <c r="Y11" s="47"/>
      <c r="Z11" s="47"/>
      <c r="AA11" s="47"/>
      <c r="AB11" s="47"/>
      <c r="AC11" s="47"/>
      <c r="AD11" s="47"/>
      <c r="AE11" s="47"/>
      <c r="AF11" s="47"/>
      <c r="AG11" s="47"/>
      <c r="AH11" s="47"/>
      <c r="AI11" s="46"/>
      <c r="AJ11" s="46"/>
      <c r="AK11" s="46"/>
      <c r="AL11" s="7"/>
      <c r="AM11" s="49" t="str">
        <f aca="false">IF(OR(C11="",G11=""),"",IFERROR(DATEDIF(C11,G11,"m"),""))</f>
        <v/>
      </c>
      <c r="AN11" s="49" t="str">
        <f aca="false">IF(OR(Q11="",AM11=""),"",60+2*Q11-AM11)</f>
        <v/>
      </c>
      <c r="AO11" s="49" t="str">
        <f aca="false">IF(OR(G11="",AJ11=""),"",AJ11-G11)</f>
        <v/>
      </c>
      <c r="AP11" s="50" t="str">
        <f aca="false">IF(AND(A11="",B11=""),"",IF(J11="","Status needed",IF(OR(J11="Applied",J11="Visit booked",J11="Withdrawn"),"OK",IF(G11="","Date assessed needed",IF(C11="","Date of birth needed",IF(COUNTA(L11,M11,P11,U11,V11,X11,AB11)&lt;7,"Band missing",IF(AND(OR(J11="Decision confirmed",J11="Family told",J11="Enrolled"),AG11=""),"Recommendation needed",IF(AND(OR(J11="Family told",J11="Enrolled"),AJ11=""),"Date family told needed","OK"))))))))</f>
        <v>OK</v>
      </c>
    </row>
    <row r="12" customFormat="false" ht="15" hidden="false" customHeight="false" outlineLevel="0" collapsed="false">
      <c r="A12" s="7" t="s">
        <v>409</v>
      </c>
      <c r="B12" s="7" t="s">
        <v>410</v>
      </c>
      <c r="C12" s="46" t="n">
        <v>42615</v>
      </c>
      <c r="D12" s="7" t="s">
        <v>361</v>
      </c>
      <c r="E12" s="47" t="s">
        <v>311</v>
      </c>
      <c r="F12" s="46" t="n">
        <v>46298</v>
      </c>
      <c r="G12" s="46" t="n">
        <v>46307</v>
      </c>
      <c r="H12" s="7" t="s">
        <v>314</v>
      </c>
      <c r="I12" s="7" t="s">
        <v>84</v>
      </c>
      <c r="J12" s="47" t="s">
        <v>35</v>
      </c>
      <c r="K12" s="47" t="n">
        <v>6</v>
      </c>
      <c r="L12" s="47" t="s">
        <v>118</v>
      </c>
      <c r="M12" s="47" t="s">
        <v>118</v>
      </c>
      <c r="N12" s="10"/>
      <c r="O12" s="47" t="n">
        <v>18</v>
      </c>
      <c r="P12" s="47" t="s">
        <v>118</v>
      </c>
      <c r="Q12" s="47" t="n">
        <v>53</v>
      </c>
      <c r="R12" s="48" t="str">
        <f aca="false">IF(Q12="","",IF(Q12=0,"below 5:00",IF(Q12&gt;=66,"16:00 or above",INT((60+2*Q12)/12)&amp;":"&amp;TEXT(MOD(60+2*Q12,12),"00"))))</f>
        <v>13:10</v>
      </c>
      <c r="S12" s="47" t="s">
        <v>222</v>
      </c>
      <c r="T12" s="47" t="n">
        <v>11</v>
      </c>
      <c r="U12" s="47" t="s">
        <v>118</v>
      </c>
      <c r="V12" s="47" t="s">
        <v>118</v>
      </c>
      <c r="W12" s="47" t="n">
        <v>21</v>
      </c>
      <c r="X12" s="47" t="n">
        <v>4</v>
      </c>
      <c r="Y12" s="47" t="n">
        <v>4</v>
      </c>
      <c r="Z12" s="47" t="s">
        <v>137</v>
      </c>
      <c r="AA12" s="47" t="n">
        <v>10</v>
      </c>
      <c r="AB12" s="47" t="n">
        <v>4</v>
      </c>
      <c r="AC12" s="47" t="n">
        <v>3</v>
      </c>
      <c r="AD12" s="47" t="s">
        <v>311</v>
      </c>
      <c r="AE12" s="47" t="s">
        <v>311</v>
      </c>
      <c r="AF12" s="47"/>
      <c r="AG12" s="47" t="s">
        <v>229</v>
      </c>
      <c r="AH12" s="47" t="s">
        <v>253</v>
      </c>
      <c r="AI12" s="46" t="n">
        <v>46310</v>
      </c>
      <c r="AJ12" s="46" t="n">
        <v>46314</v>
      </c>
      <c r="AK12" s="46" t="n">
        <v>46314</v>
      </c>
      <c r="AL12" s="7"/>
      <c r="AM12" s="49" t="n">
        <f aca="false">IF(OR(C12="",G12=""),"",IFERROR(DATEDIF(C12,G12,"m"),""))</f>
        <v>121</v>
      </c>
      <c r="AN12" s="49" t="n">
        <f aca="false">IF(OR(Q12="",AM12=""),"",60+2*Q12-AM12)</f>
        <v>45</v>
      </c>
      <c r="AO12" s="49" t="n">
        <f aca="false">IF(OR(G12="",AJ12=""),"",AJ12-G12)</f>
        <v>7</v>
      </c>
      <c r="AP12" s="50" t="str">
        <f aca="false">IF(AND(A12="",B12=""),"",IF(J12="","Status needed",IF(OR(J12="Applied",J12="Visit booked",J12="Withdrawn"),"OK",IF(G12="","Date assessed needed",IF(C12="","Date of birth needed",IF(COUNTA(L12,M12,P12,U12,V12,X12,AB12)&lt;7,"Band missing",IF(AND(OR(J12="Decision confirmed",J12="Family told",J12="Enrolled"),AG12=""),"Recommendation needed",IF(AND(OR(J12="Family told",J12="Enrolled"),AJ12=""),"Date family told needed","OK"))))))))</f>
        <v>OK</v>
      </c>
    </row>
    <row r="13" customFormat="false" ht="15" hidden="false" customHeight="false" outlineLevel="0" collapsed="false">
      <c r="A13" s="7" t="s">
        <v>411</v>
      </c>
      <c r="B13" s="7" t="s">
        <v>412</v>
      </c>
      <c r="C13" s="46" t="n">
        <v>42576</v>
      </c>
      <c r="D13" s="7" t="s">
        <v>361</v>
      </c>
      <c r="E13" s="47" t="s">
        <v>311</v>
      </c>
      <c r="F13" s="46" t="n">
        <v>46287</v>
      </c>
      <c r="G13" s="46" t="n">
        <v>46309</v>
      </c>
      <c r="H13" s="7" t="s">
        <v>314</v>
      </c>
      <c r="I13" s="7" t="s">
        <v>84</v>
      </c>
      <c r="J13" s="47" t="s">
        <v>33</v>
      </c>
      <c r="K13" s="47" t="n">
        <v>3</v>
      </c>
      <c r="L13" s="47" t="s">
        <v>221</v>
      </c>
      <c r="M13" s="47" t="s">
        <v>221</v>
      </c>
      <c r="N13" s="10"/>
      <c r="O13" s="47" t="n">
        <v>11</v>
      </c>
      <c r="P13" s="47" t="s">
        <v>92</v>
      </c>
      <c r="Q13" s="47" t="n">
        <v>30</v>
      </c>
      <c r="R13" s="48" t="str">
        <f aca="false">IF(Q13="","",IF(Q13=0,"below 5:00",IF(Q13&gt;=66,"16:00 or above",INT((60+2*Q13)/12)&amp;":"&amp;TEXT(MOD(60+2*Q13,12),"00"))))</f>
        <v>10:00</v>
      </c>
      <c r="S13" s="47" t="s">
        <v>222</v>
      </c>
      <c r="T13" s="47" t="n">
        <v>7</v>
      </c>
      <c r="U13" s="47" t="s">
        <v>221</v>
      </c>
      <c r="V13" s="47" t="s">
        <v>221</v>
      </c>
      <c r="W13" s="47" t="n">
        <v>5</v>
      </c>
      <c r="X13" s="47" t="n">
        <v>1</v>
      </c>
      <c r="Y13" s="47" t="n">
        <v>0</v>
      </c>
      <c r="Z13" s="47" t="s">
        <v>137</v>
      </c>
      <c r="AA13" s="47" t="n">
        <v>2</v>
      </c>
      <c r="AB13" s="47" t="n">
        <v>1</v>
      </c>
      <c r="AC13" s="47" t="n">
        <v>3</v>
      </c>
      <c r="AD13" s="47"/>
      <c r="AE13" s="47"/>
      <c r="AF13" s="47"/>
      <c r="AG13" s="47" t="s">
        <v>230</v>
      </c>
      <c r="AH13" s="47" t="s">
        <v>252</v>
      </c>
      <c r="AI13" s="46" t="n">
        <v>46315</v>
      </c>
      <c r="AJ13" s="46"/>
      <c r="AK13" s="46"/>
      <c r="AL13" s="7"/>
      <c r="AM13" s="49" t="n">
        <f aca="false">IF(OR(C13="",G13=""),"",IFERROR(DATEDIF(C13,G13,"m"),""))</f>
        <v>122</v>
      </c>
      <c r="AN13" s="49" t="n">
        <f aca="false">IF(OR(Q13="",AM13=""),"",60+2*Q13-AM13)</f>
        <v>-2</v>
      </c>
      <c r="AO13" s="49" t="str">
        <f aca="false">IF(OR(G13="",AJ13=""),"",AJ13-G13)</f>
        <v/>
      </c>
      <c r="AP13" s="50" t="str">
        <f aca="false">IF(AND(A13="",B13=""),"",IF(J13="","Status needed",IF(OR(J13="Applied",J13="Visit booked",J13="Withdrawn"),"OK",IF(G13="","Date assessed needed",IF(C13="","Date of birth needed",IF(COUNTA(L13,M13,P13,U13,V13,X13,AB13)&lt;7,"Band missing",IF(AND(OR(J13="Decision confirmed",J13="Family told",J13="Enrolled"),AG13=""),"Recommendation needed",IF(AND(OR(J13="Family told",J13="Enrolled"),AJ13=""),"Date family told needed","OK"))))))))</f>
        <v>OK</v>
      </c>
    </row>
    <row r="14" customFormat="false" ht="15" hidden="false" customHeight="false" outlineLevel="0" collapsed="false">
      <c r="A14" s="7" t="s">
        <v>413</v>
      </c>
      <c r="B14" s="7" t="s">
        <v>414</v>
      </c>
      <c r="C14" s="46" t="n">
        <v>42385</v>
      </c>
      <c r="D14" s="7" t="s">
        <v>307</v>
      </c>
      <c r="E14" s="47" t="s">
        <v>311</v>
      </c>
      <c r="F14" s="46" t="n">
        <v>46298</v>
      </c>
      <c r="G14" s="46"/>
      <c r="H14" s="7"/>
      <c r="I14" s="7" t="s">
        <v>84</v>
      </c>
      <c r="J14" s="47" t="s">
        <v>39</v>
      </c>
      <c r="K14" s="47"/>
      <c r="L14" s="47"/>
      <c r="M14" s="47"/>
      <c r="N14" s="10"/>
      <c r="O14" s="47"/>
      <c r="P14" s="47"/>
      <c r="Q14" s="47"/>
      <c r="R14" s="48" t="str">
        <f aca="false">IF(Q14="","",IF(Q14=0,"below 5:00",IF(Q14&gt;=66,"16:00 or above",INT((60+2*Q14)/12)&amp;":"&amp;TEXT(MOD(60+2*Q14,12),"00"))))</f>
        <v/>
      </c>
      <c r="S14" s="47"/>
      <c r="T14" s="47"/>
      <c r="U14" s="47"/>
      <c r="V14" s="47"/>
      <c r="W14" s="47"/>
      <c r="X14" s="47"/>
      <c r="Y14" s="47"/>
      <c r="Z14" s="47"/>
      <c r="AA14" s="47"/>
      <c r="AB14" s="47"/>
      <c r="AC14" s="47"/>
      <c r="AD14" s="47"/>
      <c r="AE14" s="47"/>
      <c r="AF14" s="47"/>
      <c r="AG14" s="47"/>
      <c r="AH14" s="47"/>
      <c r="AI14" s="46"/>
      <c r="AJ14" s="46"/>
      <c r="AK14" s="46"/>
      <c r="AL14" s="7" t="s">
        <v>333</v>
      </c>
      <c r="AM14" s="49" t="str">
        <f aca="false">IF(OR(C14="",G14=""),"",IFERROR(DATEDIF(C14,G14,"m"),""))</f>
        <v/>
      </c>
      <c r="AN14" s="49" t="str">
        <f aca="false">IF(OR(Q14="",AM14=""),"",60+2*Q14-AM14)</f>
        <v/>
      </c>
      <c r="AO14" s="49" t="str">
        <f aca="false">IF(OR(G14="",AJ14=""),"",AJ14-G14)</f>
        <v/>
      </c>
      <c r="AP14" s="50" t="str">
        <f aca="false">IF(AND(A14="",B14=""),"",IF(J14="","Status needed",IF(OR(J14="Applied",J14="Visit booked",J14="Withdrawn"),"OK",IF(G14="","Date assessed needed",IF(C14="","Date of birth needed",IF(COUNTA(L14,M14,P14,U14,V14,X14,AB14)&lt;7,"Band missing",IF(AND(OR(J14="Decision confirmed",J14="Family told",J14="Enrolled"),AG14=""),"Recommendation needed",IF(AND(OR(J14="Family told",J14="Enrolled"),AJ14=""),"Date family told needed","OK"))))))))</f>
        <v>OK</v>
      </c>
    </row>
    <row r="15" customFormat="false" ht="15" hidden="false" customHeight="false" outlineLevel="0" collapsed="false">
      <c r="A15" s="7"/>
      <c r="B15" s="7"/>
      <c r="C15" s="46"/>
      <c r="D15" s="7"/>
      <c r="E15" s="47"/>
      <c r="F15" s="46"/>
      <c r="G15" s="46"/>
      <c r="H15" s="7"/>
      <c r="I15" s="7"/>
      <c r="J15" s="47"/>
      <c r="K15" s="47"/>
      <c r="L15" s="47"/>
      <c r="M15" s="47"/>
      <c r="N15" s="10"/>
      <c r="O15" s="47"/>
      <c r="P15" s="47"/>
      <c r="Q15" s="47"/>
      <c r="R15" s="48" t="str">
        <f aca="false">IF(Q15="","",IF(Q15=0,"below 5:00",IF(Q15&gt;=66,"16:00 or above",INT((60+2*Q15)/12)&amp;":"&amp;TEXT(MOD(60+2*Q15,12),"00"))))</f>
        <v/>
      </c>
      <c r="S15" s="47"/>
      <c r="T15" s="47"/>
      <c r="U15" s="47"/>
      <c r="V15" s="47"/>
      <c r="W15" s="47"/>
      <c r="X15" s="47"/>
      <c r="Y15" s="47"/>
      <c r="Z15" s="47"/>
      <c r="AA15" s="47"/>
      <c r="AB15" s="47"/>
      <c r="AC15" s="47"/>
      <c r="AD15" s="47"/>
      <c r="AE15" s="47"/>
      <c r="AF15" s="47"/>
      <c r="AG15" s="47"/>
      <c r="AH15" s="47"/>
      <c r="AI15" s="46"/>
      <c r="AJ15" s="46"/>
      <c r="AK15" s="46"/>
      <c r="AL15" s="7"/>
      <c r="AM15" s="49" t="str">
        <f aca="false">IF(OR(C15="",G15=""),"",IFERROR(DATEDIF(C15,G15,"m"),""))</f>
        <v/>
      </c>
      <c r="AN15" s="49" t="str">
        <f aca="false">IF(OR(Q15="",AM15=""),"",60+2*Q15-AM15)</f>
        <v/>
      </c>
      <c r="AO15" s="49" t="str">
        <f aca="false">IF(OR(G15="",AJ15=""),"",AJ15-G15)</f>
        <v/>
      </c>
      <c r="AP15" s="50" t="str">
        <f aca="false">IF(AND(A15="",B15=""),"",IF(J15="","Status needed",IF(OR(J15="Applied",J15="Visit booked",J15="Withdrawn"),"OK",IF(G15="","Date assessed needed",IF(C15="","Date of birth needed",IF(COUNTA(L15,M15,P15,U15,V15,X15,AB15)&lt;7,"Band missing",IF(AND(OR(J15="Decision confirmed",J15="Family told",J15="Enrolled"),AG15=""),"Recommendation needed",IF(AND(OR(J15="Family told",J15="Enrolled"),AJ15=""),"Date family told needed","OK"))))))))</f>
        <v/>
      </c>
    </row>
    <row r="16" customFormat="false" ht="15" hidden="false" customHeight="false" outlineLevel="0" collapsed="false">
      <c r="A16" s="7"/>
      <c r="B16" s="7"/>
      <c r="C16" s="46"/>
      <c r="D16" s="7"/>
      <c r="E16" s="47"/>
      <c r="F16" s="46"/>
      <c r="G16" s="46"/>
      <c r="H16" s="7"/>
      <c r="I16" s="7"/>
      <c r="J16" s="47"/>
      <c r="K16" s="47"/>
      <c r="L16" s="47"/>
      <c r="M16" s="47"/>
      <c r="N16" s="10"/>
      <c r="O16" s="47"/>
      <c r="P16" s="47"/>
      <c r="Q16" s="47"/>
      <c r="R16" s="48" t="str">
        <f aca="false">IF(Q16="","",IF(Q16=0,"below 5:00",IF(Q16&gt;=66,"16:00 or above",INT((60+2*Q16)/12)&amp;":"&amp;TEXT(MOD(60+2*Q16,12),"00"))))</f>
        <v/>
      </c>
      <c r="S16" s="47"/>
      <c r="T16" s="47"/>
      <c r="U16" s="47"/>
      <c r="V16" s="47"/>
      <c r="W16" s="47"/>
      <c r="X16" s="47"/>
      <c r="Y16" s="47"/>
      <c r="Z16" s="47"/>
      <c r="AA16" s="47"/>
      <c r="AB16" s="47"/>
      <c r="AC16" s="47"/>
      <c r="AD16" s="47"/>
      <c r="AE16" s="47"/>
      <c r="AF16" s="47"/>
      <c r="AG16" s="47"/>
      <c r="AH16" s="47"/>
      <c r="AI16" s="46"/>
      <c r="AJ16" s="46"/>
      <c r="AK16" s="46"/>
      <c r="AL16" s="7"/>
      <c r="AM16" s="49" t="str">
        <f aca="false">IF(OR(C16="",G16=""),"",IFERROR(DATEDIF(C16,G16,"m"),""))</f>
        <v/>
      </c>
      <c r="AN16" s="49" t="str">
        <f aca="false">IF(OR(Q16="",AM16=""),"",60+2*Q16-AM16)</f>
        <v/>
      </c>
      <c r="AO16" s="49" t="str">
        <f aca="false">IF(OR(G16="",AJ16=""),"",AJ16-G16)</f>
        <v/>
      </c>
      <c r="AP16" s="50" t="str">
        <f aca="false">IF(AND(A16="",B16=""),"",IF(J16="","Status needed",IF(OR(J16="Applied",J16="Visit booked",J16="Withdrawn"),"OK",IF(G16="","Date assessed needed",IF(C16="","Date of birth needed",IF(COUNTA(L16,M16,P16,U16,V16,X16,AB16)&lt;7,"Band missing",IF(AND(OR(J16="Decision confirmed",J16="Family told",J16="Enrolled"),AG16=""),"Recommendation needed",IF(AND(OR(J16="Family told",J16="Enrolled"),AJ16=""),"Date family told needed","OK"))))))))</f>
        <v/>
      </c>
    </row>
    <row r="17" customFormat="false" ht="15" hidden="false" customHeight="false" outlineLevel="0" collapsed="false">
      <c r="A17" s="7"/>
      <c r="B17" s="7"/>
      <c r="C17" s="46"/>
      <c r="D17" s="7"/>
      <c r="E17" s="47"/>
      <c r="F17" s="46"/>
      <c r="G17" s="46"/>
      <c r="H17" s="7"/>
      <c r="I17" s="7"/>
      <c r="J17" s="47"/>
      <c r="K17" s="47"/>
      <c r="L17" s="47"/>
      <c r="M17" s="47"/>
      <c r="N17" s="10"/>
      <c r="O17" s="47"/>
      <c r="P17" s="47"/>
      <c r="Q17" s="47"/>
      <c r="R17" s="48" t="str">
        <f aca="false">IF(Q17="","",IF(Q17=0,"below 5:00",IF(Q17&gt;=66,"16:00 or above",INT((60+2*Q17)/12)&amp;":"&amp;TEXT(MOD(60+2*Q17,12),"00"))))</f>
        <v/>
      </c>
      <c r="S17" s="47"/>
      <c r="T17" s="47"/>
      <c r="U17" s="47"/>
      <c r="V17" s="47"/>
      <c r="W17" s="47"/>
      <c r="X17" s="47"/>
      <c r="Y17" s="47"/>
      <c r="Z17" s="47"/>
      <c r="AA17" s="47"/>
      <c r="AB17" s="47"/>
      <c r="AC17" s="47"/>
      <c r="AD17" s="47"/>
      <c r="AE17" s="47"/>
      <c r="AF17" s="47"/>
      <c r="AG17" s="47"/>
      <c r="AH17" s="47"/>
      <c r="AI17" s="46"/>
      <c r="AJ17" s="46"/>
      <c r="AK17" s="46"/>
      <c r="AL17" s="7"/>
      <c r="AM17" s="49" t="str">
        <f aca="false">IF(OR(C17="",G17=""),"",IFERROR(DATEDIF(C17,G17,"m"),""))</f>
        <v/>
      </c>
      <c r="AN17" s="49" t="str">
        <f aca="false">IF(OR(Q17="",AM17=""),"",60+2*Q17-AM17)</f>
        <v/>
      </c>
      <c r="AO17" s="49" t="str">
        <f aca="false">IF(OR(G17="",AJ17=""),"",AJ17-G17)</f>
        <v/>
      </c>
      <c r="AP17" s="50" t="str">
        <f aca="false">IF(AND(A17="",B17=""),"",IF(J17="","Status needed",IF(OR(J17="Applied",J17="Visit booked",J17="Withdrawn"),"OK",IF(G17="","Date assessed needed",IF(C17="","Date of birth needed",IF(COUNTA(L17,M17,P17,U17,V17,X17,AB17)&lt;7,"Band missing",IF(AND(OR(J17="Decision confirmed",J17="Family told",J17="Enrolled"),AG17=""),"Recommendation needed",IF(AND(OR(J17="Family told",J17="Enrolled"),AJ17=""),"Date family told needed","OK"))))))))</f>
        <v/>
      </c>
    </row>
    <row r="18" customFormat="false" ht="15" hidden="false" customHeight="false" outlineLevel="0" collapsed="false">
      <c r="A18" s="7"/>
      <c r="B18" s="7"/>
      <c r="C18" s="46"/>
      <c r="D18" s="7"/>
      <c r="E18" s="47"/>
      <c r="F18" s="46"/>
      <c r="G18" s="46"/>
      <c r="H18" s="7"/>
      <c r="I18" s="7"/>
      <c r="J18" s="47"/>
      <c r="K18" s="47"/>
      <c r="L18" s="47"/>
      <c r="M18" s="47"/>
      <c r="N18" s="10"/>
      <c r="O18" s="47"/>
      <c r="P18" s="47"/>
      <c r="Q18" s="47"/>
      <c r="R18" s="48" t="str">
        <f aca="false">IF(Q18="","",IF(Q18=0,"below 5:00",IF(Q18&gt;=66,"16:00 or above",INT((60+2*Q18)/12)&amp;":"&amp;TEXT(MOD(60+2*Q18,12),"00"))))</f>
        <v/>
      </c>
      <c r="S18" s="47"/>
      <c r="T18" s="47"/>
      <c r="U18" s="47"/>
      <c r="V18" s="47"/>
      <c r="W18" s="47"/>
      <c r="X18" s="47"/>
      <c r="Y18" s="47"/>
      <c r="Z18" s="47"/>
      <c r="AA18" s="47"/>
      <c r="AB18" s="47"/>
      <c r="AC18" s="47"/>
      <c r="AD18" s="47"/>
      <c r="AE18" s="47"/>
      <c r="AF18" s="47"/>
      <c r="AG18" s="47"/>
      <c r="AH18" s="47"/>
      <c r="AI18" s="46"/>
      <c r="AJ18" s="46"/>
      <c r="AK18" s="46"/>
      <c r="AL18" s="7"/>
      <c r="AM18" s="49" t="str">
        <f aca="false">IF(OR(C18="",G18=""),"",IFERROR(DATEDIF(C18,G18,"m"),""))</f>
        <v/>
      </c>
      <c r="AN18" s="49" t="str">
        <f aca="false">IF(OR(Q18="",AM18=""),"",60+2*Q18-AM18)</f>
        <v/>
      </c>
      <c r="AO18" s="49" t="str">
        <f aca="false">IF(OR(G18="",AJ18=""),"",AJ18-G18)</f>
        <v/>
      </c>
      <c r="AP18" s="50" t="str">
        <f aca="false">IF(AND(A18="",B18=""),"",IF(J18="","Status needed",IF(OR(J18="Applied",J18="Visit booked",J18="Withdrawn"),"OK",IF(G18="","Date assessed needed",IF(C18="","Date of birth needed",IF(COUNTA(L18,M18,P18,U18,V18,X18,AB18)&lt;7,"Band missing",IF(AND(OR(J18="Decision confirmed",J18="Family told",J18="Enrolled"),AG18=""),"Recommendation needed",IF(AND(OR(J18="Family told",J18="Enrolled"),AJ18=""),"Date family told needed","OK"))))))))</f>
        <v/>
      </c>
    </row>
    <row r="19" customFormat="false" ht="15" hidden="false" customHeight="false" outlineLevel="0" collapsed="false">
      <c r="A19" s="7"/>
      <c r="B19" s="7"/>
      <c r="C19" s="46"/>
      <c r="D19" s="7"/>
      <c r="E19" s="47"/>
      <c r="F19" s="46"/>
      <c r="G19" s="46"/>
      <c r="H19" s="7"/>
      <c r="I19" s="7"/>
      <c r="J19" s="47"/>
      <c r="K19" s="47"/>
      <c r="L19" s="47"/>
      <c r="M19" s="47"/>
      <c r="N19" s="10"/>
      <c r="O19" s="47"/>
      <c r="P19" s="47"/>
      <c r="Q19" s="47"/>
      <c r="R19" s="48" t="str">
        <f aca="false">IF(Q19="","",IF(Q19=0,"below 5:00",IF(Q19&gt;=66,"16:00 or above",INT((60+2*Q19)/12)&amp;":"&amp;TEXT(MOD(60+2*Q19,12),"00"))))</f>
        <v/>
      </c>
      <c r="S19" s="47"/>
      <c r="T19" s="47"/>
      <c r="U19" s="47"/>
      <c r="V19" s="47"/>
      <c r="W19" s="47"/>
      <c r="X19" s="47"/>
      <c r="Y19" s="47"/>
      <c r="Z19" s="47"/>
      <c r="AA19" s="47"/>
      <c r="AB19" s="47"/>
      <c r="AC19" s="47"/>
      <c r="AD19" s="47"/>
      <c r="AE19" s="47"/>
      <c r="AF19" s="47"/>
      <c r="AG19" s="47"/>
      <c r="AH19" s="47"/>
      <c r="AI19" s="46"/>
      <c r="AJ19" s="46"/>
      <c r="AK19" s="46"/>
      <c r="AL19" s="7"/>
      <c r="AM19" s="49" t="str">
        <f aca="false">IF(OR(C19="",G19=""),"",IFERROR(DATEDIF(C19,G19,"m"),""))</f>
        <v/>
      </c>
      <c r="AN19" s="49" t="str">
        <f aca="false">IF(OR(Q19="",AM19=""),"",60+2*Q19-AM19)</f>
        <v/>
      </c>
      <c r="AO19" s="49" t="str">
        <f aca="false">IF(OR(G19="",AJ19=""),"",AJ19-G19)</f>
        <v/>
      </c>
      <c r="AP19" s="50" t="str">
        <f aca="false">IF(AND(A19="",B19=""),"",IF(J19="","Status needed",IF(OR(J19="Applied",J19="Visit booked",J19="Withdrawn"),"OK",IF(G19="","Date assessed needed",IF(C19="","Date of birth needed",IF(COUNTA(L19,M19,P19,U19,V19,X19,AB19)&lt;7,"Band missing",IF(AND(OR(J19="Decision confirmed",J19="Family told",J19="Enrolled"),AG19=""),"Recommendation needed",IF(AND(OR(J19="Family told",J19="Enrolled"),AJ19=""),"Date family told needed","OK"))))))))</f>
        <v/>
      </c>
    </row>
    <row r="20" customFormat="false" ht="15" hidden="false" customHeight="false" outlineLevel="0" collapsed="false">
      <c r="A20" s="7"/>
      <c r="B20" s="7"/>
      <c r="C20" s="46"/>
      <c r="D20" s="7"/>
      <c r="E20" s="47"/>
      <c r="F20" s="46"/>
      <c r="G20" s="46"/>
      <c r="H20" s="7"/>
      <c r="I20" s="7"/>
      <c r="J20" s="47"/>
      <c r="K20" s="47"/>
      <c r="L20" s="47"/>
      <c r="M20" s="47"/>
      <c r="N20" s="10"/>
      <c r="O20" s="47"/>
      <c r="P20" s="47"/>
      <c r="Q20" s="47"/>
      <c r="R20" s="48" t="str">
        <f aca="false">IF(Q20="","",IF(Q20=0,"below 5:00",IF(Q20&gt;=66,"16:00 or above",INT((60+2*Q20)/12)&amp;":"&amp;TEXT(MOD(60+2*Q20,12),"00"))))</f>
        <v/>
      </c>
      <c r="S20" s="47"/>
      <c r="T20" s="47"/>
      <c r="U20" s="47"/>
      <c r="V20" s="47"/>
      <c r="W20" s="47"/>
      <c r="X20" s="47"/>
      <c r="Y20" s="47"/>
      <c r="Z20" s="47"/>
      <c r="AA20" s="47"/>
      <c r="AB20" s="47"/>
      <c r="AC20" s="47"/>
      <c r="AD20" s="47"/>
      <c r="AE20" s="47"/>
      <c r="AF20" s="47"/>
      <c r="AG20" s="47"/>
      <c r="AH20" s="47"/>
      <c r="AI20" s="46"/>
      <c r="AJ20" s="46"/>
      <c r="AK20" s="46"/>
      <c r="AL20" s="7"/>
      <c r="AM20" s="49" t="str">
        <f aca="false">IF(OR(C20="",G20=""),"",IFERROR(DATEDIF(C20,G20,"m"),""))</f>
        <v/>
      </c>
      <c r="AN20" s="49" t="str">
        <f aca="false">IF(OR(Q20="",AM20=""),"",60+2*Q20-AM20)</f>
        <v/>
      </c>
      <c r="AO20" s="49" t="str">
        <f aca="false">IF(OR(G20="",AJ20=""),"",AJ20-G20)</f>
        <v/>
      </c>
      <c r="AP20" s="50" t="str">
        <f aca="false">IF(AND(A20="",B20=""),"",IF(J20="","Status needed",IF(OR(J20="Applied",J20="Visit booked",J20="Withdrawn"),"OK",IF(G20="","Date assessed needed",IF(C20="","Date of birth needed",IF(COUNTA(L20,M20,P20,U20,V20,X20,AB20)&lt;7,"Band missing",IF(AND(OR(J20="Decision confirmed",J20="Family told",J20="Enrolled"),AG20=""),"Recommendation needed",IF(AND(OR(J20="Family told",J20="Enrolled"),AJ20=""),"Date family told needed","OK"))))))))</f>
        <v/>
      </c>
    </row>
    <row r="21" customFormat="false" ht="15" hidden="false" customHeight="false" outlineLevel="0" collapsed="false">
      <c r="A21" s="7"/>
      <c r="B21" s="7"/>
      <c r="C21" s="46"/>
      <c r="D21" s="7"/>
      <c r="E21" s="47"/>
      <c r="F21" s="46"/>
      <c r="G21" s="46"/>
      <c r="H21" s="7"/>
      <c r="I21" s="7"/>
      <c r="J21" s="47"/>
      <c r="K21" s="47"/>
      <c r="L21" s="47"/>
      <c r="M21" s="47"/>
      <c r="N21" s="10"/>
      <c r="O21" s="47"/>
      <c r="P21" s="47"/>
      <c r="Q21" s="47"/>
      <c r="R21" s="48" t="str">
        <f aca="false">IF(Q21="","",IF(Q21=0,"below 5:00",IF(Q21&gt;=66,"16:00 or above",INT((60+2*Q21)/12)&amp;":"&amp;TEXT(MOD(60+2*Q21,12),"00"))))</f>
        <v/>
      </c>
      <c r="S21" s="47"/>
      <c r="T21" s="47"/>
      <c r="U21" s="47"/>
      <c r="V21" s="47"/>
      <c r="W21" s="47"/>
      <c r="X21" s="47"/>
      <c r="Y21" s="47"/>
      <c r="Z21" s="47"/>
      <c r="AA21" s="47"/>
      <c r="AB21" s="47"/>
      <c r="AC21" s="47"/>
      <c r="AD21" s="47"/>
      <c r="AE21" s="47"/>
      <c r="AF21" s="47"/>
      <c r="AG21" s="47"/>
      <c r="AH21" s="47"/>
      <c r="AI21" s="46"/>
      <c r="AJ21" s="46"/>
      <c r="AK21" s="46"/>
      <c r="AL21" s="7"/>
      <c r="AM21" s="49" t="str">
        <f aca="false">IF(OR(C21="",G21=""),"",IFERROR(DATEDIF(C21,G21,"m"),""))</f>
        <v/>
      </c>
      <c r="AN21" s="49" t="str">
        <f aca="false">IF(OR(Q21="",AM21=""),"",60+2*Q21-AM21)</f>
        <v/>
      </c>
      <c r="AO21" s="49" t="str">
        <f aca="false">IF(OR(G21="",AJ21=""),"",AJ21-G21)</f>
        <v/>
      </c>
      <c r="AP21" s="50" t="str">
        <f aca="false">IF(AND(A21="",B21=""),"",IF(J21="","Status needed",IF(OR(J21="Applied",J21="Visit booked",J21="Withdrawn"),"OK",IF(G21="","Date assessed needed",IF(C21="","Date of birth needed",IF(COUNTA(L21,M21,P21,U21,V21,X21,AB21)&lt;7,"Band missing",IF(AND(OR(J21="Decision confirmed",J21="Family told",J21="Enrolled"),AG21=""),"Recommendation needed",IF(AND(OR(J21="Family told",J21="Enrolled"),AJ21=""),"Date family told needed","OK"))))))))</f>
        <v/>
      </c>
    </row>
    <row r="22" customFormat="false" ht="15" hidden="false" customHeight="false" outlineLevel="0" collapsed="false">
      <c r="A22" s="7"/>
      <c r="B22" s="7"/>
      <c r="C22" s="46"/>
      <c r="D22" s="7"/>
      <c r="E22" s="47"/>
      <c r="F22" s="46"/>
      <c r="G22" s="46"/>
      <c r="H22" s="7"/>
      <c r="I22" s="7"/>
      <c r="J22" s="47"/>
      <c r="K22" s="47"/>
      <c r="L22" s="47"/>
      <c r="M22" s="47"/>
      <c r="N22" s="10"/>
      <c r="O22" s="47"/>
      <c r="P22" s="47"/>
      <c r="Q22" s="47"/>
      <c r="R22" s="48" t="str">
        <f aca="false">IF(Q22="","",IF(Q22=0,"below 5:00",IF(Q22&gt;=66,"16:00 or above",INT((60+2*Q22)/12)&amp;":"&amp;TEXT(MOD(60+2*Q22,12),"00"))))</f>
        <v/>
      </c>
      <c r="S22" s="47"/>
      <c r="T22" s="47"/>
      <c r="U22" s="47"/>
      <c r="V22" s="47"/>
      <c r="W22" s="47"/>
      <c r="X22" s="47"/>
      <c r="Y22" s="47"/>
      <c r="Z22" s="47"/>
      <c r="AA22" s="47"/>
      <c r="AB22" s="47"/>
      <c r="AC22" s="47"/>
      <c r="AD22" s="47"/>
      <c r="AE22" s="47"/>
      <c r="AF22" s="47"/>
      <c r="AG22" s="47"/>
      <c r="AH22" s="47"/>
      <c r="AI22" s="46"/>
      <c r="AJ22" s="46"/>
      <c r="AK22" s="46"/>
      <c r="AL22" s="7"/>
      <c r="AM22" s="49" t="str">
        <f aca="false">IF(OR(C22="",G22=""),"",IFERROR(DATEDIF(C22,G22,"m"),""))</f>
        <v/>
      </c>
      <c r="AN22" s="49" t="str">
        <f aca="false">IF(OR(Q22="",AM22=""),"",60+2*Q22-AM22)</f>
        <v/>
      </c>
      <c r="AO22" s="49" t="str">
        <f aca="false">IF(OR(G22="",AJ22=""),"",AJ22-G22)</f>
        <v/>
      </c>
      <c r="AP22" s="50" t="str">
        <f aca="false">IF(AND(A22="",B22=""),"",IF(J22="","Status needed",IF(OR(J22="Applied",J22="Visit booked",J22="Withdrawn"),"OK",IF(G22="","Date assessed needed",IF(C22="","Date of birth needed",IF(COUNTA(L22,M22,P22,U22,V22,X22,AB22)&lt;7,"Band missing",IF(AND(OR(J22="Decision confirmed",J22="Family told",J22="Enrolled"),AG22=""),"Recommendation needed",IF(AND(OR(J22="Family told",J22="Enrolled"),AJ22=""),"Date family told needed","OK"))))))))</f>
        <v/>
      </c>
    </row>
    <row r="23" customFormat="false" ht="15" hidden="false" customHeight="false" outlineLevel="0" collapsed="false">
      <c r="A23" s="7"/>
      <c r="B23" s="7"/>
      <c r="C23" s="46"/>
      <c r="D23" s="7"/>
      <c r="E23" s="47"/>
      <c r="F23" s="46"/>
      <c r="G23" s="46"/>
      <c r="H23" s="7"/>
      <c r="I23" s="7"/>
      <c r="J23" s="47"/>
      <c r="K23" s="47"/>
      <c r="L23" s="47"/>
      <c r="M23" s="47"/>
      <c r="N23" s="10"/>
      <c r="O23" s="47"/>
      <c r="P23" s="47"/>
      <c r="Q23" s="47"/>
      <c r="R23" s="48" t="str">
        <f aca="false">IF(Q23="","",IF(Q23=0,"below 5:00",IF(Q23&gt;=66,"16:00 or above",INT((60+2*Q23)/12)&amp;":"&amp;TEXT(MOD(60+2*Q23,12),"00"))))</f>
        <v/>
      </c>
      <c r="S23" s="47"/>
      <c r="T23" s="47"/>
      <c r="U23" s="47"/>
      <c r="V23" s="47"/>
      <c r="W23" s="47"/>
      <c r="X23" s="47"/>
      <c r="Y23" s="47"/>
      <c r="Z23" s="47"/>
      <c r="AA23" s="47"/>
      <c r="AB23" s="47"/>
      <c r="AC23" s="47"/>
      <c r="AD23" s="47"/>
      <c r="AE23" s="47"/>
      <c r="AF23" s="47"/>
      <c r="AG23" s="47"/>
      <c r="AH23" s="47"/>
      <c r="AI23" s="46"/>
      <c r="AJ23" s="46"/>
      <c r="AK23" s="46"/>
      <c r="AL23" s="7"/>
      <c r="AM23" s="49" t="str">
        <f aca="false">IF(OR(C23="",G23=""),"",IFERROR(DATEDIF(C23,G23,"m"),""))</f>
        <v/>
      </c>
      <c r="AN23" s="49" t="str">
        <f aca="false">IF(OR(Q23="",AM23=""),"",60+2*Q23-AM23)</f>
        <v/>
      </c>
      <c r="AO23" s="49" t="str">
        <f aca="false">IF(OR(G23="",AJ23=""),"",AJ23-G23)</f>
        <v/>
      </c>
      <c r="AP23" s="50" t="str">
        <f aca="false">IF(AND(A23="",B23=""),"",IF(J23="","Status needed",IF(OR(J23="Applied",J23="Visit booked",J23="Withdrawn"),"OK",IF(G23="","Date assessed needed",IF(C23="","Date of birth needed",IF(COUNTA(L23,M23,P23,U23,V23,X23,AB23)&lt;7,"Band missing",IF(AND(OR(J23="Decision confirmed",J23="Family told",J23="Enrolled"),AG23=""),"Recommendation needed",IF(AND(OR(J23="Family told",J23="Enrolled"),AJ23=""),"Date family told needed","OK"))))))))</f>
        <v/>
      </c>
    </row>
    <row r="24" customFormat="false" ht="15" hidden="false" customHeight="false" outlineLevel="0" collapsed="false">
      <c r="A24" s="7"/>
      <c r="B24" s="7"/>
      <c r="C24" s="46"/>
      <c r="D24" s="7"/>
      <c r="E24" s="47"/>
      <c r="F24" s="46"/>
      <c r="G24" s="46"/>
      <c r="H24" s="7"/>
      <c r="I24" s="7"/>
      <c r="J24" s="47"/>
      <c r="K24" s="47"/>
      <c r="L24" s="47"/>
      <c r="M24" s="47"/>
      <c r="N24" s="10"/>
      <c r="O24" s="47"/>
      <c r="P24" s="47"/>
      <c r="Q24" s="47"/>
      <c r="R24" s="48" t="str">
        <f aca="false">IF(Q24="","",IF(Q24=0,"below 5:00",IF(Q24&gt;=66,"16:00 or above",INT((60+2*Q24)/12)&amp;":"&amp;TEXT(MOD(60+2*Q24,12),"00"))))</f>
        <v/>
      </c>
      <c r="S24" s="47"/>
      <c r="T24" s="47"/>
      <c r="U24" s="47"/>
      <c r="V24" s="47"/>
      <c r="W24" s="47"/>
      <c r="X24" s="47"/>
      <c r="Y24" s="47"/>
      <c r="Z24" s="47"/>
      <c r="AA24" s="47"/>
      <c r="AB24" s="47"/>
      <c r="AC24" s="47"/>
      <c r="AD24" s="47"/>
      <c r="AE24" s="47"/>
      <c r="AF24" s="47"/>
      <c r="AG24" s="47"/>
      <c r="AH24" s="47"/>
      <c r="AI24" s="46"/>
      <c r="AJ24" s="46"/>
      <c r="AK24" s="46"/>
      <c r="AL24" s="7"/>
      <c r="AM24" s="49" t="str">
        <f aca="false">IF(OR(C24="",G24=""),"",IFERROR(DATEDIF(C24,G24,"m"),""))</f>
        <v/>
      </c>
      <c r="AN24" s="49" t="str">
        <f aca="false">IF(OR(Q24="",AM24=""),"",60+2*Q24-AM24)</f>
        <v/>
      </c>
      <c r="AO24" s="49" t="str">
        <f aca="false">IF(OR(G24="",AJ24=""),"",AJ24-G24)</f>
        <v/>
      </c>
      <c r="AP24" s="50" t="str">
        <f aca="false">IF(AND(A24="",B24=""),"",IF(J24="","Status needed",IF(OR(J24="Applied",J24="Visit booked",J24="Withdrawn"),"OK",IF(G24="","Date assessed needed",IF(C24="","Date of birth needed",IF(COUNTA(L24,M24,P24,U24,V24,X24,AB24)&lt;7,"Band missing",IF(AND(OR(J24="Decision confirmed",J24="Family told",J24="Enrolled"),AG24=""),"Recommendation needed",IF(AND(OR(J24="Family told",J24="Enrolled"),AJ24=""),"Date family told needed","OK"))))))))</f>
        <v/>
      </c>
    </row>
    <row r="25" customFormat="false" ht="15" hidden="false" customHeight="false" outlineLevel="0" collapsed="false">
      <c r="A25" s="7"/>
      <c r="B25" s="7"/>
      <c r="C25" s="46"/>
      <c r="D25" s="7"/>
      <c r="E25" s="47"/>
      <c r="F25" s="46"/>
      <c r="G25" s="46"/>
      <c r="H25" s="7"/>
      <c r="I25" s="7"/>
      <c r="J25" s="47"/>
      <c r="K25" s="47"/>
      <c r="L25" s="47"/>
      <c r="M25" s="47"/>
      <c r="N25" s="10"/>
      <c r="O25" s="47"/>
      <c r="P25" s="47"/>
      <c r="Q25" s="47"/>
      <c r="R25" s="48" t="str">
        <f aca="false">IF(Q25="","",IF(Q25=0,"below 5:00",IF(Q25&gt;=66,"16:00 or above",INT((60+2*Q25)/12)&amp;":"&amp;TEXT(MOD(60+2*Q25,12),"00"))))</f>
        <v/>
      </c>
      <c r="S25" s="47"/>
      <c r="T25" s="47"/>
      <c r="U25" s="47"/>
      <c r="V25" s="47"/>
      <c r="W25" s="47"/>
      <c r="X25" s="47"/>
      <c r="Y25" s="47"/>
      <c r="Z25" s="47"/>
      <c r="AA25" s="47"/>
      <c r="AB25" s="47"/>
      <c r="AC25" s="47"/>
      <c r="AD25" s="47"/>
      <c r="AE25" s="47"/>
      <c r="AF25" s="47"/>
      <c r="AG25" s="47"/>
      <c r="AH25" s="47"/>
      <c r="AI25" s="46"/>
      <c r="AJ25" s="46"/>
      <c r="AK25" s="46"/>
      <c r="AL25" s="7"/>
      <c r="AM25" s="49" t="str">
        <f aca="false">IF(OR(C25="",G25=""),"",IFERROR(DATEDIF(C25,G25,"m"),""))</f>
        <v/>
      </c>
      <c r="AN25" s="49" t="str">
        <f aca="false">IF(OR(Q25="",AM25=""),"",60+2*Q25-AM25)</f>
        <v/>
      </c>
      <c r="AO25" s="49" t="str">
        <f aca="false">IF(OR(G25="",AJ25=""),"",AJ25-G25)</f>
        <v/>
      </c>
      <c r="AP25" s="50" t="str">
        <f aca="false">IF(AND(A25="",B25=""),"",IF(J25="","Status needed",IF(OR(J25="Applied",J25="Visit booked",J25="Withdrawn"),"OK",IF(G25="","Date assessed needed",IF(C25="","Date of birth needed",IF(COUNTA(L25,M25,P25,U25,V25,X25,AB25)&lt;7,"Band missing",IF(AND(OR(J25="Decision confirmed",J25="Family told",J25="Enrolled"),AG25=""),"Recommendation needed",IF(AND(OR(J25="Family told",J25="Enrolled"),AJ25=""),"Date family told needed","OK"))))))))</f>
        <v/>
      </c>
    </row>
    <row r="26" customFormat="false" ht="15" hidden="false" customHeight="false" outlineLevel="0" collapsed="false">
      <c r="A26" s="7"/>
      <c r="B26" s="7"/>
      <c r="C26" s="46"/>
      <c r="D26" s="7"/>
      <c r="E26" s="47"/>
      <c r="F26" s="46"/>
      <c r="G26" s="46"/>
      <c r="H26" s="7"/>
      <c r="I26" s="7"/>
      <c r="J26" s="47"/>
      <c r="K26" s="47"/>
      <c r="L26" s="47"/>
      <c r="M26" s="47"/>
      <c r="N26" s="10"/>
      <c r="O26" s="47"/>
      <c r="P26" s="47"/>
      <c r="Q26" s="47"/>
      <c r="R26" s="48" t="str">
        <f aca="false">IF(Q26="","",IF(Q26=0,"below 5:00",IF(Q26&gt;=66,"16:00 or above",INT((60+2*Q26)/12)&amp;":"&amp;TEXT(MOD(60+2*Q26,12),"00"))))</f>
        <v/>
      </c>
      <c r="S26" s="47"/>
      <c r="T26" s="47"/>
      <c r="U26" s="47"/>
      <c r="V26" s="47"/>
      <c r="W26" s="47"/>
      <c r="X26" s="47"/>
      <c r="Y26" s="47"/>
      <c r="Z26" s="47"/>
      <c r="AA26" s="47"/>
      <c r="AB26" s="47"/>
      <c r="AC26" s="47"/>
      <c r="AD26" s="47"/>
      <c r="AE26" s="47"/>
      <c r="AF26" s="47"/>
      <c r="AG26" s="47"/>
      <c r="AH26" s="47"/>
      <c r="AI26" s="46"/>
      <c r="AJ26" s="46"/>
      <c r="AK26" s="46"/>
      <c r="AL26" s="7"/>
      <c r="AM26" s="49" t="str">
        <f aca="false">IF(OR(C26="",G26=""),"",IFERROR(DATEDIF(C26,G26,"m"),""))</f>
        <v/>
      </c>
      <c r="AN26" s="49" t="str">
        <f aca="false">IF(OR(Q26="",AM26=""),"",60+2*Q26-AM26)</f>
        <v/>
      </c>
      <c r="AO26" s="49" t="str">
        <f aca="false">IF(OR(G26="",AJ26=""),"",AJ26-G26)</f>
        <v/>
      </c>
      <c r="AP26" s="50" t="str">
        <f aca="false">IF(AND(A26="",B26=""),"",IF(J26="","Status needed",IF(OR(J26="Applied",J26="Visit booked",J26="Withdrawn"),"OK",IF(G26="","Date assessed needed",IF(C26="","Date of birth needed",IF(COUNTA(L26,M26,P26,U26,V26,X26,AB26)&lt;7,"Band missing",IF(AND(OR(J26="Decision confirmed",J26="Family told",J26="Enrolled"),AG26=""),"Recommendation needed",IF(AND(OR(J26="Family told",J26="Enrolled"),AJ26=""),"Date family told needed","OK"))))))))</f>
        <v/>
      </c>
    </row>
    <row r="27" customFormat="false" ht="15" hidden="false" customHeight="false" outlineLevel="0" collapsed="false">
      <c r="A27" s="7"/>
      <c r="B27" s="7"/>
      <c r="C27" s="46"/>
      <c r="D27" s="7"/>
      <c r="E27" s="47"/>
      <c r="F27" s="46"/>
      <c r="G27" s="46"/>
      <c r="H27" s="7"/>
      <c r="I27" s="7"/>
      <c r="J27" s="47"/>
      <c r="K27" s="47"/>
      <c r="L27" s="47"/>
      <c r="M27" s="47"/>
      <c r="N27" s="10"/>
      <c r="O27" s="47"/>
      <c r="P27" s="47"/>
      <c r="Q27" s="47"/>
      <c r="R27" s="48" t="str">
        <f aca="false">IF(Q27="","",IF(Q27=0,"below 5:00",IF(Q27&gt;=66,"16:00 or above",INT((60+2*Q27)/12)&amp;":"&amp;TEXT(MOD(60+2*Q27,12),"00"))))</f>
        <v/>
      </c>
      <c r="S27" s="47"/>
      <c r="T27" s="47"/>
      <c r="U27" s="47"/>
      <c r="V27" s="47"/>
      <c r="W27" s="47"/>
      <c r="X27" s="47"/>
      <c r="Y27" s="47"/>
      <c r="Z27" s="47"/>
      <c r="AA27" s="47"/>
      <c r="AB27" s="47"/>
      <c r="AC27" s="47"/>
      <c r="AD27" s="47"/>
      <c r="AE27" s="47"/>
      <c r="AF27" s="47"/>
      <c r="AG27" s="47"/>
      <c r="AH27" s="47"/>
      <c r="AI27" s="46"/>
      <c r="AJ27" s="46"/>
      <c r="AK27" s="46"/>
      <c r="AL27" s="7"/>
      <c r="AM27" s="49" t="str">
        <f aca="false">IF(OR(C27="",G27=""),"",IFERROR(DATEDIF(C27,G27,"m"),""))</f>
        <v/>
      </c>
      <c r="AN27" s="49" t="str">
        <f aca="false">IF(OR(Q27="",AM27=""),"",60+2*Q27-AM27)</f>
        <v/>
      </c>
      <c r="AO27" s="49" t="str">
        <f aca="false">IF(OR(G27="",AJ27=""),"",AJ27-G27)</f>
        <v/>
      </c>
      <c r="AP27" s="50" t="str">
        <f aca="false">IF(AND(A27="",B27=""),"",IF(J27="","Status needed",IF(OR(J27="Applied",J27="Visit booked",J27="Withdrawn"),"OK",IF(G27="","Date assessed needed",IF(C27="","Date of birth needed",IF(COUNTA(L27,M27,P27,U27,V27,X27,AB27)&lt;7,"Band missing",IF(AND(OR(J27="Decision confirmed",J27="Family told",J27="Enrolled"),AG27=""),"Recommendation needed",IF(AND(OR(J27="Family told",J27="Enrolled"),AJ27=""),"Date family told needed","OK"))))))))</f>
        <v/>
      </c>
    </row>
    <row r="28" customFormat="false" ht="15" hidden="false" customHeight="false" outlineLevel="0" collapsed="false">
      <c r="A28" s="7"/>
      <c r="B28" s="7"/>
      <c r="C28" s="46"/>
      <c r="D28" s="7"/>
      <c r="E28" s="47"/>
      <c r="F28" s="46"/>
      <c r="G28" s="46"/>
      <c r="H28" s="7"/>
      <c r="I28" s="7"/>
      <c r="J28" s="47"/>
      <c r="K28" s="47"/>
      <c r="L28" s="47"/>
      <c r="M28" s="47"/>
      <c r="N28" s="10"/>
      <c r="O28" s="47"/>
      <c r="P28" s="47"/>
      <c r="Q28" s="47"/>
      <c r="R28" s="48" t="str">
        <f aca="false">IF(Q28="","",IF(Q28=0,"below 5:00",IF(Q28&gt;=66,"16:00 or above",INT((60+2*Q28)/12)&amp;":"&amp;TEXT(MOD(60+2*Q28,12),"00"))))</f>
        <v/>
      </c>
      <c r="S28" s="47"/>
      <c r="T28" s="47"/>
      <c r="U28" s="47"/>
      <c r="V28" s="47"/>
      <c r="W28" s="47"/>
      <c r="X28" s="47"/>
      <c r="Y28" s="47"/>
      <c r="Z28" s="47"/>
      <c r="AA28" s="47"/>
      <c r="AB28" s="47"/>
      <c r="AC28" s="47"/>
      <c r="AD28" s="47"/>
      <c r="AE28" s="47"/>
      <c r="AF28" s="47"/>
      <c r="AG28" s="47"/>
      <c r="AH28" s="47"/>
      <c r="AI28" s="46"/>
      <c r="AJ28" s="46"/>
      <c r="AK28" s="46"/>
      <c r="AL28" s="7"/>
      <c r="AM28" s="49" t="str">
        <f aca="false">IF(OR(C28="",G28=""),"",IFERROR(DATEDIF(C28,G28,"m"),""))</f>
        <v/>
      </c>
      <c r="AN28" s="49" t="str">
        <f aca="false">IF(OR(Q28="",AM28=""),"",60+2*Q28-AM28)</f>
        <v/>
      </c>
      <c r="AO28" s="49" t="str">
        <f aca="false">IF(OR(G28="",AJ28=""),"",AJ28-G28)</f>
        <v/>
      </c>
      <c r="AP28" s="50" t="str">
        <f aca="false">IF(AND(A28="",B28=""),"",IF(J28="","Status needed",IF(OR(J28="Applied",J28="Visit booked",J28="Withdrawn"),"OK",IF(G28="","Date assessed needed",IF(C28="","Date of birth needed",IF(COUNTA(L28,M28,P28,U28,V28,X28,AB28)&lt;7,"Band missing",IF(AND(OR(J28="Decision confirmed",J28="Family told",J28="Enrolled"),AG28=""),"Recommendation needed",IF(AND(OR(J28="Family told",J28="Enrolled"),AJ28=""),"Date family told needed","OK"))))))))</f>
        <v/>
      </c>
    </row>
    <row r="29" customFormat="false" ht="15" hidden="false" customHeight="false" outlineLevel="0" collapsed="false">
      <c r="A29" s="7"/>
      <c r="B29" s="7"/>
      <c r="C29" s="46"/>
      <c r="D29" s="7"/>
      <c r="E29" s="47"/>
      <c r="F29" s="46"/>
      <c r="G29" s="46"/>
      <c r="H29" s="7"/>
      <c r="I29" s="7"/>
      <c r="J29" s="47"/>
      <c r="K29" s="47"/>
      <c r="L29" s="47"/>
      <c r="M29" s="47"/>
      <c r="N29" s="10"/>
      <c r="O29" s="47"/>
      <c r="P29" s="47"/>
      <c r="Q29" s="47"/>
      <c r="R29" s="48" t="str">
        <f aca="false">IF(Q29="","",IF(Q29=0,"below 5:00",IF(Q29&gt;=66,"16:00 or above",INT((60+2*Q29)/12)&amp;":"&amp;TEXT(MOD(60+2*Q29,12),"00"))))</f>
        <v/>
      </c>
      <c r="S29" s="47"/>
      <c r="T29" s="47"/>
      <c r="U29" s="47"/>
      <c r="V29" s="47"/>
      <c r="W29" s="47"/>
      <c r="X29" s="47"/>
      <c r="Y29" s="47"/>
      <c r="Z29" s="47"/>
      <c r="AA29" s="47"/>
      <c r="AB29" s="47"/>
      <c r="AC29" s="47"/>
      <c r="AD29" s="47"/>
      <c r="AE29" s="47"/>
      <c r="AF29" s="47"/>
      <c r="AG29" s="47"/>
      <c r="AH29" s="47"/>
      <c r="AI29" s="46"/>
      <c r="AJ29" s="46"/>
      <c r="AK29" s="46"/>
      <c r="AL29" s="7"/>
      <c r="AM29" s="49" t="str">
        <f aca="false">IF(OR(C29="",G29=""),"",IFERROR(DATEDIF(C29,G29,"m"),""))</f>
        <v/>
      </c>
      <c r="AN29" s="49" t="str">
        <f aca="false">IF(OR(Q29="",AM29=""),"",60+2*Q29-AM29)</f>
        <v/>
      </c>
      <c r="AO29" s="49" t="str">
        <f aca="false">IF(OR(G29="",AJ29=""),"",AJ29-G29)</f>
        <v/>
      </c>
      <c r="AP29" s="50" t="str">
        <f aca="false">IF(AND(A29="",B29=""),"",IF(J29="","Status needed",IF(OR(J29="Applied",J29="Visit booked",J29="Withdrawn"),"OK",IF(G29="","Date assessed needed",IF(C29="","Date of birth needed",IF(COUNTA(L29,M29,P29,U29,V29,X29,AB29)&lt;7,"Band missing",IF(AND(OR(J29="Decision confirmed",J29="Family told",J29="Enrolled"),AG29=""),"Recommendation needed",IF(AND(OR(J29="Family told",J29="Enrolled"),AJ29=""),"Date family told needed","OK"))))))))</f>
        <v/>
      </c>
    </row>
    <row r="30" customFormat="false" ht="15" hidden="false" customHeight="false" outlineLevel="0" collapsed="false">
      <c r="A30" s="7"/>
      <c r="B30" s="7"/>
      <c r="C30" s="46"/>
      <c r="D30" s="7"/>
      <c r="E30" s="47"/>
      <c r="F30" s="46"/>
      <c r="G30" s="46"/>
      <c r="H30" s="7"/>
      <c r="I30" s="7"/>
      <c r="J30" s="47"/>
      <c r="K30" s="47"/>
      <c r="L30" s="47"/>
      <c r="M30" s="47"/>
      <c r="N30" s="10"/>
      <c r="O30" s="47"/>
      <c r="P30" s="47"/>
      <c r="Q30" s="47"/>
      <c r="R30" s="48" t="str">
        <f aca="false">IF(Q30="","",IF(Q30=0,"below 5:00",IF(Q30&gt;=66,"16:00 or above",INT((60+2*Q30)/12)&amp;":"&amp;TEXT(MOD(60+2*Q30,12),"00"))))</f>
        <v/>
      </c>
      <c r="S30" s="47"/>
      <c r="T30" s="47"/>
      <c r="U30" s="47"/>
      <c r="V30" s="47"/>
      <c r="W30" s="47"/>
      <c r="X30" s="47"/>
      <c r="Y30" s="47"/>
      <c r="Z30" s="47"/>
      <c r="AA30" s="47"/>
      <c r="AB30" s="47"/>
      <c r="AC30" s="47"/>
      <c r="AD30" s="47"/>
      <c r="AE30" s="47"/>
      <c r="AF30" s="47"/>
      <c r="AG30" s="47"/>
      <c r="AH30" s="47"/>
      <c r="AI30" s="46"/>
      <c r="AJ30" s="46"/>
      <c r="AK30" s="46"/>
      <c r="AL30" s="7"/>
      <c r="AM30" s="49" t="str">
        <f aca="false">IF(OR(C30="",G30=""),"",IFERROR(DATEDIF(C30,G30,"m"),""))</f>
        <v/>
      </c>
      <c r="AN30" s="49" t="str">
        <f aca="false">IF(OR(Q30="",AM30=""),"",60+2*Q30-AM30)</f>
        <v/>
      </c>
      <c r="AO30" s="49" t="str">
        <f aca="false">IF(OR(G30="",AJ30=""),"",AJ30-G30)</f>
        <v/>
      </c>
      <c r="AP30" s="50" t="str">
        <f aca="false">IF(AND(A30="",B30=""),"",IF(J30="","Status needed",IF(OR(J30="Applied",J30="Visit booked",J30="Withdrawn"),"OK",IF(G30="","Date assessed needed",IF(C30="","Date of birth needed",IF(COUNTA(L30,M30,P30,U30,V30,X30,AB30)&lt;7,"Band missing",IF(AND(OR(J30="Decision confirmed",J30="Family told",J30="Enrolled"),AG30=""),"Recommendation needed",IF(AND(OR(J30="Family told",J30="Enrolled"),AJ30=""),"Date family told needed","OK"))))))))</f>
        <v/>
      </c>
    </row>
    <row r="31" customFormat="false" ht="15" hidden="false" customHeight="false" outlineLevel="0" collapsed="false">
      <c r="A31" s="7"/>
      <c r="B31" s="7"/>
      <c r="C31" s="46"/>
      <c r="D31" s="7"/>
      <c r="E31" s="47"/>
      <c r="F31" s="46"/>
      <c r="G31" s="46"/>
      <c r="H31" s="7"/>
      <c r="I31" s="7"/>
      <c r="J31" s="47"/>
      <c r="K31" s="47"/>
      <c r="L31" s="47"/>
      <c r="M31" s="47"/>
      <c r="N31" s="10"/>
      <c r="O31" s="47"/>
      <c r="P31" s="47"/>
      <c r="Q31" s="47"/>
      <c r="R31" s="48" t="str">
        <f aca="false">IF(Q31="","",IF(Q31=0,"below 5:00",IF(Q31&gt;=66,"16:00 or above",INT((60+2*Q31)/12)&amp;":"&amp;TEXT(MOD(60+2*Q31,12),"00"))))</f>
        <v/>
      </c>
      <c r="S31" s="47"/>
      <c r="T31" s="47"/>
      <c r="U31" s="47"/>
      <c r="V31" s="47"/>
      <c r="W31" s="47"/>
      <c r="X31" s="47"/>
      <c r="Y31" s="47"/>
      <c r="Z31" s="47"/>
      <c r="AA31" s="47"/>
      <c r="AB31" s="47"/>
      <c r="AC31" s="47"/>
      <c r="AD31" s="47"/>
      <c r="AE31" s="47"/>
      <c r="AF31" s="47"/>
      <c r="AG31" s="47"/>
      <c r="AH31" s="47"/>
      <c r="AI31" s="46"/>
      <c r="AJ31" s="46"/>
      <c r="AK31" s="46"/>
      <c r="AL31" s="7"/>
      <c r="AM31" s="49" t="str">
        <f aca="false">IF(OR(C31="",G31=""),"",IFERROR(DATEDIF(C31,G31,"m"),""))</f>
        <v/>
      </c>
      <c r="AN31" s="49" t="str">
        <f aca="false">IF(OR(Q31="",AM31=""),"",60+2*Q31-AM31)</f>
        <v/>
      </c>
      <c r="AO31" s="49" t="str">
        <f aca="false">IF(OR(G31="",AJ31=""),"",AJ31-G31)</f>
        <v/>
      </c>
      <c r="AP31" s="50" t="str">
        <f aca="false">IF(AND(A31="",B31=""),"",IF(J31="","Status needed",IF(OR(J31="Applied",J31="Visit booked",J31="Withdrawn"),"OK",IF(G31="","Date assessed needed",IF(C31="","Date of birth needed",IF(COUNTA(L31,M31,P31,U31,V31,X31,AB31)&lt;7,"Band missing",IF(AND(OR(J31="Decision confirmed",J31="Family told",J31="Enrolled"),AG31=""),"Recommendation needed",IF(AND(OR(J31="Family told",J31="Enrolled"),AJ31=""),"Date family told needed","OK"))))))))</f>
        <v/>
      </c>
    </row>
    <row r="32" customFormat="false" ht="15" hidden="false" customHeight="false" outlineLevel="0" collapsed="false">
      <c r="A32" s="7"/>
      <c r="B32" s="7"/>
      <c r="C32" s="46"/>
      <c r="D32" s="7"/>
      <c r="E32" s="47"/>
      <c r="F32" s="46"/>
      <c r="G32" s="46"/>
      <c r="H32" s="7"/>
      <c r="I32" s="7"/>
      <c r="J32" s="47"/>
      <c r="K32" s="47"/>
      <c r="L32" s="47"/>
      <c r="M32" s="47"/>
      <c r="N32" s="10"/>
      <c r="O32" s="47"/>
      <c r="P32" s="47"/>
      <c r="Q32" s="47"/>
      <c r="R32" s="48" t="str">
        <f aca="false">IF(Q32="","",IF(Q32=0,"below 5:00",IF(Q32&gt;=66,"16:00 or above",INT((60+2*Q32)/12)&amp;":"&amp;TEXT(MOD(60+2*Q32,12),"00"))))</f>
        <v/>
      </c>
      <c r="S32" s="47"/>
      <c r="T32" s="47"/>
      <c r="U32" s="47"/>
      <c r="V32" s="47"/>
      <c r="W32" s="47"/>
      <c r="X32" s="47"/>
      <c r="Y32" s="47"/>
      <c r="Z32" s="47"/>
      <c r="AA32" s="47"/>
      <c r="AB32" s="47"/>
      <c r="AC32" s="47"/>
      <c r="AD32" s="47"/>
      <c r="AE32" s="47"/>
      <c r="AF32" s="47"/>
      <c r="AG32" s="47"/>
      <c r="AH32" s="47"/>
      <c r="AI32" s="46"/>
      <c r="AJ32" s="46"/>
      <c r="AK32" s="46"/>
      <c r="AL32" s="7"/>
      <c r="AM32" s="49" t="str">
        <f aca="false">IF(OR(C32="",G32=""),"",IFERROR(DATEDIF(C32,G32,"m"),""))</f>
        <v/>
      </c>
      <c r="AN32" s="49" t="str">
        <f aca="false">IF(OR(Q32="",AM32=""),"",60+2*Q32-AM32)</f>
        <v/>
      </c>
      <c r="AO32" s="49" t="str">
        <f aca="false">IF(OR(G32="",AJ32=""),"",AJ32-G32)</f>
        <v/>
      </c>
      <c r="AP32" s="50" t="str">
        <f aca="false">IF(AND(A32="",B32=""),"",IF(J32="","Status needed",IF(OR(J32="Applied",J32="Visit booked",J32="Withdrawn"),"OK",IF(G32="","Date assessed needed",IF(C32="","Date of birth needed",IF(COUNTA(L32,M32,P32,U32,V32,X32,AB32)&lt;7,"Band missing",IF(AND(OR(J32="Decision confirmed",J32="Family told",J32="Enrolled"),AG32=""),"Recommendation needed",IF(AND(OR(J32="Family told",J32="Enrolled"),AJ32=""),"Date family told needed","OK"))))))))</f>
        <v/>
      </c>
    </row>
    <row r="33" customFormat="false" ht="15" hidden="false" customHeight="false" outlineLevel="0" collapsed="false">
      <c r="A33" s="7"/>
      <c r="B33" s="7"/>
      <c r="C33" s="46"/>
      <c r="D33" s="7"/>
      <c r="E33" s="47"/>
      <c r="F33" s="46"/>
      <c r="G33" s="46"/>
      <c r="H33" s="7"/>
      <c r="I33" s="7"/>
      <c r="J33" s="47"/>
      <c r="K33" s="47"/>
      <c r="L33" s="47"/>
      <c r="M33" s="47"/>
      <c r="N33" s="10"/>
      <c r="O33" s="47"/>
      <c r="P33" s="47"/>
      <c r="Q33" s="47"/>
      <c r="R33" s="48" t="str">
        <f aca="false">IF(Q33="","",IF(Q33=0,"below 5:00",IF(Q33&gt;=66,"16:00 or above",INT((60+2*Q33)/12)&amp;":"&amp;TEXT(MOD(60+2*Q33,12),"00"))))</f>
        <v/>
      </c>
      <c r="S33" s="47"/>
      <c r="T33" s="47"/>
      <c r="U33" s="47"/>
      <c r="V33" s="47"/>
      <c r="W33" s="47"/>
      <c r="X33" s="47"/>
      <c r="Y33" s="47"/>
      <c r="Z33" s="47"/>
      <c r="AA33" s="47"/>
      <c r="AB33" s="47"/>
      <c r="AC33" s="47"/>
      <c r="AD33" s="47"/>
      <c r="AE33" s="47"/>
      <c r="AF33" s="47"/>
      <c r="AG33" s="47"/>
      <c r="AH33" s="47"/>
      <c r="AI33" s="46"/>
      <c r="AJ33" s="46"/>
      <c r="AK33" s="46"/>
      <c r="AL33" s="7"/>
      <c r="AM33" s="49" t="str">
        <f aca="false">IF(OR(C33="",G33=""),"",IFERROR(DATEDIF(C33,G33,"m"),""))</f>
        <v/>
      </c>
      <c r="AN33" s="49" t="str">
        <f aca="false">IF(OR(Q33="",AM33=""),"",60+2*Q33-AM33)</f>
        <v/>
      </c>
      <c r="AO33" s="49" t="str">
        <f aca="false">IF(OR(G33="",AJ33=""),"",AJ33-G33)</f>
        <v/>
      </c>
      <c r="AP33" s="50" t="str">
        <f aca="false">IF(AND(A33="",B33=""),"",IF(J33="","Status needed",IF(OR(J33="Applied",J33="Visit booked",J33="Withdrawn"),"OK",IF(G33="","Date assessed needed",IF(C33="","Date of birth needed",IF(COUNTA(L33,M33,P33,U33,V33,X33,AB33)&lt;7,"Band missing",IF(AND(OR(J33="Decision confirmed",J33="Family told",J33="Enrolled"),AG33=""),"Recommendation needed",IF(AND(OR(J33="Family told",J33="Enrolled"),AJ33=""),"Date family told needed","OK"))))))))</f>
        <v/>
      </c>
    </row>
    <row r="34" customFormat="false" ht="15" hidden="false" customHeight="false" outlineLevel="0" collapsed="false">
      <c r="A34" s="7"/>
      <c r="B34" s="7"/>
      <c r="C34" s="46"/>
      <c r="D34" s="7"/>
      <c r="E34" s="47"/>
      <c r="F34" s="46"/>
      <c r="G34" s="46"/>
      <c r="H34" s="7"/>
      <c r="I34" s="7"/>
      <c r="J34" s="47"/>
      <c r="K34" s="47"/>
      <c r="L34" s="47"/>
      <c r="M34" s="47"/>
      <c r="N34" s="10"/>
      <c r="O34" s="47"/>
      <c r="P34" s="47"/>
      <c r="Q34" s="47"/>
      <c r="R34" s="48" t="str">
        <f aca="false">IF(Q34="","",IF(Q34=0,"below 5:00",IF(Q34&gt;=66,"16:00 or above",INT((60+2*Q34)/12)&amp;":"&amp;TEXT(MOD(60+2*Q34,12),"00"))))</f>
        <v/>
      </c>
      <c r="S34" s="47"/>
      <c r="T34" s="47"/>
      <c r="U34" s="47"/>
      <c r="V34" s="47"/>
      <c r="W34" s="47"/>
      <c r="X34" s="47"/>
      <c r="Y34" s="47"/>
      <c r="Z34" s="47"/>
      <c r="AA34" s="47"/>
      <c r="AB34" s="47"/>
      <c r="AC34" s="47"/>
      <c r="AD34" s="47"/>
      <c r="AE34" s="47"/>
      <c r="AF34" s="47"/>
      <c r="AG34" s="47"/>
      <c r="AH34" s="47"/>
      <c r="AI34" s="46"/>
      <c r="AJ34" s="46"/>
      <c r="AK34" s="46"/>
      <c r="AL34" s="7"/>
      <c r="AM34" s="49" t="str">
        <f aca="false">IF(OR(C34="",G34=""),"",IFERROR(DATEDIF(C34,G34,"m"),""))</f>
        <v/>
      </c>
      <c r="AN34" s="49" t="str">
        <f aca="false">IF(OR(Q34="",AM34=""),"",60+2*Q34-AM34)</f>
        <v/>
      </c>
      <c r="AO34" s="49" t="str">
        <f aca="false">IF(OR(G34="",AJ34=""),"",AJ34-G34)</f>
        <v/>
      </c>
      <c r="AP34" s="50" t="str">
        <f aca="false">IF(AND(A34="",B34=""),"",IF(J34="","Status needed",IF(OR(J34="Applied",J34="Visit booked",J34="Withdrawn"),"OK",IF(G34="","Date assessed needed",IF(C34="","Date of birth needed",IF(COUNTA(L34,M34,P34,U34,V34,X34,AB34)&lt;7,"Band missing",IF(AND(OR(J34="Decision confirmed",J34="Family told",J34="Enrolled"),AG34=""),"Recommendation needed",IF(AND(OR(J34="Family told",J34="Enrolled"),AJ34=""),"Date family told needed","OK"))))))))</f>
        <v/>
      </c>
    </row>
    <row r="35" customFormat="false" ht="15" hidden="false" customHeight="false" outlineLevel="0" collapsed="false">
      <c r="A35" s="7"/>
      <c r="B35" s="7"/>
      <c r="C35" s="46"/>
      <c r="D35" s="7"/>
      <c r="E35" s="47"/>
      <c r="F35" s="46"/>
      <c r="G35" s="46"/>
      <c r="H35" s="7"/>
      <c r="I35" s="7"/>
      <c r="J35" s="47"/>
      <c r="K35" s="47"/>
      <c r="L35" s="47"/>
      <c r="M35" s="47"/>
      <c r="N35" s="10"/>
      <c r="O35" s="47"/>
      <c r="P35" s="47"/>
      <c r="Q35" s="47"/>
      <c r="R35" s="48" t="str">
        <f aca="false">IF(Q35="","",IF(Q35=0,"below 5:00",IF(Q35&gt;=66,"16:00 or above",INT((60+2*Q35)/12)&amp;":"&amp;TEXT(MOD(60+2*Q35,12),"00"))))</f>
        <v/>
      </c>
      <c r="S35" s="47"/>
      <c r="T35" s="47"/>
      <c r="U35" s="47"/>
      <c r="V35" s="47"/>
      <c r="W35" s="47"/>
      <c r="X35" s="47"/>
      <c r="Y35" s="47"/>
      <c r="Z35" s="47"/>
      <c r="AA35" s="47"/>
      <c r="AB35" s="47"/>
      <c r="AC35" s="47"/>
      <c r="AD35" s="47"/>
      <c r="AE35" s="47"/>
      <c r="AF35" s="47"/>
      <c r="AG35" s="47"/>
      <c r="AH35" s="47"/>
      <c r="AI35" s="46"/>
      <c r="AJ35" s="46"/>
      <c r="AK35" s="46"/>
      <c r="AL35" s="7"/>
      <c r="AM35" s="49" t="str">
        <f aca="false">IF(OR(C35="",G35=""),"",IFERROR(DATEDIF(C35,G35,"m"),""))</f>
        <v/>
      </c>
      <c r="AN35" s="49" t="str">
        <f aca="false">IF(OR(Q35="",AM35=""),"",60+2*Q35-AM35)</f>
        <v/>
      </c>
      <c r="AO35" s="49" t="str">
        <f aca="false">IF(OR(G35="",AJ35=""),"",AJ35-G35)</f>
        <v/>
      </c>
      <c r="AP35" s="50" t="str">
        <f aca="false">IF(AND(A35="",B35=""),"",IF(J35="","Status needed",IF(OR(J35="Applied",J35="Visit booked",J35="Withdrawn"),"OK",IF(G35="","Date assessed needed",IF(C35="","Date of birth needed",IF(COUNTA(L35,M35,P35,U35,V35,X35,AB35)&lt;7,"Band missing",IF(AND(OR(J35="Decision confirmed",J35="Family told",J35="Enrolled"),AG35=""),"Recommendation needed",IF(AND(OR(J35="Family told",J35="Enrolled"),AJ35=""),"Date family told needed","OK"))))))))</f>
        <v/>
      </c>
    </row>
    <row r="36" customFormat="false" ht="15" hidden="false" customHeight="false" outlineLevel="0" collapsed="false">
      <c r="A36" s="7"/>
      <c r="B36" s="7"/>
      <c r="C36" s="46"/>
      <c r="D36" s="7"/>
      <c r="E36" s="47"/>
      <c r="F36" s="46"/>
      <c r="G36" s="46"/>
      <c r="H36" s="7"/>
      <c r="I36" s="7"/>
      <c r="J36" s="47"/>
      <c r="K36" s="47"/>
      <c r="L36" s="47"/>
      <c r="M36" s="47"/>
      <c r="N36" s="10"/>
      <c r="O36" s="47"/>
      <c r="P36" s="47"/>
      <c r="Q36" s="47"/>
      <c r="R36" s="48" t="str">
        <f aca="false">IF(Q36="","",IF(Q36=0,"below 5:00",IF(Q36&gt;=66,"16:00 or above",INT((60+2*Q36)/12)&amp;":"&amp;TEXT(MOD(60+2*Q36,12),"00"))))</f>
        <v/>
      </c>
      <c r="S36" s="47"/>
      <c r="T36" s="47"/>
      <c r="U36" s="47"/>
      <c r="V36" s="47"/>
      <c r="W36" s="47"/>
      <c r="X36" s="47"/>
      <c r="Y36" s="47"/>
      <c r="Z36" s="47"/>
      <c r="AA36" s="47"/>
      <c r="AB36" s="47"/>
      <c r="AC36" s="47"/>
      <c r="AD36" s="47"/>
      <c r="AE36" s="47"/>
      <c r="AF36" s="47"/>
      <c r="AG36" s="47"/>
      <c r="AH36" s="47"/>
      <c r="AI36" s="46"/>
      <c r="AJ36" s="46"/>
      <c r="AK36" s="46"/>
      <c r="AL36" s="7"/>
      <c r="AM36" s="49" t="str">
        <f aca="false">IF(OR(C36="",G36=""),"",IFERROR(DATEDIF(C36,G36,"m"),""))</f>
        <v/>
      </c>
      <c r="AN36" s="49" t="str">
        <f aca="false">IF(OR(Q36="",AM36=""),"",60+2*Q36-AM36)</f>
        <v/>
      </c>
      <c r="AO36" s="49" t="str">
        <f aca="false">IF(OR(G36="",AJ36=""),"",AJ36-G36)</f>
        <v/>
      </c>
      <c r="AP36" s="50" t="str">
        <f aca="false">IF(AND(A36="",B36=""),"",IF(J36="","Status needed",IF(OR(J36="Applied",J36="Visit booked",J36="Withdrawn"),"OK",IF(G36="","Date assessed needed",IF(C36="","Date of birth needed",IF(COUNTA(L36,M36,P36,U36,V36,X36,AB36)&lt;7,"Band missing",IF(AND(OR(J36="Decision confirmed",J36="Family told",J36="Enrolled"),AG36=""),"Recommendation needed",IF(AND(OR(J36="Family told",J36="Enrolled"),AJ36=""),"Date family told needed","OK"))))))))</f>
        <v/>
      </c>
    </row>
    <row r="37" customFormat="false" ht="15" hidden="false" customHeight="false" outlineLevel="0" collapsed="false">
      <c r="A37" s="7"/>
      <c r="B37" s="7"/>
      <c r="C37" s="46"/>
      <c r="D37" s="7"/>
      <c r="E37" s="47"/>
      <c r="F37" s="46"/>
      <c r="G37" s="46"/>
      <c r="H37" s="7"/>
      <c r="I37" s="7"/>
      <c r="J37" s="47"/>
      <c r="K37" s="47"/>
      <c r="L37" s="47"/>
      <c r="M37" s="47"/>
      <c r="N37" s="10"/>
      <c r="O37" s="47"/>
      <c r="P37" s="47"/>
      <c r="Q37" s="47"/>
      <c r="R37" s="48" t="str">
        <f aca="false">IF(Q37="","",IF(Q37=0,"below 5:00",IF(Q37&gt;=66,"16:00 or above",INT((60+2*Q37)/12)&amp;":"&amp;TEXT(MOD(60+2*Q37,12),"00"))))</f>
        <v/>
      </c>
      <c r="S37" s="47"/>
      <c r="T37" s="47"/>
      <c r="U37" s="47"/>
      <c r="V37" s="47"/>
      <c r="W37" s="47"/>
      <c r="X37" s="47"/>
      <c r="Y37" s="47"/>
      <c r="Z37" s="47"/>
      <c r="AA37" s="47"/>
      <c r="AB37" s="47"/>
      <c r="AC37" s="47"/>
      <c r="AD37" s="47"/>
      <c r="AE37" s="47"/>
      <c r="AF37" s="47"/>
      <c r="AG37" s="47"/>
      <c r="AH37" s="47"/>
      <c r="AI37" s="46"/>
      <c r="AJ37" s="46"/>
      <c r="AK37" s="46"/>
      <c r="AL37" s="7"/>
      <c r="AM37" s="49" t="str">
        <f aca="false">IF(OR(C37="",G37=""),"",IFERROR(DATEDIF(C37,G37,"m"),""))</f>
        <v/>
      </c>
      <c r="AN37" s="49" t="str">
        <f aca="false">IF(OR(Q37="",AM37=""),"",60+2*Q37-AM37)</f>
        <v/>
      </c>
      <c r="AO37" s="49" t="str">
        <f aca="false">IF(OR(G37="",AJ37=""),"",AJ37-G37)</f>
        <v/>
      </c>
      <c r="AP37" s="50" t="str">
        <f aca="false">IF(AND(A37="",B37=""),"",IF(J37="","Status needed",IF(OR(J37="Applied",J37="Visit booked",J37="Withdrawn"),"OK",IF(G37="","Date assessed needed",IF(C37="","Date of birth needed",IF(COUNTA(L37,M37,P37,U37,V37,X37,AB37)&lt;7,"Band missing",IF(AND(OR(J37="Decision confirmed",J37="Family told",J37="Enrolled"),AG37=""),"Recommendation needed",IF(AND(OR(J37="Family told",J37="Enrolled"),AJ37=""),"Date family told needed","OK"))))))))</f>
        <v/>
      </c>
    </row>
    <row r="38" customFormat="false" ht="15" hidden="false" customHeight="false" outlineLevel="0" collapsed="false">
      <c r="A38" s="7"/>
      <c r="B38" s="7"/>
      <c r="C38" s="46"/>
      <c r="D38" s="7"/>
      <c r="E38" s="47"/>
      <c r="F38" s="46"/>
      <c r="G38" s="46"/>
      <c r="H38" s="7"/>
      <c r="I38" s="7"/>
      <c r="J38" s="47"/>
      <c r="K38" s="47"/>
      <c r="L38" s="47"/>
      <c r="M38" s="47"/>
      <c r="N38" s="10"/>
      <c r="O38" s="47"/>
      <c r="P38" s="47"/>
      <c r="Q38" s="47"/>
      <c r="R38" s="48" t="str">
        <f aca="false">IF(Q38="","",IF(Q38=0,"below 5:00",IF(Q38&gt;=66,"16:00 or above",INT((60+2*Q38)/12)&amp;":"&amp;TEXT(MOD(60+2*Q38,12),"00"))))</f>
        <v/>
      </c>
      <c r="S38" s="47"/>
      <c r="T38" s="47"/>
      <c r="U38" s="47"/>
      <c r="V38" s="47"/>
      <c r="W38" s="47"/>
      <c r="X38" s="47"/>
      <c r="Y38" s="47"/>
      <c r="Z38" s="47"/>
      <c r="AA38" s="47"/>
      <c r="AB38" s="47"/>
      <c r="AC38" s="47"/>
      <c r="AD38" s="47"/>
      <c r="AE38" s="47"/>
      <c r="AF38" s="47"/>
      <c r="AG38" s="47"/>
      <c r="AH38" s="47"/>
      <c r="AI38" s="46"/>
      <c r="AJ38" s="46"/>
      <c r="AK38" s="46"/>
      <c r="AL38" s="7"/>
      <c r="AM38" s="49" t="str">
        <f aca="false">IF(OR(C38="",G38=""),"",IFERROR(DATEDIF(C38,G38,"m"),""))</f>
        <v/>
      </c>
      <c r="AN38" s="49" t="str">
        <f aca="false">IF(OR(Q38="",AM38=""),"",60+2*Q38-AM38)</f>
        <v/>
      </c>
      <c r="AO38" s="49" t="str">
        <f aca="false">IF(OR(G38="",AJ38=""),"",AJ38-G38)</f>
        <v/>
      </c>
      <c r="AP38" s="50" t="str">
        <f aca="false">IF(AND(A38="",B38=""),"",IF(J38="","Status needed",IF(OR(J38="Applied",J38="Visit booked",J38="Withdrawn"),"OK",IF(G38="","Date assessed needed",IF(C38="","Date of birth needed",IF(COUNTA(L38,M38,P38,U38,V38,X38,AB38)&lt;7,"Band missing",IF(AND(OR(J38="Decision confirmed",J38="Family told",J38="Enrolled"),AG38=""),"Recommendation needed",IF(AND(OR(J38="Family told",J38="Enrolled"),AJ38=""),"Date family told needed","OK"))))))))</f>
        <v/>
      </c>
    </row>
    <row r="39" customFormat="false" ht="15" hidden="false" customHeight="false" outlineLevel="0" collapsed="false">
      <c r="A39" s="7"/>
      <c r="B39" s="7"/>
      <c r="C39" s="46"/>
      <c r="D39" s="7"/>
      <c r="E39" s="47"/>
      <c r="F39" s="46"/>
      <c r="G39" s="46"/>
      <c r="H39" s="7"/>
      <c r="I39" s="7"/>
      <c r="J39" s="47"/>
      <c r="K39" s="47"/>
      <c r="L39" s="47"/>
      <c r="M39" s="47"/>
      <c r="N39" s="10"/>
      <c r="O39" s="47"/>
      <c r="P39" s="47"/>
      <c r="Q39" s="47"/>
      <c r="R39" s="48" t="str">
        <f aca="false">IF(Q39="","",IF(Q39=0,"below 5:00",IF(Q39&gt;=66,"16:00 or above",INT((60+2*Q39)/12)&amp;":"&amp;TEXT(MOD(60+2*Q39,12),"00"))))</f>
        <v/>
      </c>
      <c r="S39" s="47"/>
      <c r="T39" s="47"/>
      <c r="U39" s="47"/>
      <c r="V39" s="47"/>
      <c r="W39" s="47"/>
      <c r="X39" s="47"/>
      <c r="Y39" s="47"/>
      <c r="Z39" s="47"/>
      <c r="AA39" s="47"/>
      <c r="AB39" s="47"/>
      <c r="AC39" s="47"/>
      <c r="AD39" s="47"/>
      <c r="AE39" s="47"/>
      <c r="AF39" s="47"/>
      <c r="AG39" s="47"/>
      <c r="AH39" s="47"/>
      <c r="AI39" s="46"/>
      <c r="AJ39" s="46"/>
      <c r="AK39" s="46"/>
      <c r="AL39" s="7"/>
      <c r="AM39" s="49" t="str">
        <f aca="false">IF(OR(C39="",G39=""),"",IFERROR(DATEDIF(C39,G39,"m"),""))</f>
        <v/>
      </c>
      <c r="AN39" s="49" t="str">
        <f aca="false">IF(OR(Q39="",AM39=""),"",60+2*Q39-AM39)</f>
        <v/>
      </c>
      <c r="AO39" s="49" t="str">
        <f aca="false">IF(OR(G39="",AJ39=""),"",AJ39-G39)</f>
        <v/>
      </c>
      <c r="AP39" s="50" t="str">
        <f aca="false">IF(AND(A39="",B39=""),"",IF(J39="","Status needed",IF(OR(J39="Applied",J39="Visit booked",J39="Withdrawn"),"OK",IF(G39="","Date assessed needed",IF(C39="","Date of birth needed",IF(COUNTA(L39,M39,P39,U39,V39,X39,AB39)&lt;7,"Band missing",IF(AND(OR(J39="Decision confirmed",J39="Family told",J39="Enrolled"),AG39=""),"Recommendation needed",IF(AND(OR(J39="Family told",J39="Enrolled"),AJ39=""),"Date family told needed","OK"))))))))</f>
        <v/>
      </c>
    </row>
    <row r="40" customFormat="false" ht="15" hidden="false" customHeight="false" outlineLevel="0" collapsed="false">
      <c r="A40" s="7"/>
      <c r="B40" s="7"/>
      <c r="C40" s="46"/>
      <c r="D40" s="7"/>
      <c r="E40" s="47"/>
      <c r="F40" s="46"/>
      <c r="G40" s="46"/>
      <c r="H40" s="7"/>
      <c r="I40" s="7"/>
      <c r="J40" s="47"/>
      <c r="K40" s="47"/>
      <c r="L40" s="47"/>
      <c r="M40" s="47"/>
      <c r="N40" s="10"/>
      <c r="O40" s="47"/>
      <c r="P40" s="47"/>
      <c r="Q40" s="47"/>
      <c r="R40" s="48" t="str">
        <f aca="false">IF(Q40="","",IF(Q40=0,"below 5:00",IF(Q40&gt;=66,"16:00 or above",INT((60+2*Q40)/12)&amp;":"&amp;TEXT(MOD(60+2*Q40,12),"00"))))</f>
        <v/>
      </c>
      <c r="S40" s="47"/>
      <c r="T40" s="47"/>
      <c r="U40" s="47"/>
      <c r="V40" s="47"/>
      <c r="W40" s="47"/>
      <c r="X40" s="47"/>
      <c r="Y40" s="47"/>
      <c r="Z40" s="47"/>
      <c r="AA40" s="47"/>
      <c r="AB40" s="47"/>
      <c r="AC40" s="47"/>
      <c r="AD40" s="47"/>
      <c r="AE40" s="47"/>
      <c r="AF40" s="47"/>
      <c r="AG40" s="47"/>
      <c r="AH40" s="47"/>
      <c r="AI40" s="46"/>
      <c r="AJ40" s="46"/>
      <c r="AK40" s="46"/>
      <c r="AL40" s="7"/>
      <c r="AM40" s="49" t="str">
        <f aca="false">IF(OR(C40="",G40=""),"",IFERROR(DATEDIF(C40,G40,"m"),""))</f>
        <v/>
      </c>
      <c r="AN40" s="49" t="str">
        <f aca="false">IF(OR(Q40="",AM40=""),"",60+2*Q40-AM40)</f>
        <v/>
      </c>
      <c r="AO40" s="49" t="str">
        <f aca="false">IF(OR(G40="",AJ40=""),"",AJ40-G40)</f>
        <v/>
      </c>
      <c r="AP40" s="50" t="str">
        <f aca="false">IF(AND(A40="",B40=""),"",IF(J40="","Status needed",IF(OR(J40="Applied",J40="Visit booked",J40="Withdrawn"),"OK",IF(G40="","Date assessed needed",IF(C40="","Date of birth needed",IF(COUNTA(L40,M40,P40,U40,V40,X40,AB40)&lt;7,"Band missing",IF(AND(OR(J40="Decision confirmed",J40="Family told",J40="Enrolled"),AG40=""),"Recommendation needed",IF(AND(OR(J40="Family told",J40="Enrolled"),AJ40=""),"Date family told needed","OK"))))))))</f>
        <v/>
      </c>
    </row>
    <row r="41" customFormat="false" ht="15" hidden="false" customHeight="false" outlineLevel="0" collapsed="false">
      <c r="A41" s="7"/>
      <c r="B41" s="7"/>
      <c r="C41" s="46"/>
      <c r="D41" s="7"/>
      <c r="E41" s="47"/>
      <c r="F41" s="46"/>
      <c r="G41" s="46"/>
      <c r="H41" s="7"/>
      <c r="I41" s="7"/>
      <c r="J41" s="47"/>
      <c r="K41" s="47"/>
      <c r="L41" s="47"/>
      <c r="M41" s="47"/>
      <c r="N41" s="10"/>
      <c r="O41" s="47"/>
      <c r="P41" s="47"/>
      <c r="Q41" s="47"/>
      <c r="R41" s="48" t="str">
        <f aca="false">IF(Q41="","",IF(Q41=0,"below 5:00",IF(Q41&gt;=66,"16:00 or above",INT((60+2*Q41)/12)&amp;":"&amp;TEXT(MOD(60+2*Q41,12),"00"))))</f>
        <v/>
      </c>
      <c r="S41" s="47"/>
      <c r="T41" s="47"/>
      <c r="U41" s="47"/>
      <c r="V41" s="47"/>
      <c r="W41" s="47"/>
      <c r="X41" s="47"/>
      <c r="Y41" s="47"/>
      <c r="Z41" s="47"/>
      <c r="AA41" s="47"/>
      <c r="AB41" s="47"/>
      <c r="AC41" s="47"/>
      <c r="AD41" s="47"/>
      <c r="AE41" s="47"/>
      <c r="AF41" s="47"/>
      <c r="AG41" s="47"/>
      <c r="AH41" s="47"/>
      <c r="AI41" s="46"/>
      <c r="AJ41" s="46"/>
      <c r="AK41" s="46"/>
      <c r="AL41" s="7"/>
      <c r="AM41" s="49" t="str">
        <f aca="false">IF(OR(C41="",G41=""),"",IFERROR(DATEDIF(C41,G41,"m"),""))</f>
        <v/>
      </c>
      <c r="AN41" s="49" t="str">
        <f aca="false">IF(OR(Q41="",AM41=""),"",60+2*Q41-AM41)</f>
        <v/>
      </c>
      <c r="AO41" s="49" t="str">
        <f aca="false">IF(OR(G41="",AJ41=""),"",AJ41-G41)</f>
        <v/>
      </c>
      <c r="AP41" s="50" t="str">
        <f aca="false">IF(AND(A41="",B41=""),"",IF(J41="","Status needed",IF(OR(J41="Applied",J41="Visit booked",J41="Withdrawn"),"OK",IF(G41="","Date assessed needed",IF(C41="","Date of birth needed",IF(COUNTA(L41,M41,P41,U41,V41,X41,AB41)&lt;7,"Band missing",IF(AND(OR(J41="Decision confirmed",J41="Family told",J41="Enrolled"),AG41=""),"Recommendation needed",IF(AND(OR(J41="Family told",J41="Enrolled"),AJ41=""),"Date family told needed","OK"))))))))</f>
        <v/>
      </c>
    </row>
    <row r="42" customFormat="false" ht="15" hidden="false" customHeight="false" outlineLevel="0" collapsed="false">
      <c r="A42" s="7"/>
      <c r="B42" s="7"/>
      <c r="C42" s="46"/>
      <c r="D42" s="7"/>
      <c r="E42" s="47"/>
      <c r="F42" s="46"/>
      <c r="G42" s="46"/>
      <c r="H42" s="7"/>
      <c r="I42" s="7"/>
      <c r="J42" s="47"/>
      <c r="K42" s="47"/>
      <c r="L42" s="47"/>
      <c r="M42" s="47"/>
      <c r="N42" s="10"/>
      <c r="O42" s="47"/>
      <c r="P42" s="47"/>
      <c r="Q42" s="47"/>
      <c r="R42" s="48" t="str">
        <f aca="false">IF(Q42="","",IF(Q42=0,"below 5:00",IF(Q42&gt;=66,"16:00 or above",INT((60+2*Q42)/12)&amp;":"&amp;TEXT(MOD(60+2*Q42,12),"00"))))</f>
        <v/>
      </c>
      <c r="S42" s="47"/>
      <c r="T42" s="47"/>
      <c r="U42" s="47"/>
      <c r="V42" s="47"/>
      <c r="W42" s="47"/>
      <c r="X42" s="47"/>
      <c r="Y42" s="47"/>
      <c r="Z42" s="47"/>
      <c r="AA42" s="47"/>
      <c r="AB42" s="47"/>
      <c r="AC42" s="47"/>
      <c r="AD42" s="47"/>
      <c r="AE42" s="47"/>
      <c r="AF42" s="47"/>
      <c r="AG42" s="47"/>
      <c r="AH42" s="47"/>
      <c r="AI42" s="46"/>
      <c r="AJ42" s="46"/>
      <c r="AK42" s="46"/>
      <c r="AL42" s="7"/>
      <c r="AM42" s="49" t="str">
        <f aca="false">IF(OR(C42="",G42=""),"",IFERROR(DATEDIF(C42,G42,"m"),""))</f>
        <v/>
      </c>
      <c r="AN42" s="49" t="str">
        <f aca="false">IF(OR(Q42="",AM42=""),"",60+2*Q42-AM42)</f>
        <v/>
      </c>
      <c r="AO42" s="49" t="str">
        <f aca="false">IF(OR(G42="",AJ42=""),"",AJ42-G42)</f>
        <v/>
      </c>
      <c r="AP42" s="50" t="str">
        <f aca="false">IF(AND(A42="",B42=""),"",IF(J42="","Status needed",IF(OR(J42="Applied",J42="Visit booked",J42="Withdrawn"),"OK",IF(G42="","Date assessed needed",IF(C42="","Date of birth needed",IF(COUNTA(L42,M42,P42,U42,V42,X42,AB42)&lt;7,"Band missing",IF(AND(OR(J42="Decision confirmed",J42="Family told",J42="Enrolled"),AG42=""),"Recommendation needed",IF(AND(OR(J42="Family told",J42="Enrolled"),AJ42=""),"Date family told needed","OK"))))))))</f>
        <v/>
      </c>
    </row>
    <row r="43" customFormat="false" ht="15" hidden="false" customHeight="false" outlineLevel="0" collapsed="false">
      <c r="A43" s="7"/>
      <c r="B43" s="7"/>
      <c r="C43" s="46"/>
      <c r="D43" s="7"/>
      <c r="E43" s="47"/>
      <c r="F43" s="46"/>
      <c r="G43" s="46"/>
      <c r="H43" s="7"/>
      <c r="I43" s="7"/>
      <c r="J43" s="47"/>
      <c r="K43" s="47"/>
      <c r="L43" s="47"/>
      <c r="M43" s="47"/>
      <c r="N43" s="10"/>
      <c r="O43" s="47"/>
      <c r="P43" s="47"/>
      <c r="Q43" s="47"/>
      <c r="R43" s="48" t="str">
        <f aca="false">IF(Q43="","",IF(Q43=0,"below 5:00",IF(Q43&gt;=66,"16:00 or above",INT((60+2*Q43)/12)&amp;":"&amp;TEXT(MOD(60+2*Q43,12),"00"))))</f>
        <v/>
      </c>
      <c r="S43" s="47"/>
      <c r="T43" s="47"/>
      <c r="U43" s="47"/>
      <c r="V43" s="47"/>
      <c r="W43" s="47"/>
      <c r="X43" s="47"/>
      <c r="Y43" s="47"/>
      <c r="Z43" s="47"/>
      <c r="AA43" s="47"/>
      <c r="AB43" s="47"/>
      <c r="AC43" s="47"/>
      <c r="AD43" s="47"/>
      <c r="AE43" s="47"/>
      <c r="AF43" s="47"/>
      <c r="AG43" s="47"/>
      <c r="AH43" s="47"/>
      <c r="AI43" s="46"/>
      <c r="AJ43" s="46"/>
      <c r="AK43" s="46"/>
      <c r="AL43" s="7"/>
      <c r="AM43" s="49" t="str">
        <f aca="false">IF(OR(C43="",G43=""),"",IFERROR(DATEDIF(C43,G43,"m"),""))</f>
        <v/>
      </c>
      <c r="AN43" s="49" t="str">
        <f aca="false">IF(OR(Q43="",AM43=""),"",60+2*Q43-AM43)</f>
        <v/>
      </c>
      <c r="AO43" s="49" t="str">
        <f aca="false">IF(OR(G43="",AJ43=""),"",AJ43-G43)</f>
        <v/>
      </c>
      <c r="AP43" s="50" t="str">
        <f aca="false">IF(AND(A43="",B43=""),"",IF(J43="","Status needed",IF(OR(J43="Applied",J43="Visit booked",J43="Withdrawn"),"OK",IF(G43="","Date assessed needed",IF(C43="","Date of birth needed",IF(COUNTA(L43,M43,P43,U43,V43,X43,AB43)&lt;7,"Band missing",IF(AND(OR(J43="Decision confirmed",J43="Family told",J43="Enrolled"),AG43=""),"Recommendation needed",IF(AND(OR(J43="Family told",J43="Enrolled"),AJ43=""),"Date family told needed","OK"))))))))</f>
        <v/>
      </c>
    </row>
    <row r="44" customFormat="false" ht="15" hidden="false" customHeight="false" outlineLevel="0" collapsed="false">
      <c r="A44" s="7"/>
      <c r="B44" s="7"/>
      <c r="C44" s="46"/>
      <c r="D44" s="7"/>
      <c r="E44" s="47"/>
      <c r="F44" s="46"/>
      <c r="G44" s="46"/>
      <c r="H44" s="7"/>
      <c r="I44" s="7"/>
      <c r="J44" s="47"/>
      <c r="K44" s="47"/>
      <c r="L44" s="47"/>
      <c r="M44" s="47"/>
      <c r="N44" s="10"/>
      <c r="O44" s="47"/>
      <c r="P44" s="47"/>
      <c r="Q44" s="47"/>
      <c r="R44" s="48" t="str">
        <f aca="false">IF(Q44="","",IF(Q44=0,"below 5:00",IF(Q44&gt;=66,"16:00 or above",INT((60+2*Q44)/12)&amp;":"&amp;TEXT(MOD(60+2*Q44,12),"00"))))</f>
        <v/>
      </c>
      <c r="S44" s="47"/>
      <c r="T44" s="47"/>
      <c r="U44" s="47"/>
      <c r="V44" s="47"/>
      <c r="W44" s="47"/>
      <c r="X44" s="47"/>
      <c r="Y44" s="47"/>
      <c r="Z44" s="47"/>
      <c r="AA44" s="47"/>
      <c r="AB44" s="47"/>
      <c r="AC44" s="47"/>
      <c r="AD44" s="47"/>
      <c r="AE44" s="47"/>
      <c r="AF44" s="47"/>
      <c r="AG44" s="47"/>
      <c r="AH44" s="47"/>
      <c r="AI44" s="46"/>
      <c r="AJ44" s="46"/>
      <c r="AK44" s="46"/>
      <c r="AL44" s="7"/>
      <c r="AM44" s="49" t="str">
        <f aca="false">IF(OR(C44="",G44=""),"",IFERROR(DATEDIF(C44,G44,"m"),""))</f>
        <v/>
      </c>
      <c r="AN44" s="49" t="str">
        <f aca="false">IF(OR(Q44="",AM44=""),"",60+2*Q44-AM44)</f>
        <v/>
      </c>
      <c r="AO44" s="49" t="str">
        <f aca="false">IF(OR(G44="",AJ44=""),"",AJ44-G44)</f>
        <v/>
      </c>
      <c r="AP44" s="50" t="str">
        <f aca="false">IF(AND(A44="",B44=""),"",IF(J44="","Status needed",IF(OR(J44="Applied",J44="Visit booked",J44="Withdrawn"),"OK",IF(G44="","Date assessed needed",IF(C44="","Date of birth needed",IF(COUNTA(L44,M44,P44,U44,V44,X44,AB44)&lt;7,"Band missing",IF(AND(OR(J44="Decision confirmed",J44="Family told",J44="Enrolled"),AG44=""),"Recommendation needed",IF(AND(OR(J44="Family told",J44="Enrolled"),AJ44=""),"Date family told needed","OK"))))))))</f>
        <v/>
      </c>
    </row>
    <row r="45" customFormat="false" ht="15" hidden="false" customHeight="false" outlineLevel="0" collapsed="false">
      <c r="A45" s="7"/>
      <c r="B45" s="7"/>
      <c r="C45" s="46"/>
      <c r="D45" s="7"/>
      <c r="E45" s="47"/>
      <c r="F45" s="46"/>
      <c r="G45" s="46"/>
      <c r="H45" s="7"/>
      <c r="I45" s="7"/>
      <c r="J45" s="47"/>
      <c r="K45" s="47"/>
      <c r="L45" s="47"/>
      <c r="M45" s="47"/>
      <c r="N45" s="10"/>
      <c r="O45" s="47"/>
      <c r="P45" s="47"/>
      <c r="Q45" s="47"/>
      <c r="R45" s="48" t="str">
        <f aca="false">IF(Q45="","",IF(Q45=0,"below 5:00",IF(Q45&gt;=66,"16:00 or above",INT((60+2*Q45)/12)&amp;":"&amp;TEXT(MOD(60+2*Q45,12),"00"))))</f>
        <v/>
      </c>
      <c r="S45" s="47"/>
      <c r="T45" s="47"/>
      <c r="U45" s="47"/>
      <c r="V45" s="47"/>
      <c r="W45" s="47"/>
      <c r="X45" s="47"/>
      <c r="Y45" s="47"/>
      <c r="Z45" s="47"/>
      <c r="AA45" s="47"/>
      <c r="AB45" s="47"/>
      <c r="AC45" s="47"/>
      <c r="AD45" s="47"/>
      <c r="AE45" s="47"/>
      <c r="AF45" s="47"/>
      <c r="AG45" s="47"/>
      <c r="AH45" s="47"/>
      <c r="AI45" s="46"/>
      <c r="AJ45" s="46"/>
      <c r="AK45" s="46"/>
      <c r="AL45" s="7"/>
      <c r="AM45" s="49" t="str">
        <f aca="false">IF(OR(C45="",G45=""),"",IFERROR(DATEDIF(C45,G45,"m"),""))</f>
        <v/>
      </c>
      <c r="AN45" s="49" t="str">
        <f aca="false">IF(OR(Q45="",AM45=""),"",60+2*Q45-AM45)</f>
        <v/>
      </c>
      <c r="AO45" s="49" t="str">
        <f aca="false">IF(OR(G45="",AJ45=""),"",AJ45-G45)</f>
        <v/>
      </c>
      <c r="AP45" s="50" t="str">
        <f aca="false">IF(AND(A45="",B45=""),"",IF(J45="","Status needed",IF(OR(J45="Applied",J45="Visit booked",J45="Withdrawn"),"OK",IF(G45="","Date assessed needed",IF(C45="","Date of birth needed",IF(COUNTA(L45,M45,P45,U45,V45,X45,AB45)&lt;7,"Band missing",IF(AND(OR(J45="Decision confirmed",J45="Family told",J45="Enrolled"),AG45=""),"Recommendation needed",IF(AND(OR(J45="Family told",J45="Enrolled"),AJ45=""),"Date family told needed","OK"))))))))</f>
        <v/>
      </c>
    </row>
    <row r="46" customFormat="false" ht="15" hidden="false" customHeight="false" outlineLevel="0" collapsed="false">
      <c r="A46" s="7"/>
      <c r="B46" s="7"/>
      <c r="C46" s="46"/>
      <c r="D46" s="7"/>
      <c r="E46" s="47"/>
      <c r="F46" s="46"/>
      <c r="G46" s="46"/>
      <c r="H46" s="7"/>
      <c r="I46" s="7"/>
      <c r="J46" s="47"/>
      <c r="K46" s="47"/>
      <c r="L46" s="47"/>
      <c r="M46" s="47"/>
      <c r="N46" s="10"/>
      <c r="O46" s="47"/>
      <c r="P46" s="47"/>
      <c r="Q46" s="47"/>
      <c r="R46" s="48" t="str">
        <f aca="false">IF(Q46="","",IF(Q46=0,"below 5:00",IF(Q46&gt;=66,"16:00 or above",INT((60+2*Q46)/12)&amp;":"&amp;TEXT(MOD(60+2*Q46,12),"00"))))</f>
        <v/>
      </c>
      <c r="S46" s="47"/>
      <c r="T46" s="47"/>
      <c r="U46" s="47"/>
      <c r="V46" s="47"/>
      <c r="W46" s="47"/>
      <c r="X46" s="47"/>
      <c r="Y46" s="47"/>
      <c r="Z46" s="47"/>
      <c r="AA46" s="47"/>
      <c r="AB46" s="47"/>
      <c r="AC46" s="47"/>
      <c r="AD46" s="47"/>
      <c r="AE46" s="47"/>
      <c r="AF46" s="47"/>
      <c r="AG46" s="47"/>
      <c r="AH46" s="47"/>
      <c r="AI46" s="46"/>
      <c r="AJ46" s="46"/>
      <c r="AK46" s="46"/>
      <c r="AL46" s="7"/>
      <c r="AM46" s="49" t="str">
        <f aca="false">IF(OR(C46="",G46=""),"",IFERROR(DATEDIF(C46,G46,"m"),""))</f>
        <v/>
      </c>
      <c r="AN46" s="49" t="str">
        <f aca="false">IF(OR(Q46="",AM46=""),"",60+2*Q46-AM46)</f>
        <v/>
      </c>
      <c r="AO46" s="49" t="str">
        <f aca="false">IF(OR(G46="",AJ46=""),"",AJ46-G46)</f>
        <v/>
      </c>
      <c r="AP46" s="50" t="str">
        <f aca="false">IF(AND(A46="",B46=""),"",IF(J46="","Status needed",IF(OR(J46="Applied",J46="Visit booked",J46="Withdrawn"),"OK",IF(G46="","Date assessed needed",IF(C46="","Date of birth needed",IF(COUNTA(L46,M46,P46,U46,V46,X46,AB46)&lt;7,"Band missing",IF(AND(OR(J46="Decision confirmed",J46="Family told",J46="Enrolled"),AG46=""),"Recommendation needed",IF(AND(OR(J46="Family told",J46="Enrolled"),AJ46=""),"Date family told needed","OK"))))))))</f>
        <v/>
      </c>
    </row>
    <row r="47" customFormat="false" ht="15" hidden="false" customHeight="false" outlineLevel="0" collapsed="false">
      <c r="A47" s="7"/>
      <c r="B47" s="7"/>
      <c r="C47" s="46"/>
      <c r="D47" s="7"/>
      <c r="E47" s="47"/>
      <c r="F47" s="46"/>
      <c r="G47" s="46"/>
      <c r="H47" s="7"/>
      <c r="I47" s="7"/>
      <c r="J47" s="47"/>
      <c r="K47" s="47"/>
      <c r="L47" s="47"/>
      <c r="M47" s="47"/>
      <c r="N47" s="10"/>
      <c r="O47" s="47"/>
      <c r="P47" s="47"/>
      <c r="Q47" s="47"/>
      <c r="R47" s="48" t="str">
        <f aca="false">IF(Q47="","",IF(Q47=0,"below 5:00",IF(Q47&gt;=66,"16:00 or above",INT((60+2*Q47)/12)&amp;":"&amp;TEXT(MOD(60+2*Q47,12),"00"))))</f>
        <v/>
      </c>
      <c r="S47" s="47"/>
      <c r="T47" s="47"/>
      <c r="U47" s="47"/>
      <c r="V47" s="47"/>
      <c r="W47" s="47"/>
      <c r="X47" s="47"/>
      <c r="Y47" s="47"/>
      <c r="Z47" s="47"/>
      <c r="AA47" s="47"/>
      <c r="AB47" s="47"/>
      <c r="AC47" s="47"/>
      <c r="AD47" s="47"/>
      <c r="AE47" s="47"/>
      <c r="AF47" s="47"/>
      <c r="AG47" s="47"/>
      <c r="AH47" s="47"/>
      <c r="AI47" s="46"/>
      <c r="AJ47" s="46"/>
      <c r="AK47" s="46"/>
      <c r="AL47" s="7"/>
      <c r="AM47" s="49" t="str">
        <f aca="false">IF(OR(C47="",G47=""),"",IFERROR(DATEDIF(C47,G47,"m"),""))</f>
        <v/>
      </c>
      <c r="AN47" s="49" t="str">
        <f aca="false">IF(OR(Q47="",AM47=""),"",60+2*Q47-AM47)</f>
        <v/>
      </c>
      <c r="AO47" s="49" t="str">
        <f aca="false">IF(OR(G47="",AJ47=""),"",AJ47-G47)</f>
        <v/>
      </c>
      <c r="AP47" s="50" t="str">
        <f aca="false">IF(AND(A47="",B47=""),"",IF(J47="","Status needed",IF(OR(J47="Applied",J47="Visit booked",J47="Withdrawn"),"OK",IF(G47="","Date assessed needed",IF(C47="","Date of birth needed",IF(COUNTA(L47,M47,P47,U47,V47,X47,AB47)&lt;7,"Band missing",IF(AND(OR(J47="Decision confirmed",J47="Family told",J47="Enrolled"),AG47=""),"Recommendation needed",IF(AND(OR(J47="Family told",J47="Enrolled"),AJ47=""),"Date family told needed","OK"))))))))</f>
        <v/>
      </c>
    </row>
    <row r="48" customFormat="false" ht="15" hidden="false" customHeight="false" outlineLevel="0" collapsed="false">
      <c r="A48" s="7"/>
      <c r="B48" s="7"/>
      <c r="C48" s="46"/>
      <c r="D48" s="7"/>
      <c r="E48" s="47"/>
      <c r="F48" s="46"/>
      <c r="G48" s="46"/>
      <c r="H48" s="7"/>
      <c r="I48" s="7"/>
      <c r="J48" s="47"/>
      <c r="K48" s="47"/>
      <c r="L48" s="47"/>
      <c r="M48" s="47"/>
      <c r="N48" s="10"/>
      <c r="O48" s="47"/>
      <c r="P48" s="47"/>
      <c r="Q48" s="47"/>
      <c r="R48" s="48" t="str">
        <f aca="false">IF(Q48="","",IF(Q48=0,"below 5:00",IF(Q48&gt;=66,"16:00 or above",INT((60+2*Q48)/12)&amp;":"&amp;TEXT(MOD(60+2*Q48,12),"00"))))</f>
        <v/>
      </c>
      <c r="S48" s="47"/>
      <c r="T48" s="47"/>
      <c r="U48" s="47"/>
      <c r="V48" s="47"/>
      <c r="W48" s="47"/>
      <c r="X48" s="47"/>
      <c r="Y48" s="47"/>
      <c r="Z48" s="47"/>
      <c r="AA48" s="47"/>
      <c r="AB48" s="47"/>
      <c r="AC48" s="47"/>
      <c r="AD48" s="47"/>
      <c r="AE48" s="47"/>
      <c r="AF48" s="47"/>
      <c r="AG48" s="47"/>
      <c r="AH48" s="47"/>
      <c r="AI48" s="46"/>
      <c r="AJ48" s="46"/>
      <c r="AK48" s="46"/>
      <c r="AL48" s="7"/>
      <c r="AM48" s="49" t="str">
        <f aca="false">IF(OR(C48="",G48=""),"",IFERROR(DATEDIF(C48,G48,"m"),""))</f>
        <v/>
      </c>
      <c r="AN48" s="49" t="str">
        <f aca="false">IF(OR(Q48="",AM48=""),"",60+2*Q48-AM48)</f>
        <v/>
      </c>
      <c r="AO48" s="49" t="str">
        <f aca="false">IF(OR(G48="",AJ48=""),"",AJ48-G48)</f>
        <v/>
      </c>
      <c r="AP48" s="50" t="str">
        <f aca="false">IF(AND(A48="",B48=""),"",IF(J48="","Status needed",IF(OR(J48="Applied",J48="Visit booked",J48="Withdrawn"),"OK",IF(G48="","Date assessed needed",IF(C48="","Date of birth needed",IF(COUNTA(L48,M48,P48,U48,V48,X48,AB48)&lt;7,"Band missing",IF(AND(OR(J48="Decision confirmed",J48="Family told",J48="Enrolled"),AG48=""),"Recommendation needed",IF(AND(OR(J48="Family told",J48="Enrolled"),AJ48=""),"Date family told needed","OK"))))))))</f>
        <v/>
      </c>
    </row>
    <row r="49" customFormat="false" ht="15" hidden="false" customHeight="false" outlineLevel="0" collapsed="false">
      <c r="A49" s="7"/>
      <c r="B49" s="7"/>
      <c r="C49" s="46"/>
      <c r="D49" s="7"/>
      <c r="E49" s="47"/>
      <c r="F49" s="46"/>
      <c r="G49" s="46"/>
      <c r="H49" s="7"/>
      <c r="I49" s="7"/>
      <c r="J49" s="47"/>
      <c r="K49" s="47"/>
      <c r="L49" s="47"/>
      <c r="M49" s="47"/>
      <c r="N49" s="10"/>
      <c r="O49" s="47"/>
      <c r="P49" s="47"/>
      <c r="Q49" s="47"/>
      <c r="R49" s="48" t="str">
        <f aca="false">IF(Q49="","",IF(Q49=0,"below 5:00",IF(Q49&gt;=66,"16:00 or above",INT((60+2*Q49)/12)&amp;":"&amp;TEXT(MOD(60+2*Q49,12),"00"))))</f>
        <v/>
      </c>
      <c r="S49" s="47"/>
      <c r="T49" s="47"/>
      <c r="U49" s="47"/>
      <c r="V49" s="47"/>
      <c r="W49" s="47"/>
      <c r="X49" s="47"/>
      <c r="Y49" s="47"/>
      <c r="Z49" s="47"/>
      <c r="AA49" s="47"/>
      <c r="AB49" s="47"/>
      <c r="AC49" s="47"/>
      <c r="AD49" s="47"/>
      <c r="AE49" s="47"/>
      <c r="AF49" s="47"/>
      <c r="AG49" s="47"/>
      <c r="AH49" s="47"/>
      <c r="AI49" s="46"/>
      <c r="AJ49" s="46"/>
      <c r="AK49" s="46"/>
      <c r="AL49" s="7"/>
      <c r="AM49" s="49" t="str">
        <f aca="false">IF(OR(C49="",G49=""),"",IFERROR(DATEDIF(C49,G49,"m"),""))</f>
        <v/>
      </c>
      <c r="AN49" s="49" t="str">
        <f aca="false">IF(OR(Q49="",AM49=""),"",60+2*Q49-AM49)</f>
        <v/>
      </c>
      <c r="AO49" s="49" t="str">
        <f aca="false">IF(OR(G49="",AJ49=""),"",AJ49-G49)</f>
        <v/>
      </c>
      <c r="AP49" s="50" t="str">
        <f aca="false">IF(AND(A49="",B49=""),"",IF(J49="","Status needed",IF(OR(J49="Applied",J49="Visit booked",J49="Withdrawn"),"OK",IF(G49="","Date assessed needed",IF(C49="","Date of birth needed",IF(COUNTA(L49,M49,P49,U49,V49,X49,AB49)&lt;7,"Band missing",IF(AND(OR(J49="Decision confirmed",J49="Family told",J49="Enrolled"),AG49=""),"Recommendation needed",IF(AND(OR(J49="Family told",J49="Enrolled"),AJ49=""),"Date family told needed","OK"))))))))</f>
        <v/>
      </c>
    </row>
    <row r="50" customFormat="false" ht="15" hidden="false" customHeight="false" outlineLevel="0" collapsed="false">
      <c r="A50" s="7"/>
      <c r="B50" s="7"/>
      <c r="C50" s="46"/>
      <c r="D50" s="7"/>
      <c r="E50" s="47"/>
      <c r="F50" s="46"/>
      <c r="G50" s="46"/>
      <c r="H50" s="7"/>
      <c r="I50" s="7"/>
      <c r="J50" s="47"/>
      <c r="K50" s="47"/>
      <c r="L50" s="47"/>
      <c r="M50" s="47"/>
      <c r="N50" s="10"/>
      <c r="O50" s="47"/>
      <c r="P50" s="47"/>
      <c r="Q50" s="47"/>
      <c r="R50" s="48" t="str">
        <f aca="false">IF(Q50="","",IF(Q50=0,"below 5:00",IF(Q50&gt;=66,"16:00 or above",INT((60+2*Q50)/12)&amp;":"&amp;TEXT(MOD(60+2*Q50,12),"00"))))</f>
        <v/>
      </c>
      <c r="S50" s="47"/>
      <c r="T50" s="47"/>
      <c r="U50" s="47"/>
      <c r="V50" s="47"/>
      <c r="W50" s="47"/>
      <c r="X50" s="47"/>
      <c r="Y50" s="47"/>
      <c r="Z50" s="47"/>
      <c r="AA50" s="47"/>
      <c r="AB50" s="47"/>
      <c r="AC50" s="47"/>
      <c r="AD50" s="47"/>
      <c r="AE50" s="47"/>
      <c r="AF50" s="47"/>
      <c r="AG50" s="47"/>
      <c r="AH50" s="47"/>
      <c r="AI50" s="46"/>
      <c r="AJ50" s="46"/>
      <c r="AK50" s="46"/>
      <c r="AL50" s="7"/>
      <c r="AM50" s="49" t="str">
        <f aca="false">IF(OR(C50="",G50=""),"",IFERROR(DATEDIF(C50,G50,"m"),""))</f>
        <v/>
      </c>
      <c r="AN50" s="49" t="str">
        <f aca="false">IF(OR(Q50="",AM50=""),"",60+2*Q50-AM50)</f>
        <v/>
      </c>
      <c r="AO50" s="49" t="str">
        <f aca="false">IF(OR(G50="",AJ50=""),"",AJ50-G50)</f>
        <v/>
      </c>
      <c r="AP50" s="50" t="str">
        <f aca="false">IF(AND(A50="",B50=""),"",IF(J50="","Status needed",IF(OR(J50="Applied",J50="Visit booked",J50="Withdrawn"),"OK",IF(G50="","Date assessed needed",IF(C50="","Date of birth needed",IF(COUNTA(L50,M50,P50,U50,V50,X50,AB50)&lt;7,"Band missing",IF(AND(OR(J50="Decision confirmed",J50="Family told",J50="Enrolled"),AG50=""),"Recommendation needed",IF(AND(OR(J50="Family told",J50="Enrolled"),AJ50=""),"Date family told needed","OK"))))))))</f>
        <v/>
      </c>
    </row>
    <row r="51" customFormat="false" ht="15" hidden="false" customHeight="false" outlineLevel="0" collapsed="false">
      <c r="A51" s="7"/>
      <c r="B51" s="7"/>
      <c r="C51" s="46"/>
      <c r="D51" s="7"/>
      <c r="E51" s="47"/>
      <c r="F51" s="46"/>
      <c r="G51" s="46"/>
      <c r="H51" s="7"/>
      <c r="I51" s="7"/>
      <c r="J51" s="47"/>
      <c r="K51" s="47"/>
      <c r="L51" s="47"/>
      <c r="M51" s="47"/>
      <c r="N51" s="10"/>
      <c r="O51" s="47"/>
      <c r="P51" s="47"/>
      <c r="Q51" s="47"/>
      <c r="R51" s="48" t="str">
        <f aca="false">IF(Q51="","",IF(Q51=0,"below 5:00",IF(Q51&gt;=66,"16:00 or above",INT((60+2*Q51)/12)&amp;":"&amp;TEXT(MOD(60+2*Q51,12),"00"))))</f>
        <v/>
      </c>
      <c r="S51" s="47"/>
      <c r="T51" s="47"/>
      <c r="U51" s="47"/>
      <c r="V51" s="47"/>
      <c r="W51" s="47"/>
      <c r="X51" s="47"/>
      <c r="Y51" s="47"/>
      <c r="Z51" s="47"/>
      <c r="AA51" s="47"/>
      <c r="AB51" s="47"/>
      <c r="AC51" s="47"/>
      <c r="AD51" s="47"/>
      <c r="AE51" s="47"/>
      <c r="AF51" s="47"/>
      <c r="AG51" s="47"/>
      <c r="AH51" s="47"/>
      <c r="AI51" s="46"/>
      <c r="AJ51" s="46"/>
      <c r="AK51" s="46"/>
      <c r="AL51" s="7"/>
      <c r="AM51" s="49" t="str">
        <f aca="false">IF(OR(C51="",G51=""),"",IFERROR(DATEDIF(C51,G51,"m"),""))</f>
        <v/>
      </c>
      <c r="AN51" s="49" t="str">
        <f aca="false">IF(OR(Q51="",AM51=""),"",60+2*Q51-AM51)</f>
        <v/>
      </c>
      <c r="AO51" s="49" t="str">
        <f aca="false">IF(OR(G51="",AJ51=""),"",AJ51-G51)</f>
        <v/>
      </c>
      <c r="AP51" s="50" t="str">
        <f aca="false">IF(AND(A51="",B51=""),"",IF(J51="","Status needed",IF(OR(J51="Applied",J51="Visit booked",J51="Withdrawn"),"OK",IF(G51="","Date assessed needed",IF(C51="","Date of birth needed",IF(COUNTA(L51,M51,P51,U51,V51,X51,AB51)&lt;7,"Band missing",IF(AND(OR(J51="Decision confirmed",J51="Family told",J51="Enrolled"),AG51=""),"Recommendation needed",IF(AND(OR(J51="Family told",J51="Enrolled"),AJ51=""),"Date family told needed","OK"))))))))</f>
        <v/>
      </c>
    </row>
    <row r="52" customFormat="false" ht="15" hidden="false" customHeight="false" outlineLevel="0" collapsed="false">
      <c r="A52" s="7"/>
      <c r="B52" s="7"/>
      <c r="C52" s="46"/>
      <c r="D52" s="7"/>
      <c r="E52" s="47"/>
      <c r="F52" s="46"/>
      <c r="G52" s="46"/>
      <c r="H52" s="7"/>
      <c r="I52" s="7"/>
      <c r="J52" s="47"/>
      <c r="K52" s="47"/>
      <c r="L52" s="47"/>
      <c r="M52" s="47"/>
      <c r="N52" s="10"/>
      <c r="O52" s="47"/>
      <c r="P52" s="47"/>
      <c r="Q52" s="47"/>
      <c r="R52" s="48" t="str">
        <f aca="false">IF(Q52="","",IF(Q52=0,"below 5:00",IF(Q52&gt;=66,"16:00 or above",INT((60+2*Q52)/12)&amp;":"&amp;TEXT(MOD(60+2*Q52,12),"00"))))</f>
        <v/>
      </c>
      <c r="S52" s="47"/>
      <c r="T52" s="47"/>
      <c r="U52" s="47"/>
      <c r="V52" s="47"/>
      <c r="W52" s="47"/>
      <c r="X52" s="47"/>
      <c r="Y52" s="47"/>
      <c r="Z52" s="47"/>
      <c r="AA52" s="47"/>
      <c r="AB52" s="47"/>
      <c r="AC52" s="47"/>
      <c r="AD52" s="47"/>
      <c r="AE52" s="47"/>
      <c r="AF52" s="47"/>
      <c r="AG52" s="47"/>
      <c r="AH52" s="47"/>
      <c r="AI52" s="46"/>
      <c r="AJ52" s="46"/>
      <c r="AK52" s="46"/>
      <c r="AL52" s="7"/>
      <c r="AM52" s="49" t="str">
        <f aca="false">IF(OR(C52="",G52=""),"",IFERROR(DATEDIF(C52,G52,"m"),""))</f>
        <v/>
      </c>
      <c r="AN52" s="49" t="str">
        <f aca="false">IF(OR(Q52="",AM52=""),"",60+2*Q52-AM52)</f>
        <v/>
      </c>
      <c r="AO52" s="49" t="str">
        <f aca="false">IF(OR(G52="",AJ52=""),"",AJ52-G52)</f>
        <v/>
      </c>
      <c r="AP52" s="50" t="str">
        <f aca="false">IF(AND(A52="",B52=""),"",IF(J52="","Status needed",IF(OR(J52="Applied",J52="Visit booked",J52="Withdrawn"),"OK",IF(G52="","Date assessed needed",IF(C52="","Date of birth needed",IF(COUNTA(L52,M52,P52,U52,V52,X52,AB52)&lt;7,"Band missing",IF(AND(OR(J52="Decision confirmed",J52="Family told",J52="Enrolled"),AG52=""),"Recommendation needed",IF(AND(OR(J52="Family told",J52="Enrolled"),AJ52=""),"Date family told needed","OK"))))))))</f>
        <v/>
      </c>
    </row>
    <row r="53" customFormat="false" ht="15" hidden="false" customHeight="false" outlineLevel="0" collapsed="false">
      <c r="A53" s="7"/>
      <c r="B53" s="7"/>
      <c r="C53" s="46"/>
      <c r="D53" s="7"/>
      <c r="E53" s="47"/>
      <c r="F53" s="46"/>
      <c r="G53" s="46"/>
      <c r="H53" s="7"/>
      <c r="I53" s="7"/>
      <c r="J53" s="47"/>
      <c r="K53" s="47"/>
      <c r="L53" s="47"/>
      <c r="M53" s="47"/>
      <c r="N53" s="10"/>
      <c r="O53" s="47"/>
      <c r="P53" s="47"/>
      <c r="Q53" s="47"/>
      <c r="R53" s="48" t="str">
        <f aca="false">IF(Q53="","",IF(Q53=0,"below 5:00",IF(Q53&gt;=66,"16:00 or above",INT((60+2*Q53)/12)&amp;":"&amp;TEXT(MOD(60+2*Q53,12),"00"))))</f>
        <v/>
      </c>
      <c r="S53" s="47"/>
      <c r="T53" s="47"/>
      <c r="U53" s="47"/>
      <c r="V53" s="47"/>
      <c r="W53" s="47"/>
      <c r="X53" s="47"/>
      <c r="Y53" s="47"/>
      <c r="Z53" s="47"/>
      <c r="AA53" s="47"/>
      <c r="AB53" s="47"/>
      <c r="AC53" s="47"/>
      <c r="AD53" s="47"/>
      <c r="AE53" s="47"/>
      <c r="AF53" s="47"/>
      <c r="AG53" s="47"/>
      <c r="AH53" s="47"/>
      <c r="AI53" s="46"/>
      <c r="AJ53" s="46"/>
      <c r="AK53" s="46"/>
      <c r="AL53" s="7"/>
      <c r="AM53" s="49" t="str">
        <f aca="false">IF(OR(C53="",G53=""),"",IFERROR(DATEDIF(C53,G53,"m"),""))</f>
        <v/>
      </c>
      <c r="AN53" s="49" t="str">
        <f aca="false">IF(OR(Q53="",AM53=""),"",60+2*Q53-AM53)</f>
        <v/>
      </c>
      <c r="AO53" s="49" t="str">
        <f aca="false">IF(OR(G53="",AJ53=""),"",AJ53-G53)</f>
        <v/>
      </c>
      <c r="AP53" s="50" t="str">
        <f aca="false">IF(AND(A53="",B53=""),"",IF(J53="","Status needed",IF(OR(J53="Applied",J53="Visit booked",J53="Withdrawn"),"OK",IF(G53="","Date assessed needed",IF(C53="","Date of birth needed",IF(COUNTA(L53,M53,P53,U53,V53,X53,AB53)&lt;7,"Band missing",IF(AND(OR(J53="Decision confirmed",J53="Family told",J53="Enrolled"),AG53=""),"Recommendation needed",IF(AND(OR(J53="Family told",J53="Enrolled"),AJ53=""),"Date family told needed","OK"))))))))</f>
        <v/>
      </c>
    </row>
    <row r="54" customFormat="false" ht="15" hidden="false" customHeight="false" outlineLevel="0" collapsed="false">
      <c r="A54" s="7"/>
      <c r="B54" s="7"/>
      <c r="C54" s="46"/>
      <c r="D54" s="7"/>
      <c r="E54" s="47"/>
      <c r="F54" s="46"/>
      <c r="G54" s="46"/>
      <c r="H54" s="7"/>
      <c r="I54" s="7"/>
      <c r="J54" s="47"/>
      <c r="K54" s="47"/>
      <c r="L54" s="47"/>
      <c r="M54" s="47"/>
      <c r="N54" s="10"/>
      <c r="O54" s="47"/>
      <c r="P54" s="47"/>
      <c r="Q54" s="47"/>
      <c r="R54" s="48" t="str">
        <f aca="false">IF(Q54="","",IF(Q54=0,"below 5:00",IF(Q54&gt;=66,"16:00 or above",INT((60+2*Q54)/12)&amp;":"&amp;TEXT(MOD(60+2*Q54,12),"00"))))</f>
        <v/>
      </c>
      <c r="S54" s="47"/>
      <c r="T54" s="47"/>
      <c r="U54" s="47"/>
      <c r="V54" s="47"/>
      <c r="W54" s="47"/>
      <c r="X54" s="47"/>
      <c r="Y54" s="47"/>
      <c r="Z54" s="47"/>
      <c r="AA54" s="47"/>
      <c r="AB54" s="47"/>
      <c r="AC54" s="47"/>
      <c r="AD54" s="47"/>
      <c r="AE54" s="47"/>
      <c r="AF54" s="47"/>
      <c r="AG54" s="47"/>
      <c r="AH54" s="47"/>
      <c r="AI54" s="46"/>
      <c r="AJ54" s="46"/>
      <c r="AK54" s="46"/>
      <c r="AL54" s="7"/>
      <c r="AM54" s="49" t="str">
        <f aca="false">IF(OR(C54="",G54=""),"",IFERROR(DATEDIF(C54,G54,"m"),""))</f>
        <v/>
      </c>
      <c r="AN54" s="49" t="str">
        <f aca="false">IF(OR(Q54="",AM54=""),"",60+2*Q54-AM54)</f>
        <v/>
      </c>
      <c r="AO54" s="49" t="str">
        <f aca="false">IF(OR(G54="",AJ54=""),"",AJ54-G54)</f>
        <v/>
      </c>
      <c r="AP54" s="50" t="str">
        <f aca="false">IF(AND(A54="",B54=""),"",IF(J54="","Status needed",IF(OR(J54="Applied",J54="Visit booked",J54="Withdrawn"),"OK",IF(G54="","Date assessed needed",IF(C54="","Date of birth needed",IF(COUNTA(L54,M54,P54,U54,V54,X54,AB54)&lt;7,"Band missing",IF(AND(OR(J54="Decision confirmed",J54="Family told",J54="Enrolled"),AG54=""),"Recommendation needed",IF(AND(OR(J54="Family told",J54="Enrolled"),AJ54=""),"Date family told needed","OK"))))))))</f>
        <v/>
      </c>
    </row>
    <row r="55" customFormat="false" ht="15" hidden="false" customHeight="false" outlineLevel="0" collapsed="false">
      <c r="A55" s="7"/>
      <c r="B55" s="7"/>
      <c r="C55" s="46"/>
      <c r="D55" s="7"/>
      <c r="E55" s="47"/>
      <c r="F55" s="46"/>
      <c r="G55" s="46"/>
      <c r="H55" s="7"/>
      <c r="I55" s="7"/>
      <c r="J55" s="47"/>
      <c r="K55" s="47"/>
      <c r="L55" s="47"/>
      <c r="M55" s="47"/>
      <c r="N55" s="10"/>
      <c r="O55" s="47"/>
      <c r="P55" s="47"/>
      <c r="Q55" s="47"/>
      <c r="R55" s="48" t="str">
        <f aca="false">IF(Q55="","",IF(Q55=0,"below 5:00",IF(Q55&gt;=66,"16:00 or above",INT((60+2*Q55)/12)&amp;":"&amp;TEXT(MOD(60+2*Q55,12),"00"))))</f>
        <v/>
      </c>
      <c r="S55" s="47"/>
      <c r="T55" s="47"/>
      <c r="U55" s="47"/>
      <c r="V55" s="47"/>
      <c r="W55" s="47"/>
      <c r="X55" s="47"/>
      <c r="Y55" s="47"/>
      <c r="Z55" s="47"/>
      <c r="AA55" s="47"/>
      <c r="AB55" s="47"/>
      <c r="AC55" s="47"/>
      <c r="AD55" s="47"/>
      <c r="AE55" s="47"/>
      <c r="AF55" s="47"/>
      <c r="AG55" s="47"/>
      <c r="AH55" s="47"/>
      <c r="AI55" s="46"/>
      <c r="AJ55" s="46"/>
      <c r="AK55" s="46"/>
      <c r="AL55" s="7"/>
      <c r="AM55" s="49" t="str">
        <f aca="false">IF(OR(C55="",G55=""),"",IFERROR(DATEDIF(C55,G55,"m"),""))</f>
        <v/>
      </c>
      <c r="AN55" s="49" t="str">
        <f aca="false">IF(OR(Q55="",AM55=""),"",60+2*Q55-AM55)</f>
        <v/>
      </c>
      <c r="AO55" s="49" t="str">
        <f aca="false">IF(OR(G55="",AJ55=""),"",AJ55-G55)</f>
        <v/>
      </c>
      <c r="AP55" s="50" t="str">
        <f aca="false">IF(AND(A55="",B55=""),"",IF(J55="","Status needed",IF(OR(J55="Applied",J55="Visit booked",J55="Withdrawn"),"OK",IF(G55="","Date assessed needed",IF(C55="","Date of birth needed",IF(COUNTA(L55,M55,P55,U55,V55,X55,AB55)&lt;7,"Band missing",IF(AND(OR(J55="Decision confirmed",J55="Family told",J55="Enrolled"),AG55=""),"Recommendation needed",IF(AND(OR(J55="Family told",J55="Enrolled"),AJ55=""),"Date family told needed","OK"))))))))</f>
        <v/>
      </c>
    </row>
    <row r="56" customFormat="false" ht="15" hidden="false" customHeight="false" outlineLevel="0" collapsed="false">
      <c r="A56" s="7"/>
      <c r="B56" s="7"/>
      <c r="C56" s="46"/>
      <c r="D56" s="7"/>
      <c r="E56" s="47"/>
      <c r="F56" s="46"/>
      <c r="G56" s="46"/>
      <c r="H56" s="7"/>
      <c r="I56" s="7"/>
      <c r="J56" s="47"/>
      <c r="K56" s="47"/>
      <c r="L56" s="47"/>
      <c r="M56" s="47"/>
      <c r="N56" s="10"/>
      <c r="O56" s="47"/>
      <c r="P56" s="47"/>
      <c r="Q56" s="47"/>
      <c r="R56" s="48" t="str">
        <f aca="false">IF(Q56="","",IF(Q56=0,"below 5:00",IF(Q56&gt;=66,"16:00 or above",INT((60+2*Q56)/12)&amp;":"&amp;TEXT(MOD(60+2*Q56,12),"00"))))</f>
        <v/>
      </c>
      <c r="S56" s="47"/>
      <c r="T56" s="47"/>
      <c r="U56" s="47"/>
      <c r="V56" s="47"/>
      <c r="W56" s="47"/>
      <c r="X56" s="47"/>
      <c r="Y56" s="47"/>
      <c r="Z56" s="47"/>
      <c r="AA56" s="47"/>
      <c r="AB56" s="47"/>
      <c r="AC56" s="47"/>
      <c r="AD56" s="47"/>
      <c r="AE56" s="47"/>
      <c r="AF56" s="47"/>
      <c r="AG56" s="47"/>
      <c r="AH56" s="47"/>
      <c r="AI56" s="46"/>
      <c r="AJ56" s="46"/>
      <c r="AK56" s="46"/>
      <c r="AL56" s="7"/>
      <c r="AM56" s="49" t="str">
        <f aca="false">IF(OR(C56="",G56=""),"",IFERROR(DATEDIF(C56,G56,"m"),""))</f>
        <v/>
      </c>
      <c r="AN56" s="49" t="str">
        <f aca="false">IF(OR(Q56="",AM56=""),"",60+2*Q56-AM56)</f>
        <v/>
      </c>
      <c r="AO56" s="49" t="str">
        <f aca="false">IF(OR(G56="",AJ56=""),"",AJ56-G56)</f>
        <v/>
      </c>
      <c r="AP56" s="50" t="str">
        <f aca="false">IF(AND(A56="",B56=""),"",IF(J56="","Status needed",IF(OR(J56="Applied",J56="Visit booked",J56="Withdrawn"),"OK",IF(G56="","Date assessed needed",IF(C56="","Date of birth needed",IF(COUNTA(L56,M56,P56,U56,V56,X56,AB56)&lt;7,"Band missing",IF(AND(OR(J56="Decision confirmed",J56="Family told",J56="Enrolled"),AG56=""),"Recommendation needed",IF(AND(OR(J56="Family told",J56="Enrolled"),AJ56=""),"Date family told needed","OK"))))))))</f>
        <v/>
      </c>
    </row>
    <row r="57" customFormat="false" ht="15" hidden="false" customHeight="false" outlineLevel="0" collapsed="false">
      <c r="A57" s="7"/>
      <c r="B57" s="7"/>
      <c r="C57" s="46"/>
      <c r="D57" s="7"/>
      <c r="E57" s="47"/>
      <c r="F57" s="46"/>
      <c r="G57" s="46"/>
      <c r="H57" s="7"/>
      <c r="I57" s="7"/>
      <c r="J57" s="47"/>
      <c r="K57" s="47"/>
      <c r="L57" s="47"/>
      <c r="M57" s="47"/>
      <c r="N57" s="10"/>
      <c r="O57" s="47"/>
      <c r="P57" s="47"/>
      <c r="Q57" s="47"/>
      <c r="R57" s="48" t="str">
        <f aca="false">IF(Q57="","",IF(Q57=0,"below 5:00",IF(Q57&gt;=66,"16:00 or above",INT((60+2*Q57)/12)&amp;":"&amp;TEXT(MOD(60+2*Q57,12),"00"))))</f>
        <v/>
      </c>
      <c r="S57" s="47"/>
      <c r="T57" s="47"/>
      <c r="U57" s="47"/>
      <c r="V57" s="47"/>
      <c r="W57" s="47"/>
      <c r="X57" s="47"/>
      <c r="Y57" s="47"/>
      <c r="Z57" s="47"/>
      <c r="AA57" s="47"/>
      <c r="AB57" s="47"/>
      <c r="AC57" s="47"/>
      <c r="AD57" s="47"/>
      <c r="AE57" s="47"/>
      <c r="AF57" s="47"/>
      <c r="AG57" s="47"/>
      <c r="AH57" s="47"/>
      <c r="AI57" s="46"/>
      <c r="AJ57" s="46"/>
      <c r="AK57" s="46"/>
      <c r="AL57" s="7"/>
      <c r="AM57" s="49" t="str">
        <f aca="false">IF(OR(C57="",G57=""),"",IFERROR(DATEDIF(C57,G57,"m"),""))</f>
        <v/>
      </c>
      <c r="AN57" s="49" t="str">
        <f aca="false">IF(OR(Q57="",AM57=""),"",60+2*Q57-AM57)</f>
        <v/>
      </c>
      <c r="AO57" s="49" t="str">
        <f aca="false">IF(OR(G57="",AJ57=""),"",AJ57-G57)</f>
        <v/>
      </c>
      <c r="AP57" s="50" t="str">
        <f aca="false">IF(AND(A57="",B57=""),"",IF(J57="","Status needed",IF(OR(J57="Applied",J57="Visit booked",J57="Withdrawn"),"OK",IF(G57="","Date assessed needed",IF(C57="","Date of birth needed",IF(COUNTA(L57,M57,P57,U57,V57,X57,AB57)&lt;7,"Band missing",IF(AND(OR(J57="Decision confirmed",J57="Family told",J57="Enrolled"),AG57=""),"Recommendation needed",IF(AND(OR(J57="Family told",J57="Enrolled"),AJ57=""),"Date family told needed","OK"))))))))</f>
        <v/>
      </c>
    </row>
    <row r="58" customFormat="false" ht="15" hidden="false" customHeight="false" outlineLevel="0" collapsed="false">
      <c r="A58" s="7"/>
      <c r="B58" s="7"/>
      <c r="C58" s="46"/>
      <c r="D58" s="7"/>
      <c r="E58" s="47"/>
      <c r="F58" s="46"/>
      <c r="G58" s="46"/>
      <c r="H58" s="7"/>
      <c r="I58" s="7"/>
      <c r="J58" s="47"/>
      <c r="K58" s="47"/>
      <c r="L58" s="47"/>
      <c r="M58" s="47"/>
      <c r="N58" s="10"/>
      <c r="O58" s="47"/>
      <c r="P58" s="47"/>
      <c r="Q58" s="47"/>
      <c r="R58" s="48" t="str">
        <f aca="false">IF(Q58="","",IF(Q58=0,"below 5:00",IF(Q58&gt;=66,"16:00 or above",INT((60+2*Q58)/12)&amp;":"&amp;TEXT(MOD(60+2*Q58,12),"00"))))</f>
        <v/>
      </c>
      <c r="S58" s="47"/>
      <c r="T58" s="47"/>
      <c r="U58" s="47"/>
      <c r="V58" s="47"/>
      <c r="W58" s="47"/>
      <c r="X58" s="47"/>
      <c r="Y58" s="47"/>
      <c r="Z58" s="47"/>
      <c r="AA58" s="47"/>
      <c r="AB58" s="47"/>
      <c r="AC58" s="47"/>
      <c r="AD58" s="47"/>
      <c r="AE58" s="47"/>
      <c r="AF58" s="47"/>
      <c r="AG58" s="47"/>
      <c r="AH58" s="47"/>
      <c r="AI58" s="46"/>
      <c r="AJ58" s="46"/>
      <c r="AK58" s="46"/>
      <c r="AL58" s="7"/>
      <c r="AM58" s="49" t="str">
        <f aca="false">IF(OR(C58="",G58=""),"",IFERROR(DATEDIF(C58,G58,"m"),""))</f>
        <v/>
      </c>
      <c r="AN58" s="49" t="str">
        <f aca="false">IF(OR(Q58="",AM58=""),"",60+2*Q58-AM58)</f>
        <v/>
      </c>
      <c r="AO58" s="49" t="str">
        <f aca="false">IF(OR(G58="",AJ58=""),"",AJ58-G58)</f>
        <v/>
      </c>
      <c r="AP58" s="50" t="str">
        <f aca="false">IF(AND(A58="",B58=""),"",IF(J58="","Status needed",IF(OR(J58="Applied",J58="Visit booked",J58="Withdrawn"),"OK",IF(G58="","Date assessed needed",IF(C58="","Date of birth needed",IF(COUNTA(L58,M58,P58,U58,V58,X58,AB58)&lt;7,"Band missing",IF(AND(OR(J58="Decision confirmed",J58="Family told",J58="Enrolled"),AG58=""),"Recommendation needed",IF(AND(OR(J58="Family told",J58="Enrolled"),AJ58=""),"Date family told needed","OK"))))))))</f>
        <v/>
      </c>
    </row>
    <row r="59" customFormat="false" ht="15" hidden="false" customHeight="false" outlineLevel="0" collapsed="false">
      <c r="A59" s="7"/>
      <c r="B59" s="7"/>
      <c r="C59" s="46"/>
      <c r="D59" s="7"/>
      <c r="E59" s="47"/>
      <c r="F59" s="46"/>
      <c r="G59" s="46"/>
      <c r="H59" s="7"/>
      <c r="I59" s="7"/>
      <c r="J59" s="47"/>
      <c r="K59" s="47"/>
      <c r="L59" s="47"/>
      <c r="M59" s="47"/>
      <c r="N59" s="10"/>
      <c r="O59" s="47"/>
      <c r="P59" s="47"/>
      <c r="Q59" s="47"/>
      <c r="R59" s="48" t="str">
        <f aca="false">IF(Q59="","",IF(Q59=0,"below 5:00",IF(Q59&gt;=66,"16:00 or above",INT((60+2*Q59)/12)&amp;":"&amp;TEXT(MOD(60+2*Q59,12),"00"))))</f>
        <v/>
      </c>
      <c r="S59" s="47"/>
      <c r="T59" s="47"/>
      <c r="U59" s="47"/>
      <c r="V59" s="47"/>
      <c r="W59" s="47"/>
      <c r="X59" s="47"/>
      <c r="Y59" s="47"/>
      <c r="Z59" s="47"/>
      <c r="AA59" s="47"/>
      <c r="AB59" s="47"/>
      <c r="AC59" s="47"/>
      <c r="AD59" s="47"/>
      <c r="AE59" s="47"/>
      <c r="AF59" s="47"/>
      <c r="AG59" s="47"/>
      <c r="AH59" s="47"/>
      <c r="AI59" s="46"/>
      <c r="AJ59" s="46"/>
      <c r="AK59" s="46"/>
      <c r="AL59" s="7"/>
      <c r="AM59" s="49" t="str">
        <f aca="false">IF(OR(C59="",G59=""),"",IFERROR(DATEDIF(C59,G59,"m"),""))</f>
        <v/>
      </c>
      <c r="AN59" s="49" t="str">
        <f aca="false">IF(OR(Q59="",AM59=""),"",60+2*Q59-AM59)</f>
        <v/>
      </c>
      <c r="AO59" s="49" t="str">
        <f aca="false">IF(OR(G59="",AJ59=""),"",AJ59-G59)</f>
        <v/>
      </c>
      <c r="AP59" s="50" t="str">
        <f aca="false">IF(AND(A59="",B59=""),"",IF(J59="","Status needed",IF(OR(J59="Applied",J59="Visit booked",J59="Withdrawn"),"OK",IF(G59="","Date assessed needed",IF(C59="","Date of birth needed",IF(COUNTA(L59,M59,P59,U59,V59,X59,AB59)&lt;7,"Band missing",IF(AND(OR(J59="Decision confirmed",J59="Family told",J59="Enrolled"),AG59=""),"Recommendation needed",IF(AND(OR(J59="Family told",J59="Enrolled"),AJ59=""),"Date family told needed","OK"))))))))</f>
        <v/>
      </c>
    </row>
    <row r="60" customFormat="false" ht="15" hidden="false" customHeight="false" outlineLevel="0" collapsed="false">
      <c r="A60" s="7"/>
      <c r="B60" s="7"/>
      <c r="C60" s="46"/>
      <c r="D60" s="7"/>
      <c r="E60" s="47"/>
      <c r="F60" s="46"/>
      <c r="G60" s="46"/>
      <c r="H60" s="7"/>
      <c r="I60" s="7"/>
      <c r="J60" s="47"/>
      <c r="K60" s="47"/>
      <c r="L60" s="47"/>
      <c r="M60" s="47"/>
      <c r="N60" s="10"/>
      <c r="O60" s="47"/>
      <c r="P60" s="47"/>
      <c r="Q60" s="47"/>
      <c r="R60" s="48" t="str">
        <f aca="false">IF(Q60="","",IF(Q60=0,"below 5:00",IF(Q60&gt;=66,"16:00 or above",INT((60+2*Q60)/12)&amp;":"&amp;TEXT(MOD(60+2*Q60,12),"00"))))</f>
        <v/>
      </c>
      <c r="S60" s="47"/>
      <c r="T60" s="47"/>
      <c r="U60" s="47"/>
      <c r="V60" s="47"/>
      <c r="W60" s="47"/>
      <c r="X60" s="47"/>
      <c r="Y60" s="47"/>
      <c r="Z60" s="47"/>
      <c r="AA60" s="47"/>
      <c r="AB60" s="47"/>
      <c r="AC60" s="47"/>
      <c r="AD60" s="47"/>
      <c r="AE60" s="47"/>
      <c r="AF60" s="47"/>
      <c r="AG60" s="47"/>
      <c r="AH60" s="47"/>
      <c r="AI60" s="46"/>
      <c r="AJ60" s="46"/>
      <c r="AK60" s="46"/>
      <c r="AL60" s="7"/>
      <c r="AM60" s="49" t="str">
        <f aca="false">IF(OR(C60="",G60=""),"",IFERROR(DATEDIF(C60,G60,"m"),""))</f>
        <v/>
      </c>
      <c r="AN60" s="49" t="str">
        <f aca="false">IF(OR(Q60="",AM60=""),"",60+2*Q60-AM60)</f>
        <v/>
      </c>
      <c r="AO60" s="49" t="str">
        <f aca="false">IF(OR(G60="",AJ60=""),"",AJ60-G60)</f>
        <v/>
      </c>
      <c r="AP60" s="50" t="str">
        <f aca="false">IF(AND(A60="",B60=""),"",IF(J60="","Status needed",IF(OR(J60="Applied",J60="Visit booked",J60="Withdrawn"),"OK",IF(G60="","Date assessed needed",IF(C60="","Date of birth needed",IF(COUNTA(L60,M60,P60,U60,V60,X60,AB60)&lt;7,"Band missing",IF(AND(OR(J60="Decision confirmed",J60="Family told",J60="Enrolled"),AG60=""),"Recommendation needed",IF(AND(OR(J60="Family told",J60="Enrolled"),AJ60=""),"Date family told needed","OK"))))))))</f>
        <v/>
      </c>
    </row>
    <row r="61" customFormat="false" ht="15" hidden="false" customHeight="false" outlineLevel="0" collapsed="false">
      <c r="A61" s="7"/>
      <c r="B61" s="7"/>
      <c r="C61" s="46"/>
      <c r="D61" s="7"/>
      <c r="E61" s="47"/>
      <c r="F61" s="46"/>
      <c r="G61" s="46"/>
      <c r="H61" s="7"/>
      <c r="I61" s="7"/>
      <c r="J61" s="47"/>
      <c r="K61" s="47"/>
      <c r="L61" s="47"/>
      <c r="M61" s="47"/>
      <c r="N61" s="10"/>
      <c r="O61" s="47"/>
      <c r="P61" s="47"/>
      <c r="Q61" s="47"/>
      <c r="R61" s="48" t="str">
        <f aca="false">IF(Q61="","",IF(Q61=0,"below 5:00",IF(Q61&gt;=66,"16:00 or above",INT((60+2*Q61)/12)&amp;":"&amp;TEXT(MOD(60+2*Q61,12),"00"))))</f>
        <v/>
      </c>
      <c r="S61" s="47"/>
      <c r="T61" s="47"/>
      <c r="U61" s="47"/>
      <c r="V61" s="47"/>
      <c r="W61" s="47"/>
      <c r="X61" s="47"/>
      <c r="Y61" s="47"/>
      <c r="Z61" s="47"/>
      <c r="AA61" s="47"/>
      <c r="AB61" s="47"/>
      <c r="AC61" s="47"/>
      <c r="AD61" s="47"/>
      <c r="AE61" s="47"/>
      <c r="AF61" s="47"/>
      <c r="AG61" s="47"/>
      <c r="AH61" s="47"/>
      <c r="AI61" s="46"/>
      <c r="AJ61" s="46"/>
      <c r="AK61" s="46"/>
      <c r="AL61" s="7"/>
      <c r="AM61" s="49" t="str">
        <f aca="false">IF(OR(C61="",G61=""),"",IFERROR(DATEDIF(C61,G61,"m"),""))</f>
        <v/>
      </c>
      <c r="AN61" s="49" t="str">
        <f aca="false">IF(OR(Q61="",AM61=""),"",60+2*Q61-AM61)</f>
        <v/>
      </c>
      <c r="AO61" s="49" t="str">
        <f aca="false">IF(OR(G61="",AJ61=""),"",AJ61-G61)</f>
        <v/>
      </c>
      <c r="AP61" s="50" t="str">
        <f aca="false">IF(AND(A61="",B61=""),"",IF(J61="","Status needed",IF(OR(J61="Applied",J61="Visit booked",J61="Withdrawn"),"OK",IF(G61="","Date assessed needed",IF(C61="","Date of birth needed",IF(COUNTA(L61,M61,P61,U61,V61,X61,AB61)&lt;7,"Band missing",IF(AND(OR(J61="Decision confirmed",J61="Family told",J61="Enrolled"),AG61=""),"Recommendation needed",IF(AND(OR(J61="Family told",J61="Enrolled"),AJ61=""),"Date family told needed","OK"))))))))</f>
        <v/>
      </c>
    </row>
    <row r="62" customFormat="false" ht="15" hidden="false" customHeight="false" outlineLevel="0" collapsed="false">
      <c r="A62" s="7"/>
      <c r="B62" s="7"/>
      <c r="C62" s="46"/>
      <c r="D62" s="7"/>
      <c r="E62" s="47"/>
      <c r="F62" s="46"/>
      <c r="G62" s="46"/>
      <c r="H62" s="7"/>
      <c r="I62" s="7"/>
      <c r="J62" s="47"/>
      <c r="K62" s="47"/>
      <c r="L62" s="47"/>
      <c r="M62" s="47"/>
      <c r="N62" s="10"/>
      <c r="O62" s="47"/>
      <c r="P62" s="47"/>
      <c r="Q62" s="47"/>
      <c r="R62" s="48" t="str">
        <f aca="false">IF(Q62="","",IF(Q62=0,"below 5:00",IF(Q62&gt;=66,"16:00 or above",INT((60+2*Q62)/12)&amp;":"&amp;TEXT(MOD(60+2*Q62,12),"00"))))</f>
        <v/>
      </c>
      <c r="S62" s="47"/>
      <c r="T62" s="47"/>
      <c r="U62" s="47"/>
      <c r="V62" s="47"/>
      <c r="W62" s="47"/>
      <c r="X62" s="47"/>
      <c r="Y62" s="47"/>
      <c r="Z62" s="47"/>
      <c r="AA62" s="47"/>
      <c r="AB62" s="47"/>
      <c r="AC62" s="47"/>
      <c r="AD62" s="47"/>
      <c r="AE62" s="47"/>
      <c r="AF62" s="47"/>
      <c r="AG62" s="47"/>
      <c r="AH62" s="47"/>
      <c r="AI62" s="46"/>
      <c r="AJ62" s="46"/>
      <c r="AK62" s="46"/>
      <c r="AL62" s="7"/>
      <c r="AM62" s="49" t="str">
        <f aca="false">IF(OR(C62="",G62=""),"",IFERROR(DATEDIF(C62,G62,"m"),""))</f>
        <v/>
      </c>
      <c r="AN62" s="49" t="str">
        <f aca="false">IF(OR(Q62="",AM62=""),"",60+2*Q62-AM62)</f>
        <v/>
      </c>
      <c r="AO62" s="49" t="str">
        <f aca="false">IF(OR(G62="",AJ62=""),"",AJ62-G62)</f>
        <v/>
      </c>
      <c r="AP62" s="50" t="str">
        <f aca="false">IF(AND(A62="",B62=""),"",IF(J62="","Status needed",IF(OR(J62="Applied",J62="Visit booked",J62="Withdrawn"),"OK",IF(G62="","Date assessed needed",IF(C62="","Date of birth needed",IF(COUNTA(L62,M62,P62,U62,V62,X62,AB62)&lt;7,"Band missing",IF(AND(OR(J62="Decision confirmed",J62="Family told",J62="Enrolled"),AG62=""),"Recommendation needed",IF(AND(OR(J62="Family told",J62="Enrolled"),AJ62=""),"Date family told needed","OK"))))))))</f>
        <v/>
      </c>
    </row>
    <row r="63" customFormat="false" ht="15" hidden="false" customHeight="false" outlineLevel="0" collapsed="false">
      <c r="A63" s="7"/>
      <c r="B63" s="7"/>
      <c r="C63" s="46"/>
      <c r="D63" s="7"/>
      <c r="E63" s="47"/>
      <c r="F63" s="46"/>
      <c r="G63" s="46"/>
      <c r="H63" s="7"/>
      <c r="I63" s="7"/>
      <c r="J63" s="47"/>
      <c r="K63" s="47"/>
      <c r="L63" s="47"/>
      <c r="M63" s="47"/>
      <c r="N63" s="10"/>
      <c r="O63" s="47"/>
      <c r="P63" s="47"/>
      <c r="Q63" s="47"/>
      <c r="R63" s="48" t="str">
        <f aca="false">IF(Q63="","",IF(Q63=0,"below 5:00",IF(Q63&gt;=66,"16:00 or above",INT((60+2*Q63)/12)&amp;":"&amp;TEXT(MOD(60+2*Q63,12),"00"))))</f>
        <v/>
      </c>
      <c r="S63" s="47"/>
      <c r="T63" s="47"/>
      <c r="U63" s="47"/>
      <c r="V63" s="47"/>
      <c r="W63" s="47"/>
      <c r="X63" s="47"/>
      <c r="Y63" s="47"/>
      <c r="Z63" s="47"/>
      <c r="AA63" s="47"/>
      <c r="AB63" s="47"/>
      <c r="AC63" s="47"/>
      <c r="AD63" s="47"/>
      <c r="AE63" s="47"/>
      <c r="AF63" s="47"/>
      <c r="AG63" s="47"/>
      <c r="AH63" s="47"/>
      <c r="AI63" s="46"/>
      <c r="AJ63" s="46"/>
      <c r="AK63" s="46"/>
      <c r="AL63" s="7"/>
      <c r="AM63" s="49" t="str">
        <f aca="false">IF(OR(C63="",G63=""),"",IFERROR(DATEDIF(C63,G63,"m"),""))</f>
        <v/>
      </c>
      <c r="AN63" s="49" t="str">
        <f aca="false">IF(OR(Q63="",AM63=""),"",60+2*Q63-AM63)</f>
        <v/>
      </c>
      <c r="AO63" s="49" t="str">
        <f aca="false">IF(OR(G63="",AJ63=""),"",AJ63-G63)</f>
        <v/>
      </c>
      <c r="AP63" s="50" t="str">
        <f aca="false">IF(AND(A63="",B63=""),"",IF(J63="","Status needed",IF(OR(J63="Applied",J63="Visit booked",J63="Withdrawn"),"OK",IF(G63="","Date assessed needed",IF(C63="","Date of birth needed",IF(COUNTA(L63,M63,P63,U63,V63,X63,AB63)&lt;7,"Band missing",IF(AND(OR(J63="Decision confirmed",J63="Family told",J63="Enrolled"),AG63=""),"Recommendation needed",IF(AND(OR(J63="Family told",J63="Enrolled"),AJ63=""),"Date family told needed","OK"))))))))</f>
        <v/>
      </c>
    </row>
    <row r="64" customFormat="false" ht="15" hidden="false" customHeight="false" outlineLevel="0" collapsed="false">
      <c r="A64" s="7"/>
      <c r="B64" s="7"/>
      <c r="C64" s="46"/>
      <c r="D64" s="7"/>
      <c r="E64" s="47"/>
      <c r="F64" s="46"/>
      <c r="G64" s="46"/>
      <c r="H64" s="7"/>
      <c r="I64" s="7"/>
      <c r="J64" s="47"/>
      <c r="K64" s="47"/>
      <c r="L64" s="47"/>
      <c r="M64" s="47"/>
      <c r="N64" s="10"/>
      <c r="O64" s="47"/>
      <c r="P64" s="47"/>
      <c r="Q64" s="47"/>
      <c r="R64" s="48" t="str">
        <f aca="false">IF(Q64="","",IF(Q64=0,"below 5:00",IF(Q64&gt;=66,"16:00 or above",INT((60+2*Q64)/12)&amp;":"&amp;TEXT(MOD(60+2*Q64,12),"00"))))</f>
        <v/>
      </c>
      <c r="S64" s="47"/>
      <c r="T64" s="47"/>
      <c r="U64" s="47"/>
      <c r="V64" s="47"/>
      <c r="W64" s="47"/>
      <c r="X64" s="47"/>
      <c r="Y64" s="47"/>
      <c r="Z64" s="47"/>
      <c r="AA64" s="47"/>
      <c r="AB64" s="47"/>
      <c r="AC64" s="47"/>
      <c r="AD64" s="47"/>
      <c r="AE64" s="47"/>
      <c r="AF64" s="47"/>
      <c r="AG64" s="47"/>
      <c r="AH64" s="47"/>
      <c r="AI64" s="46"/>
      <c r="AJ64" s="46"/>
      <c r="AK64" s="46"/>
      <c r="AL64" s="7"/>
      <c r="AM64" s="49" t="str">
        <f aca="false">IF(OR(C64="",G64=""),"",IFERROR(DATEDIF(C64,G64,"m"),""))</f>
        <v/>
      </c>
      <c r="AN64" s="49" t="str">
        <f aca="false">IF(OR(Q64="",AM64=""),"",60+2*Q64-AM64)</f>
        <v/>
      </c>
      <c r="AO64" s="49" t="str">
        <f aca="false">IF(OR(G64="",AJ64=""),"",AJ64-G64)</f>
        <v/>
      </c>
      <c r="AP64" s="50" t="str">
        <f aca="false">IF(AND(A64="",B64=""),"",IF(J64="","Status needed",IF(OR(J64="Applied",J64="Visit booked",J64="Withdrawn"),"OK",IF(G64="","Date assessed needed",IF(C64="","Date of birth needed",IF(COUNTA(L64,M64,P64,U64,V64,X64,AB64)&lt;7,"Band missing",IF(AND(OR(J64="Decision confirmed",J64="Family told",J64="Enrolled"),AG64=""),"Recommendation needed",IF(AND(OR(J64="Family told",J64="Enrolled"),AJ64=""),"Date family told needed","OK"))))))))</f>
        <v/>
      </c>
    </row>
    <row r="65" customFormat="false" ht="15" hidden="false" customHeight="false" outlineLevel="0" collapsed="false">
      <c r="A65" s="7"/>
      <c r="B65" s="7"/>
      <c r="C65" s="46"/>
      <c r="D65" s="7"/>
      <c r="E65" s="47"/>
      <c r="F65" s="46"/>
      <c r="G65" s="46"/>
      <c r="H65" s="7"/>
      <c r="I65" s="7"/>
      <c r="J65" s="47"/>
      <c r="K65" s="47"/>
      <c r="L65" s="47"/>
      <c r="M65" s="47"/>
      <c r="N65" s="10"/>
      <c r="O65" s="47"/>
      <c r="P65" s="47"/>
      <c r="Q65" s="47"/>
      <c r="R65" s="48" t="str">
        <f aca="false">IF(Q65="","",IF(Q65=0,"below 5:00",IF(Q65&gt;=66,"16:00 or above",INT((60+2*Q65)/12)&amp;":"&amp;TEXT(MOD(60+2*Q65,12),"00"))))</f>
        <v/>
      </c>
      <c r="S65" s="47"/>
      <c r="T65" s="47"/>
      <c r="U65" s="47"/>
      <c r="V65" s="47"/>
      <c r="W65" s="47"/>
      <c r="X65" s="47"/>
      <c r="Y65" s="47"/>
      <c r="Z65" s="47"/>
      <c r="AA65" s="47"/>
      <c r="AB65" s="47"/>
      <c r="AC65" s="47"/>
      <c r="AD65" s="47"/>
      <c r="AE65" s="47"/>
      <c r="AF65" s="47"/>
      <c r="AG65" s="47"/>
      <c r="AH65" s="47"/>
      <c r="AI65" s="46"/>
      <c r="AJ65" s="46"/>
      <c r="AK65" s="46"/>
      <c r="AL65" s="7"/>
      <c r="AM65" s="49" t="str">
        <f aca="false">IF(OR(C65="",G65=""),"",IFERROR(DATEDIF(C65,G65,"m"),""))</f>
        <v/>
      </c>
      <c r="AN65" s="49" t="str">
        <f aca="false">IF(OR(Q65="",AM65=""),"",60+2*Q65-AM65)</f>
        <v/>
      </c>
      <c r="AO65" s="49" t="str">
        <f aca="false">IF(OR(G65="",AJ65=""),"",AJ65-G65)</f>
        <v/>
      </c>
      <c r="AP65" s="50" t="str">
        <f aca="false">IF(AND(A65="",B65=""),"",IF(J65="","Status needed",IF(OR(J65="Applied",J65="Visit booked",J65="Withdrawn"),"OK",IF(G65="","Date assessed needed",IF(C65="","Date of birth needed",IF(COUNTA(L65,M65,P65,U65,V65,X65,AB65)&lt;7,"Band missing",IF(AND(OR(J65="Decision confirmed",J65="Family told",J65="Enrolled"),AG65=""),"Recommendation needed",IF(AND(OR(J65="Family told",J65="Enrolled"),AJ65=""),"Date family told needed","OK"))))))))</f>
        <v/>
      </c>
    </row>
    <row r="66" customFormat="false" ht="15" hidden="false" customHeight="false" outlineLevel="0" collapsed="false">
      <c r="A66" s="7"/>
      <c r="B66" s="7"/>
      <c r="C66" s="46"/>
      <c r="D66" s="7"/>
      <c r="E66" s="47"/>
      <c r="F66" s="46"/>
      <c r="G66" s="46"/>
      <c r="H66" s="7"/>
      <c r="I66" s="7"/>
      <c r="J66" s="47"/>
      <c r="K66" s="47"/>
      <c r="L66" s="47"/>
      <c r="M66" s="47"/>
      <c r="N66" s="10"/>
      <c r="O66" s="47"/>
      <c r="P66" s="47"/>
      <c r="Q66" s="47"/>
      <c r="R66" s="48" t="str">
        <f aca="false">IF(Q66="","",IF(Q66=0,"below 5:00",IF(Q66&gt;=66,"16:00 or above",INT((60+2*Q66)/12)&amp;":"&amp;TEXT(MOD(60+2*Q66,12),"00"))))</f>
        <v/>
      </c>
      <c r="S66" s="47"/>
      <c r="T66" s="47"/>
      <c r="U66" s="47"/>
      <c r="V66" s="47"/>
      <c r="W66" s="47"/>
      <c r="X66" s="47"/>
      <c r="Y66" s="47"/>
      <c r="Z66" s="47"/>
      <c r="AA66" s="47"/>
      <c r="AB66" s="47"/>
      <c r="AC66" s="47"/>
      <c r="AD66" s="47"/>
      <c r="AE66" s="47"/>
      <c r="AF66" s="47"/>
      <c r="AG66" s="47"/>
      <c r="AH66" s="47"/>
      <c r="AI66" s="46"/>
      <c r="AJ66" s="46"/>
      <c r="AK66" s="46"/>
      <c r="AL66" s="7"/>
      <c r="AM66" s="49" t="str">
        <f aca="false">IF(OR(C66="",G66=""),"",IFERROR(DATEDIF(C66,G66,"m"),""))</f>
        <v/>
      </c>
      <c r="AN66" s="49" t="str">
        <f aca="false">IF(OR(Q66="",AM66=""),"",60+2*Q66-AM66)</f>
        <v/>
      </c>
      <c r="AO66" s="49" t="str">
        <f aca="false">IF(OR(G66="",AJ66=""),"",AJ66-G66)</f>
        <v/>
      </c>
      <c r="AP66" s="50" t="str">
        <f aca="false">IF(AND(A66="",B66=""),"",IF(J66="","Status needed",IF(OR(J66="Applied",J66="Visit booked",J66="Withdrawn"),"OK",IF(G66="","Date assessed needed",IF(C66="","Date of birth needed",IF(COUNTA(L66,M66,P66,U66,V66,X66,AB66)&lt;7,"Band missing",IF(AND(OR(J66="Decision confirmed",J66="Family told",J66="Enrolled"),AG66=""),"Recommendation needed",IF(AND(OR(J66="Family told",J66="Enrolled"),AJ66=""),"Date family told needed","OK"))))))))</f>
        <v/>
      </c>
    </row>
    <row r="67" customFormat="false" ht="15" hidden="false" customHeight="false" outlineLevel="0" collapsed="false">
      <c r="A67" s="7"/>
      <c r="B67" s="7"/>
      <c r="C67" s="46"/>
      <c r="D67" s="7"/>
      <c r="E67" s="47"/>
      <c r="F67" s="46"/>
      <c r="G67" s="46"/>
      <c r="H67" s="7"/>
      <c r="I67" s="7"/>
      <c r="J67" s="47"/>
      <c r="K67" s="47"/>
      <c r="L67" s="47"/>
      <c r="M67" s="47"/>
      <c r="N67" s="10"/>
      <c r="O67" s="47"/>
      <c r="P67" s="47"/>
      <c r="Q67" s="47"/>
      <c r="R67" s="48" t="str">
        <f aca="false">IF(Q67="","",IF(Q67=0,"below 5:00",IF(Q67&gt;=66,"16:00 or above",INT((60+2*Q67)/12)&amp;":"&amp;TEXT(MOD(60+2*Q67,12),"00"))))</f>
        <v/>
      </c>
      <c r="S67" s="47"/>
      <c r="T67" s="47"/>
      <c r="U67" s="47"/>
      <c r="V67" s="47"/>
      <c r="W67" s="47"/>
      <c r="X67" s="47"/>
      <c r="Y67" s="47"/>
      <c r="Z67" s="47"/>
      <c r="AA67" s="47"/>
      <c r="AB67" s="47"/>
      <c r="AC67" s="47"/>
      <c r="AD67" s="47"/>
      <c r="AE67" s="47"/>
      <c r="AF67" s="47"/>
      <c r="AG67" s="47"/>
      <c r="AH67" s="47"/>
      <c r="AI67" s="46"/>
      <c r="AJ67" s="46"/>
      <c r="AK67" s="46"/>
      <c r="AL67" s="7"/>
      <c r="AM67" s="49" t="str">
        <f aca="false">IF(OR(C67="",G67=""),"",IFERROR(DATEDIF(C67,G67,"m"),""))</f>
        <v/>
      </c>
      <c r="AN67" s="49" t="str">
        <f aca="false">IF(OR(Q67="",AM67=""),"",60+2*Q67-AM67)</f>
        <v/>
      </c>
      <c r="AO67" s="49" t="str">
        <f aca="false">IF(OR(G67="",AJ67=""),"",AJ67-G67)</f>
        <v/>
      </c>
      <c r="AP67" s="50" t="str">
        <f aca="false">IF(AND(A67="",B67=""),"",IF(J67="","Status needed",IF(OR(J67="Applied",J67="Visit booked",J67="Withdrawn"),"OK",IF(G67="","Date assessed needed",IF(C67="","Date of birth needed",IF(COUNTA(L67,M67,P67,U67,V67,X67,AB67)&lt;7,"Band missing",IF(AND(OR(J67="Decision confirmed",J67="Family told",J67="Enrolled"),AG67=""),"Recommendation needed",IF(AND(OR(J67="Family told",J67="Enrolled"),AJ67=""),"Date family told needed","OK"))))))))</f>
        <v/>
      </c>
    </row>
    <row r="68" customFormat="false" ht="15" hidden="false" customHeight="false" outlineLevel="0" collapsed="false">
      <c r="A68" s="7"/>
      <c r="B68" s="7"/>
      <c r="C68" s="46"/>
      <c r="D68" s="7"/>
      <c r="E68" s="47"/>
      <c r="F68" s="46"/>
      <c r="G68" s="46"/>
      <c r="H68" s="7"/>
      <c r="I68" s="7"/>
      <c r="J68" s="47"/>
      <c r="K68" s="47"/>
      <c r="L68" s="47"/>
      <c r="M68" s="47"/>
      <c r="N68" s="10"/>
      <c r="O68" s="47"/>
      <c r="P68" s="47"/>
      <c r="Q68" s="47"/>
      <c r="R68" s="48" t="str">
        <f aca="false">IF(Q68="","",IF(Q68=0,"below 5:00",IF(Q68&gt;=66,"16:00 or above",INT((60+2*Q68)/12)&amp;":"&amp;TEXT(MOD(60+2*Q68,12),"00"))))</f>
        <v/>
      </c>
      <c r="S68" s="47"/>
      <c r="T68" s="47"/>
      <c r="U68" s="47"/>
      <c r="V68" s="47"/>
      <c r="W68" s="47"/>
      <c r="X68" s="47"/>
      <c r="Y68" s="47"/>
      <c r="Z68" s="47"/>
      <c r="AA68" s="47"/>
      <c r="AB68" s="47"/>
      <c r="AC68" s="47"/>
      <c r="AD68" s="47"/>
      <c r="AE68" s="47"/>
      <c r="AF68" s="47"/>
      <c r="AG68" s="47"/>
      <c r="AH68" s="47"/>
      <c r="AI68" s="46"/>
      <c r="AJ68" s="46"/>
      <c r="AK68" s="46"/>
      <c r="AL68" s="7"/>
      <c r="AM68" s="49" t="str">
        <f aca="false">IF(OR(C68="",G68=""),"",IFERROR(DATEDIF(C68,G68,"m"),""))</f>
        <v/>
      </c>
      <c r="AN68" s="49" t="str">
        <f aca="false">IF(OR(Q68="",AM68=""),"",60+2*Q68-AM68)</f>
        <v/>
      </c>
      <c r="AO68" s="49" t="str">
        <f aca="false">IF(OR(G68="",AJ68=""),"",AJ68-G68)</f>
        <v/>
      </c>
      <c r="AP68" s="50" t="str">
        <f aca="false">IF(AND(A68="",B68=""),"",IF(J68="","Status needed",IF(OR(J68="Applied",J68="Visit booked",J68="Withdrawn"),"OK",IF(G68="","Date assessed needed",IF(C68="","Date of birth needed",IF(COUNTA(L68,M68,P68,U68,V68,X68,AB68)&lt;7,"Band missing",IF(AND(OR(J68="Decision confirmed",J68="Family told",J68="Enrolled"),AG68=""),"Recommendation needed",IF(AND(OR(J68="Family told",J68="Enrolled"),AJ68=""),"Date family told needed","OK"))))))))</f>
        <v/>
      </c>
    </row>
    <row r="69" customFormat="false" ht="15" hidden="false" customHeight="false" outlineLevel="0" collapsed="false">
      <c r="A69" s="7"/>
      <c r="B69" s="7"/>
      <c r="C69" s="46"/>
      <c r="D69" s="7"/>
      <c r="E69" s="47"/>
      <c r="F69" s="46"/>
      <c r="G69" s="46"/>
      <c r="H69" s="7"/>
      <c r="I69" s="7"/>
      <c r="J69" s="47"/>
      <c r="K69" s="47"/>
      <c r="L69" s="47"/>
      <c r="M69" s="47"/>
      <c r="N69" s="10"/>
      <c r="O69" s="47"/>
      <c r="P69" s="47"/>
      <c r="Q69" s="47"/>
      <c r="R69" s="48" t="str">
        <f aca="false">IF(Q69="","",IF(Q69=0,"below 5:00",IF(Q69&gt;=66,"16:00 or above",INT((60+2*Q69)/12)&amp;":"&amp;TEXT(MOD(60+2*Q69,12),"00"))))</f>
        <v/>
      </c>
      <c r="S69" s="47"/>
      <c r="T69" s="47"/>
      <c r="U69" s="47"/>
      <c r="V69" s="47"/>
      <c r="W69" s="47"/>
      <c r="X69" s="47"/>
      <c r="Y69" s="47"/>
      <c r="Z69" s="47"/>
      <c r="AA69" s="47"/>
      <c r="AB69" s="47"/>
      <c r="AC69" s="47"/>
      <c r="AD69" s="47"/>
      <c r="AE69" s="47"/>
      <c r="AF69" s="47"/>
      <c r="AG69" s="47"/>
      <c r="AH69" s="47"/>
      <c r="AI69" s="46"/>
      <c r="AJ69" s="46"/>
      <c r="AK69" s="46"/>
      <c r="AL69" s="7"/>
      <c r="AM69" s="49" t="str">
        <f aca="false">IF(OR(C69="",G69=""),"",IFERROR(DATEDIF(C69,G69,"m"),""))</f>
        <v/>
      </c>
      <c r="AN69" s="49" t="str">
        <f aca="false">IF(OR(Q69="",AM69=""),"",60+2*Q69-AM69)</f>
        <v/>
      </c>
      <c r="AO69" s="49" t="str">
        <f aca="false">IF(OR(G69="",AJ69=""),"",AJ69-G69)</f>
        <v/>
      </c>
      <c r="AP69" s="50" t="str">
        <f aca="false">IF(AND(A69="",B69=""),"",IF(J69="","Status needed",IF(OR(J69="Applied",J69="Visit booked",J69="Withdrawn"),"OK",IF(G69="","Date assessed needed",IF(C69="","Date of birth needed",IF(COUNTA(L69,M69,P69,U69,V69,X69,AB69)&lt;7,"Band missing",IF(AND(OR(J69="Decision confirmed",J69="Family told",J69="Enrolled"),AG69=""),"Recommendation needed",IF(AND(OR(J69="Family told",J69="Enrolled"),AJ69=""),"Date family told needed","OK"))))))))</f>
        <v/>
      </c>
    </row>
    <row r="70" customFormat="false" ht="15" hidden="false" customHeight="false" outlineLevel="0" collapsed="false">
      <c r="A70" s="7"/>
      <c r="B70" s="7"/>
      <c r="C70" s="46"/>
      <c r="D70" s="7"/>
      <c r="E70" s="47"/>
      <c r="F70" s="46"/>
      <c r="G70" s="46"/>
      <c r="H70" s="7"/>
      <c r="I70" s="7"/>
      <c r="J70" s="47"/>
      <c r="K70" s="47"/>
      <c r="L70" s="47"/>
      <c r="M70" s="47"/>
      <c r="N70" s="10"/>
      <c r="O70" s="47"/>
      <c r="P70" s="47"/>
      <c r="Q70" s="47"/>
      <c r="R70" s="48" t="str">
        <f aca="false">IF(Q70="","",IF(Q70=0,"below 5:00",IF(Q70&gt;=66,"16:00 or above",INT((60+2*Q70)/12)&amp;":"&amp;TEXT(MOD(60+2*Q70,12),"00"))))</f>
        <v/>
      </c>
      <c r="S70" s="47"/>
      <c r="T70" s="47"/>
      <c r="U70" s="47"/>
      <c r="V70" s="47"/>
      <c r="W70" s="47"/>
      <c r="X70" s="47"/>
      <c r="Y70" s="47"/>
      <c r="Z70" s="47"/>
      <c r="AA70" s="47"/>
      <c r="AB70" s="47"/>
      <c r="AC70" s="47"/>
      <c r="AD70" s="47"/>
      <c r="AE70" s="47"/>
      <c r="AF70" s="47"/>
      <c r="AG70" s="47"/>
      <c r="AH70" s="47"/>
      <c r="AI70" s="46"/>
      <c r="AJ70" s="46"/>
      <c r="AK70" s="46"/>
      <c r="AL70" s="7"/>
      <c r="AM70" s="49" t="str">
        <f aca="false">IF(OR(C70="",G70=""),"",IFERROR(DATEDIF(C70,G70,"m"),""))</f>
        <v/>
      </c>
      <c r="AN70" s="49" t="str">
        <f aca="false">IF(OR(Q70="",AM70=""),"",60+2*Q70-AM70)</f>
        <v/>
      </c>
      <c r="AO70" s="49" t="str">
        <f aca="false">IF(OR(G70="",AJ70=""),"",AJ70-G70)</f>
        <v/>
      </c>
      <c r="AP70" s="50" t="str">
        <f aca="false">IF(AND(A70="",B70=""),"",IF(J70="","Status needed",IF(OR(J70="Applied",J70="Visit booked",J70="Withdrawn"),"OK",IF(G70="","Date assessed needed",IF(C70="","Date of birth needed",IF(COUNTA(L70,M70,P70,U70,V70,X70,AB70)&lt;7,"Band missing",IF(AND(OR(J70="Decision confirmed",J70="Family told",J70="Enrolled"),AG70=""),"Recommendation needed",IF(AND(OR(J70="Family told",J70="Enrolled"),AJ70=""),"Date family told needed","OK"))))))))</f>
        <v/>
      </c>
    </row>
    <row r="71" customFormat="false" ht="15" hidden="false" customHeight="false" outlineLevel="0" collapsed="false">
      <c r="A71" s="7"/>
      <c r="B71" s="7"/>
      <c r="C71" s="46"/>
      <c r="D71" s="7"/>
      <c r="E71" s="47"/>
      <c r="F71" s="46"/>
      <c r="G71" s="46"/>
      <c r="H71" s="7"/>
      <c r="I71" s="7"/>
      <c r="J71" s="47"/>
      <c r="K71" s="47"/>
      <c r="L71" s="47"/>
      <c r="M71" s="47"/>
      <c r="N71" s="10"/>
      <c r="O71" s="47"/>
      <c r="P71" s="47"/>
      <c r="Q71" s="47"/>
      <c r="R71" s="48" t="str">
        <f aca="false">IF(Q71="","",IF(Q71=0,"below 5:00",IF(Q71&gt;=66,"16:00 or above",INT((60+2*Q71)/12)&amp;":"&amp;TEXT(MOD(60+2*Q71,12),"00"))))</f>
        <v/>
      </c>
      <c r="S71" s="47"/>
      <c r="T71" s="47"/>
      <c r="U71" s="47"/>
      <c r="V71" s="47"/>
      <c r="W71" s="47"/>
      <c r="X71" s="47"/>
      <c r="Y71" s="47"/>
      <c r="Z71" s="47"/>
      <c r="AA71" s="47"/>
      <c r="AB71" s="47"/>
      <c r="AC71" s="47"/>
      <c r="AD71" s="47"/>
      <c r="AE71" s="47"/>
      <c r="AF71" s="47"/>
      <c r="AG71" s="47"/>
      <c r="AH71" s="47"/>
      <c r="AI71" s="46"/>
      <c r="AJ71" s="46"/>
      <c r="AK71" s="46"/>
      <c r="AL71" s="7"/>
      <c r="AM71" s="49" t="str">
        <f aca="false">IF(OR(C71="",G71=""),"",IFERROR(DATEDIF(C71,G71,"m"),""))</f>
        <v/>
      </c>
      <c r="AN71" s="49" t="str">
        <f aca="false">IF(OR(Q71="",AM71=""),"",60+2*Q71-AM71)</f>
        <v/>
      </c>
      <c r="AO71" s="49" t="str">
        <f aca="false">IF(OR(G71="",AJ71=""),"",AJ71-G71)</f>
        <v/>
      </c>
      <c r="AP71" s="50" t="str">
        <f aca="false">IF(AND(A71="",B71=""),"",IF(J71="","Status needed",IF(OR(J71="Applied",J71="Visit booked",J71="Withdrawn"),"OK",IF(G71="","Date assessed needed",IF(C71="","Date of birth needed",IF(COUNTA(L71,M71,P71,U71,V71,X71,AB71)&lt;7,"Band missing",IF(AND(OR(J71="Decision confirmed",J71="Family told",J71="Enrolled"),AG71=""),"Recommendation needed",IF(AND(OR(J71="Family told",J71="Enrolled"),AJ71=""),"Date family told needed","OK"))))))))</f>
        <v/>
      </c>
    </row>
    <row r="72" customFormat="false" ht="15" hidden="false" customHeight="false" outlineLevel="0" collapsed="false">
      <c r="A72" s="7"/>
      <c r="B72" s="7"/>
      <c r="C72" s="46"/>
      <c r="D72" s="7"/>
      <c r="E72" s="47"/>
      <c r="F72" s="46"/>
      <c r="G72" s="46"/>
      <c r="H72" s="7"/>
      <c r="I72" s="7"/>
      <c r="J72" s="47"/>
      <c r="K72" s="47"/>
      <c r="L72" s="47"/>
      <c r="M72" s="47"/>
      <c r="N72" s="10"/>
      <c r="O72" s="47"/>
      <c r="P72" s="47"/>
      <c r="Q72" s="47"/>
      <c r="R72" s="48" t="str">
        <f aca="false">IF(Q72="","",IF(Q72=0,"below 5:00",IF(Q72&gt;=66,"16:00 or above",INT((60+2*Q72)/12)&amp;":"&amp;TEXT(MOD(60+2*Q72,12),"00"))))</f>
        <v/>
      </c>
      <c r="S72" s="47"/>
      <c r="T72" s="47"/>
      <c r="U72" s="47"/>
      <c r="V72" s="47"/>
      <c r="W72" s="47"/>
      <c r="X72" s="47"/>
      <c r="Y72" s="47"/>
      <c r="Z72" s="47"/>
      <c r="AA72" s="47"/>
      <c r="AB72" s="47"/>
      <c r="AC72" s="47"/>
      <c r="AD72" s="47"/>
      <c r="AE72" s="47"/>
      <c r="AF72" s="47"/>
      <c r="AG72" s="47"/>
      <c r="AH72" s="47"/>
      <c r="AI72" s="46"/>
      <c r="AJ72" s="46"/>
      <c r="AK72" s="46"/>
      <c r="AL72" s="7"/>
      <c r="AM72" s="49" t="str">
        <f aca="false">IF(OR(C72="",G72=""),"",IFERROR(DATEDIF(C72,G72,"m"),""))</f>
        <v/>
      </c>
      <c r="AN72" s="49" t="str">
        <f aca="false">IF(OR(Q72="",AM72=""),"",60+2*Q72-AM72)</f>
        <v/>
      </c>
      <c r="AO72" s="49" t="str">
        <f aca="false">IF(OR(G72="",AJ72=""),"",AJ72-G72)</f>
        <v/>
      </c>
      <c r="AP72" s="50" t="str">
        <f aca="false">IF(AND(A72="",B72=""),"",IF(J72="","Status needed",IF(OR(J72="Applied",J72="Visit booked",J72="Withdrawn"),"OK",IF(G72="","Date assessed needed",IF(C72="","Date of birth needed",IF(COUNTA(L72,M72,P72,U72,V72,X72,AB72)&lt;7,"Band missing",IF(AND(OR(J72="Decision confirmed",J72="Family told",J72="Enrolled"),AG72=""),"Recommendation needed",IF(AND(OR(J72="Family told",J72="Enrolled"),AJ72=""),"Date family told needed","OK"))))))))</f>
        <v/>
      </c>
    </row>
    <row r="73" customFormat="false" ht="15" hidden="false" customHeight="false" outlineLevel="0" collapsed="false">
      <c r="A73" s="7"/>
      <c r="B73" s="7"/>
      <c r="C73" s="46"/>
      <c r="D73" s="7"/>
      <c r="E73" s="47"/>
      <c r="F73" s="46"/>
      <c r="G73" s="46"/>
      <c r="H73" s="7"/>
      <c r="I73" s="7"/>
      <c r="J73" s="47"/>
      <c r="K73" s="47"/>
      <c r="L73" s="47"/>
      <c r="M73" s="47"/>
      <c r="N73" s="10"/>
      <c r="O73" s="47"/>
      <c r="P73" s="47"/>
      <c r="Q73" s="47"/>
      <c r="R73" s="48" t="str">
        <f aca="false">IF(Q73="","",IF(Q73=0,"below 5:00",IF(Q73&gt;=66,"16:00 or above",INT((60+2*Q73)/12)&amp;":"&amp;TEXT(MOD(60+2*Q73,12),"00"))))</f>
        <v/>
      </c>
      <c r="S73" s="47"/>
      <c r="T73" s="47"/>
      <c r="U73" s="47"/>
      <c r="V73" s="47"/>
      <c r="W73" s="47"/>
      <c r="X73" s="47"/>
      <c r="Y73" s="47"/>
      <c r="Z73" s="47"/>
      <c r="AA73" s="47"/>
      <c r="AB73" s="47"/>
      <c r="AC73" s="47"/>
      <c r="AD73" s="47"/>
      <c r="AE73" s="47"/>
      <c r="AF73" s="47"/>
      <c r="AG73" s="47"/>
      <c r="AH73" s="47"/>
      <c r="AI73" s="46"/>
      <c r="AJ73" s="46"/>
      <c r="AK73" s="46"/>
      <c r="AL73" s="7"/>
      <c r="AM73" s="49" t="str">
        <f aca="false">IF(OR(C73="",G73=""),"",IFERROR(DATEDIF(C73,G73,"m"),""))</f>
        <v/>
      </c>
      <c r="AN73" s="49" t="str">
        <f aca="false">IF(OR(Q73="",AM73=""),"",60+2*Q73-AM73)</f>
        <v/>
      </c>
      <c r="AO73" s="49" t="str">
        <f aca="false">IF(OR(G73="",AJ73=""),"",AJ73-G73)</f>
        <v/>
      </c>
      <c r="AP73" s="50" t="str">
        <f aca="false">IF(AND(A73="",B73=""),"",IF(J73="","Status needed",IF(OR(J73="Applied",J73="Visit booked",J73="Withdrawn"),"OK",IF(G73="","Date assessed needed",IF(C73="","Date of birth needed",IF(COUNTA(L73,M73,P73,U73,V73,X73,AB73)&lt;7,"Band missing",IF(AND(OR(J73="Decision confirmed",J73="Family told",J73="Enrolled"),AG73=""),"Recommendation needed",IF(AND(OR(J73="Family told",J73="Enrolled"),AJ73=""),"Date family told needed","OK"))))))))</f>
        <v/>
      </c>
    </row>
    <row r="74" customFormat="false" ht="15" hidden="false" customHeight="false" outlineLevel="0" collapsed="false">
      <c r="A74" s="7"/>
      <c r="B74" s="7"/>
      <c r="C74" s="46"/>
      <c r="D74" s="7"/>
      <c r="E74" s="47"/>
      <c r="F74" s="46"/>
      <c r="G74" s="46"/>
      <c r="H74" s="7"/>
      <c r="I74" s="7"/>
      <c r="J74" s="47"/>
      <c r="K74" s="47"/>
      <c r="L74" s="47"/>
      <c r="M74" s="47"/>
      <c r="N74" s="10"/>
      <c r="O74" s="47"/>
      <c r="P74" s="47"/>
      <c r="Q74" s="47"/>
      <c r="R74" s="48" t="str">
        <f aca="false">IF(Q74="","",IF(Q74=0,"below 5:00",IF(Q74&gt;=66,"16:00 or above",INT((60+2*Q74)/12)&amp;":"&amp;TEXT(MOD(60+2*Q74,12),"00"))))</f>
        <v/>
      </c>
      <c r="S74" s="47"/>
      <c r="T74" s="47"/>
      <c r="U74" s="47"/>
      <c r="V74" s="47"/>
      <c r="W74" s="47"/>
      <c r="X74" s="47"/>
      <c r="Y74" s="47"/>
      <c r="Z74" s="47"/>
      <c r="AA74" s="47"/>
      <c r="AB74" s="47"/>
      <c r="AC74" s="47"/>
      <c r="AD74" s="47"/>
      <c r="AE74" s="47"/>
      <c r="AF74" s="47"/>
      <c r="AG74" s="47"/>
      <c r="AH74" s="47"/>
      <c r="AI74" s="46"/>
      <c r="AJ74" s="46"/>
      <c r="AK74" s="46"/>
      <c r="AL74" s="7"/>
      <c r="AM74" s="49" t="str">
        <f aca="false">IF(OR(C74="",G74=""),"",IFERROR(DATEDIF(C74,G74,"m"),""))</f>
        <v/>
      </c>
      <c r="AN74" s="49" t="str">
        <f aca="false">IF(OR(Q74="",AM74=""),"",60+2*Q74-AM74)</f>
        <v/>
      </c>
      <c r="AO74" s="49" t="str">
        <f aca="false">IF(OR(G74="",AJ74=""),"",AJ74-G74)</f>
        <v/>
      </c>
      <c r="AP74" s="50" t="str">
        <f aca="false">IF(AND(A74="",B74=""),"",IF(J74="","Status needed",IF(OR(J74="Applied",J74="Visit booked",J74="Withdrawn"),"OK",IF(G74="","Date assessed needed",IF(C74="","Date of birth needed",IF(COUNTA(L74,M74,P74,U74,V74,X74,AB74)&lt;7,"Band missing",IF(AND(OR(J74="Decision confirmed",J74="Family told",J74="Enrolled"),AG74=""),"Recommendation needed",IF(AND(OR(J74="Family told",J74="Enrolled"),AJ74=""),"Date family told needed","OK"))))))))</f>
        <v/>
      </c>
    </row>
    <row r="75" customFormat="false" ht="15" hidden="false" customHeight="false" outlineLevel="0" collapsed="false">
      <c r="A75" s="7"/>
      <c r="B75" s="7"/>
      <c r="C75" s="46"/>
      <c r="D75" s="7"/>
      <c r="E75" s="47"/>
      <c r="F75" s="46"/>
      <c r="G75" s="46"/>
      <c r="H75" s="7"/>
      <c r="I75" s="7"/>
      <c r="J75" s="47"/>
      <c r="K75" s="47"/>
      <c r="L75" s="47"/>
      <c r="M75" s="47"/>
      <c r="N75" s="10"/>
      <c r="O75" s="47"/>
      <c r="P75" s="47"/>
      <c r="Q75" s="47"/>
      <c r="R75" s="48" t="str">
        <f aca="false">IF(Q75="","",IF(Q75=0,"below 5:00",IF(Q75&gt;=66,"16:00 or above",INT((60+2*Q75)/12)&amp;":"&amp;TEXT(MOD(60+2*Q75,12),"00"))))</f>
        <v/>
      </c>
      <c r="S75" s="47"/>
      <c r="T75" s="47"/>
      <c r="U75" s="47"/>
      <c r="V75" s="47"/>
      <c r="W75" s="47"/>
      <c r="X75" s="47"/>
      <c r="Y75" s="47"/>
      <c r="Z75" s="47"/>
      <c r="AA75" s="47"/>
      <c r="AB75" s="47"/>
      <c r="AC75" s="47"/>
      <c r="AD75" s="47"/>
      <c r="AE75" s="47"/>
      <c r="AF75" s="47"/>
      <c r="AG75" s="47"/>
      <c r="AH75" s="47"/>
      <c r="AI75" s="46"/>
      <c r="AJ75" s="46"/>
      <c r="AK75" s="46"/>
      <c r="AL75" s="7"/>
      <c r="AM75" s="49" t="str">
        <f aca="false">IF(OR(C75="",G75=""),"",IFERROR(DATEDIF(C75,G75,"m"),""))</f>
        <v/>
      </c>
      <c r="AN75" s="49" t="str">
        <f aca="false">IF(OR(Q75="",AM75=""),"",60+2*Q75-AM75)</f>
        <v/>
      </c>
      <c r="AO75" s="49" t="str">
        <f aca="false">IF(OR(G75="",AJ75=""),"",AJ75-G75)</f>
        <v/>
      </c>
      <c r="AP75" s="50" t="str">
        <f aca="false">IF(AND(A75="",B75=""),"",IF(J75="","Status needed",IF(OR(J75="Applied",J75="Visit booked",J75="Withdrawn"),"OK",IF(G75="","Date assessed needed",IF(C75="","Date of birth needed",IF(COUNTA(L75,M75,P75,U75,V75,X75,AB75)&lt;7,"Band missing",IF(AND(OR(J75="Decision confirmed",J75="Family told",J75="Enrolled"),AG75=""),"Recommendation needed",IF(AND(OR(J75="Family told",J75="Enrolled"),AJ75=""),"Date family told needed","OK"))))))))</f>
        <v/>
      </c>
    </row>
    <row r="76" customFormat="false" ht="15" hidden="false" customHeight="false" outlineLevel="0" collapsed="false">
      <c r="A76" s="7"/>
      <c r="B76" s="7"/>
      <c r="C76" s="46"/>
      <c r="D76" s="7"/>
      <c r="E76" s="47"/>
      <c r="F76" s="46"/>
      <c r="G76" s="46"/>
      <c r="H76" s="7"/>
      <c r="I76" s="7"/>
      <c r="J76" s="47"/>
      <c r="K76" s="47"/>
      <c r="L76" s="47"/>
      <c r="M76" s="47"/>
      <c r="N76" s="10"/>
      <c r="O76" s="47"/>
      <c r="P76" s="47"/>
      <c r="Q76" s="47"/>
      <c r="R76" s="48" t="str">
        <f aca="false">IF(Q76="","",IF(Q76=0,"below 5:00",IF(Q76&gt;=66,"16:00 or above",INT((60+2*Q76)/12)&amp;":"&amp;TEXT(MOD(60+2*Q76,12),"00"))))</f>
        <v/>
      </c>
      <c r="S76" s="47"/>
      <c r="T76" s="47"/>
      <c r="U76" s="47"/>
      <c r="V76" s="47"/>
      <c r="W76" s="47"/>
      <c r="X76" s="47"/>
      <c r="Y76" s="47"/>
      <c r="Z76" s="47"/>
      <c r="AA76" s="47"/>
      <c r="AB76" s="47"/>
      <c r="AC76" s="47"/>
      <c r="AD76" s="47"/>
      <c r="AE76" s="47"/>
      <c r="AF76" s="47"/>
      <c r="AG76" s="47"/>
      <c r="AH76" s="47"/>
      <c r="AI76" s="46"/>
      <c r="AJ76" s="46"/>
      <c r="AK76" s="46"/>
      <c r="AL76" s="7"/>
      <c r="AM76" s="49" t="str">
        <f aca="false">IF(OR(C76="",G76=""),"",IFERROR(DATEDIF(C76,G76,"m"),""))</f>
        <v/>
      </c>
      <c r="AN76" s="49" t="str">
        <f aca="false">IF(OR(Q76="",AM76=""),"",60+2*Q76-AM76)</f>
        <v/>
      </c>
      <c r="AO76" s="49" t="str">
        <f aca="false">IF(OR(G76="",AJ76=""),"",AJ76-G76)</f>
        <v/>
      </c>
      <c r="AP76" s="50" t="str">
        <f aca="false">IF(AND(A76="",B76=""),"",IF(J76="","Status needed",IF(OR(J76="Applied",J76="Visit booked",J76="Withdrawn"),"OK",IF(G76="","Date assessed needed",IF(C76="","Date of birth needed",IF(COUNTA(L76,M76,P76,U76,V76,X76,AB76)&lt;7,"Band missing",IF(AND(OR(J76="Decision confirmed",J76="Family told",J76="Enrolled"),AG76=""),"Recommendation needed",IF(AND(OR(J76="Family told",J76="Enrolled"),AJ76=""),"Date family told needed","OK"))))))))</f>
        <v/>
      </c>
    </row>
    <row r="77" customFormat="false" ht="15" hidden="false" customHeight="false" outlineLevel="0" collapsed="false">
      <c r="A77" s="7"/>
      <c r="B77" s="7"/>
      <c r="C77" s="46"/>
      <c r="D77" s="7"/>
      <c r="E77" s="47"/>
      <c r="F77" s="46"/>
      <c r="G77" s="46"/>
      <c r="H77" s="7"/>
      <c r="I77" s="7"/>
      <c r="J77" s="47"/>
      <c r="K77" s="47"/>
      <c r="L77" s="47"/>
      <c r="M77" s="47"/>
      <c r="N77" s="10"/>
      <c r="O77" s="47"/>
      <c r="P77" s="47"/>
      <c r="Q77" s="47"/>
      <c r="R77" s="48" t="str">
        <f aca="false">IF(Q77="","",IF(Q77=0,"below 5:00",IF(Q77&gt;=66,"16:00 or above",INT((60+2*Q77)/12)&amp;":"&amp;TEXT(MOD(60+2*Q77,12),"00"))))</f>
        <v/>
      </c>
      <c r="S77" s="47"/>
      <c r="T77" s="47"/>
      <c r="U77" s="47"/>
      <c r="V77" s="47"/>
      <c r="W77" s="47"/>
      <c r="X77" s="47"/>
      <c r="Y77" s="47"/>
      <c r="Z77" s="47"/>
      <c r="AA77" s="47"/>
      <c r="AB77" s="47"/>
      <c r="AC77" s="47"/>
      <c r="AD77" s="47"/>
      <c r="AE77" s="47"/>
      <c r="AF77" s="47"/>
      <c r="AG77" s="47"/>
      <c r="AH77" s="47"/>
      <c r="AI77" s="46"/>
      <c r="AJ77" s="46"/>
      <c r="AK77" s="46"/>
      <c r="AL77" s="7"/>
      <c r="AM77" s="49" t="str">
        <f aca="false">IF(OR(C77="",G77=""),"",IFERROR(DATEDIF(C77,G77,"m"),""))</f>
        <v/>
      </c>
      <c r="AN77" s="49" t="str">
        <f aca="false">IF(OR(Q77="",AM77=""),"",60+2*Q77-AM77)</f>
        <v/>
      </c>
      <c r="AO77" s="49" t="str">
        <f aca="false">IF(OR(G77="",AJ77=""),"",AJ77-G77)</f>
        <v/>
      </c>
      <c r="AP77" s="50" t="str">
        <f aca="false">IF(AND(A77="",B77=""),"",IF(J77="","Status needed",IF(OR(J77="Applied",J77="Visit booked",J77="Withdrawn"),"OK",IF(G77="","Date assessed needed",IF(C77="","Date of birth needed",IF(COUNTA(L77,M77,P77,U77,V77,X77,AB77)&lt;7,"Band missing",IF(AND(OR(J77="Decision confirmed",J77="Family told",J77="Enrolled"),AG77=""),"Recommendation needed",IF(AND(OR(J77="Family told",J77="Enrolled"),AJ77=""),"Date family told needed","OK"))))))))</f>
        <v/>
      </c>
    </row>
    <row r="78" customFormat="false" ht="15" hidden="false" customHeight="false" outlineLevel="0" collapsed="false">
      <c r="A78" s="7"/>
      <c r="B78" s="7"/>
      <c r="C78" s="46"/>
      <c r="D78" s="7"/>
      <c r="E78" s="47"/>
      <c r="F78" s="46"/>
      <c r="G78" s="46"/>
      <c r="H78" s="7"/>
      <c r="I78" s="7"/>
      <c r="J78" s="47"/>
      <c r="K78" s="47"/>
      <c r="L78" s="47"/>
      <c r="M78" s="47"/>
      <c r="N78" s="10"/>
      <c r="O78" s="47"/>
      <c r="P78" s="47"/>
      <c r="Q78" s="47"/>
      <c r="R78" s="48" t="str">
        <f aca="false">IF(Q78="","",IF(Q78=0,"below 5:00",IF(Q78&gt;=66,"16:00 or above",INT((60+2*Q78)/12)&amp;":"&amp;TEXT(MOD(60+2*Q78,12),"00"))))</f>
        <v/>
      </c>
      <c r="S78" s="47"/>
      <c r="T78" s="47"/>
      <c r="U78" s="47"/>
      <c r="V78" s="47"/>
      <c r="W78" s="47"/>
      <c r="X78" s="47"/>
      <c r="Y78" s="47"/>
      <c r="Z78" s="47"/>
      <c r="AA78" s="47"/>
      <c r="AB78" s="47"/>
      <c r="AC78" s="47"/>
      <c r="AD78" s="47"/>
      <c r="AE78" s="47"/>
      <c r="AF78" s="47"/>
      <c r="AG78" s="47"/>
      <c r="AH78" s="47"/>
      <c r="AI78" s="46"/>
      <c r="AJ78" s="46"/>
      <c r="AK78" s="46"/>
      <c r="AL78" s="7"/>
      <c r="AM78" s="49" t="str">
        <f aca="false">IF(OR(C78="",G78=""),"",IFERROR(DATEDIF(C78,G78,"m"),""))</f>
        <v/>
      </c>
      <c r="AN78" s="49" t="str">
        <f aca="false">IF(OR(Q78="",AM78=""),"",60+2*Q78-AM78)</f>
        <v/>
      </c>
      <c r="AO78" s="49" t="str">
        <f aca="false">IF(OR(G78="",AJ78=""),"",AJ78-G78)</f>
        <v/>
      </c>
      <c r="AP78" s="50" t="str">
        <f aca="false">IF(AND(A78="",B78=""),"",IF(J78="","Status needed",IF(OR(J78="Applied",J78="Visit booked",J78="Withdrawn"),"OK",IF(G78="","Date assessed needed",IF(C78="","Date of birth needed",IF(COUNTA(L78,M78,P78,U78,V78,X78,AB78)&lt;7,"Band missing",IF(AND(OR(J78="Decision confirmed",J78="Family told",J78="Enrolled"),AG78=""),"Recommendation needed",IF(AND(OR(J78="Family told",J78="Enrolled"),AJ78=""),"Date family told needed","OK"))))))))</f>
        <v/>
      </c>
    </row>
    <row r="79" customFormat="false" ht="15" hidden="false" customHeight="false" outlineLevel="0" collapsed="false">
      <c r="A79" s="7"/>
      <c r="B79" s="7"/>
      <c r="C79" s="46"/>
      <c r="D79" s="7"/>
      <c r="E79" s="47"/>
      <c r="F79" s="46"/>
      <c r="G79" s="46"/>
      <c r="H79" s="7"/>
      <c r="I79" s="7"/>
      <c r="J79" s="47"/>
      <c r="K79" s="47"/>
      <c r="L79" s="47"/>
      <c r="M79" s="47"/>
      <c r="N79" s="10"/>
      <c r="O79" s="47"/>
      <c r="P79" s="47"/>
      <c r="Q79" s="47"/>
      <c r="R79" s="48" t="str">
        <f aca="false">IF(Q79="","",IF(Q79=0,"below 5:00",IF(Q79&gt;=66,"16:00 or above",INT((60+2*Q79)/12)&amp;":"&amp;TEXT(MOD(60+2*Q79,12),"00"))))</f>
        <v/>
      </c>
      <c r="S79" s="47"/>
      <c r="T79" s="47"/>
      <c r="U79" s="47"/>
      <c r="V79" s="47"/>
      <c r="W79" s="47"/>
      <c r="X79" s="47"/>
      <c r="Y79" s="47"/>
      <c r="Z79" s="47"/>
      <c r="AA79" s="47"/>
      <c r="AB79" s="47"/>
      <c r="AC79" s="47"/>
      <c r="AD79" s="47"/>
      <c r="AE79" s="47"/>
      <c r="AF79" s="47"/>
      <c r="AG79" s="47"/>
      <c r="AH79" s="47"/>
      <c r="AI79" s="46"/>
      <c r="AJ79" s="46"/>
      <c r="AK79" s="46"/>
      <c r="AL79" s="7"/>
      <c r="AM79" s="49" t="str">
        <f aca="false">IF(OR(C79="",G79=""),"",IFERROR(DATEDIF(C79,G79,"m"),""))</f>
        <v/>
      </c>
      <c r="AN79" s="49" t="str">
        <f aca="false">IF(OR(Q79="",AM79=""),"",60+2*Q79-AM79)</f>
        <v/>
      </c>
      <c r="AO79" s="49" t="str">
        <f aca="false">IF(OR(G79="",AJ79=""),"",AJ79-G79)</f>
        <v/>
      </c>
      <c r="AP79" s="50" t="str">
        <f aca="false">IF(AND(A79="",B79=""),"",IF(J79="","Status needed",IF(OR(J79="Applied",J79="Visit booked",J79="Withdrawn"),"OK",IF(G79="","Date assessed needed",IF(C79="","Date of birth needed",IF(COUNTA(L79,M79,P79,U79,V79,X79,AB79)&lt;7,"Band missing",IF(AND(OR(J79="Decision confirmed",J79="Family told",J79="Enrolled"),AG79=""),"Recommendation needed",IF(AND(OR(J79="Family told",J79="Enrolled"),AJ79=""),"Date family told needed","OK"))))))))</f>
        <v/>
      </c>
    </row>
    <row r="80" customFormat="false" ht="15" hidden="false" customHeight="false" outlineLevel="0" collapsed="false">
      <c r="A80" s="7"/>
      <c r="B80" s="7"/>
      <c r="C80" s="46"/>
      <c r="D80" s="7"/>
      <c r="E80" s="47"/>
      <c r="F80" s="46"/>
      <c r="G80" s="46"/>
      <c r="H80" s="7"/>
      <c r="I80" s="7"/>
      <c r="J80" s="47"/>
      <c r="K80" s="47"/>
      <c r="L80" s="47"/>
      <c r="M80" s="47"/>
      <c r="N80" s="10"/>
      <c r="O80" s="47"/>
      <c r="P80" s="47"/>
      <c r="Q80" s="47"/>
      <c r="R80" s="48" t="str">
        <f aca="false">IF(Q80="","",IF(Q80=0,"below 5:00",IF(Q80&gt;=66,"16:00 or above",INT((60+2*Q80)/12)&amp;":"&amp;TEXT(MOD(60+2*Q80,12),"00"))))</f>
        <v/>
      </c>
      <c r="S80" s="47"/>
      <c r="T80" s="47"/>
      <c r="U80" s="47"/>
      <c r="V80" s="47"/>
      <c r="W80" s="47"/>
      <c r="X80" s="47"/>
      <c r="Y80" s="47"/>
      <c r="Z80" s="47"/>
      <c r="AA80" s="47"/>
      <c r="AB80" s="47"/>
      <c r="AC80" s="47"/>
      <c r="AD80" s="47"/>
      <c r="AE80" s="47"/>
      <c r="AF80" s="47"/>
      <c r="AG80" s="47"/>
      <c r="AH80" s="47"/>
      <c r="AI80" s="46"/>
      <c r="AJ80" s="46"/>
      <c r="AK80" s="46"/>
      <c r="AL80" s="7"/>
      <c r="AM80" s="49" t="str">
        <f aca="false">IF(OR(C80="",G80=""),"",IFERROR(DATEDIF(C80,G80,"m"),""))</f>
        <v/>
      </c>
      <c r="AN80" s="49" t="str">
        <f aca="false">IF(OR(Q80="",AM80=""),"",60+2*Q80-AM80)</f>
        <v/>
      </c>
      <c r="AO80" s="49" t="str">
        <f aca="false">IF(OR(G80="",AJ80=""),"",AJ80-G80)</f>
        <v/>
      </c>
      <c r="AP80" s="50" t="str">
        <f aca="false">IF(AND(A80="",B80=""),"",IF(J80="","Status needed",IF(OR(J80="Applied",J80="Visit booked",J80="Withdrawn"),"OK",IF(G80="","Date assessed needed",IF(C80="","Date of birth needed",IF(COUNTA(L80,M80,P80,U80,V80,X80,AB80)&lt;7,"Band missing",IF(AND(OR(J80="Decision confirmed",J80="Family told",J80="Enrolled"),AG80=""),"Recommendation needed",IF(AND(OR(J80="Family told",J80="Enrolled"),AJ80=""),"Date family told needed","OK"))))))))</f>
        <v/>
      </c>
    </row>
    <row r="81" customFormat="false" ht="15" hidden="false" customHeight="false" outlineLevel="0" collapsed="false">
      <c r="A81" s="7"/>
      <c r="B81" s="7"/>
      <c r="C81" s="46"/>
      <c r="D81" s="7"/>
      <c r="E81" s="47"/>
      <c r="F81" s="46"/>
      <c r="G81" s="46"/>
      <c r="H81" s="7"/>
      <c r="I81" s="7"/>
      <c r="J81" s="47"/>
      <c r="K81" s="47"/>
      <c r="L81" s="47"/>
      <c r="M81" s="47"/>
      <c r="N81" s="10"/>
      <c r="O81" s="47"/>
      <c r="P81" s="47"/>
      <c r="Q81" s="47"/>
      <c r="R81" s="48" t="str">
        <f aca="false">IF(Q81="","",IF(Q81=0,"below 5:00",IF(Q81&gt;=66,"16:00 or above",INT((60+2*Q81)/12)&amp;":"&amp;TEXT(MOD(60+2*Q81,12),"00"))))</f>
        <v/>
      </c>
      <c r="S81" s="47"/>
      <c r="T81" s="47"/>
      <c r="U81" s="47"/>
      <c r="V81" s="47"/>
      <c r="W81" s="47"/>
      <c r="X81" s="47"/>
      <c r="Y81" s="47"/>
      <c r="Z81" s="47"/>
      <c r="AA81" s="47"/>
      <c r="AB81" s="47"/>
      <c r="AC81" s="47"/>
      <c r="AD81" s="47"/>
      <c r="AE81" s="47"/>
      <c r="AF81" s="47"/>
      <c r="AG81" s="47"/>
      <c r="AH81" s="47"/>
      <c r="AI81" s="46"/>
      <c r="AJ81" s="46"/>
      <c r="AK81" s="46"/>
      <c r="AL81" s="7"/>
      <c r="AM81" s="49" t="str">
        <f aca="false">IF(OR(C81="",G81=""),"",IFERROR(DATEDIF(C81,G81,"m"),""))</f>
        <v/>
      </c>
      <c r="AN81" s="49" t="str">
        <f aca="false">IF(OR(Q81="",AM81=""),"",60+2*Q81-AM81)</f>
        <v/>
      </c>
      <c r="AO81" s="49" t="str">
        <f aca="false">IF(OR(G81="",AJ81=""),"",AJ81-G81)</f>
        <v/>
      </c>
      <c r="AP81" s="50" t="str">
        <f aca="false">IF(AND(A81="",B81=""),"",IF(J81="","Status needed",IF(OR(J81="Applied",J81="Visit booked",J81="Withdrawn"),"OK",IF(G81="","Date assessed needed",IF(C81="","Date of birth needed",IF(COUNTA(L81,M81,P81,U81,V81,X81,AB81)&lt;7,"Band missing",IF(AND(OR(J81="Decision confirmed",J81="Family told",J81="Enrolled"),AG81=""),"Recommendation needed",IF(AND(OR(J81="Family told",J81="Enrolled"),AJ81=""),"Date family told needed","OK"))))))))</f>
        <v/>
      </c>
    </row>
    <row r="82" customFormat="false" ht="15" hidden="false" customHeight="false" outlineLevel="0" collapsed="false">
      <c r="A82" s="7"/>
      <c r="B82" s="7"/>
      <c r="C82" s="46"/>
      <c r="D82" s="7"/>
      <c r="E82" s="47"/>
      <c r="F82" s="46"/>
      <c r="G82" s="46"/>
      <c r="H82" s="7"/>
      <c r="I82" s="7"/>
      <c r="J82" s="47"/>
      <c r="K82" s="47"/>
      <c r="L82" s="47"/>
      <c r="M82" s="47"/>
      <c r="N82" s="10"/>
      <c r="O82" s="47"/>
      <c r="P82" s="47"/>
      <c r="Q82" s="47"/>
      <c r="R82" s="48" t="str">
        <f aca="false">IF(Q82="","",IF(Q82=0,"below 5:00",IF(Q82&gt;=66,"16:00 or above",INT((60+2*Q82)/12)&amp;":"&amp;TEXT(MOD(60+2*Q82,12),"00"))))</f>
        <v/>
      </c>
      <c r="S82" s="47"/>
      <c r="T82" s="47"/>
      <c r="U82" s="47"/>
      <c r="V82" s="47"/>
      <c r="W82" s="47"/>
      <c r="X82" s="47"/>
      <c r="Y82" s="47"/>
      <c r="Z82" s="47"/>
      <c r="AA82" s="47"/>
      <c r="AB82" s="47"/>
      <c r="AC82" s="47"/>
      <c r="AD82" s="47"/>
      <c r="AE82" s="47"/>
      <c r="AF82" s="47"/>
      <c r="AG82" s="47"/>
      <c r="AH82" s="47"/>
      <c r="AI82" s="46"/>
      <c r="AJ82" s="46"/>
      <c r="AK82" s="46"/>
      <c r="AL82" s="7"/>
      <c r="AM82" s="49" t="str">
        <f aca="false">IF(OR(C82="",G82=""),"",IFERROR(DATEDIF(C82,G82,"m"),""))</f>
        <v/>
      </c>
      <c r="AN82" s="49" t="str">
        <f aca="false">IF(OR(Q82="",AM82=""),"",60+2*Q82-AM82)</f>
        <v/>
      </c>
      <c r="AO82" s="49" t="str">
        <f aca="false">IF(OR(G82="",AJ82=""),"",AJ82-G82)</f>
        <v/>
      </c>
      <c r="AP82" s="50" t="str">
        <f aca="false">IF(AND(A82="",B82=""),"",IF(J82="","Status needed",IF(OR(J82="Applied",J82="Visit booked",J82="Withdrawn"),"OK",IF(G82="","Date assessed needed",IF(C82="","Date of birth needed",IF(COUNTA(L82,M82,P82,U82,V82,X82,AB82)&lt;7,"Band missing",IF(AND(OR(J82="Decision confirmed",J82="Family told",J82="Enrolled"),AG82=""),"Recommendation needed",IF(AND(OR(J82="Family told",J82="Enrolled"),AJ82=""),"Date family told needed","OK"))))))))</f>
        <v/>
      </c>
    </row>
    <row r="83" customFormat="false" ht="15" hidden="false" customHeight="false" outlineLevel="0" collapsed="false">
      <c r="A83" s="7"/>
      <c r="B83" s="7"/>
      <c r="C83" s="46"/>
      <c r="D83" s="7"/>
      <c r="E83" s="47"/>
      <c r="F83" s="46"/>
      <c r="G83" s="46"/>
      <c r="H83" s="7"/>
      <c r="I83" s="7"/>
      <c r="J83" s="47"/>
      <c r="K83" s="47"/>
      <c r="L83" s="47"/>
      <c r="M83" s="47"/>
      <c r="N83" s="10"/>
      <c r="O83" s="47"/>
      <c r="P83" s="47"/>
      <c r="Q83" s="47"/>
      <c r="R83" s="48" t="str">
        <f aca="false">IF(Q83="","",IF(Q83=0,"below 5:00",IF(Q83&gt;=66,"16:00 or above",INT((60+2*Q83)/12)&amp;":"&amp;TEXT(MOD(60+2*Q83,12),"00"))))</f>
        <v/>
      </c>
      <c r="S83" s="47"/>
      <c r="T83" s="47"/>
      <c r="U83" s="47"/>
      <c r="V83" s="47"/>
      <c r="W83" s="47"/>
      <c r="X83" s="47"/>
      <c r="Y83" s="47"/>
      <c r="Z83" s="47"/>
      <c r="AA83" s="47"/>
      <c r="AB83" s="47"/>
      <c r="AC83" s="47"/>
      <c r="AD83" s="47"/>
      <c r="AE83" s="47"/>
      <c r="AF83" s="47"/>
      <c r="AG83" s="47"/>
      <c r="AH83" s="47"/>
      <c r="AI83" s="46"/>
      <c r="AJ83" s="46"/>
      <c r="AK83" s="46"/>
      <c r="AL83" s="7"/>
      <c r="AM83" s="49" t="str">
        <f aca="false">IF(OR(C83="",G83=""),"",IFERROR(DATEDIF(C83,G83,"m"),""))</f>
        <v/>
      </c>
      <c r="AN83" s="49" t="str">
        <f aca="false">IF(OR(Q83="",AM83=""),"",60+2*Q83-AM83)</f>
        <v/>
      </c>
      <c r="AO83" s="49" t="str">
        <f aca="false">IF(OR(G83="",AJ83=""),"",AJ83-G83)</f>
        <v/>
      </c>
      <c r="AP83" s="50" t="str">
        <f aca="false">IF(AND(A83="",B83=""),"",IF(J83="","Status needed",IF(OR(J83="Applied",J83="Visit booked",J83="Withdrawn"),"OK",IF(G83="","Date assessed needed",IF(C83="","Date of birth needed",IF(COUNTA(L83,M83,P83,U83,V83,X83,AB83)&lt;7,"Band missing",IF(AND(OR(J83="Decision confirmed",J83="Family told",J83="Enrolled"),AG83=""),"Recommendation needed",IF(AND(OR(J83="Family told",J83="Enrolled"),AJ83=""),"Date family told needed","OK"))))))))</f>
        <v/>
      </c>
    </row>
    <row r="84" customFormat="false" ht="15" hidden="false" customHeight="false" outlineLevel="0" collapsed="false">
      <c r="A84" s="7"/>
      <c r="B84" s="7"/>
      <c r="C84" s="46"/>
      <c r="D84" s="7"/>
      <c r="E84" s="47"/>
      <c r="F84" s="46"/>
      <c r="G84" s="46"/>
      <c r="H84" s="7"/>
      <c r="I84" s="7"/>
      <c r="J84" s="47"/>
      <c r="K84" s="47"/>
      <c r="L84" s="47"/>
      <c r="M84" s="47"/>
      <c r="N84" s="10"/>
      <c r="O84" s="47"/>
      <c r="P84" s="47"/>
      <c r="Q84" s="47"/>
      <c r="R84" s="48" t="str">
        <f aca="false">IF(Q84="","",IF(Q84=0,"below 5:00",IF(Q84&gt;=66,"16:00 or above",INT((60+2*Q84)/12)&amp;":"&amp;TEXT(MOD(60+2*Q84,12),"00"))))</f>
        <v/>
      </c>
      <c r="S84" s="47"/>
      <c r="T84" s="47"/>
      <c r="U84" s="47"/>
      <c r="V84" s="47"/>
      <c r="W84" s="47"/>
      <c r="X84" s="47"/>
      <c r="Y84" s="47"/>
      <c r="Z84" s="47"/>
      <c r="AA84" s="47"/>
      <c r="AB84" s="47"/>
      <c r="AC84" s="47"/>
      <c r="AD84" s="47"/>
      <c r="AE84" s="47"/>
      <c r="AF84" s="47"/>
      <c r="AG84" s="47"/>
      <c r="AH84" s="47"/>
      <c r="AI84" s="46"/>
      <c r="AJ84" s="46"/>
      <c r="AK84" s="46"/>
      <c r="AL84" s="7"/>
      <c r="AM84" s="49" t="str">
        <f aca="false">IF(OR(C84="",G84=""),"",IFERROR(DATEDIF(C84,G84,"m"),""))</f>
        <v/>
      </c>
      <c r="AN84" s="49" t="str">
        <f aca="false">IF(OR(Q84="",AM84=""),"",60+2*Q84-AM84)</f>
        <v/>
      </c>
      <c r="AO84" s="49" t="str">
        <f aca="false">IF(OR(G84="",AJ84=""),"",AJ84-G84)</f>
        <v/>
      </c>
      <c r="AP84" s="50" t="str">
        <f aca="false">IF(AND(A84="",B84=""),"",IF(J84="","Status needed",IF(OR(J84="Applied",J84="Visit booked",J84="Withdrawn"),"OK",IF(G84="","Date assessed needed",IF(C84="","Date of birth needed",IF(COUNTA(L84,M84,P84,U84,V84,X84,AB84)&lt;7,"Band missing",IF(AND(OR(J84="Decision confirmed",J84="Family told",J84="Enrolled"),AG84=""),"Recommendation needed",IF(AND(OR(J84="Family told",J84="Enrolled"),AJ84=""),"Date family told needed","OK"))))))))</f>
        <v/>
      </c>
    </row>
    <row r="85" customFormat="false" ht="15" hidden="false" customHeight="false" outlineLevel="0" collapsed="false">
      <c r="A85" s="7"/>
      <c r="B85" s="7"/>
      <c r="C85" s="46"/>
      <c r="D85" s="7"/>
      <c r="E85" s="47"/>
      <c r="F85" s="46"/>
      <c r="G85" s="46"/>
      <c r="H85" s="7"/>
      <c r="I85" s="7"/>
      <c r="J85" s="47"/>
      <c r="K85" s="47"/>
      <c r="L85" s="47"/>
      <c r="M85" s="47"/>
      <c r="N85" s="10"/>
      <c r="O85" s="47"/>
      <c r="P85" s="47"/>
      <c r="Q85" s="47"/>
      <c r="R85" s="48" t="str">
        <f aca="false">IF(Q85="","",IF(Q85=0,"below 5:00",IF(Q85&gt;=66,"16:00 or above",INT((60+2*Q85)/12)&amp;":"&amp;TEXT(MOD(60+2*Q85,12),"00"))))</f>
        <v/>
      </c>
      <c r="S85" s="47"/>
      <c r="T85" s="47"/>
      <c r="U85" s="47"/>
      <c r="V85" s="47"/>
      <c r="W85" s="47"/>
      <c r="X85" s="47"/>
      <c r="Y85" s="47"/>
      <c r="Z85" s="47"/>
      <c r="AA85" s="47"/>
      <c r="AB85" s="47"/>
      <c r="AC85" s="47"/>
      <c r="AD85" s="47"/>
      <c r="AE85" s="47"/>
      <c r="AF85" s="47"/>
      <c r="AG85" s="47"/>
      <c r="AH85" s="47"/>
      <c r="AI85" s="46"/>
      <c r="AJ85" s="46"/>
      <c r="AK85" s="46"/>
      <c r="AL85" s="7"/>
      <c r="AM85" s="49" t="str">
        <f aca="false">IF(OR(C85="",G85=""),"",IFERROR(DATEDIF(C85,G85,"m"),""))</f>
        <v/>
      </c>
      <c r="AN85" s="49" t="str">
        <f aca="false">IF(OR(Q85="",AM85=""),"",60+2*Q85-AM85)</f>
        <v/>
      </c>
      <c r="AO85" s="49" t="str">
        <f aca="false">IF(OR(G85="",AJ85=""),"",AJ85-G85)</f>
        <v/>
      </c>
      <c r="AP85" s="50" t="str">
        <f aca="false">IF(AND(A85="",B85=""),"",IF(J85="","Status needed",IF(OR(J85="Applied",J85="Visit booked",J85="Withdrawn"),"OK",IF(G85="","Date assessed needed",IF(C85="","Date of birth needed",IF(COUNTA(L85,M85,P85,U85,V85,X85,AB85)&lt;7,"Band missing",IF(AND(OR(J85="Decision confirmed",J85="Family told",J85="Enrolled"),AG85=""),"Recommendation needed",IF(AND(OR(J85="Family told",J85="Enrolled"),AJ85=""),"Date family told needed","OK"))))))))</f>
        <v/>
      </c>
    </row>
    <row r="86" customFormat="false" ht="15" hidden="false" customHeight="false" outlineLevel="0" collapsed="false">
      <c r="A86" s="7"/>
      <c r="B86" s="7"/>
      <c r="C86" s="46"/>
      <c r="D86" s="7"/>
      <c r="E86" s="47"/>
      <c r="F86" s="46"/>
      <c r="G86" s="46"/>
      <c r="H86" s="7"/>
      <c r="I86" s="7"/>
      <c r="J86" s="47"/>
      <c r="K86" s="47"/>
      <c r="L86" s="47"/>
      <c r="M86" s="47"/>
      <c r="N86" s="10"/>
      <c r="O86" s="47"/>
      <c r="P86" s="47"/>
      <c r="Q86" s="47"/>
      <c r="R86" s="48" t="str">
        <f aca="false">IF(Q86="","",IF(Q86=0,"below 5:00",IF(Q86&gt;=66,"16:00 or above",INT((60+2*Q86)/12)&amp;":"&amp;TEXT(MOD(60+2*Q86,12),"00"))))</f>
        <v/>
      </c>
      <c r="S86" s="47"/>
      <c r="T86" s="47"/>
      <c r="U86" s="47"/>
      <c r="V86" s="47"/>
      <c r="W86" s="47"/>
      <c r="X86" s="47"/>
      <c r="Y86" s="47"/>
      <c r="Z86" s="47"/>
      <c r="AA86" s="47"/>
      <c r="AB86" s="47"/>
      <c r="AC86" s="47"/>
      <c r="AD86" s="47"/>
      <c r="AE86" s="47"/>
      <c r="AF86" s="47"/>
      <c r="AG86" s="47"/>
      <c r="AH86" s="47"/>
      <c r="AI86" s="46"/>
      <c r="AJ86" s="46"/>
      <c r="AK86" s="46"/>
      <c r="AL86" s="7"/>
      <c r="AM86" s="49" t="str">
        <f aca="false">IF(OR(C86="",G86=""),"",IFERROR(DATEDIF(C86,G86,"m"),""))</f>
        <v/>
      </c>
      <c r="AN86" s="49" t="str">
        <f aca="false">IF(OR(Q86="",AM86=""),"",60+2*Q86-AM86)</f>
        <v/>
      </c>
      <c r="AO86" s="49" t="str">
        <f aca="false">IF(OR(G86="",AJ86=""),"",AJ86-G86)</f>
        <v/>
      </c>
      <c r="AP86" s="50" t="str">
        <f aca="false">IF(AND(A86="",B86=""),"",IF(J86="","Status needed",IF(OR(J86="Applied",J86="Visit booked",J86="Withdrawn"),"OK",IF(G86="","Date assessed needed",IF(C86="","Date of birth needed",IF(COUNTA(L86,M86,P86,U86,V86,X86,AB86)&lt;7,"Band missing",IF(AND(OR(J86="Decision confirmed",J86="Family told",J86="Enrolled"),AG86=""),"Recommendation needed",IF(AND(OR(J86="Family told",J86="Enrolled"),AJ86=""),"Date family told needed","OK"))))))))</f>
        <v/>
      </c>
    </row>
    <row r="87" customFormat="false" ht="15" hidden="false" customHeight="false" outlineLevel="0" collapsed="false">
      <c r="A87" s="7"/>
      <c r="B87" s="7"/>
      <c r="C87" s="46"/>
      <c r="D87" s="7"/>
      <c r="E87" s="47"/>
      <c r="F87" s="46"/>
      <c r="G87" s="46"/>
      <c r="H87" s="7"/>
      <c r="I87" s="7"/>
      <c r="J87" s="47"/>
      <c r="K87" s="47"/>
      <c r="L87" s="47"/>
      <c r="M87" s="47"/>
      <c r="N87" s="10"/>
      <c r="O87" s="47"/>
      <c r="P87" s="47"/>
      <c r="Q87" s="47"/>
      <c r="R87" s="48" t="str">
        <f aca="false">IF(Q87="","",IF(Q87=0,"below 5:00",IF(Q87&gt;=66,"16:00 or above",INT((60+2*Q87)/12)&amp;":"&amp;TEXT(MOD(60+2*Q87,12),"00"))))</f>
        <v/>
      </c>
      <c r="S87" s="47"/>
      <c r="T87" s="47"/>
      <c r="U87" s="47"/>
      <c r="V87" s="47"/>
      <c r="W87" s="47"/>
      <c r="X87" s="47"/>
      <c r="Y87" s="47"/>
      <c r="Z87" s="47"/>
      <c r="AA87" s="47"/>
      <c r="AB87" s="47"/>
      <c r="AC87" s="47"/>
      <c r="AD87" s="47"/>
      <c r="AE87" s="47"/>
      <c r="AF87" s="47"/>
      <c r="AG87" s="47"/>
      <c r="AH87" s="47"/>
      <c r="AI87" s="46"/>
      <c r="AJ87" s="46"/>
      <c r="AK87" s="46"/>
      <c r="AL87" s="7"/>
      <c r="AM87" s="49" t="str">
        <f aca="false">IF(OR(C87="",G87=""),"",IFERROR(DATEDIF(C87,G87,"m"),""))</f>
        <v/>
      </c>
      <c r="AN87" s="49" t="str">
        <f aca="false">IF(OR(Q87="",AM87=""),"",60+2*Q87-AM87)</f>
        <v/>
      </c>
      <c r="AO87" s="49" t="str">
        <f aca="false">IF(OR(G87="",AJ87=""),"",AJ87-G87)</f>
        <v/>
      </c>
      <c r="AP87" s="50" t="str">
        <f aca="false">IF(AND(A87="",B87=""),"",IF(J87="","Status needed",IF(OR(J87="Applied",J87="Visit booked",J87="Withdrawn"),"OK",IF(G87="","Date assessed needed",IF(C87="","Date of birth needed",IF(COUNTA(L87,M87,P87,U87,V87,X87,AB87)&lt;7,"Band missing",IF(AND(OR(J87="Decision confirmed",J87="Family told",J87="Enrolled"),AG87=""),"Recommendation needed",IF(AND(OR(J87="Family told",J87="Enrolled"),AJ87=""),"Date family told needed","OK"))))))))</f>
        <v/>
      </c>
    </row>
    <row r="88" customFormat="false" ht="15" hidden="false" customHeight="false" outlineLevel="0" collapsed="false">
      <c r="A88" s="7"/>
      <c r="B88" s="7"/>
      <c r="C88" s="46"/>
      <c r="D88" s="7"/>
      <c r="E88" s="47"/>
      <c r="F88" s="46"/>
      <c r="G88" s="46"/>
      <c r="H88" s="7"/>
      <c r="I88" s="7"/>
      <c r="J88" s="47"/>
      <c r="K88" s="47"/>
      <c r="L88" s="47"/>
      <c r="M88" s="47"/>
      <c r="N88" s="10"/>
      <c r="O88" s="47"/>
      <c r="P88" s="47"/>
      <c r="Q88" s="47"/>
      <c r="R88" s="48" t="str">
        <f aca="false">IF(Q88="","",IF(Q88=0,"below 5:00",IF(Q88&gt;=66,"16:00 or above",INT((60+2*Q88)/12)&amp;":"&amp;TEXT(MOD(60+2*Q88,12),"00"))))</f>
        <v/>
      </c>
      <c r="S88" s="47"/>
      <c r="T88" s="47"/>
      <c r="U88" s="47"/>
      <c r="V88" s="47"/>
      <c r="W88" s="47"/>
      <c r="X88" s="47"/>
      <c r="Y88" s="47"/>
      <c r="Z88" s="47"/>
      <c r="AA88" s="47"/>
      <c r="AB88" s="47"/>
      <c r="AC88" s="47"/>
      <c r="AD88" s="47"/>
      <c r="AE88" s="47"/>
      <c r="AF88" s="47"/>
      <c r="AG88" s="47"/>
      <c r="AH88" s="47"/>
      <c r="AI88" s="46"/>
      <c r="AJ88" s="46"/>
      <c r="AK88" s="46"/>
      <c r="AL88" s="7"/>
      <c r="AM88" s="49" t="str">
        <f aca="false">IF(OR(C88="",G88=""),"",IFERROR(DATEDIF(C88,G88,"m"),""))</f>
        <v/>
      </c>
      <c r="AN88" s="49" t="str">
        <f aca="false">IF(OR(Q88="",AM88=""),"",60+2*Q88-AM88)</f>
        <v/>
      </c>
      <c r="AO88" s="49" t="str">
        <f aca="false">IF(OR(G88="",AJ88=""),"",AJ88-G88)</f>
        <v/>
      </c>
      <c r="AP88" s="50" t="str">
        <f aca="false">IF(AND(A88="",B88=""),"",IF(J88="","Status needed",IF(OR(J88="Applied",J88="Visit booked",J88="Withdrawn"),"OK",IF(G88="","Date assessed needed",IF(C88="","Date of birth needed",IF(COUNTA(L88,M88,P88,U88,V88,X88,AB88)&lt;7,"Band missing",IF(AND(OR(J88="Decision confirmed",J88="Family told",J88="Enrolled"),AG88=""),"Recommendation needed",IF(AND(OR(J88="Family told",J88="Enrolled"),AJ88=""),"Date family told needed","OK"))))))))</f>
        <v/>
      </c>
    </row>
    <row r="89" customFormat="false" ht="15" hidden="false" customHeight="false" outlineLevel="0" collapsed="false">
      <c r="A89" s="7"/>
      <c r="B89" s="7"/>
      <c r="C89" s="46"/>
      <c r="D89" s="7"/>
      <c r="E89" s="47"/>
      <c r="F89" s="46"/>
      <c r="G89" s="46"/>
      <c r="H89" s="7"/>
      <c r="I89" s="7"/>
      <c r="J89" s="47"/>
      <c r="K89" s="47"/>
      <c r="L89" s="47"/>
      <c r="M89" s="47"/>
      <c r="N89" s="10"/>
      <c r="O89" s="47"/>
      <c r="P89" s="47"/>
      <c r="Q89" s="47"/>
      <c r="R89" s="48" t="str">
        <f aca="false">IF(Q89="","",IF(Q89=0,"below 5:00",IF(Q89&gt;=66,"16:00 or above",INT((60+2*Q89)/12)&amp;":"&amp;TEXT(MOD(60+2*Q89,12),"00"))))</f>
        <v/>
      </c>
      <c r="S89" s="47"/>
      <c r="T89" s="47"/>
      <c r="U89" s="47"/>
      <c r="V89" s="47"/>
      <c r="W89" s="47"/>
      <c r="X89" s="47"/>
      <c r="Y89" s="47"/>
      <c r="Z89" s="47"/>
      <c r="AA89" s="47"/>
      <c r="AB89" s="47"/>
      <c r="AC89" s="47"/>
      <c r="AD89" s="47"/>
      <c r="AE89" s="47"/>
      <c r="AF89" s="47"/>
      <c r="AG89" s="47"/>
      <c r="AH89" s="47"/>
      <c r="AI89" s="46"/>
      <c r="AJ89" s="46"/>
      <c r="AK89" s="46"/>
      <c r="AL89" s="7"/>
      <c r="AM89" s="49" t="str">
        <f aca="false">IF(OR(C89="",G89=""),"",IFERROR(DATEDIF(C89,G89,"m"),""))</f>
        <v/>
      </c>
      <c r="AN89" s="49" t="str">
        <f aca="false">IF(OR(Q89="",AM89=""),"",60+2*Q89-AM89)</f>
        <v/>
      </c>
      <c r="AO89" s="49" t="str">
        <f aca="false">IF(OR(G89="",AJ89=""),"",AJ89-G89)</f>
        <v/>
      </c>
      <c r="AP89" s="50" t="str">
        <f aca="false">IF(AND(A89="",B89=""),"",IF(J89="","Status needed",IF(OR(J89="Applied",J89="Visit booked",J89="Withdrawn"),"OK",IF(G89="","Date assessed needed",IF(C89="","Date of birth needed",IF(COUNTA(L89,M89,P89,U89,V89,X89,AB89)&lt;7,"Band missing",IF(AND(OR(J89="Decision confirmed",J89="Family told",J89="Enrolled"),AG89=""),"Recommendation needed",IF(AND(OR(J89="Family told",J89="Enrolled"),AJ89=""),"Date family told needed","OK"))))))))</f>
        <v/>
      </c>
    </row>
    <row r="90" customFormat="false" ht="15" hidden="false" customHeight="false" outlineLevel="0" collapsed="false">
      <c r="A90" s="7"/>
      <c r="B90" s="7"/>
      <c r="C90" s="46"/>
      <c r="D90" s="7"/>
      <c r="E90" s="47"/>
      <c r="F90" s="46"/>
      <c r="G90" s="46"/>
      <c r="H90" s="7"/>
      <c r="I90" s="7"/>
      <c r="J90" s="47"/>
      <c r="K90" s="47"/>
      <c r="L90" s="47"/>
      <c r="M90" s="47"/>
      <c r="N90" s="10"/>
      <c r="O90" s="47"/>
      <c r="P90" s="47"/>
      <c r="Q90" s="47"/>
      <c r="R90" s="48" t="str">
        <f aca="false">IF(Q90="","",IF(Q90=0,"below 5:00",IF(Q90&gt;=66,"16:00 or above",INT((60+2*Q90)/12)&amp;":"&amp;TEXT(MOD(60+2*Q90,12),"00"))))</f>
        <v/>
      </c>
      <c r="S90" s="47"/>
      <c r="T90" s="47"/>
      <c r="U90" s="47"/>
      <c r="V90" s="47"/>
      <c r="W90" s="47"/>
      <c r="X90" s="47"/>
      <c r="Y90" s="47"/>
      <c r="Z90" s="47"/>
      <c r="AA90" s="47"/>
      <c r="AB90" s="47"/>
      <c r="AC90" s="47"/>
      <c r="AD90" s="47"/>
      <c r="AE90" s="47"/>
      <c r="AF90" s="47"/>
      <c r="AG90" s="47"/>
      <c r="AH90" s="47"/>
      <c r="AI90" s="46"/>
      <c r="AJ90" s="46"/>
      <c r="AK90" s="46"/>
      <c r="AL90" s="7"/>
      <c r="AM90" s="49" t="str">
        <f aca="false">IF(OR(C90="",G90=""),"",IFERROR(DATEDIF(C90,G90,"m"),""))</f>
        <v/>
      </c>
      <c r="AN90" s="49" t="str">
        <f aca="false">IF(OR(Q90="",AM90=""),"",60+2*Q90-AM90)</f>
        <v/>
      </c>
      <c r="AO90" s="49" t="str">
        <f aca="false">IF(OR(G90="",AJ90=""),"",AJ90-G90)</f>
        <v/>
      </c>
      <c r="AP90" s="50" t="str">
        <f aca="false">IF(AND(A90="",B90=""),"",IF(J90="","Status needed",IF(OR(J90="Applied",J90="Visit booked",J90="Withdrawn"),"OK",IF(G90="","Date assessed needed",IF(C90="","Date of birth needed",IF(COUNTA(L90,M90,P90,U90,V90,X90,AB90)&lt;7,"Band missing",IF(AND(OR(J90="Decision confirmed",J90="Family told",J90="Enrolled"),AG90=""),"Recommendation needed",IF(AND(OR(J90="Family told",J90="Enrolled"),AJ90=""),"Date family told needed","OK"))))))))</f>
        <v/>
      </c>
    </row>
    <row r="91" customFormat="false" ht="15" hidden="false" customHeight="false" outlineLevel="0" collapsed="false">
      <c r="A91" s="7"/>
      <c r="B91" s="7"/>
      <c r="C91" s="46"/>
      <c r="D91" s="7"/>
      <c r="E91" s="47"/>
      <c r="F91" s="46"/>
      <c r="G91" s="46"/>
      <c r="H91" s="7"/>
      <c r="I91" s="7"/>
      <c r="J91" s="47"/>
      <c r="K91" s="47"/>
      <c r="L91" s="47"/>
      <c r="M91" s="47"/>
      <c r="N91" s="10"/>
      <c r="O91" s="47"/>
      <c r="P91" s="47"/>
      <c r="Q91" s="47"/>
      <c r="R91" s="48" t="str">
        <f aca="false">IF(Q91="","",IF(Q91=0,"below 5:00",IF(Q91&gt;=66,"16:00 or above",INT((60+2*Q91)/12)&amp;":"&amp;TEXT(MOD(60+2*Q91,12),"00"))))</f>
        <v/>
      </c>
      <c r="S91" s="47"/>
      <c r="T91" s="47"/>
      <c r="U91" s="47"/>
      <c r="V91" s="47"/>
      <c r="W91" s="47"/>
      <c r="X91" s="47"/>
      <c r="Y91" s="47"/>
      <c r="Z91" s="47"/>
      <c r="AA91" s="47"/>
      <c r="AB91" s="47"/>
      <c r="AC91" s="47"/>
      <c r="AD91" s="47"/>
      <c r="AE91" s="47"/>
      <c r="AF91" s="47"/>
      <c r="AG91" s="47"/>
      <c r="AH91" s="47"/>
      <c r="AI91" s="46"/>
      <c r="AJ91" s="46"/>
      <c r="AK91" s="46"/>
      <c r="AL91" s="7"/>
      <c r="AM91" s="49" t="str">
        <f aca="false">IF(OR(C91="",G91=""),"",IFERROR(DATEDIF(C91,G91,"m"),""))</f>
        <v/>
      </c>
      <c r="AN91" s="49" t="str">
        <f aca="false">IF(OR(Q91="",AM91=""),"",60+2*Q91-AM91)</f>
        <v/>
      </c>
      <c r="AO91" s="49" t="str">
        <f aca="false">IF(OR(G91="",AJ91=""),"",AJ91-G91)</f>
        <v/>
      </c>
      <c r="AP91" s="50" t="str">
        <f aca="false">IF(AND(A91="",B91=""),"",IF(J91="","Status needed",IF(OR(J91="Applied",J91="Visit booked",J91="Withdrawn"),"OK",IF(G91="","Date assessed needed",IF(C91="","Date of birth needed",IF(COUNTA(L91,M91,P91,U91,V91,X91,AB91)&lt;7,"Band missing",IF(AND(OR(J91="Decision confirmed",J91="Family told",J91="Enrolled"),AG91=""),"Recommendation needed",IF(AND(OR(J91="Family told",J91="Enrolled"),AJ91=""),"Date family told needed","OK"))))))))</f>
        <v/>
      </c>
    </row>
    <row r="92" customFormat="false" ht="15" hidden="false" customHeight="false" outlineLevel="0" collapsed="false">
      <c r="A92" s="7"/>
      <c r="B92" s="7"/>
      <c r="C92" s="46"/>
      <c r="D92" s="7"/>
      <c r="E92" s="47"/>
      <c r="F92" s="46"/>
      <c r="G92" s="46"/>
      <c r="H92" s="7"/>
      <c r="I92" s="7"/>
      <c r="J92" s="47"/>
      <c r="K92" s="47"/>
      <c r="L92" s="47"/>
      <c r="M92" s="47"/>
      <c r="N92" s="10"/>
      <c r="O92" s="47"/>
      <c r="P92" s="47"/>
      <c r="Q92" s="47"/>
      <c r="R92" s="48" t="str">
        <f aca="false">IF(Q92="","",IF(Q92=0,"below 5:00",IF(Q92&gt;=66,"16:00 or above",INT((60+2*Q92)/12)&amp;":"&amp;TEXT(MOD(60+2*Q92,12),"00"))))</f>
        <v/>
      </c>
      <c r="S92" s="47"/>
      <c r="T92" s="47"/>
      <c r="U92" s="47"/>
      <c r="V92" s="47"/>
      <c r="W92" s="47"/>
      <c r="X92" s="47"/>
      <c r="Y92" s="47"/>
      <c r="Z92" s="47"/>
      <c r="AA92" s="47"/>
      <c r="AB92" s="47"/>
      <c r="AC92" s="47"/>
      <c r="AD92" s="47"/>
      <c r="AE92" s="47"/>
      <c r="AF92" s="47"/>
      <c r="AG92" s="47"/>
      <c r="AH92" s="47"/>
      <c r="AI92" s="46"/>
      <c r="AJ92" s="46"/>
      <c r="AK92" s="46"/>
      <c r="AL92" s="7"/>
      <c r="AM92" s="49" t="str">
        <f aca="false">IF(OR(C92="",G92=""),"",IFERROR(DATEDIF(C92,G92,"m"),""))</f>
        <v/>
      </c>
      <c r="AN92" s="49" t="str">
        <f aca="false">IF(OR(Q92="",AM92=""),"",60+2*Q92-AM92)</f>
        <v/>
      </c>
      <c r="AO92" s="49" t="str">
        <f aca="false">IF(OR(G92="",AJ92=""),"",AJ92-G92)</f>
        <v/>
      </c>
      <c r="AP92" s="50" t="str">
        <f aca="false">IF(AND(A92="",B92=""),"",IF(J92="","Status needed",IF(OR(J92="Applied",J92="Visit booked",J92="Withdrawn"),"OK",IF(G92="","Date assessed needed",IF(C92="","Date of birth needed",IF(COUNTA(L92,M92,P92,U92,V92,X92,AB92)&lt;7,"Band missing",IF(AND(OR(J92="Decision confirmed",J92="Family told",J92="Enrolled"),AG92=""),"Recommendation needed",IF(AND(OR(J92="Family told",J92="Enrolled"),AJ92=""),"Date family told needed","OK"))))))))</f>
        <v/>
      </c>
    </row>
    <row r="93" customFormat="false" ht="15" hidden="false" customHeight="false" outlineLevel="0" collapsed="false">
      <c r="A93" s="7"/>
      <c r="B93" s="7"/>
      <c r="C93" s="46"/>
      <c r="D93" s="7"/>
      <c r="E93" s="47"/>
      <c r="F93" s="46"/>
      <c r="G93" s="46"/>
      <c r="H93" s="7"/>
      <c r="I93" s="7"/>
      <c r="J93" s="47"/>
      <c r="K93" s="47"/>
      <c r="L93" s="47"/>
      <c r="M93" s="47"/>
      <c r="N93" s="10"/>
      <c r="O93" s="47"/>
      <c r="P93" s="47"/>
      <c r="Q93" s="47"/>
      <c r="R93" s="48" t="str">
        <f aca="false">IF(Q93="","",IF(Q93=0,"below 5:00",IF(Q93&gt;=66,"16:00 or above",INT((60+2*Q93)/12)&amp;":"&amp;TEXT(MOD(60+2*Q93,12),"00"))))</f>
        <v/>
      </c>
      <c r="S93" s="47"/>
      <c r="T93" s="47"/>
      <c r="U93" s="47"/>
      <c r="V93" s="47"/>
      <c r="W93" s="47"/>
      <c r="X93" s="47"/>
      <c r="Y93" s="47"/>
      <c r="Z93" s="47"/>
      <c r="AA93" s="47"/>
      <c r="AB93" s="47"/>
      <c r="AC93" s="47"/>
      <c r="AD93" s="47"/>
      <c r="AE93" s="47"/>
      <c r="AF93" s="47"/>
      <c r="AG93" s="47"/>
      <c r="AH93" s="47"/>
      <c r="AI93" s="46"/>
      <c r="AJ93" s="46"/>
      <c r="AK93" s="46"/>
      <c r="AL93" s="7"/>
      <c r="AM93" s="49" t="str">
        <f aca="false">IF(OR(C93="",G93=""),"",IFERROR(DATEDIF(C93,G93,"m"),""))</f>
        <v/>
      </c>
      <c r="AN93" s="49" t="str">
        <f aca="false">IF(OR(Q93="",AM93=""),"",60+2*Q93-AM93)</f>
        <v/>
      </c>
      <c r="AO93" s="49" t="str">
        <f aca="false">IF(OR(G93="",AJ93=""),"",AJ93-G93)</f>
        <v/>
      </c>
      <c r="AP93" s="50" t="str">
        <f aca="false">IF(AND(A93="",B93=""),"",IF(J93="","Status needed",IF(OR(J93="Applied",J93="Visit booked",J93="Withdrawn"),"OK",IF(G93="","Date assessed needed",IF(C93="","Date of birth needed",IF(COUNTA(L93,M93,P93,U93,V93,X93,AB93)&lt;7,"Band missing",IF(AND(OR(J93="Decision confirmed",J93="Family told",J93="Enrolled"),AG93=""),"Recommendation needed",IF(AND(OR(J93="Family told",J93="Enrolled"),AJ93=""),"Date family told needed","OK"))))))))</f>
        <v/>
      </c>
    </row>
    <row r="94" customFormat="false" ht="15" hidden="false" customHeight="false" outlineLevel="0" collapsed="false">
      <c r="A94" s="7"/>
      <c r="B94" s="7"/>
      <c r="C94" s="46"/>
      <c r="D94" s="7"/>
      <c r="E94" s="47"/>
      <c r="F94" s="46"/>
      <c r="G94" s="46"/>
      <c r="H94" s="7"/>
      <c r="I94" s="7"/>
      <c r="J94" s="47"/>
      <c r="K94" s="47"/>
      <c r="L94" s="47"/>
      <c r="M94" s="47"/>
      <c r="N94" s="10"/>
      <c r="O94" s="47"/>
      <c r="P94" s="47"/>
      <c r="Q94" s="47"/>
      <c r="R94" s="48" t="str">
        <f aca="false">IF(Q94="","",IF(Q94=0,"below 5:00",IF(Q94&gt;=66,"16:00 or above",INT((60+2*Q94)/12)&amp;":"&amp;TEXT(MOD(60+2*Q94,12),"00"))))</f>
        <v/>
      </c>
      <c r="S94" s="47"/>
      <c r="T94" s="47"/>
      <c r="U94" s="47"/>
      <c r="V94" s="47"/>
      <c r="W94" s="47"/>
      <c r="X94" s="47"/>
      <c r="Y94" s="47"/>
      <c r="Z94" s="47"/>
      <c r="AA94" s="47"/>
      <c r="AB94" s="47"/>
      <c r="AC94" s="47"/>
      <c r="AD94" s="47"/>
      <c r="AE94" s="47"/>
      <c r="AF94" s="47"/>
      <c r="AG94" s="47"/>
      <c r="AH94" s="47"/>
      <c r="AI94" s="46"/>
      <c r="AJ94" s="46"/>
      <c r="AK94" s="46"/>
      <c r="AL94" s="7"/>
      <c r="AM94" s="49" t="str">
        <f aca="false">IF(OR(C94="",G94=""),"",IFERROR(DATEDIF(C94,G94,"m"),""))</f>
        <v/>
      </c>
      <c r="AN94" s="49" t="str">
        <f aca="false">IF(OR(Q94="",AM94=""),"",60+2*Q94-AM94)</f>
        <v/>
      </c>
      <c r="AO94" s="49" t="str">
        <f aca="false">IF(OR(G94="",AJ94=""),"",AJ94-G94)</f>
        <v/>
      </c>
      <c r="AP94" s="50" t="str">
        <f aca="false">IF(AND(A94="",B94=""),"",IF(J94="","Status needed",IF(OR(J94="Applied",J94="Visit booked",J94="Withdrawn"),"OK",IF(G94="","Date assessed needed",IF(C94="","Date of birth needed",IF(COUNTA(L94,M94,P94,U94,V94,X94,AB94)&lt;7,"Band missing",IF(AND(OR(J94="Decision confirmed",J94="Family told",J94="Enrolled"),AG94=""),"Recommendation needed",IF(AND(OR(J94="Family told",J94="Enrolled"),AJ94=""),"Date family told needed","OK"))))))))</f>
        <v/>
      </c>
    </row>
    <row r="95" customFormat="false" ht="15" hidden="false" customHeight="false" outlineLevel="0" collapsed="false">
      <c r="A95" s="7"/>
      <c r="B95" s="7"/>
      <c r="C95" s="46"/>
      <c r="D95" s="7"/>
      <c r="E95" s="47"/>
      <c r="F95" s="46"/>
      <c r="G95" s="46"/>
      <c r="H95" s="7"/>
      <c r="I95" s="7"/>
      <c r="J95" s="47"/>
      <c r="K95" s="47"/>
      <c r="L95" s="47"/>
      <c r="M95" s="47"/>
      <c r="N95" s="10"/>
      <c r="O95" s="47"/>
      <c r="P95" s="47"/>
      <c r="Q95" s="47"/>
      <c r="R95" s="48" t="str">
        <f aca="false">IF(Q95="","",IF(Q95=0,"below 5:00",IF(Q95&gt;=66,"16:00 or above",INT((60+2*Q95)/12)&amp;":"&amp;TEXT(MOD(60+2*Q95,12),"00"))))</f>
        <v/>
      </c>
      <c r="S95" s="47"/>
      <c r="T95" s="47"/>
      <c r="U95" s="47"/>
      <c r="V95" s="47"/>
      <c r="W95" s="47"/>
      <c r="X95" s="47"/>
      <c r="Y95" s="47"/>
      <c r="Z95" s="47"/>
      <c r="AA95" s="47"/>
      <c r="AB95" s="47"/>
      <c r="AC95" s="47"/>
      <c r="AD95" s="47"/>
      <c r="AE95" s="47"/>
      <c r="AF95" s="47"/>
      <c r="AG95" s="47"/>
      <c r="AH95" s="47"/>
      <c r="AI95" s="46"/>
      <c r="AJ95" s="46"/>
      <c r="AK95" s="46"/>
      <c r="AL95" s="7"/>
      <c r="AM95" s="49" t="str">
        <f aca="false">IF(OR(C95="",G95=""),"",IFERROR(DATEDIF(C95,G95,"m"),""))</f>
        <v/>
      </c>
      <c r="AN95" s="49" t="str">
        <f aca="false">IF(OR(Q95="",AM95=""),"",60+2*Q95-AM95)</f>
        <v/>
      </c>
      <c r="AO95" s="49" t="str">
        <f aca="false">IF(OR(G95="",AJ95=""),"",AJ95-G95)</f>
        <v/>
      </c>
      <c r="AP95" s="50" t="str">
        <f aca="false">IF(AND(A95="",B95=""),"",IF(J95="","Status needed",IF(OR(J95="Applied",J95="Visit booked",J95="Withdrawn"),"OK",IF(G95="","Date assessed needed",IF(C95="","Date of birth needed",IF(COUNTA(L95,M95,P95,U95,V95,X95,AB95)&lt;7,"Band missing",IF(AND(OR(J95="Decision confirmed",J95="Family told",J95="Enrolled"),AG95=""),"Recommendation needed",IF(AND(OR(J95="Family told",J95="Enrolled"),AJ95=""),"Date family told needed","OK"))))))))</f>
        <v/>
      </c>
    </row>
    <row r="96" customFormat="false" ht="15" hidden="false" customHeight="false" outlineLevel="0" collapsed="false">
      <c r="A96" s="7"/>
      <c r="B96" s="7"/>
      <c r="C96" s="46"/>
      <c r="D96" s="7"/>
      <c r="E96" s="47"/>
      <c r="F96" s="46"/>
      <c r="G96" s="46"/>
      <c r="H96" s="7"/>
      <c r="I96" s="7"/>
      <c r="J96" s="47"/>
      <c r="K96" s="47"/>
      <c r="L96" s="47"/>
      <c r="M96" s="47"/>
      <c r="N96" s="10"/>
      <c r="O96" s="47"/>
      <c r="P96" s="47"/>
      <c r="Q96" s="47"/>
      <c r="R96" s="48" t="str">
        <f aca="false">IF(Q96="","",IF(Q96=0,"below 5:00",IF(Q96&gt;=66,"16:00 or above",INT((60+2*Q96)/12)&amp;":"&amp;TEXT(MOD(60+2*Q96,12),"00"))))</f>
        <v/>
      </c>
      <c r="S96" s="47"/>
      <c r="T96" s="47"/>
      <c r="U96" s="47"/>
      <c r="V96" s="47"/>
      <c r="W96" s="47"/>
      <c r="X96" s="47"/>
      <c r="Y96" s="47"/>
      <c r="Z96" s="47"/>
      <c r="AA96" s="47"/>
      <c r="AB96" s="47"/>
      <c r="AC96" s="47"/>
      <c r="AD96" s="47"/>
      <c r="AE96" s="47"/>
      <c r="AF96" s="47"/>
      <c r="AG96" s="47"/>
      <c r="AH96" s="47"/>
      <c r="AI96" s="46"/>
      <c r="AJ96" s="46"/>
      <c r="AK96" s="46"/>
      <c r="AL96" s="7"/>
      <c r="AM96" s="49" t="str">
        <f aca="false">IF(OR(C96="",G96=""),"",IFERROR(DATEDIF(C96,G96,"m"),""))</f>
        <v/>
      </c>
      <c r="AN96" s="49" t="str">
        <f aca="false">IF(OR(Q96="",AM96=""),"",60+2*Q96-AM96)</f>
        <v/>
      </c>
      <c r="AO96" s="49" t="str">
        <f aca="false">IF(OR(G96="",AJ96=""),"",AJ96-G96)</f>
        <v/>
      </c>
      <c r="AP96" s="50" t="str">
        <f aca="false">IF(AND(A96="",B96=""),"",IF(J96="","Status needed",IF(OR(J96="Applied",J96="Visit booked",J96="Withdrawn"),"OK",IF(G96="","Date assessed needed",IF(C96="","Date of birth needed",IF(COUNTA(L96,M96,P96,U96,V96,X96,AB96)&lt;7,"Band missing",IF(AND(OR(J96="Decision confirmed",J96="Family told",J96="Enrolled"),AG96=""),"Recommendation needed",IF(AND(OR(J96="Family told",J96="Enrolled"),AJ96=""),"Date family told needed","OK"))))))))</f>
        <v/>
      </c>
    </row>
    <row r="97" customFormat="false" ht="15" hidden="false" customHeight="false" outlineLevel="0" collapsed="false">
      <c r="A97" s="7"/>
      <c r="B97" s="7"/>
      <c r="C97" s="46"/>
      <c r="D97" s="7"/>
      <c r="E97" s="47"/>
      <c r="F97" s="46"/>
      <c r="G97" s="46"/>
      <c r="H97" s="7"/>
      <c r="I97" s="7"/>
      <c r="J97" s="47"/>
      <c r="K97" s="47"/>
      <c r="L97" s="47"/>
      <c r="M97" s="47"/>
      <c r="N97" s="10"/>
      <c r="O97" s="47"/>
      <c r="P97" s="47"/>
      <c r="Q97" s="47"/>
      <c r="R97" s="48" t="str">
        <f aca="false">IF(Q97="","",IF(Q97=0,"below 5:00",IF(Q97&gt;=66,"16:00 or above",INT((60+2*Q97)/12)&amp;":"&amp;TEXT(MOD(60+2*Q97,12),"00"))))</f>
        <v/>
      </c>
      <c r="S97" s="47"/>
      <c r="T97" s="47"/>
      <c r="U97" s="47"/>
      <c r="V97" s="47"/>
      <c r="W97" s="47"/>
      <c r="X97" s="47"/>
      <c r="Y97" s="47"/>
      <c r="Z97" s="47"/>
      <c r="AA97" s="47"/>
      <c r="AB97" s="47"/>
      <c r="AC97" s="47"/>
      <c r="AD97" s="47"/>
      <c r="AE97" s="47"/>
      <c r="AF97" s="47"/>
      <c r="AG97" s="47"/>
      <c r="AH97" s="47"/>
      <c r="AI97" s="46"/>
      <c r="AJ97" s="46"/>
      <c r="AK97" s="46"/>
      <c r="AL97" s="7"/>
      <c r="AM97" s="49" t="str">
        <f aca="false">IF(OR(C97="",G97=""),"",IFERROR(DATEDIF(C97,G97,"m"),""))</f>
        <v/>
      </c>
      <c r="AN97" s="49" t="str">
        <f aca="false">IF(OR(Q97="",AM97=""),"",60+2*Q97-AM97)</f>
        <v/>
      </c>
      <c r="AO97" s="49" t="str">
        <f aca="false">IF(OR(G97="",AJ97=""),"",AJ97-G97)</f>
        <v/>
      </c>
      <c r="AP97" s="50" t="str">
        <f aca="false">IF(AND(A97="",B97=""),"",IF(J97="","Status needed",IF(OR(J97="Applied",J97="Visit booked",J97="Withdrawn"),"OK",IF(G97="","Date assessed needed",IF(C97="","Date of birth needed",IF(COUNTA(L97,M97,P97,U97,V97,X97,AB97)&lt;7,"Band missing",IF(AND(OR(J97="Decision confirmed",J97="Family told",J97="Enrolled"),AG97=""),"Recommendation needed",IF(AND(OR(J97="Family told",J97="Enrolled"),AJ97=""),"Date family told needed","OK"))))))))</f>
        <v/>
      </c>
    </row>
    <row r="98" customFormat="false" ht="15" hidden="false" customHeight="false" outlineLevel="0" collapsed="false">
      <c r="A98" s="7"/>
      <c r="B98" s="7"/>
      <c r="C98" s="46"/>
      <c r="D98" s="7"/>
      <c r="E98" s="47"/>
      <c r="F98" s="46"/>
      <c r="G98" s="46"/>
      <c r="H98" s="7"/>
      <c r="I98" s="7"/>
      <c r="J98" s="47"/>
      <c r="K98" s="47"/>
      <c r="L98" s="47"/>
      <c r="M98" s="47"/>
      <c r="N98" s="10"/>
      <c r="O98" s="47"/>
      <c r="P98" s="47"/>
      <c r="Q98" s="47"/>
      <c r="R98" s="48" t="str">
        <f aca="false">IF(Q98="","",IF(Q98=0,"below 5:00",IF(Q98&gt;=66,"16:00 or above",INT((60+2*Q98)/12)&amp;":"&amp;TEXT(MOD(60+2*Q98,12),"00"))))</f>
        <v/>
      </c>
      <c r="S98" s="47"/>
      <c r="T98" s="47"/>
      <c r="U98" s="47"/>
      <c r="V98" s="47"/>
      <c r="W98" s="47"/>
      <c r="X98" s="47"/>
      <c r="Y98" s="47"/>
      <c r="Z98" s="47"/>
      <c r="AA98" s="47"/>
      <c r="AB98" s="47"/>
      <c r="AC98" s="47"/>
      <c r="AD98" s="47"/>
      <c r="AE98" s="47"/>
      <c r="AF98" s="47"/>
      <c r="AG98" s="47"/>
      <c r="AH98" s="47"/>
      <c r="AI98" s="46"/>
      <c r="AJ98" s="46"/>
      <c r="AK98" s="46"/>
      <c r="AL98" s="7"/>
      <c r="AM98" s="49" t="str">
        <f aca="false">IF(OR(C98="",G98=""),"",IFERROR(DATEDIF(C98,G98,"m"),""))</f>
        <v/>
      </c>
      <c r="AN98" s="49" t="str">
        <f aca="false">IF(OR(Q98="",AM98=""),"",60+2*Q98-AM98)</f>
        <v/>
      </c>
      <c r="AO98" s="49" t="str">
        <f aca="false">IF(OR(G98="",AJ98=""),"",AJ98-G98)</f>
        <v/>
      </c>
      <c r="AP98" s="50" t="str">
        <f aca="false">IF(AND(A98="",B98=""),"",IF(J98="","Status needed",IF(OR(J98="Applied",J98="Visit booked",J98="Withdrawn"),"OK",IF(G98="","Date assessed needed",IF(C98="","Date of birth needed",IF(COUNTA(L98,M98,P98,U98,V98,X98,AB98)&lt;7,"Band missing",IF(AND(OR(J98="Decision confirmed",J98="Family told",J98="Enrolled"),AG98=""),"Recommendation needed",IF(AND(OR(J98="Family told",J98="Enrolled"),AJ98=""),"Date family told needed","OK"))))))))</f>
        <v/>
      </c>
    </row>
    <row r="99" customFormat="false" ht="15" hidden="false" customHeight="false" outlineLevel="0" collapsed="false">
      <c r="A99" s="7"/>
      <c r="B99" s="7"/>
      <c r="C99" s="46"/>
      <c r="D99" s="7"/>
      <c r="E99" s="47"/>
      <c r="F99" s="46"/>
      <c r="G99" s="46"/>
      <c r="H99" s="7"/>
      <c r="I99" s="7"/>
      <c r="J99" s="47"/>
      <c r="K99" s="47"/>
      <c r="L99" s="47"/>
      <c r="M99" s="47"/>
      <c r="N99" s="10"/>
      <c r="O99" s="47"/>
      <c r="P99" s="47"/>
      <c r="Q99" s="47"/>
      <c r="R99" s="48" t="str">
        <f aca="false">IF(Q99="","",IF(Q99=0,"below 5:00",IF(Q99&gt;=66,"16:00 or above",INT((60+2*Q99)/12)&amp;":"&amp;TEXT(MOD(60+2*Q99,12),"00"))))</f>
        <v/>
      </c>
      <c r="S99" s="47"/>
      <c r="T99" s="47"/>
      <c r="U99" s="47"/>
      <c r="V99" s="47"/>
      <c r="W99" s="47"/>
      <c r="X99" s="47"/>
      <c r="Y99" s="47"/>
      <c r="Z99" s="47"/>
      <c r="AA99" s="47"/>
      <c r="AB99" s="47"/>
      <c r="AC99" s="47"/>
      <c r="AD99" s="47"/>
      <c r="AE99" s="47"/>
      <c r="AF99" s="47"/>
      <c r="AG99" s="47"/>
      <c r="AH99" s="47"/>
      <c r="AI99" s="46"/>
      <c r="AJ99" s="46"/>
      <c r="AK99" s="46"/>
      <c r="AL99" s="7"/>
      <c r="AM99" s="49" t="str">
        <f aca="false">IF(OR(C99="",G99=""),"",IFERROR(DATEDIF(C99,G99,"m"),""))</f>
        <v/>
      </c>
      <c r="AN99" s="49" t="str">
        <f aca="false">IF(OR(Q99="",AM99=""),"",60+2*Q99-AM99)</f>
        <v/>
      </c>
      <c r="AO99" s="49" t="str">
        <f aca="false">IF(OR(G99="",AJ99=""),"",AJ99-G99)</f>
        <v/>
      </c>
      <c r="AP99" s="50" t="str">
        <f aca="false">IF(AND(A99="",B99=""),"",IF(J99="","Status needed",IF(OR(J99="Applied",J99="Visit booked",J99="Withdrawn"),"OK",IF(G99="","Date assessed needed",IF(C99="","Date of birth needed",IF(COUNTA(L99,M99,P99,U99,V99,X99,AB99)&lt;7,"Band missing",IF(AND(OR(J99="Decision confirmed",J99="Family told",J99="Enrolled"),AG99=""),"Recommendation needed",IF(AND(OR(J99="Family told",J99="Enrolled"),AJ99=""),"Date family told needed","OK"))))))))</f>
        <v/>
      </c>
    </row>
    <row r="100" customFormat="false" ht="15" hidden="false" customHeight="false" outlineLevel="0" collapsed="false">
      <c r="A100" s="7"/>
      <c r="B100" s="7"/>
      <c r="C100" s="46"/>
      <c r="D100" s="7"/>
      <c r="E100" s="47"/>
      <c r="F100" s="46"/>
      <c r="G100" s="46"/>
      <c r="H100" s="7"/>
      <c r="I100" s="7"/>
      <c r="J100" s="47"/>
      <c r="K100" s="47"/>
      <c r="L100" s="47"/>
      <c r="M100" s="47"/>
      <c r="N100" s="10"/>
      <c r="O100" s="47"/>
      <c r="P100" s="47"/>
      <c r="Q100" s="47"/>
      <c r="R100" s="48" t="str">
        <f aca="false">IF(Q100="","",IF(Q100=0,"below 5:00",IF(Q100&gt;=66,"16:00 or above",INT((60+2*Q100)/12)&amp;":"&amp;TEXT(MOD(60+2*Q100,12),"00"))))</f>
        <v/>
      </c>
      <c r="S100" s="47"/>
      <c r="T100" s="47"/>
      <c r="U100" s="47"/>
      <c r="V100" s="47"/>
      <c r="W100" s="47"/>
      <c r="X100" s="47"/>
      <c r="Y100" s="47"/>
      <c r="Z100" s="47"/>
      <c r="AA100" s="47"/>
      <c r="AB100" s="47"/>
      <c r="AC100" s="47"/>
      <c r="AD100" s="47"/>
      <c r="AE100" s="47"/>
      <c r="AF100" s="47"/>
      <c r="AG100" s="47"/>
      <c r="AH100" s="47"/>
      <c r="AI100" s="46"/>
      <c r="AJ100" s="46"/>
      <c r="AK100" s="46"/>
      <c r="AL100" s="7"/>
      <c r="AM100" s="49" t="str">
        <f aca="false">IF(OR(C100="",G100=""),"",IFERROR(DATEDIF(C100,G100,"m"),""))</f>
        <v/>
      </c>
      <c r="AN100" s="49" t="str">
        <f aca="false">IF(OR(Q100="",AM100=""),"",60+2*Q100-AM100)</f>
        <v/>
      </c>
      <c r="AO100" s="49" t="str">
        <f aca="false">IF(OR(G100="",AJ100=""),"",AJ100-G100)</f>
        <v/>
      </c>
      <c r="AP100" s="50" t="str">
        <f aca="false">IF(AND(A100="",B100=""),"",IF(J100="","Status needed",IF(OR(J100="Applied",J100="Visit booked",J100="Withdrawn"),"OK",IF(G100="","Date assessed needed",IF(C100="","Date of birth needed",IF(COUNTA(L100,M100,P100,U100,V100,X100,AB100)&lt;7,"Band missing",IF(AND(OR(J100="Decision confirmed",J100="Family told",J100="Enrolled"),AG100=""),"Recommendation needed",IF(AND(OR(J100="Family told",J100="Enrolled"),AJ100=""),"Date family told needed","OK"))))))))</f>
        <v/>
      </c>
    </row>
    <row r="101" customFormat="false" ht="15" hidden="false" customHeight="false" outlineLevel="0" collapsed="false">
      <c r="A101" s="7"/>
      <c r="B101" s="7"/>
      <c r="C101" s="46"/>
      <c r="D101" s="7"/>
      <c r="E101" s="47"/>
      <c r="F101" s="46"/>
      <c r="G101" s="46"/>
      <c r="H101" s="7"/>
      <c r="I101" s="7"/>
      <c r="J101" s="47"/>
      <c r="K101" s="47"/>
      <c r="L101" s="47"/>
      <c r="M101" s="47"/>
      <c r="N101" s="10"/>
      <c r="O101" s="47"/>
      <c r="P101" s="47"/>
      <c r="Q101" s="47"/>
      <c r="R101" s="48" t="str">
        <f aca="false">IF(Q101="","",IF(Q101=0,"below 5:00",IF(Q101&gt;=66,"16:00 or above",INT((60+2*Q101)/12)&amp;":"&amp;TEXT(MOD(60+2*Q101,12),"00"))))</f>
        <v/>
      </c>
      <c r="S101" s="47"/>
      <c r="T101" s="47"/>
      <c r="U101" s="47"/>
      <c r="V101" s="47"/>
      <c r="W101" s="47"/>
      <c r="X101" s="47"/>
      <c r="Y101" s="47"/>
      <c r="Z101" s="47"/>
      <c r="AA101" s="47"/>
      <c r="AB101" s="47"/>
      <c r="AC101" s="47"/>
      <c r="AD101" s="47"/>
      <c r="AE101" s="47"/>
      <c r="AF101" s="47"/>
      <c r="AG101" s="47"/>
      <c r="AH101" s="47"/>
      <c r="AI101" s="46"/>
      <c r="AJ101" s="46"/>
      <c r="AK101" s="46"/>
      <c r="AL101" s="7"/>
      <c r="AM101" s="49" t="str">
        <f aca="false">IF(OR(C101="",G101=""),"",IFERROR(DATEDIF(C101,G101,"m"),""))</f>
        <v/>
      </c>
      <c r="AN101" s="49" t="str">
        <f aca="false">IF(OR(Q101="",AM101=""),"",60+2*Q101-AM101)</f>
        <v/>
      </c>
      <c r="AO101" s="49" t="str">
        <f aca="false">IF(OR(G101="",AJ101=""),"",AJ101-G101)</f>
        <v/>
      </c>
      <c r="AP101" s="50" t="str">
        <f aca="false">IF(AND(A101="",B101=""),"",IF(J101="","Status needed",IF(OR(J101="Applied",J101="Visit booked",J101="Withdrawn"),"OK",IF(G101="","Date assessed needed",IF(C101="","Date of birth needed",IF(COUNTA(L101,M101,P101,U101,V101,X101,AB101)&lt;7,"Band missing",IF(AND(OR(J101="Decision confirmed",J101="Family told",J101="Enrolled"),AG101=""),"Recommendation needed",IF(AND(OR(J101="Family told",J101="Enrolled"),AJ101=""),"Date family told needed","OK"))))))))</f>
        <v/>
      </c>
    </row>
    <row r="102" customFormat="false" ht="15" hidden="false" customHeight="false" outlineLevel="0" collapsed="false">
      <c r="A102" s="7"/>
      <c r="B102" s="7"/>
      <c r="C102" s="46"/>
      <c r="D102" s="7"/>
      <c r="E102" s="47"/>
      <c r="F102" s="46"/>
      <c r="G102" s="46"/>
      <c r="H102" s="7"/>
      <c r="I102" s="7"/>
      <c r="J102" s="47"/>
      <c r="K102" s="47"/>
      <c r="L102" s="47"/>
      <c r="M102" s="47"/>
      <c r="N102" s="10"/>
      <c r="O102" s="47"/>
      <c r="P102" s="47"/>
      <c r="Q102" s="47"/>
      <c r="R102" s="48" t="str">
        <f aca="false">IF(Q102="","",IF(Q102=0,"below 5:00",IF(Q102&gt;=66,"16:00 or above",INT((60+2*Q102)/12)&amp;":"&amp;TEXT(MOD(60+2*Q102,12),"00"))))</f>
        <v/>
      </c>
      <c r="S102" s="47"/>
      <c r="T102" s="47"/>
      <c r="U102" s="47"/>
      <c r="V102" s="47"/>
      <c r="W102" s="47"/>
      <c r="X102" s="47"/>
      <c r="Y102" s="47"/>
      <c r="Z102" s="47"/>
      <c r="AA102" s="47"/>
      <c r="AB102" s="47"/>
      <c r="AC102" s="47"/>
      <c r="AD102" s="47"/>
      <c r="AE102" s="47"/>
      <c r="AF102" s="47"/>
      <c r="AG102" s="47"/>
      <c r="AH102" s="47"/>
      <c r="AI102" s="46"/>
      <c r="AJ102" s="46"/>
      <c r="AK102" s="46"/>
      <c r="AL102" s="7"/>
      <c r="AM102" s="49" t="str">
        <f aca="false">IF(OR(C102="",G102=""),"",IFERROR(DATEDIF(C102,G102,"m"),""))</f>
        <v/>
      </c>
      <c r="AN102" s="49" t="str">
        <f aca="false">IF(OR(Q102="",AM102=""),"",60+2*Q102-AM102)</f>
        <v/>
      </c>
      <c r="AO102" s="49" t="str">
        <f aca="false">IF(OR(G102="",AJ102=""),"",AJ102-G102)</f>
        <v/>
      </c>
      <c r="AP102" s="50" t="str">
        <f aca="false">IF(AND(A102="",B102=""),"",IF(J102="","Status needed",IF(OR(J102="Applied",J102="Visit booked",J102="Withdrawn"),"OK",IF(G102="","Date assessed needed",IF(C102="","Date of birth needed",IF(COUNTA(L102,M102,P102,U102,V102,X102,AB102)&lt;7,"Band missing",IF(AND(OR(J102="Decision confirmed",J102="Family told",J102="Enrolled"),AG102=""),"Recommendation needed",IF(AND(OR(J102="Family told",J102="Enrolled"),AJ102=""),"Date family told needed","OK"))))))))</f>
        <v/>
      </c>
    </row>
    <row r="103" customFormat="false" ht="15" hidden="false" customHeight="false" outlineLevel="0" collapsed="false">
      <c r="A103" s="7"/>
      <c r="B103" s="7"/>
      <c r="C103" s="46"/>
      <c r="D103" s="7"/>
      <c r="E103" s="47"/>
      <c r="F103" s="46"/>
      <c r="G103" s="46"/>
      <c r="H103" s="7"/>
      <c r="I103" s="7"/>
      <c r="J103" s="47"/>
      <c r="K103" s="47"/>
      <c r="L103" s="47"/>
      <c r="M103" s="47"/>
      <c r="N103" s="10"/>
      <c r="O103" s="47"/>
      <c r="P103" s="47"/>
      <c r="Q103" s="47"/>
      <c r="R103" s="48" t="str">
        <f aca="false">IF(Q103="","",IF(Q103=0,"below 5:00",IF(Q103&gt;=66,"16:00 or above",INT((60+2*Q103)/12)&amp;":"&amp;TEXT(MOD(60+2*Q103,12),"00"))))</f>
        <v/>
      </c>
      <c r="S103" s="47"/>
      <c r="T103" s="47"/>
      <c r="U103" s="47"/>
      <c r="V103" s="47"/>
      <c r="W103" s="47"/>
      <c r="X103" s="47"/>
      <c r="Y103" s="47"/>
      <c r="Z103" s="47"/>
      <c r="AA103" s="47"/>
      <c r="AB103" s="47"/>
      <c r="AC103" s="47"/>
      <c r="AD103" s="47"/>
      <c r="AE103" s="47"/>
      <c r="AF103" s="47"/>
      <c r="AG103" s="47"/>
      <c r="AH103" s="47"/>
      <c r="AI103" s="46"/>
      <c r="AJ103" s="46"/>
      <c r="AK103" s="46"/>
      <c r="AL103" s="7"/>
      <c r="AM103" s="49" t="str">
        <f aca="false">IF(OR(C103="",G103=""),"",IFERROR(DATEDIF(C103,G103,"m"),""))</f>
        <v/>
      </c>
      <c r="AN103" s="49" t="str">
        <f aca="false">IF(OR(Q103="",AM103=""),"",60+2*Q103-AM103)</f>
        <v/>
      </c>
      <c r="AO103" s="49" t="str">
        <f aca="false">IF(OR(G103="",AJ103=""),"",AJ103-G103)</f>
        <v/>
      </c>
      <c r="AP103" s="50" t="str">
        <f aca="false">IF(AND(A103="",B103=""),"",IF(J103="","Status needed",IF(OR(J103="Applied",J103="Visit booked",J103="Withdrawn"),"OK",IF(G103="","Date assessed needed",IF(C103="","Date of birth needed",IF(COUNTA(L103,M103,P103,U103,V103,X103,AB103)&lt;7,"Band missing",IF(AND(OR(J103="Decision confirmed",J103="Family told",J103="Enrolled"),AG103=""),"Recommendation needed",IF(AND(OR(J103="Family told",J103="Enrolled"),AJ103=""),"Date family told needed","OK"))))))))</f>
        <v/>
      </c>
    </row>
    <row r="104" customFormat="false" ht="15" hidden="false" customHeight="false" outlineLevel="0" collapsed="false">
      <c r="A104" s="7"/>
      <c r="B104" s="7"/>
      <c r="C104" s="46"/>
      <c r="D104" s="7"/>
      <c r="E104" s="47"/>
      <c r="F104" s="46"/>
      <c r="G104" s="46"/>
      <c r="H104" s="7"/>
      <c r="I104" s="7"/>
      <c r="J104" s="47"/>
      <c r="K104" s="47"/>
      <c r="L104" s="47"/>
      <c r="M104" s="47"/>
      <c r="N104" s="10"/>
      <c r="O104" s="47"/>
      <c r="P104" s="47"/>
      <c r="Q104" s="47"/>
      <c r="R104" s="48" t="str">
        <f aca="false">IF(Q104="","",IF(Q104=0,"below 5:00",IF(Q104&gt;=66,"16:00 or above",INT((60+2*Q104)/12)&amp;":"&amp;TEXT(MOD(60+2*Q104,12),"00"))))</f>
        <v/>
      </c>
      <c r="S104" s="47"/>
      <c r="T104" s="47"/>
      <c r="U104" s="47"/>
      <c r="V104" s="47"/>
      <c r="W104" s="47"/>
      <c r="X104" s="47"/>
      <c r="Y104" s="47"/>
      <c r="Z104" s="47"/>
      <c r="AA104" s="47"/>
      <c r="AB104" s="47"/>
      <c r="AC104" s="47"/>
      <c r="AD104" s="47"/>
      <c r="AE104" s="47"/>
      <c r="AF104" s="47"/>
      <c r="AG104" s="47"/>
      <c r="AH104" s="47"/>
      <c r="AI104" s="46"/>
      <c r="AJ104" s="46"/>
      <c r="AK104" s="46"/>
      <c r="AL104" s="7"/>
      <c r="AM104" s="49" t="str">
        <f aca="false">IF(OR(C104="",G104=""),"",IFERROR(DATEDIF(C104,G104,"m"),""))</f>
        <v/>
      </c>
      <c r="AN104" s="49" t="str">
        <f aca="false">IF(OR(Q104="",AM104=""),"",60+2*Q104-AM104)</f>
        <v/>
      </c>
      <c r="AO104" s="49" t="str">
        <f aca="false">IF(OR(G104="",AJ104=""),"",AJ104-G104)</f>
        <v/>
      </c>
      <c r="AP104" s="50" t="str">
        <f aca="false">IF(AND(A104="",B104=""),"",IF(J104="","Status needed",IF(OR(J104="Applied",J104="Visit booked",J104="Withdrawn"),"OK",IF(G104="","Date assessed needed",IF(C104="","Date of birth needed",IF(COUNTA(L104,M104,P104,U104,V104,X104,AB104)&lt;7,"Band missing",IF(AND(OR(J104="Decision confirmed",J104="Family told",J104="Enrolled"),AG104=""),"Recommendation needed",IF(AND(OR(J104="Family told",J104="Enrolled"),AJ104=""),"Date family told needed","OK"))))))))</f>
        <v/>
      </c>
    </row>
    <row r="105" customFormat="false" ht="15" hidden="false" customHeight="false" outlineLevel="0" collapsed="false">
      <c r="A105" s="7"/>
      <c r="B105" s="7"/>
      <c r="C105" s="46"/>
      <c r="D105" s="7"/>
      <c r="E105" s="47"/>
      <c r="F105" s="46"/>
      <c r="G105" s="46"/>
      <c r="H105" s="7"/>
      <c r="I105" s="7"/>
      <c r="J105" s="47"/>
      <c r="K105" s="47"/>
      <c r="L105" s="47"/>
      <c r="M105" s="47"/>
      <c r="N105" s="10"/>
      <c r="O105" s="47"/>
      <c r="P105" s="47"/>
      <c r="Q105" s="47"/>
      <c r="R105" s="48" t="str">
        <f aca="false">IF(Q105="","",IF(Q105=0,"below 5:00",IF(Q105&gt;=66,"16:00 or above",INT((60+2*Q105)/12)&amp;":"&amp;TEXT(MOD(60+2*Q105,12),"00"))))</f>
        <v/>
      </c>
      <c r="S105" s="47"/>
      <c r="T105" s="47"/>
      <c r="U105" s="47"/>
      <c r="V105" s="47"/>
      <c r="W105" s="47"/>
      <c r="X105" s="47"/>
      <c r="Y105" s="47"/>
      <c r="Z105" s="47"/>
      <c r="AA105" s="47"/>
      <c r="AB105" s="47"/>
      <c r="AC105" s="47"/>
      <c r="AD105" s="47"/>
      <c r="AE105" s="47"/>
      <c r="AF105" s="47"/>
      <c r="AG105" s="47"/>
      <c r="AH105" s="47"/>
      <c r="AI105" s="46"/>
      <c r="AJ105" s="46"/>
      <c r="AK105" s="46"/>
      <c r="AL105" s="7"/>
      <c r="AM105" s="49" t="str">
        <f aca="false">IF(OR(C105="",G105=""),"",IFERROR(DATEDIF(C105,G105,"m"),""))</f>
        <v/>
      </c>
      <c r="AN105" s="49" t="str">
        <f aca="false">IF(OR(Q105="",AM105=""),"",60+2*Q105-AM105)</f>
        <v/>
      </c>
      <c r="AO105" s="49" t="str">
        <f aca="false">IF(OR(G105="",AJ105=""),"",AJ105-G105)</f>
        <v/>
      </c>
      <c r="AP105" s="50" t="str">
        <f aca="false">IF(AND(A105="",B105=""),"",IF(J105="","Status needed",IF(OR(J105="Applied",J105="Visit booked",J105="Withdrawn"),"OK",IF(G105="","Date assessed needed",IF(C105="","Date of birth needed",IF(COUNTA(L105,M105,P105,U105,V105,X105,AB105)&lt;7,"Band missing",IF(AND(OR(J105="Decision confirmed",J105="Family told",J105="Enrolled"),AG105=""),"Recommendation needed",IF(AND(OR(J105="Family told",J105="Enrolled"),AJ105=""),"Date family told needed","OK"))))))))</f>
        <v/>
      </c>
    </row>
    <row r="106" customFormat="false" ht="15" hidden="false" customHeight="false" outlineLevel="0" collapsed="false">
      <c r="A106" s="7"/>
      <c r="B106" s="7"/>
      <c r="C106" s="46"/>
      <c r="D106" s="7"/>
      <c r="E106" s="47"/>
      <c r="F106" s="46"/>
      <c r="G106" s="46"/>
      <c r="H106" s="7"/>
      <c r="I106" s="7"/>
      <c r="J106" s="47"/>
      <c r="K106" s="47"/>
      <c r="L106" s="47"/>
      <c r="M106" s="47"/>
      <c r="N106" s="10"/>
      <c r="O106" s="47"/>
      <c r="P106" s="47"/>
      <c r="Q106" s="47"/>
      <c r="R106" s="48" t="str">
        <f aca="false">IF(Q106="","",IF(Q106=0,"below 5:00",IF(Q106&gt;=66,"16:00 or above",INT((60+2*Q106)/12)&amp;":"&amp;TEXT(MOD(60+2*Q106,12),"00"))))</f>
        <v/>
      </c>
      <c r="S106" s="47"/>
      <c r="T106" s="47"/>
      <c r="U106" s="47"/>
      <c r="V106" s="47"/>
      <c r="W106" s="47"/>
      <c r="X106" s="47"/>
      <c r="Y106" s="47"/>
      <c r="Z106" s="47"/>
      <c r="AA106" s="47"/>
      <c r="AB106" s="47"/>
      <c r="AC106" s="47"/>
      <c r="AD106" s="47"/>
      <c r="AE106" s="47"/>
      <c r="AF106" s="47"/>
      <c r="AG106" s="47"/>
      <c r="AH106" s="47"/>
      <c r="AI106" s="46"/>
      <c r="AJ106" s="46"/>
      <c r="AK106" s="46"/>
      <c r="AL106" s="7"/>
      <c r="AM106" s="49" t="str">
        <f aca="false">IF(OR(C106="",G106=""),"",IFERROR(DATEDIF(C106,G106,"m"),""))</f>
        <v/>
      </c>
      <c r="AN106" s="49" t="str">
        <f aca="false">IF(OR(Q106="",AM106=""),"",60+2*Q106-AM106)</f>
        <v/>
      </c>
      <c r="AO106" s="49" t="str">
        <f aca="false">IF(OR(G106="",AJ106=""),"",AJ106-G106)</f>
        <v/>
      </c>
      <c r="AP106" s="50" t="str">
        <f aca="false">IF(AND(A106="",B106=""),"",IF(J106="","Status needed",IF(OR(J106="Applied",J106="Visit booked",J106="Withdrawn"),"OK",IF(G106="","Date assessed needed",IF(C106="","Date of birth needed",IF(COUNTA(L106,M106,P106,U106,V106,X106,AB106)&lt;7,"Band missing",IF(AND(OR(J106="Decision confirmed",J106="Family told",J106="Enrolled"),AG106=""),"Recommendation needed",IF(AND(OR(J106="Family told",J106="Enrolled"),AJ106=""),"Date family told needed","OK"))))))))</f>
        <v/>
      </c>
    </row>
    <row r="107" customFormat="false" ht="15" hidden="false" customHeight="false" outlineLevel="0" collapsed="false">
      <c r="A107" s="7"/>
      <c r="B107" s="7"/>
      <c r="C107" s="46"/>
      <c r="D107" s="7"/>
      <c r="E107" s="47"/>
      <c r="F107" s="46"/>
      <c r="G107" s="46"/>
      <c r="H107" s="7"/>
      <c r="I107" s="7"/>
      <c r="J107" s="47"/>
      <c r="K107" s="47"/>
      <c r="L107" s="47"/>
      <c r="M107" s="47"/>
      <c r="N107" s="10"/>
      <c r="O107" s="47"/>
      <c r="P107" s="47"/>
      <c r="Q107" s="47"/>
      <c r="R107" s="48" t="str">
        <f aca="false">IF(Q107="","",IF(Q107=0,"below 5:00",IF(Q107&gt;=66,"16:00 or above",INT((60+2*Q107)/12)&amp;":"&amp;TEXT(MOD(60+2*Q107,12),"00"))))</f>
        <v/>
      </c>
      <c r="S107" s="47"/>
      <c r="T107" s="47"/>
      <c r="U107" s="47"/>
      <c r="V107" s="47"/>
      <c r="W107" s="47"/>
      <c r="X107" s="47"/>
      <c r="Y107" s="47"/>
      <c r="Z107" s="47"/>
      <c r="AA107" s="47"/>
      <c r="AB107" s="47"/>
      <c r="AC107" s="47"/>
      <c r="AD107" s="47"/>
      <c r="AE107" s="47"/>
      <c r="AF107" s="47"/>
      <c r="AG107" s="47"/>
      <c r="AH107" s="47"/>
      <c r="AI107" s="46"/>
      <c r="AJ107" s="46"/>
      <c r="AK107" s="46"/>
      <c r="AL107" s="7"/>
      <c r="AM107" s="49" t="str">
        <f aca="false">IF(OR(C107="",G107=""),"",IFERROR(DATEDIF(C107,G107,"m"),""))</f>
        <v/>
      </c>
      <c r="AN107" s="49" t="str">
        <f aca="false">IF(OR(Q107="",AM107=""),"",60+2*Q107-AM107)</f>
        <v/>
      </c>
      <c r="AO107" s="49" t="str">
        <f aca="false">IF(OR(G107="",AJ107=""),"",AJ107-G107)</f>
        <v/>
      </c>
      <c r="AP107" s="50" t="str">
        <f aca="false">IF(AND(A107="",B107=""),"",IF(J107="","Status needed",IF(OR(J107="Applied",J107="Visit booked",J107="Withdrawn"),"OK",IF(G107="","Date assessed needed",IF(C107="","Date of birth needed",IF(COUNTA(L107,M107,P107,U107,V107,X107,AB107)&lt;7,"Band missing",IF(AND(OR(J107="Decision confirmed",J107="Family told",J107="Enrolled"),AG107=""),"Recommendation needed",IF(AND(OR(J107="Family told",J107="Enrolled"),AJ107=""),"Date family told needed","OK"))))))))</f>
        <v/>
      </c>
    </row>
    <row r="108" customFormat="false" ht="15" hidden="false" customHeight="false" outlineLevel="0" collapsed="false">
      <c r="A108" s="7"/>
      <c r="B108" s="7"/>
      <c r="C108" s="46"/>
      <c r="D108" s="7"/>
      <c r="E108" s="47"/>
      <c r="F108" s="46"/>
      <c r="G108" s="46"/>
      <c r="H108" s="7"/>
      <c r="I108" s="7"/>
      <c r="J108" s="47"/>
      <c r="K108" s="47"/>
      <c r="L108" s="47"/>
      <c r="M108" s="47"/>
      <c r="N108" s="10"/>
      <c r="O108" s="47"/>
      <c r="P108" s="47"/>
      <c r="Q108" s="47"/>
      <c r="R108" s="48" t="str">
        <f aca="false">IF(Q108="","",IF(Q108=0,"below 5:00",IF(Q108&gt;=66,"16:00 or above",INT((60+2*Q108)/12)&amp;":"&amp;TEXT(MOD(60+2*Q108,12),"00"))))</f>
        <v/>
      </c>
      <c r="S108" s="47"/>
      <c r="T108" s="47"/>
      <c r="U108" s="47"/>
      <c r="V108" s="47"/>
      <c r="W108" s="47"/>
      <c r="X108" s="47"/>
      <c r="Y108" s="47"/>
      <c r="Z108" s="47"/>
      <c r="AA108" s="47"/>
      <c r="AB108" s="47"/>
      <c r="AC108" s="47"/>
      <c r="AD108" s="47"/>
      <c r="AE108" s="47"/>
      <c r="AF108" s="47"/>
      <c r="AG108" s="47"/>
      <c r="AH108" s="47"/>
      <c r="AI108" s="46"/>
      <c r="AJ108" s="46"/>
      <c r="AK108" s="46"/>
      <c r="AL108" s="7"/>
      <c r="AM108" s="49" t="str">
        <f aca="false">IF(OR(C108="",G108=""),"",IFERROR(DATEDIF(C108,G108,"m"),""))</f>
        <v/>
      </c>
      <c r="AN108" s="49" t="str">
        <f aca="false">IF(OR(Q108="",AM108=""),"",60+2*Q108-AM108)</f>
        <v/>
      </c>
      <c r="AO108" s="49" t="str">
        <f aca="false">IF(OR(G108="",AJ108=""),"",AJ108-G108)</f>
        <v/>
      </c>
      <c r="AP108" s="50" t="str">
        <f aca="false">IF(AND(A108="",B108=""),"",IF(J108="","Status needed",IF(OR(J108="Applied",J108="Visit booked",J108="Withdrawn"),"OK",IF(G108="","Date assessed needed",IF(C108="","Date of birth needed",IF(COUNTA(L108,M108,P108,U108,V108,X108,AB108)&lt;7,"Band missing",IF(AND(OR(J108="Decision confirmed",J108="Family told",J108="Enrolled"),AG108=""),"Recommendation needed",IF(AND(OR(J108="Family told",J108="Enrolled"),AJ108=""),"Date family told needed","OK"))))))))</f>
        <v/>
      </c>
    </row>
    <row r="109" customFormat="false" ht="15" hidden="false" customHeight="false" outlineLevel="0" collapsed="false">
      <c r="A109" s="7"/>
      <c r="B109" s="7"/>
      <c r="C109" s="46"/>
      <c r="D109" s="7"/>
      <c r="E109" s="47"/>
      <c r="F109" s="46"/>
      <c r="G109" s="46"/>
      <c r="H109" s="7"/>
      <c r="I109" s="7"/>
      <c r="J109" s="47"/>
      <c r="K109" s="47"/>
      <c r="L109" s="47"/>
      <c r="M109" s="47"/>
      <c r="N109" s="10"/>
      <c r="O109" s="47"/>
      <c r="P109" s="47"/>
      <c r="Q109" s="47"/>
      <c r="R109" s="48" t="str">
        <f aca="false">IF(Q109="","",IF(Q109=0,"below 5:00",IF(Q109&gt;=66,"16:00 or above",INT((60+2*Q109)/12)&amp;":"&amp;TEXT(MOD(60+2*Q109,12),"00"))))</f>
        <v/>
      </c>
      <c r="S109" s="47"/>
      <c r="T109" s="47"/>
      <c r="U109" s="47"/>
      <c r="V109" s="47"/>
      <c r="W109" s="47"/>
      <c r="X109" s="47"/>
      <c r="Y109" s="47"/>
      <c r="Z109" s="47"/>
      <c r="AA109" s="47"/>
      <c r="AB109" s="47"/>
      <c r="AC109" s="47"/>
      <c r="AD109" s="47"/>
      <c r="AE109" s="47"/>
      <c r="AF109" s="47"/>
      <c r="AG109" s="47"/>
      <c r="AH109" s="47"/>
      <c r="AI109" s="46"/>
      <c r="AJ109" s="46"/>
      <c r="AK109" s="46"/>
      <c r="AL109" s="7"/>
      <c r="AM109" s="49" t="str">
        <f aca="false">IF(OR(C109="",G109=""),"",IFERROR(DATEDIF(C109,G109,"m"),""))</f>
        <v/>
      </c>
      <c r="AN109" s="49" t="str">
        <f aca="false">IF(OR(Q109="",AM109=""),"",60+2*Q109-AM109)</f>
        <v/>
      </c>
      <c r="AO109" s="49" t="str">
        <f aca="false">IF(OR(G109="",AJ109=""),"",AJ109-G109)</f>
        <v/>
      </c>
      <c r="AP109" s="50" t="str">
        <f aca="false">IF(AND(A109="",B109=""),"",IF(J109="","Status needed",IF(OR(J109="Applied",J109="Visit booked",J109="Withdrawn"),"OK",IF(G109="","Date assessed needed",IF(C109="","Date of birth needed",IF(COUNTA(L109,M109,P109,U109,V109,X109,AB109)&lt;7,"Band missing",IF(AND(OR(J109="Decision confirmed",J109="Family told",J109="Enrolled"),AG109=""),"Recommendation needed",IF(AND(OR(J109="Family told",J109="Enrolled"),AJ109=""),"Date family told needed","OK"))))))))</f>
        <v/>
      </c>
    </row>
    <row r="110" customFormat="false" ht="15" hidden="false" customHeight="false" outlineLevel="0" collapsed="false">
      <c r="A110" s="7"/>
      <c r="B110" s="7"/>
      <c r="C110" s="46"/>
      <c r="D110" s="7"/>
      <c r="E110" s="47"/>
      <c r="F110" s="46"/>
      <c r="G110" s="46"/>
      <c r="H110" s="7"/>
      <c r="I110" s="7"/>
      <c r="J110" s="47"/>
      <c r="K110" s="47"/>
      <c r="L110" s="47"/>
      <c r="M110" s="47"/>
      <c r="N110" s="10"/>
      <c r="O110" s="47"/>
      <c r="P110" s="47"/>
      <c r="Q110" s="47"/>
      <c r="R110" s="48" t="str">
        <f aca="false">IF(Q110="","",IF(Q110=0,"below 5:00",IF(Q110&gt;=66,"16:00 or above",INT((60+2*Q110)/12)&amp;":"&amp;TEXT(MOD(60+2*Q110,12),"00"))))</f>
        <v/>
      </c>
      <c r="S110" s="47"/>
      <c r="T110" s="47"/>
      <c r="U110" s="47"/>
      <c r="V110" s="47"/>
      <c r="W110" s="47"/>
      <c r="X110" s="47"/>
      <c r="Y110" s="47"/>
      <c r="Z110" s="47"/>
      <c r="AA110" s="47"/>
      <c r="AB110" s="47"/>
      <c r="AC110" s="47"/>
      <c r="AD110" s="47"/>
      <c r="AE110" s="47"/>
      <c r="AF110" s="47"/>
      <c r="AG110" s="47"/>
      <c r="AH110" s="47"/>
      <c r="AI110" s="46"/>
      <c r="AJ110" s="46"/>
      <c r="AK110" s="46"/>
      <c r="AL110" s="7"/>
      <c r="AM110" s="49" t="str">
        <f aca="false">IF(OR(C110="",G110=""),"",IFERROR(DATEDIF(C110,G110,"m"),""))</f>
        <v/>
      </c>
      <c r="AN110" s="49" t="str">
        <f aca="false">IF(OR(Q110="",AM110=""),"",60+2*Q110-AM110)</f>
        <v/>
      </c>
      <c r="AO110" s="49" t="str">
        <f aca="false">IF(OR(G110="",AJ110=""),"",AJ110-G110)</f>
        <v/>
      </c>
      <c r="AP110" s="50" t="str">
        <f aca="false">IF(AND(A110="",B110=""),"",IF(J110="","Status needed",IF(OR(J110="Applied",J110="Visit booked",J110="Withdrawn"),"OK",IF(G110="","Date assessed needed",IF(C110="","Date of birth needed",IF(COUNTA(L110,M110,P110,U110,V110,X110,AB110)&lt;7,"Band missing",IF(AND(OR(J110="Decision confirmed",J110="Family told",J110="Enrolled"),AG110=""),"Recommendation needed",IF(AND(OR(J110="Family told",J110="Enrolled"),AJ110=""),"Date family told needed","OK"))))))))</f>
        <v/>
      </c>
    </row>
    <row r="111" customFormat="false" ht="15" hidden="false" customHeight="false" outlineLevel="0" collapsed="false">
      <c r="A111" s="7"/>
      <c r="B111" s="7"/>
      <c r="C111" s="46"/>
      <c r="D111" s="7"/>
      <c r="E111" s="47"/>
      <c r="F111" s="46"/>
      <c r="G111" s="46"/>
      <c r="H111" s="7"/>
      <c r="I111" s="7"/>
      <c r="J111" s="47"/>
      <c r="K111" s="47"/>
      <c r="L111" s="47"/>
      <c r="M111" s="47"/>
      <c r="N111" s="10"/>
      <c r="O111" s="47"/>
      <c r="P111" s="47"/>
      <c r="Q111" s="47"/>
      <c r="R111" s="48" t="str">
        <f aca="false">IF(Q111="","",IF(Q111=0,"below 5:00",IF(Q111&gt;=66,"16:00 or above",INT((60+2*Q111)/12)&amp;":"&amp;TEXT(MOD(60+2*Q111,12),"00"))))</f>
        <v/>
      </c>
      <c r="S111" s="47"/>
      <c r="T111" s="47"/>
      <c r="U111" s="47"/>
      <c r="V111" s="47"/>
      <c r="W111" s="47"/>
      <c r="X111" s="47"/>
      <c r="Y111" s="47"/>
      <c r="Z111" s="47"/>
      <c r="AA111" s="47"/>
      <c r="AB111" s="47"/>
      <c r="AC111" s="47"/>
      <c r="AD111" s="47"/>
      <c r="AE111" s="47"/>
      <c r="AF111" s="47"/>
      <c r="AG111" s="47"/>
      <c r="AH111" s="47"/>
      <c r="AI111" s="46"/>
      <c r="AJ111" s="46"/>
      <c r="AK111" s="46"/>
      <c r="AL111" s="7"/>
      <c r="AM111" s="49" t="str">
        <f aca="false">IF(OR(C111="",G111=""),"",IFERROR(DATEDIF(C111,G111,"m"),""))</f>
        <v/>
      </c>
      <c r="AN111" s="49" t="str">
        <f aca="false">IF(OR(Q111="",AM111=""),"",60+2*Q111-AM111)</f>
        <v/>
      </c>
      <c r="AO111" s="49" t="str">
        <f aca="false">IF(OR(G111="",AJ111=""),"",AJ111-G111)</f>
        <v/>
      </c>
      <c r="AP111" s="50" t="str">
        <f aca="false">IF(AND(A111="",B111=""),"",IF(J111="","Status needed",IF(OR(J111="Applied",J111="Visit booked",J111="Withdrawn"),"OK",IF(G111="","Date assessed needed",IF(C111="","Date of birth needed",IF(COUNTA(L111,M111,P111,U111,V111,X111,AB111)&lt;7,"Band missing",IF(AND(OR(J111="Decision confirmed",J111="Family told",J111="Enrolled"),AG111=""),"Recommendation needed",IF(AND(OR(J111="Family told",J111="Enrolled"),AJ111=""),"Date family told needed","OK"))))))))</f>
        <v/>
      </c>
    </row>
    <row r="112" customFormat="false" ht="15" hidden="false" customHeight="false" outlineLevel="0" collapsed="false">
      <c r="A112" s="7"/>
      <c r="B112" s="7"/>
      <c r="C112" s="46"/>
      <c r="D112" s="7"/>
      <c r="E112" s="47"/>
      <c r="F112" s="46"/>
      <c r="G112" s="46"/>
      <c r="H112" s="7"/>
      <c r="I112" s="7"/>
      <c r="J112" s="47"/>
      <c r="K112" s="47"/>
      <c r="L112" s="47"/>
      <c r="M112" s="47"/>
      <c r="N112" s="10"/>
      <c r="O112" s="47"/>
      <c r="P112" s="47"/>
      <c r="Q112" s="47"/>
      <c r="R112" s="48" t="str">
        <f aca="false">IF(Q112="","",IF(Q112=0,"below 5:00",IF(Q112&gt;=66,"16:00 or above",INT((60+2*Q112)/12)&amp;":"&amp;TEXT(MOD(60+2*Q112,12),"00"))))</f>
        <v/>
      </c>
      <c r="S112" s="47"/>
      <c r="T112" s="47"/>
      <c r="U112" s="47"/>
      <c r="V112" s="47"/>
      <c r="W112" s="47"/>
      <c r="X112" s="47"/>
      <c r="Y112" s="47"/>
      <c r="Z112" s="47"/>
      <c r="AA112" s="47"/>
      <c r="AB112" s="47"/>
      <c r="AC112" s="47"/>
      <c r="AD112" s="47"/>
      <c r="AE112" s="47"/>
      <c r="AF112" s="47"/>
      <c r="AG112" s="47"/>
      <c r="AH112" s="47"/>
      <c r="AI112" s="46"/>
      <c r="AJ112" s="46"/>
      <c r="AK112" s="46"/>
      <c r="AL112" s="7"/>
      <c r="AM112" s="49" t="str">
        <f aca="false">IF(OR(C112="",G112=""),"",IFERROR(DATEDIF(C112,G112,"m"),""))</f>
        <v/>
      </c>
      <c r="AN112" s="49" t="str">
        <f aca="false">IF(OR(Q112="",AM112=""),"",60+2*Q112-AM112)</f>
        <v/>
      </c>
      <c r="AO112" s="49" t="str">
        <f aca="false">IF(OR(G112="",AJ112=""),"",AJ112-G112)</f>
        <v/>
      </c>
      <c r="AP112" s="50" t="str">
        <f aca="false">IF(AND(A112="",B112=""),"",IF(J112="","Status needed",IF(OR(J112="Applied",J112="Visit booked",J112="Withdrawn"),"OK",IF(G112="","Date assessed needed",IF(C112="","Date of birth needed",IF(COUNTA(L112,M112,P112,U112,V112,X112,AB112)&lt;7,"Band missing",IF(AND(OR(J112="Decision confirmed",J112="Family told",J112="Enrolled"),AG112=""),"Recommendation needed",IF(AND(OR(J112="Family told",J112="Enrolled"),AJ112=""),"Date family told needed","OK"))))))))</f>
        <v/>
      </c>
    </row>
    <row r="113" customFormat="false" ht="15" hidden="false" customHeight="false" outlineLevel="0" collapsed="false">
      <c r="A113" s="7"/>
      <c r="B113" s="7"/>
      <c r="C113" s="46"/>
      <c r="D113" s="7"/>
      <c r="E113" s="47"/>
      <c r="F113" s="46"/>
      <c r="G113" s="46"/>
      <c r="H113" s="7"/>
      <c r="I113" s="7"/>
      <c r="J113" s="47"/>
      <c r="K113" s="47"/>
      <c r="L113" s="47"/>
      <c r="M113" s="47"/>
      <c r="N113" s="10"/>
      <c r="O113" s="47"/>
      <c r="P113" s="47"/>
      <c r="Q113" s="47"/>
      <c r="R113" s="48" t="str">
        <f aca="false">IF(Q113="","",IF(Q113=0,"below 5:00",IF(Q113&gt;=66,"16:00 or above",INT((60+2*Q113)/12)&amp;":"&amp;TEXT(MOD(60+2*Q113,12),"00"))))</f>
        <v/>
      </c>
      <c r="S113" s="47"/>
      <c r="T113" s="47"/>
      <c r="U113" s="47"/>
      <c r="V113" s="47"/>
      <c r="W113" s="47"/>
      <c r="X113" s="47"/>
      <c r="Y113" s="47"/>
      <c r="Z113" s="47"/>
      <c r="AA113" s="47"/>
      <c r="AB113" s="47"/>
      <c r="AC113" s="47"/>
      <c r="AD113" s="47"/>
      <c r="AE113" s="47"/>
      <c r="AF113" s="47"/>
      <c r="AG113" s="47"/>
      <c r="AH113" s="47"/>
      <c r="AI113" s="46"/>
      <c r="AJ113" s="46"/>
      <c r="AK113" s="46"/>
      <c r="AL113" s="7"/>
      <c r="AM113" s="49" t="str">
        <f aca="false">IF(OR(C113="",G113=""),"",IFERROR(DATEDIF(C113,G113,"m"),""))</f>
        <v/>
      </c>
      <c r="AN113" s="49" t="str">
        <f aca="false">IF(OR(Q113="",AM113=""),"",60+2*Q113-AM113)</f>
        <v/>
      </c>
      <c r="AO113" s="49" t="str">
        <f aca="false">IF(OR(G113="",AJ113=""),"",AJ113-G113)</f>
        <v/>
      </c>
      <c r="AP113" s="50" t="str">
        <f aca="false">IF(AND(A113="",B113=""),"",IF(J113="","Status needed",IF(OR(J113="Applied",J113="Visit booked",J113="Withdrawn"),"OK",IF(G113="","Date assessed needed",IF(C113="","Date of birth needed",IF(COUNTA(L113,M113,P113,U113,V113,X113,AB113)&lt;7,"Band missing",IF(AND(OR(J113="Decision confirmed",J113="Family told",J113="Enrolled"),AG113=""),"Recommendation needed",IF(AND(OR(J113="Family told",J113="Enrolled"),AJ113=""),"Date family told needed","OK"))))))))</f>
        <v/>
      </c>
    </row>
    <row r="114" customFormat="false" ht="15" hidden="false" customHeight="false" outlineLevel="0" collapsed="false">
      <c r="A114" s="7"/>
      <c r="B114" s="7"/>
      <c r="C114" s="46"/>
      <c r="D114" s="7"/>
      <c r="E114" s="47"/>
      <c r="F114" s="46"/>
      <c r="G114" s="46"/>
      <c r="H114" s="7"/>
      <c r="I114" s="7"/>
      <c r="J114" s="47"/>
      <c r="K114" s="47"/>
      <c r="L114" s="47"/>
      <c r="M114" s="47"/>
      <c r="N114" s="10"/>
      <c r="O114" s="47"/>
      <c r="P114" s="47"/>
      <c r="Q114" s="47"/>
      <c r="R114" s="48" t="str">
        <f aca="false">IF(Q114="","",IF(Q114=0,"below 5:00",IF(Q114&gt;=66,"16:00 or above",INT((60+2*Q114)/12)&amp;":"&amp;TEXT(MOD(60+2*Q114,12),"00"))))</f>
        <v/>
      </c>
      <c r="S114" s="47"/>
      <c r="T114" s="47"/>
      <c r="U114" s="47"/>
      <c r="V114" s="47"/>
      <c r="W114" s="47"/>
      <c r="X114" s="47"/>
      <c r="Y114" s="47"/>
      <c r="Z114" s="47"/>
      <c r="AA114" s="47"/>
      <c r="AB114" s="47"/>
      <c r="AC114" s="47"/>
      <c r="AD114" s="47"/>
      <c r="AE114" s="47"/>
      <c r="AF114" s="47"/>
      <c r="AG114" s="47"/>
      <c r="AH114" s="47"/>
      <c r="AI114" s="46"/>
      <c r="AJ114" s="46"/>
      <c r="AK114" s="46"/>
      <c r="AL114" s="7"/>
      <c r="AM114" s="49" t="str">
        <f aca="false">IF(OR(C114="",G114=""),"",IFERROR(DATEDIF(C114,G114,"m"),""))</f>
        <v/>
      </c>
      <c r="AN114" s="49" t="str">
        <f aca="false">IF(OR(Q114="",AM114=""),"",60+2*Q114-AM114)</f>
        <v/>
      </c>
      <c r="AO114" s="49" t="str">
        <f aca="false">IF(OR(G114="",AJ114=""),"",AJ114-G114)</f>
        <v/>
      </c>
      <c r="AP114" s="50" t="str">
        <f aca="false">IF(AND(A114="",B114=""),"",IF(J114="","Status needed",IF(OR(J114="Applied",J114="Visit booked",J114="Withdrawn"),"OK",IF(G114="","Date assessed needed",IF(C114="","Date of birth needed",IF(COUNTA(L114,M114,P114,U114,V114,X114,AB114)&lt;7,"Band missing",IF(AND(OR(J114="Decision confirmed",J114="Family told",J114="Enrolled"),AG114=""),"Recommendation needed",IF(AND(OR(J114="Family told",J114="Enrolled"),AJ114=""),"Date family told needed","OK"))))))))</f>
        <v/>
      </c>
    </row>
    <row r="115" customFormat="false" ht="15" hidden="false" customHeight="false" outlineLevel="0" collapsed="false">
      <c r="A115" s="7"/>
      <c r="B115" s="7"/>
      <c r="C115" s="46"/>
      <c r="D115" s="7"/>
      <c r="E115" s="47"/>
      <c r="F115" s="46"/>
      <c r="G115" s="46"/>
      <c r="H115" s="7"/>
      <c r="I115" s="7"/>
      <c r="J115" s="47"/>
      <c r="K115" s="47"/>
      <c r="L115" s="47"/>
      <c r="M115" s="47"/>
      <c r="N115" s="10"/>
      <c r="O115" s="47"/>
      <c r="P115" s="47"/>
      <c r="Q115" s="47"/>
      <c r="R115" s="48" t="str">
        <f aca="false">IF(Q115="","",IF(Q115=0,"below 5:00",IF(Q115&gt;=66,"16:00 or above",INT((60+2*Q115)/12)&amp;":"&amp;TEXT(MOD(60+2*Q115,12),"00"))))</f>
        <v/>
      </c>
      <c r="S115" s="47"/>
      <c r="T115" s="47"/>
      <c r="U115" s="47"/>
      <c r="V115" s="47"/>
      <c r="W115" s="47"/>
      <c r="X115" s="47"/>
      <c r="Y115" s="47"/>
      <c r="Z115" s="47"/>
      <c r="AA115" s="47"/>
      <c r="AB115" s="47"/>
      <c r="AC115" s="47"/>
      <c r="AD115" s="47"/>
      <c r="AE115" s="47"/>
      <c r="AF115" s="47"/>
      <c r="AG115" s="47"/>
      <c r="AH115" s="47"/>
      <c r="AI115" s="46"/>
      <c r="AJ115" s="46"/>
      <c r="AK115" s="46"/>
      <c r="AL115" s="7"/>
      <c r="AM115" s="49" t="str">
        <f aca="false">IF(OR(C115="",G115=""),"",IFERROR(DATEDIF(C115,G115,"m"),""))</f>
        <v/>
      </c>
      <c r="AN115" s="49" t="str">
        <f aca="false">IF(OR(Q115="",AM115=""),"",60+2*Q115-AM115)</f>
        <v/>
      </c>
      <c r="AO115" s="49" t="str">
        <f aca="false">IF(OR(G115="",AJ115=""),"",AJ115-G115)</f>
        <v/>
      </c>
      <c r="AP115" s="50" t="str">
        <f aca="false">IF(AND(A115="",B115=""),"",IF(J115="","Status needed",IF(OR(J115="Applied",J115="Visit booked",J115="Withdrawn"),"OK",IF(G115="","Date assessed needed",IF(C115="","Date of birth needed",IF(COUNTA(L115,M115,P115,U115,V115,X115,AB115)&lt;7,"Band missing",IF(AND(OR(J115="Decision confirmed",J115="Family told",J115="Enrolled"),AG115=""),"Recommendation needed",IF(AND(OR(J115="Family told",J115="Enrolled"),AJ115=""),"Date family told needed","OK"))))))))</f>
        <v/>
      </c>
    </row>
    <row r="116" customFormat="false" ht="15" hidden="false" customHeight="false" outlineLevel="0" collapsed="false">
      <c r="A116" s="7"/>
      <c r="B116" s="7"/>
      <c r="C116" s="46"/>
      <c r="D116" s="7"/>
      <c r="E116" s="47"/>
      <c r="F116" s="46"/>
      <c r="G116" s="46"/>
      <c r="H116" s="7"/>
      <c r="I116" s="7"/>
      <c r="J116" s="47"/>
      <c r="K116" s="47"/>
      <c r="L116" s="47"/>
      <c r="M116" s="47"/>
      <c r="N116" s="10"/>
      <c r="O116" s="47"/>
      <c r="P116" s="47"/>
      <c r="Q116" s="47"/>
      <c r="R116" s="48" t="str">
        <f aca="false">IF(Q116="","",IF(Q116=0,"below 5:00",IF(Q116&gt;=66,"16:00 or above",INT((60+2*Q116)/12)&amp;":"&amp;TEXT(MOD(60+2*Q116,12),"00"))))</f>
        <v/>
      </c>
      <c r="S116" s="47"/>
      <c r="T116" s="47"/>
      <c r="U116" s="47"/>
      <c r="V116" s="47"/>
      <c r="W116" s="47"/>
      <c r="X116" s="47"/>
      <c r="Y116" s="47"/>
      <c r="Z116" s="47"/>
      <c r="AA116" s="47"/>
      <c r="AB116" s="47"/>
      <c r="AC116" s="47"/>
      <c r="AD116" s="47"/>
      <c r="AE116" s="47"/>
      <c r="AF116" s="47"/>
      <c r="AG116" s="47"/>
      <c r="AH116" s="47"/>
      <c r="AI116" s="46"/>
      <c r="AJ116" s="46"/>
      <c r="AK116" s="46"/>
      <c r="AL116" s="7"/>
      <c r="AM116" s="49" t="str">
        <f aca="false">IF(OR(C116="",G116=""),"",IFERROR(DATEDIF(C116,G116,"m"),""))</f>
        <v/>
      </c>
      <c r="AN116" s="49" t="str">
        <f aca="false">IF(OR(Q116="",AM116=""),"",60+2*Q116-AM116)</f>
        <v/>
      </c>
      <c r="AO116" s="49" t="str">
        <f aca="false">IF(OR(G116="",AJ116=""),"",AJ116-G116)</f>
        <v/>
      </c>
      <c r="AP116" s="50" t="str">
        <f aca="false">IF(AND(A116="",B116=""),"",IF(J116="","Status needed",IF(OR(J116="Applied",J116="Visit booked",J116="Withdrawn"),"OK",IF(G116="","Date assessed needed",IF(C116="","Date of birth needed",IF(COUNTA(L116,M116,P116,U116,V116,X116,AB116)&lt;7,"Band missing",IF(AND(OR(J116="Decision confirmed",J116="Family told",J116="Enrolled"),AG116=""),"Recommendation needed",IF(AND(OR(J116="Family told",J116="Enrolled"),AJ116=""),"Date family told needed","OK"))))))))</f>
        <v/>
      </c>
    </row>
    <row r="117" customFormat="false" ht="15" hidden="false" customHeight="false" outlineLevel="0" collapsed="false">
      <c r="A117" s="7"/>
      <c r="B117" s="7"/>
      <c r="C117" s="46"/>
      <c r="D117" s="7"/>
      <c r="E117" s="47"/>
      <c r="F117" s="46"/>
      <c r="G117" s="46"/>
      <c r="H117" s="7"/>
      <c r="I117" s="7"/>
      <c r="J117" s="47"/>
      <c r="K117" s="47"/>
      <c r="L117" s="47"/>
      <c r="M117" s="47"/>
      <c r="N117" s="10"/>
      <c r="O117" s="47"/>
      <c r="P117" s="47"/>
      <c r="Q117" s="47"/>
      <c r="R117" s="48" t="str">
        <f aca="false">IF(Q117="","",IF(Q117=0,"below 5:00",IF(Q117&gt;=66,"16:00 or above",INT((60+2*Q117)/12)&amp;":"&amp;TEXT(MOD(60+2*Q117,12),"00"))))</f>
        <v/>
      </c>
      <c r="S117" s="47"/>
      <c r="T117" s="47"/>
      <c r="U117" s="47"/>
      <c r="V117" s="47"/>
      <c r="W117" s="47"/>
      <c r="X117" s="47"/>
      <c r="Y117" s="47"/>
      <c r="Z117" s="47"/>
      <c r="AA117" s="47"/>
      <c r="AB117" s="47"/>
      <c r="AC117" s="47"/>
      <c r="AD117" s="47"/>
      <c r="AE117" s="47"/>
      <c r="AF117" s="47"/>
      <c r="AG117" s="47"/>
      <c r="AH117" s="47"/>
      <c r="AI117" s="46"/>
      <c r="AJ117" s="46"/>
      <c r="AK117" s="46"/>
      <c r="AL117" s="7"/>
      <c r="AM117" s="49" t="str">
        <f aca="false">IF(OR(C117="",G117=""),"",IFERROR(DATEDIF(C117,G117,"m"),""))</f>
        <v/>
      </c>
      <c r="AN117" s="49" t="str">
        <f aca="false">IF(OR(Q117="",AM117=""),"",60+2*Q117-AM117)</f>
        <v/>
      </c>
      <c r="AO117" s="49" t="str">
        <f aca="false">IF(OR(G117="",AJ117=""),"",AJ117-G117)</f>
        <v/>
      </c>
      <c r="AP117" s="50" t="str">
        <f aca="false">IF(AND(A117="",B117=""),"",IF(J117="","Status needed",IF(OR(J117="Applied",J117="Visit booked",J117="Withdrawn"),"OK",IF(G117="","Date assessed needed",IF(C117="","Date of birth needed",IF(COUNTA(L117,M117,P117,U117,V117,X117,AB117)&lt;7,"Band missing",IF(AND(OR(J117="Decision confirmed",J117="Family told",J117="Enrolled"),AG117=""),"Recommendation needed",IF(AND(OR(J117="Family told",J117="Enrolled"),AJ117=""),"Date family told needed","OK"))))))))</f>
        <v/>
      </c>
    </row>
    <row r="118" customFormat="false" ht="15" hidden="false" customHeight="false" outlineLevel="0" collapsed="false">
      <c r="A118" s="7"/>
      <c r="B118" s="7"/>
      <c r="C118" s="46"/>
      <c r="D118" s="7"/>
      <c r="E118" s="47"/>
      <c r="F118" s="46"/>
      <c r="G118" s="46"/>
      <c r="H118" s="7"/>
      <c r="I118" s="7"/>
      <c r="J118" s="47"/>
      <c r="K118" s="47"/>
      <c r="L118" s="47"/>
      <c r="M118" s="47"/>
      <c r="N118" s="10"/>
      <c r="O118" s="47"/>
      <c r="P118" s="47"/>
      <c r="Q118" s="47"/>
      <c r="R118" s="48" t="str">
        <f aca="false">IF(Q118="","",IF(Q118=0,"below 5:00",IF(Q118&gt;=66,"16:00 or above",INT((60+2*Q118)/12)&amp;":"&amp;TEXT(MOD(60+2*Q118,12),"00"))))</f>
        <v/>
      </c>
      <c r="S118" s="47"/>
      <c r="T118" s="47"/>
      <c r="U118" s="47"/>
      <c r="V118" s="47"/>
      <c r="W118" s="47"/>
      <c r="X118" s="47"/>
      <c r="Y118" s="47"/>
      <c r="Z118" s="47"/>
      <c r="AA118" s="47"/>
      <c r="AB118" s="47"/>
      <c r="AC118" s="47"/>
      <c r="AD118" s="47"/>
      <c r="AE118" s="47"/>
      <c r="AF118" s="47"/>
      <c r="AG118" s="47"/>
      <c r="AH118" s="47"/>
      <c r="AI118" s="46"/>
      <c r="AJ118" s="46"/>
      <c r="AK118" s="46"/>
      <c r="AL118" s="7"/>
      <c r="AM118" s="49" t="str">
        <f aca="false">IF(OR(C118="",G118=""),"",IFERROR(DATEDIF(C118,G118,"m"),""))</f>
        <v/>
      </c>
      <c r="AN118" s="49" t="str">
        <f aca="false">IF(OR(Q118="",AM118=""),"",60+2*Q118-AM118)</f>
        <v/>
      </c>
      <c r="AO118" s="49" t="str">
        <f aca="false">IF(OR(G118="",AJ118=""),"",AJ118-G118)</f>
        <v/>
      </c>
      <c r="AP118" s="50" t="str">
        <f aca="false">IF(AND(A118="",B118=""),"",IF(J118="","Status needed",IF(OR(J118="Applied",J118="Visit booked",J118="Withdrawn"),"OK",IF(G118="","Date assessed needed",IF(C118="","Date of birth needed",IF(COUNTA(L118,M118,P118,U118,V118,X118,AB118)&lt;7,"Band missing",IF(AND(OR(J118="Decision confirmed",J118="Family told",J118="Enrolled"),AG118=""),"Recommendation needed",IF(AND(OR(J118="Family told",J118="Enrolled"),AJ118=""),"Date family told needed","OK"))))))))</f>
        <v/>
      </c>
    </row>
    <row r="119" customFormat="false" ht="15" hidden="false" customHeight="false" outlineLevel="0" collapsed="false">
      <c r="A119" s="7"/>
      <c r="B119" s="7"/>
      <c r="C119" s="46"/>
      <c r="D119" s="7"/>
      <c r="E119" s="47"/>
      <c r="F119" s="46"/>
      <c r="G119" s="46"/>
      <c r="H119" s="7"/>
      <c r="I119" s="7"/>
      <c r="J119" s="47"/>
      <c r="K119" s="47"/>
      <c r="L119" s="47"/>
      <c r="M119" s="47"/>
      <c r="N119" s="10"/>
      <c r="O119" s="47"/>
      <c r="P119" s="47"/>
      <c r="Q119" s="47"/>
      <c r="R119" s="48" t="str">
        <f aca="false">IF(Q119="","",IF(Q119=0,"below 5:00",IF(Q119&gt;=66,"16:00 or above",INT((60+2*Q119)/12)&amp;":"&amp;TEXT(MOD(60+2*Q119,12),"00"))))</f>
        <v/>
      </c>
      <c r="S119" s="47"/>
      <c r="T119" s="47"/>
      <c r="U119" s="47"/>
      <c r="V119" s="47"/>
      <c r="W119" s="47"/>
      <c r="X119" s="47"/>
      <c r="Y119" s="47"/>
      <c r="Z119" s="47"/>
      <c r="AA119" s="47"/>
      <c r="AB119" s="47"/>
      <c r="AC119" s="47"/>
      <c r="AD119" s="47"/>
      <c r="AE119" s="47"/>
      <c r="AF119" s="47"/>
      <c r="AG119" s="47"/>
      <c r="AH119" s="47"/>
      <c r="AI119" s="46"/>
      <c r="AJ119" s="46"/>
      <c r="AK119" s="46"/>
      <c r="AL119" s="7"/>
      <c r="AM119" s="49" t="str">
        <f aca="false">IF(OR(C119="",G119=""),"",IFERROR(DATEDIF(C119,G119,"m"),""))</f>
        <v/>
      </c>
      <c r="AN119" s="49" t="str">
        <f aca="false">IF(OR(Q119="",AM119=""),"",60+2*Q119-AM119)</f>
        <v/>
      </c>
      <c r="AO119" s="49" t="str">
        <f aca="false">IF(OR(G119="",AJ119=""),"",AJ119-G119)</f>
        <v/>
      </c>
      <c r="AP119" s="50" t="str">
        <f aca="false">IF(AND(A119="",B119=""),"",IF(J119="","Status needed",IF(OR(J119="Applied",J119="Visit booked",J119="Withdrawn"),"OK",IF(G119="","Date assessed needed",IF(C119="","Date of birth needed",IF(COUNTA(L119,M119,P119,U119,V119,X119,AB119)&lt;7,"Band missing",IF(AND(OR(J119="Decision confirmed",J119="Family told",J119="Enrolled"),AG119=""),"Recommendation needed",IF(AND(OR(J119="Family told",J119="Enrolled"),AJ119=""),"Date family told needed","OK"))))))))</f>
        <v/>
      </c>
    </row>
    <row r="120" customFormat="false" ht="15" hidden="false" customHeight="false" outlineLevel="0" collapsed="false">
      <c r="A120" s="7"/>
      <c r="B120" s="7"/>
      <c r="C120" s="46"/>
      <c r="D120" s="7"/>
      <c r="E120" s="47"/>
      <c r="F120" s="46"/>
      <c r="G120" s="46"/>
      <c r="H120" s="7"/>
      <c r="I120" s="7"/>
      <c r="J120" s="47"/>
      <c r="K120" s="47"/>
      <c r="L120" s="47"/>
      <c r="M120" s="47"/>
      <c r="N120" s="10"/>
      <c r="O120" s="47"/>
      <c r="P120" s="47"/>
      <c r="Q120" s="47"/>
      <c r="R120" s="48" t="str">
        <f aca="false">IF(Q120="","",IF(Q120=0,"below 5:00",IF(Q120&gt;=66,"16:00 or above",INT((60+2*Q120)/12)&amp;":"&amp;TEXT(MOD(60+2*Q120,12),"00"))))</f>
        <v/>
      </c>
      <c r="S120" s="47"/>
      <c r="T120" s="47"/>
      <c r="U120" s="47"/>
      <c r="V120" s="47"/>
      <c r="W120" s="47"/>
      <c r="X120" s="47"/>
      <c r="Y120" s="47"/>
      <c r="Z120" s="47"/>
      <c r="AA120" s="47"/>
      <c r="AB120" s="47"/>
      <c r="AC120" s="47"/>
      <c r="AD120" s="47"/>
      <c r="AE120" s="47"/>
      <c r="AF120" s="47"/>
      <c r="AG120" s="47"/>
      <c r="AH120" s="47"/>
      <c r="AI120" s="46"/>
      <c r="AJ120" s="46"/>
      <c r="AK120" s="46"/>
      <c r="AL120" s="7"/>
      <c r="AM120" s="49" t="str">
        <f aca="false">IF(OR(C120="",G120=""),"",IFERROR(DATEDIF(C120,G120,"m"),""))</f>
        <v/>
      </c>
      <c r="AN120" s="49" t="str">
        <f aca="false">IF(OR(Q120="",AM120=""),"",60+2*Q120-AM120)</f>
        <v/>
      </c>
      <c r="AO120" s="49" t="str">
        <f aca="false">IF(OR(G120="",AJ120=""),"",AJ120-G120)</f>
        <v/>
      </c>
      <c r="AP120" s="50" t="str">
        <f aca="false">IF(AND(A120="",B120=""),"",IF(J120="","Status needed",IF(OR(J120="Applied",J120="Visit booked",J120="Withdrawn"),"OK",IF(G120="","Date assessed needed",IF(C120="","Date of birth needed",IF(COUNTA(L120,M120,P120,U120,V120,X120,AB120)&lt;7,"Band missing",IF(AND(OR(J120="Decision confirmed",J120="Family told",J120="Enrolled"),AG120=""),"Recommendation needed",IF(AND(OR(J120="Family told",J120="Enrolled"),AJ120=""),"Date family told needed","OK"))))))))</f>
        <v/>
      </c>
    </row>
    <row r="121" customFormat="false" ht="15" hidden="false" customHeight="false" outlineLevel="0" collapsed="false">
      <c r="A121" s="7"/>
      <c r="B121" s="7"/>
      <c r="C121" s="46"/>
      <c r="D121" s="7"/>
      <c r="E121" s="47"/>
      <c r="F121" s="46"/>
      <c r="G121" s="46"/>
      <c r="H121" s="7"/>
      <c r="I121" s="7"/>
      <c r="J121" s="47"/>
      <c r="K121" s="47"/>
      <c r="L121" s="47"/>
      <c r="M121" s="47"/>
      <c r="N121" s="10"/>
      <c r="O121" s="47"/>
      <c r="P121" s="47"/>
      <c r="Q121" s="47"/>
      <c r="R121" s="48" t="str">
        <f aca="false">IF(Q121="","",IF(Q121=0,"below 5:00",IF(Q121&gt;=66,"16:00 or above",INT((60+2*Q121)/12)&amp;":"&amp;TEXT(MOD(60+2*Q121,12),"00"))))</f>
        <v/>
      </c>
      <c r="S121" s="47"/>
      <c r="T121" s="47"/>
      <c r="U121" s="47"/>
      <c r="V121" s="47"/>
      <c r="W121" s="47"/>
      <c r="X121" s="47"/>
      <c r="Y121" s="47"/>
      <c r="Z121" s="47"/>
      <c r="AA121" s="47"/>
      <c r="AB121" s="47"/>
      <c r="AC121" s="47"/>
      <c r="AD121" s="47"/>
      <c r="AE121" s="47"/>
      <c r="AF121" s="47"/>
      <c r="AG121" s="47"/>
      <c r="AH121" s="47"/>
      <c r="AI121" s="46"/>
      <c r="AJ121" s="46"/>
      <c r="AK121" s="46"/>
      <c r="AL121" s="7"/>
      <c r="AM121" s="49" t="str">
        <f aca="false">IF(OR(C121="",G121=""),"",IFERROR(DATEDIF(C121,G121,"m"),""))</f>
        <v/>
      </c>
      <c r="AN121" s="49" t="str">
        <f aca="false">IF(OR(Q121="",AM121=""),"",60+2*Q121-AM121)</f>
        <v/>
      </c>
      <c r="AO121" s="49" t="str">
        <f aca="false">IF(OR(G121="",AJ121=""),"",AJ121-G121)</f>
        <v/>
      </c>
      <c r="AP121" s="50" t="str">
        <f aca="false">IF(AND(A121="",B121=""),"",IF(J121="","Status needed",IF(OR(J121="Applied",J121="Visit booked",J121="Withdrawn"),"OK",IF(G121="","Date assessed needed",IF(C121="","Date of birth needed",IF(COUNTA(L121,M121,P121,U121,V121,X121,AB121)&lt;7,"Band missing",IF(AND(OR(J121="Decision confirmed",J121="Family told",J121="Enrolled"),AG121=""),"Recommendation needed",IF(AND(OR(J121="Family told",J121="Enrolled"),AJ121=""),"Date family told needed","OK"))))))))</f>
        <v/>
      </c>
    </row>
    <row r="122" customFormat="false" ht="15" hidden="false" customHeight="false" outlineLevel="0" collapsed="false">
      <c r="A122" s="7"/>
      <c r="B122" s="7"/>
      <c r="C122" s="46"/>
      <c r="D122" s="7"/>
      <c r="E122" s="47"/>
      <c r="F122" s="46"/>
      <c r="G122" s="46"/>
      <c r="H122" s="7"/>
      <c r="I122" s="7"/>
      <c r="J122" s="47"/>
      <c r="K122" s="47"/>
      <c r="L122" s="47"/>
      <c r="M122" s="47"/>
      <c r="N122" s="10"/>
      <c r="O122" s="47"/>
      <c r="P122" s="47"/>
      <c r="Q122" s="47"/>
      <c r="R122" s="48" t="str">
        <f aca="false">IF(Q122="","",IF(Q122=0,"below 5:00",IF(Q122&gt;=66,"16:00 or above",INT((60+2*Q122)/12)&amp;":"&amp;TEXT(MOD(60+2*Q122,12),"00"))))</f>
        <v/>
      </c>
      <c r="S122" s="47"/>
      <c r="T122" s="47"/>
      <c r="U122" s="47"/>
      <c r="V122" s="47"/>
      <c r="W122" s="47"/>
      <c r="X122" s="47"/>
      <c r="Y122" s="47"/>
      <c r="Z122" s="47"/>
      <c r="AA122" s="47"/>
      <c r="AB122" s="47"/>
      <c r="AC122" s="47"/>
      <c r="AD122" s="47"/>
      <c r="AE122" s="47"/>
      <c r="AF122" s="47"/>
      <c r="AG122" s="47"/>
      <c r="AH122" s="47"/>
      <c r="AI122" s="46"/>
      <c r="AJ122" s="46"/>
      <c r="AK122" s="46"/>
      <c r="AL122" s="7"/>
      <c r="AM122" s="49" t="str">
        <f aca="false">IF(OR(C122="",G122=""),"",IFERROR(DATEDIF(C122,G122,"m"),""))</f>
        <v/>
      </c>
      <c r="AN122" s="49" t="str">
        <f aca="false">IF(OR(Q122="",AM122=""),"",60+2*Q122-AM122)</f>
        <v/>
      </c>
      <c r="AO122" s="49" t="str">
        <f aca="false">IF(OR(G122="",AJ122=""),"",AJ122-G122)</f>
        <v/>
      </c>
      <c r="AP122" s="50" t="str">
        <f aca="false">IF(AND(A122="",B122=""),"",IF(J122="","Status needed",IF(OR(J122="Applied",J122="Visit booked",J122="Withdrawn"),"OK",IF(G122="","Date assessed needed",IF(C122="","Date of birth needed",IF(COUNTA(L122,M122,P122,U122,V122,X122,AB122)&lt;7,"Band missing",IF(AND(OR(J122="Decision confirmed",J122="Family told",J122="Enrolled"),AG122=""),"Recommendation needed",IF(AND(OR(J122="Family told",J122="Enrolled"),AJ122=""),"Date family told needed","OK"))))))))</f>
        <v/>
      </c>
    </row>
    <row r="123" customFormat="false" ht="15" hidden="false" customHeight="false" outlineLevel="0" collapsed="false">
      <c r="A123" s="7"/>
      <c r="B123" s="7"/>
      <c r="C123" s="46"/>
      <c r="D123" s="7"/>
      <c r="E123" s="47"/>
      <c r="F123" s="46"/>
      <c r="G123" s="46"/>
      <c r="H123" s="7"/>
      <c r="I123" s="7"/>
      <c r="J123" s="47"/>
      <c r="K123" s="47"/>
      <c r="L123" s="47"/>
      <c r="M123" s="47"/>
      <c r="N123" s="10"/>
      <c r="O123" s="47"/>
      <c r="P123" s="47"/>
      <c r="Q123" s="47"/>
      <c r="R123" s="48" t="str">
        <f aca="false">IF(Q123="","",IF(Q123=0,"below 5:00",IF(Q123&gt;=66,"16:00 or above",INT((60+2*Q123)/12)&amp;":"&amp;TEXT(MOD(60+2*Q123,12),"00"))))</f>
        <v/>
      </c>
      <c r="S123" s="47"/>
      <c r="T123" s="47"/>
      <c r="U123" s="47"/>
      <c r="V123" s="47"/>
      <c r="W123" s="47"/>
      <c r="X123" s="47"/>
      <c r="Y123" s="47"/>
      <c r="Z123" s="47"/>
      <c r="AA123" s="47"/>
      <c r="AB123" s="47"/>
      <c r="AC123" s="47"/>
      <c r="AD123" s="47"/>
      <c r="AE123" s="47"/>
      <c r="AF123" s="47"/>
      <c r="AG123" s="47"/>
      <c r="AH123" s="47"/>
      <c r="AI123" s="46"/>
      <c r="AJ123" s="46"/>
      <c r="AK123" s="46"/>
      <c r="AL123" s="7"/>
      <c r="AM123" s="49" t="str">
        <f aca="false">IF(OR(C123="",G123=""),"",IFERROR(DATEDIF(C123,G123,"m"),""))</f>
        <v/>
      </c>
      <c r="AN123" s="49" t="str">
        <f aca="false">IF(OR(Q123="",AM123=""),"",60+2*Q123-AM123)</f>
        <v/>
      </c>
      <c r="AO123" s="49" t="str">
        <f aca="false">IF(OR(G123="",AJ123=""),"",AJ123-G123)</f>
        <v/>
      </c>
      <c r="AP123" s="50" t="str">
        <f aca="false">IF(AND(A123="",B123=""),"",IF(J123="","Status needed",IF(OR(J123="Applied",J123="Visit booked",J123="Withdrawn"),"OK",IF(G123="","Date assessed needed",IF(C123="","Date of birth needed",IF(COUNTA(L123,M123,P123,U123,V123,X123,AB123)&lt;7,"Band missing",IF(AND(OR(J123="Decision confirmed",J123="Family told",J123="Enrolled"),AG123=""),"Recommendation needed",IF(AND(OR(J123="Family told",J123="Enrolled"),AJ123=""),"Date family told needed","OK"))))))))</f>
        <v/>
      </c>
    </row>
    <row r="124" customFormat="false" ht="15" hidden="false" customHeight="false" outlineLevel="0" collapsed="false">
      <c r="A124" s="7"/>
      <c r="B124" s="7"/>
      <c r="C124" s="46"/>
      <c r="D124" s="7"/>
      <c r="E124" s="47"/>
      <c r="F124" s="46"/>
      <c r="G124" s="46"/>
      <c r="H124" s="7"/>
      <c r="I124" s="7"/>
      <c r="J124" s="47"/>
      <c r="K124" s="47"/>
      <c r="L124" s="47"/>
      <c r="M124" s="47"/>
      <c r="N124" s="10"/>
      <c r="O124" s="47"/>
      <c r="P124" s="47"/>
      <c r="Q124" s="47"/>
      <c r="R124" s="48" t="str">
        <f aca="false">IF(Q124="","",IF(Q124=0,"below 5:00",IF(Q124&gt;=66,"16:00 or above",INT((60+2*Q124)/12)&amp;":"&amp;TEXT(MOD(60+2*Q124,12),"00"))))</f>
        <v/>
      </c>
      <c r="S124" s="47"/>
      <c r="T124" s="47"/>
      <c r="U124" s="47"/>
      <c r="V124" s="47"/>
      <c r="W124" s="47"/>
      <c r="X124" s="47"/>
      <c r="Y124" s="47"/>
      <c r="Z124" s="47"/>
      <c r="AA124" s="47"/>
      <c r="AB124" s="47"/>
      <c r="AC124" s="47"/>
      <c r="AD124" s="47"/>
      <c r="AE124" s="47"/>
      <c r="AF124" s="47"/>
      <c r="AG124" s="47"/>
      <c r="AH124" s="47"/>
      <c r="AI124" s="46"/>
      <c r="AJ124" s="46"/>
      <c r="AK124" s="46"/>
      <c r="AL124" s="7"/>
      <c r="AM124" s="49" t="str">
        <f aca="false">IF(OR(C124="",G124=""),"",IFERROR(DATEDIF(C124,G124,"m"),""))</f>
        <v/>
      </c>
      <c r="AN124" s="49" t="str">
        <f aca="false">IF(OR(Q124="",AM124=""),"",60+2*Q124-AM124)</f>
        <v/>
      </c>
      <c r="AO124" s="49" t="str">
        <f aca="false">IF(OR(G124="",AJ124=""),"",AJ124-G124)</f>
        <v/>
      </c>
      <c r="AP124" s="50" t="str">
        <f aca="false">IF(AND(A124="",B124=""),"",IF(J124="","Status needed",IF(OR(J124="Applied",J124="Visit booked",J124="Withdrawn"),"OK",IF(G124="","Date assessed needed",IF(C124="","Date of birth needed",IF(COUNTA(L124,M124,P124,U124,V124,X124,AB124)&lt;7,"Band missing",IF(AND(OR(J124="Decision confirmed",J124="Family told",J124="Enrolled"),AG124=""),"Recommendation needed",IF(AND(OR(J124="Family told",J124="Enrolled"),AJ124=""),"Date family told needed","OK"))))))))</f>
        <v/>
      </c>
    </row>
    <row r="125" customFormat="false" ht="15" hidden="false" customHeight="false" outlineLevel="0" collapsed="false">
      <c r="A125" s="7"/>
      <c r="B125" s="7"/>
      <c r="C125" s="46"/>
      <c r="D125" s="7"/>
      <c r="E125" s="47"/>
      <c r="F125" s="46"/>
      <c r="G125" s="46"/>
      <c r="H125" s="7"/>
      <c r="I125" s="7"/>
      <c r="J125" s="47"/>
      <c r="K125" s="47"/>
      <c r="L125" s="47"/>
      <c r="M125" s="47"/>
      <c r="N125" s="10"/>
      <c r="O125" s="47"/>
      <c r="P125" s="47"/>
      <c r="Q125" s="47"/>
      <c r="R125" s="48" t="str">
        <f aca="false">IF(Q125="","",IF(Q125=0,"below 5:00",IF(Q125&gt;=66,"16:00 or above",INT((60+2*Q125)/12)&amp;":"&amp;TEXT(MOD(60+2*Q125,12),"00"))))</f>
        <v/>
      </c>
      <c r="S125" s="47"/>
      <c r="T125" s="47"/>
      <c r="U125" s="47"/>
      <c r="V125" s="47"/>
      <c r="W125" s="47"/>
      <c r="X125" s="47"/>
      <c r="Y125" s="47"/>
      <c r="Z125" s="47"/>
      <c r="AA125" s="47"/>
      <c r="AB125" s="47"/>
      <c r="AC125" s="47"/>
      <c r="AD125" s="47"/>
      <c r="AE125" s="47"/>
      <c r="AF125" s="47"/>
      <c r="AG125" s="47"/>
      <c r="AH125" s="47"/>
      <c r="AI125" s="46"/>
      <c r="AJ125" s="46"/>
      <c r="AK125" s="46"/>
      <c r="AL125" s="7"/>
      <c r="AM125" s="49" t="str">
        <f aca="false">IF(OR(C125="",G125=""),"",IFERROR(DATEDIF(C125,G125,"m"),""))</f>
        <v/>
      </c>
      <c r="AN125" s="49" t="str">
        <f aca="false">IF(OR(Q125="",AM125=""),"",60+2*Q125-AM125)</f>
        <v/>
      </c>
      <c r="AO125" s="49" t="str">
        <f aca="false">IF(OR(G125="",AJ125=""),"",AJ125-G125)</f>
        <v/>
      </c>
      <c r="AP125" s="50" t="str">
        <f aca="false">IF(AND(A125="",B125=""),"",IF(J125="","Status needed",IF(OR(J125="Applied",J125="Visit booked",J125="Withdrawn"),"OK",IF(G125="","Date assessed needed",IF(C125="","Date of birth needed",IF(COUNTA(L125,M125,P125,U125,V125,X125,AB125)&lt;7,"Band missing",IF(AND(OR(J125="Decision confirmed",J125="Family told",J125="Enrolled"),AG125=""),"Recommendation needed",IF(AND(OR(J125="Family told",J125="Enrolled"),AJ125=""),"Date family told needed","OK"))))))))</f>
        <v/>
      </c>
    </row>
    <row r="126" customFormat="false" ht="15" hidden="false" customHeight="false" outlineLevel="0" collapsed="false">
      <c r="A126" s="7"/>
      <c r="B126" s="7"/>
      <c r="C126" s="46"/>
      <c r="D126" s="7"/>
      <c r="E126" s="47"/>
      <c r="F126" s="46"/>
      <c r="G126" s="46"/>
      <c r="H126" s="7"/>
      <c r="I126" s="7"/>
      <c r="J126" s="47"/>
      <c r="K126" s="47"/>
      <c r="L126" s="47"/>
      <c r="M126" s="47"/>
      <c r="N126" s="10"/>
      <c r="O126" s="47"/>
      <c r="P126" s="47"/>
      <c r="Q126" s="47"/>
      <c r="R126" s="48" t="str">
        <f aca="false">IF(Q126="","",IF(Q126=0,"below 5:00",IF(Q126&gt;=66,"16:00 or above",INT((60+2*Q126)/12)&amp;":"&amp;TEXT(MOD(60+2*Q126,12),"00"))))</f>
        <v/>
      </c>
      <c r="S126" s="47"/>
      <c r="T126" s="47"/>
      <c r="U126" s="47"/>
      <c r="V126" s="47"/>
      <c r="W126" s="47"/>
      <c r="X126" s="47"/>
      <c r="Y126" s="47"/>
      <c r="Z126" s="47"/>
      <c r="AA126" s="47"/>
      <c r="AB126" s="47"/>
      <c r="AC126" s="47"/>
      <c r="AD126" s="47"/>
      <c r="AE126" s="47"/>
      <c r="AF126" s="47"/>
      <c r="AG126" s="47"/>
      <c r="AH126" s="47"/>
      <c r="AI126" s="46"/>
      <c r="AJ126" s="46"/>
      <c r="AK126" s="46"/>
      <c r="AL126" s="7"/>
      <c r="AM126" s="49" t="str">
        <f aca="false">IF(OR(C126="",G126=""),"",IFERROR(DATEDIF(C126,G126,"m"),""))</f>
        <v/>
      </c>
      <c r="AN126" s="49" t="str">
        <f aca="false">IF(OR(Q126="",AM126=""),"",60+2*Q126-AM126)</f>
        <v/>
      </c>
      <c r="AO126" s="49" t="str">
        <f aca="false">IF(OR(G126="",AJ126=""),"",AJ126-G126)</f>
        <v/>
      </c>
      <c r="AP126" s="50" t="str">
        <f aca="false">IF(AND(A126="",B126=""),"",IF(J126="","Status needed",IF(OR(J126="Applied",J126="Visit booked",J126="Withdrawn"),"OK",IF(G126="","Date assessed needed",IF(C126="","Date of birth needed",IF(COUNTA(L126,M126,P126,U126,V126,X126,AB126)&lt;7,"Band missing",IF(AND(OR(J126="Decision confirmed",J126="Family told",J126="Enrolled"),AG126=""),"Recommendation needed",IF(AND(OR(J126="Family told",J126="Enrolled"),AJ126=""),"Date family told needed","OK"))))))))</f>
        <v/>
      </c>
    </row>
    <row r="127" customFormat="false" ht="15" hidden="false" customHeight="false" outlineLevel="0" collapsed="false">
      <c r="A127" s="7"/>
      <c r="B127" s="7"/>
      <c r="C127" s="46"/>
      <c r="D127" s="7"/>
      <c r="E127" s="47"/>
      <c r="F127" s="46"/>
      <c r="G127" s="46"/>
      <c r="H127" s="7"/>
      <c r="I127" s="7"/>
      <c r="J127" s="47"/>
      <c r="K127" s="47"/>
      <c r="L127" s="47"/>
      <c r="M127" s="47"/>
      <c r="N127" s="10"/>
      <c r="O127" s="47"/>
      <c r="P127" s="47"/>
      <c r="Q127" s="47"/>
      <c r="R127" s="48" t="str">
        <f aca="false">IF(Q127="","",IF(Q127=0,"below 5:00",IF(Q127&gt;=66,"16:00 or above",INT((60+2*Q127)/12)&amp;":"&amp;TEXT(MOD(60+2*Q127,12),"00"))))</f>
        <v/>
      </c>
      <c r="S127" s="47"/>
      <c r="T127" s="47"/>
      <c r="U127" s="47"/>
      <c r="V127" s="47"/>
      <c r="W127" s="47"/>
      <c r="X127" s="47"/>
      <c r="Y127" s="47"/>
      <c r="Z127" s="47"/>
      <c r="AA127" s="47"/>
      <c r="AB127" s="47"/>
      <c r="AC127" s="47"/>
      <c r="AD127" s="47"/>
      <c r="AE127" s="47"/>
      <c r="AF127" s="47"/>
      <c r="AG127" s="47"/>
      <c r="AH127" s="47"/>
      <c r="AI127" s="46"/>
      <c r="AJ127" s="46"/>
      <c r="AK127" s="46"/>
      <c r="AL127" s="7"/>
      <c r="AM127" s="49" t="str">
        <f aca="false">IF(OR(C127="",G127=""),"",IFERROR(DATEDIF(C127,G127,"m"),""))</f>
        <v/>
      </c>
      <c r="AN127" s="49" t="str">
        <f aca="false">IF(OR(Q127="",AM127=""),"",60+2*Q127-AM127)</f>
        <v/>
      </c>
      <c r="AO127" s="49" t="str">
        <f aca="false">IF(OR(G127="",AJ127=""),"",AJ127-G127)</f>
        <v/>
      </c>
      <c r="AP127" s="50" t="str">
        <f aca="false">IF(AND(A127="",B127=""),"",IF(J127="","Status needed",IF(OR(J127="Applied",J127="Visit booked",J127="Withdrawn"),"OK",IF(G127="","Date assessed needed",IF(C127="","Date of birth needed",IF(COUNTA(L127,M127,P127,U127,V127,X127,AB127)&lt;7,"Band missing",IF(AND(OR(J127="Decision confirmed",J127="Family told",J127="Enrolled"),AG127=""),"Recommendation needed",IF(AND(OR(J127="Family told",J127="Enrolled"),AJ127=""),"Date family told needed","OK"))))))))</f>
        <v/>
      </c>
    </row>
    <row r="128" customFormat="false" ht="15" hidden="false" customHeight="false" outlineLevel="0" collapsed="false">
      <c r="A128" s="7"/>
      <c r="B128" s="7"/>
      <c r="C128" s="46"/>
      <c r="D128" s="7"/>
      <c r="E128" s="47"/>
      <c r="F128" s="46"/>
      <c r="G128" s="46"/>
      <c r="H128" s="7"/>
      <c r="I128" s="7"/>
      <c r="J128" s="47"/>
      <c r="K128" s="47"/>
      <c r="L128" s="47"/>
      <c r="M128" s="47"/>
      <c r="N128" s="10"/>
      <c r="O128" s="47"/>
      <c r="P128" s="47"/>
      <c r="Q128" s="47"/>
      <c r="R128" s="48" t="str">
        <f aca="false">IF(Q128="","",IF(Q128=0,"below 5:00",IF(Q128&gt;=66,"16:00 or above",INT((60+2*Q128)/12)&amp;":"&amp;TEXT(MOD(60+2*Q128,12),"00"))))</f>
        <v/>
      </c>
      <c r="S128" s="47"/>
      <c r="T128" s="47"/>
      <c r="U128" s="47"/>
      <c r="V128" s="47"/>
      <c r="W128" s="47"/>
      <c r="X128" s="47"/>
      <c r="Y128" s="47"/>
      <c r="Z128" s="47"/>
      <c r="AA128" s="47"/>
      <c r="AB128" s="47"/>
      <c r="AC128" s="47"/>
      <c r="AD128" s="47"/>
      <c r="AE128" s="47"/>
      <c r="AF128" s="47"/>
      <c r="AG128" s="47"/>
      <c r="AH128" s="47"/>
      <c r="AI128" s="46"/>
      <c r="AJ128" s="46"/>
      <c r="AK128" s="46"/>
      <c r="AL128" s="7"/>
      <c r="AM128" s="49" t="str">
        <f aca="false">IF(OR(C128="",G128=""),"",IFERROR(DATEDIF(C128,G128,"m"),""))</f>
        <v/>
      </c>
      <c r="AN128" s="49" t="str">
        <f aca="false">IF(OR(Q128="",AM128=""),"",60+2*Q128-AM128)</f>
        <v/>
      </c>
      <c r="AO128" s="49" t="str">
        <f aca="false">IF(OR(G128="",AJ128=""),"",AJ128-G128)</f>
        <v/>
      </c>
      <c r="AP128" s="50" t="str">
        <f aca="false">IF(AND(A128="",B128=""),"",IF(J128="","Status needed",IF(OR(J128="Applied",J128="Visit booked",J128="Withdrawn"),"OK",IF(G128="","Date assessed needed",IF(C128="","Date of birth needed",IF(COUNTA(L128,M128,P128,U128,V128,X128,AB128)&lt;7,"Band missing",IF(AND(OR(J128="Decision confirmed",J128="Family told",J128="Enrolled"),AG128=""),"Recommendation needed",IF(AND(OR(J128="Family told",J128="Enrolled"),AJ128=""),"Date family told needed","OK"))))))))</f>
        <v/>
      </c>
    </row>
    <row r="129" customFormat="false" ht="15" hidden="false" customHeight="false" outlineLevel="0" collapsed="false">
      <c r="A129" s="7"/>
      <c r="B129" s="7"/>
      <c r="C129" s="46"/>
      <c r="D129" s="7"/>
      <c r="E129" s="47"/>
      <c r="F129" s="46"/>
      <c r="G129" s="46"/>
      <c r="H129" s="7"/>
      <c r="I129" s="7"/>
      <c r="J129" s="47"/>
      <c r="K129" s="47"/>
      <c r="L129" s="47"/>
      <c r="M129" s="47"/>
      <c r="N129" s="10"/>
      <c r="O129" s="47"/>
      <c r="P129" s="47"/>
      <c r="Q129" s="47"/>
      <c r="R129" s="48" t="str">
        <f aca="false">IF(Q129="","",IF(Q129=0,"below 5:00",IF(Q129&gt;=66,"16:00 or above",INT((60+2*Q129)/12)&amp;":"&amp;TEXT(MOD(60+2*Q129,12),"00"))))</f>
        <v/>
      </c>
      <c r="S129" s="47"/>
      <c r="T129" s="47"/>
      <c r="U129" s="47"/>
      <c r="V129" s="47"/>
      <c r="W129" s="47"/>
      <c r="X129" s="47"/>
      <c r="Y129" s="47"/>
      <c r="Z129" s="47"/>
      <c r="AA129" s="47"/>
      <c r="AB129" s="47"/>
      <c r="AC129" s="47"/>
      <c r="AD129" s="47"/>
      <c r="AE129" s="47"/>
      <c r="AF129" s="47"/>
      <c r="AG129" s="47"/>
      <c r="AH129" s="47"/>
      <c r="AI129" s="46"/>
      <c r="AJ129" s="46"/>
      <c r="AK129" s="46"/>
      <c r="AL129" s="7"/>
      <c r="AM129" s="49" t="str">
        <f aca="false">IF(OR(C129="",G129=""),"",IFERROR(DATEDIF(C129,G129,"m"),""))</f>
        <v/>
      </c>
      <c r="AN129" s="49" t="str">
        <f aca="false">IF(OR(Q129="",AM129=""),"",60+2*Q129-AM129)</f>
        <v/>
      </c>
      <c r="AO129" s="49" t="str">
        <f aca="false">IF(OR(G129="",AJ129=""),"",AJ129-G129)</f>
        <v/>
      </c>
      <c r="AP129" s="50" t="str">
        <f aca="false">IF(AND(A129="",B129=""),"",IF(J129="","Status needed",IF(OR(J129="Applied",J129="Visit booked",J129="Withdrawn"),"OK",IF(G129="","Date assessed needed",IF(C129="","Date of birth needed",IF(COUNTA(L129,M129,P129,U129,V129,X129,AB129)&lt;7,"Band missing",IF(AND(OR(J129="Decision confirmed",J129="Family told",J129="Enrolled"),AG129=""),"Recommendation needed",IF(AND(OR(J129="Family told",J129="Enrolled"),AJ129=""),"Date family told needed","OK"))))))))</f>
        <v/>
      </c>
    </row>
    <row r="130" customFormat="false" ht="15" hidden="false" customHeight="false" outlineLevel="0" collapsed="false">
      <c r="A130" s="7"/>
      <c r="B130" s="7"/>
      <c r="C130" s="46"/>
      <c r="D130" s="7"/>
      <c r="E130" s="47"/>
      <c r="F130" s="46"/>
      <c r="G130" s="46"/>
      <c r="H130" s="7"/>
      <c r="I130" s="7"/>
      <c r="J130" s="47"/>
      <c r="K130" s="47"/>
      <c r="L130" s="47"/>
      <c r="M130" s="47"/>
      <c r="N130" s="10"/>
      <c r="O130" s="47"/>
      <c r="P130" s="47"/>
      <c r="Q130" s="47"/>
      <c r="R130" s="48" t="str">
        <f aca="false">IF(Q130="","",IF(Q130=0,"below 5:00",IF(Q130&gt;=66,"16:00 or above",INT((60+2*Q130)/12)&amp;":"&amp;TEXT(MOD(60+2*Q130,12),"00"))))</f>
        <v/>
      </c>
      <c r="S130" s="47"/>
      <c r="T130" s="47"/>
      <c r="U130" s="47"/>
      <c r="V130" s="47"/>
      <c r="W130" s="47"/>
      <c r="X130" s="47"/>
      <c r="Y130" s="47"/>
      <c r="Z130" s="47"/>
      <c r="AA130" s="47"/>
      <c r="AB130" s="47"/>
      <c r="AC130" s="47"/>
      <c r="AD130" s="47"/>
      <c r="AE130" s="47"/>
      <c r="AF130" s="47"/>
      <c r="AG130" s="47"/>
      <c r="AH130" s="47"/>
      <c r="AI130" s="46"/>
      <c r="AJ130" s="46"/>
      <c r="AK130" s="46"/>
      <c r="AL130" s="7"/>
      <c r="AM130" s="49" t="str">
        <f aca="false">IF(OR(C130="",G130=""),"",IFERROR(DATEDIF(C130,G130,"m"),""))</f>
        <v/>
      </c>
      <c r="AN130" s="49" t="str">
        <f aca="false">IF(OR(Q130="",AM130=""),"",60+2*Q130-AM130)</f>
        <v/>
      </c>
      <c r="AO130" s="49" t="str">
        <f aca="false">IF(OR(G130="",AJ130=""),"",AJ130-G130)</f>
        <v/>
      </c>
      <c r="AP130" s="50" t="str">
        <f aca="false">IF(AND(A130="",B130=""),"",IF(J130="","Status needed",IF(OR(J130="Applied",J130="Visit booked",J130="Withdrawn"),"OK",IF(G130="","Date assessed needed",IF(C130="","Date of birth needed",IF(COUNTA(L130,M130,P130,U130,V130,X130,AB130)&lt;7,"Band missing",IF(AND(OR(J130="Decision confirmed",J130="Family told",J130="Enrolled"),AG130=""),"Recommendation needed",IF(AND(OR(J130="Family told",J130="Enrolled"),AJ130=""),"Date family told needed","OK"))))))))</f>
        <v/>
      </c>
    </row>
    <row r="131" customFormat="false" ht="15" hidden="false" customHeight="false" outlineLevel="0" collapsed="false">
      <c r="A131" s="7"/>
      <c r="B131" s="7"/>
      <c r="C131" s="46"/>
      <c r="D131" s="7"/>
      <c r="E131" s="47"/>
      <c r="F131" s="46"/>
      <c r="G131" s="46"/>
      <c r="H131" s="7"/>
      <c r="I131" s="7"/>
      <c r="J131" s="47"/>
      <c r="K131" s="47"/>
      <c r="L131" s="47"/>
      <c r="M131" s="47"/>
      <c r="N131" s="10"/>
      <c r="O131" s="47"/>
      <c r="P131" s="47"/>
      <c r="Q131" s="47"/>
      <c r="R131" s="48" t="str">
        <f aca="false">IF(Q131="","",IF(Q131=0,"below 5:00",IF(Q131&gt;=66,"16:00 or above",INT((60+2*Q131)/12)&amp;":"&amp;TEXT(MOD(60+2*Q131,12),"00"))))</f>
        <v/>
      </c>
      <c r="S131" s="47"/>
      <c r="T131" s="47"/>
      <c r="U131" s="47"/>
      <c r="V131" s="47"/>
      <c r="W131" s="47"/>
      <c r="X131" s="47"/>
      <c r="Y131" s="47"/>
      <c r="Z131" s="47"/>
      <c r="AA131" s="47"/>
      <c r="AB131" s="47"/>
      <c r="AC131" s="47"/>
      <c r="AD131" s="47"/>
      <c r="AE131" s="47"/>
      <c r="AF131" s="47"/>
      <c r="AG131" s="47"/>
      <c r="AH131" s="47"/>
      <c r="AI131" s="46"/>
      <c r="AJ131" s="46"/>
      <c r="AK131" s="46"/>
      <c r="AL131" s="7"/>
      <c r="AM131" s="49" t="str">
        <f aca="false">IF(OR(C131="",G131=""),"",IFERROR(DATEDIF(C131,G131,"m"),""))</f>
        <v/>
      </c>
      <c r="AN131" s="49" t="str">
        <f aca="false">IF(OR(Q131="",AM131=""),"",60+2*Q131-AM131)</f>
        <v/>
      </c>
      <c r="AO131" s="49" t="str">
        <f aca="false">IF(OR(G131="",AJ131=""),"",AJ131-G131)</f>
        <v/>
      </c>
      <c r="AP131" s="50" t="str">
        <f aca="false">IF(AND(A131="",B131=""),"",IF(J131="","Status needed",IF(OR(J131="Applied",J131="Visit booked",J131="Withdrawn"),"OK",IF(G131="","Date assessed needed",IF(C131="","Date of birth needed",IF(COUNTA(L131,M131,P131,U131,V131,X131,AB131)&lt;7,"Band missing",IF(AND(OR(J131="Decision confirmed",J131="Family told",J131="Enrolled"),AG131=""),"Recommendation needed",IF(AND(OR(J131="Family told",J131="Enrolled"),AJ131=""),"Date family told needed","OK"))))))))</f>
        <v/>
      </c>
    </row>
    <row r="132" customFormat="false" ht="15" hidden="false" customHeight="false" outlineLevel="0" collapsed="false">
      <c r="A132" s="7"/>
      <c r="B132" s="7"/>
      <c r="C132" s="46"/>
      <c r="D132" s="7"/>
      <c r="E132" s="47"/>
      <c r="F132" s="46"/>
      <c r="G132" s="46"/>
      <c r="H132" s="7"/>
      <c r="I132" s="7"/>
      <c r="J132" s="47"/>
      <c r="K132" s="47"/>
      <c r="L132" s="47"/>
      <c r="M132" s="47"/>
      <c r="N132" s="10"/>
      <c r="O132" s="47"/>
      <c r="P132" s="47"/>
      <c r="Q132" s="47"/>
      <c r="R132" s="48" t="str">
        <f aca="false">IF(Q132="","",IF(Q132=0,"below 5:00",IF(Q132&gt;=66,"16:00 or above",INT((60+2*Q132)/12)&amp;":"&amp;TEXT(MOD(60+2*Q132,12),"00"))))</f>
        <v/>
      </c>
      <c r="S132" s="47"/>
      <c r="T132" s="47"/>
      <c r="U132" s="47"/>
      <c r="V132" s="47"/>
      <c r="W132" s="47"/>
      <c r="X132" s="47"/>
      <c r="Y132" s="47"/>
      <c r="Z132" s="47"/>
      <c r="AA132" s="47"/>
      <c r="AB132" s="47"/>
      <c r="AC132" s="47"/>
      <c r="AD132" s="47"/>
      <c r="AE132" s="47"/>
      <c r="AF132" s="47"/>
      <c r="AG132" s="47"/>
      <c r="AH132" s="47"/>
      <c r="AI132" s="46"/>
      <c r="AJ132" s="46"/>
      <c r="AK132" s="46"/>
      <c r="AL132" s="7"/>
      <c r="AM132" s="49" t="str">
        <f aca="false">IF(OR(C132="",G132=""),"",IFERROR(DATEDIF(C132,G132,"m"),""))</f>
        <v/>
      </c>
      <c r="AN132" s="49" t="str">
        <f aca="false">IF(OR(Q132="",AM132=""),"",60+2*Q132-AM132)</f>
        <v/>
      </c>
      <c r="AO132" s="49" t="str">
        <f aca="false">IF(OR(G132="",AJ132=""),"",AJ132-G132)</f>
        <v/>
      </c>
      <c r="AP132" s="50" t="str">
        <f aca="false">IF(AND(A132="",B132=""),"",IF(J132="","Status needed",IF(OR(J132="Applied",J132="Visit booked",J132="Withdrawn"),"OK",IF(G132="","Date assessed needed",IF(C132="","Date of birth needed",IF(COUNTA(L132,M132,P132,U132,V132,X132,AB132)&lt;7,"Band missing",IF(AND(OR(J132="Decision confirmed",J132="Family told",J132="Enrolled"),AG132=""),"Recommendation needed",IF(AND(OR(J132="Family told",J132="Enrolled"),AJ132=""),"Date family told needed","OK"))))))))</f>
        <v/>
      </c>
    </row>
    <row r="133" customFormat="false" ht="15" hidden="false" customHeight="false" outlineLevel="0" collapsed="false">
      <c r="A133" s="7"/>
      <c r="B133" s="7"/>
      <c r="C133" s="46"/>
      <c r="D133" s="7"/>
      <c r="E133" s="47"/>
      <c r="F133" s="46"/>
      <c r="G133" s="46"/>
      <c r="H133" s="7"/>
      <c r="I133" s="7"/>
      <c r="J133" s="47"/>
      <c r="K133" s="47"/>
      <c r="L133" s="47"/>
      <c r="M133" s="47"/>
      <c r="N133" s="10"/>
      <c r="O133" s="47"/>
      <c r="P133" s="47"/>
      <c r="Q133" s="47"/>
      <c r="R133" s="48" t="str">
        <f aca="false">IF(Q133="","",IF(Q133=0,"below 5:00",IF(Q133&gt;=66,"16:00 or above",INT((60+2*Q133)/12)&amp;":"&amp;TEXT(MOD(60+2*Q133,12),"00"))))</f>
        <v/>
      </c>
      <c r="S133" s="47"/>
      <c r="T133" s="47"/>
      <c r="U133" s="47"/>
      <c r="V133" s="47"/>
      <c r="W133" s="47"/>
      <c r="X133" s="47"/>
      <c r="Y133" s="47"/>
      <c r="Z133" s="47"/>
      <c r="AA133" s="47"/>
      <c r="AB133" s="47"/>
      <c r="AC133" s="47"/>
      <c r="AD133" s="47"/>
      <c r="AE133" s="47"/>
      <c r="AF133" s="47"/>
      <c r="AG133" s="47"/>
      <c r="AH133" s="47"/>
      <c r="AI133" s="46"/>
      <c r="AJ133" s="46"/>
      <c r="AK133" s="46"/>
      <c r="AL133" s="7"/>
      <c r="AM133" s="49" t="str">
        <f aca="false">IF(OR(C133="",G133=""),"",IFERROR(DATEDIF(C133,G133,"m"),""))</f>
        <v/>
      </c>
      <c r="AN133" s="49" t="str">
        <f aca="false">IF(OR(Q133="",AM133=""),"",60+2*Q133-AM133)</f>
        <v/>
      </c>
      <c r="AO133" s="49" t="str">
        <f aca="false">IF(OR(G133="",AJ133=""),"",AJ133-G133)</f>
        <v/>
      </c>
      <c r="AP133" s="50" t="str">
        <f aca="false">IF(AND(A133="",B133=""),"",IF(J133="","Status needed",IF(OR(J133="Applied",J133="Visit booked",J133="Withdrawn"),"OK",IF(G133="","Date assessed needed",IF(C133="","Date of birth needed",IF(COUNTA(L133,M133,P133,U133,V133,X133,AB133)&lt;7,"Band missing",IF(AND(OR(J133="Decision confirmed",J133="Family told",J133="Enrolled"),AG133=""),"Recommendation needed",IF(AND(OR(J133="Family told",J133="Enrolled"),AJ133=""),"Date family told needed","OK"))))))))</f>
        <v/>
      </c>
    </row>
    <row r="134" customFormat="false" ht="15" hidden="false" customHeight="false" outlineLevel="0" collapsed="false">
      <c r="A134" s="7"/>
      <c r="B134" s="7"/>
      <c r="C134" s="46"/>
      <c r="D134" s="7"/>
      <c r="E134" s="47"/>
      <c r="F134" s="46"/>
      <c r="G134" s="46"/>
      <c r="H134" s="7"/>
      <c r="I134" s="7"/>
      <c r="J134" s="47"/>
      <c r="K134" s="47"/>
      <c r="L134" s="47"/>
      <c r="M134" s="47"/>
      <c r="N134" s="10"/>
      <c r="O134" s="47"/>
      <c r="P134" s="47"/>
      <c r="Q134" s="47"/>
      <c r="R134" s="48" t="str">
        <f aca="false">IF(Q134="","",IF(Q134=0,"below 5:00",IF(Q134&gt;=66,"16:00 or above",INT((60+2*Q134)/12)&amp;":"&amp;TEXT(MOD(60+2*Q134,12),"00"))))</f>
        <v/>
      </c>
      <c r="S134" s="47"/>
      <c r="T134" s="47"/>
      <c r="U134" s="47"/>
      <c r="V134" s="47"/>
      <c r="W134" s="47"/>
      <c r="X134" s="47"/>
      <c r="Y134" s="47"/>
      <c r="Z134" s="47"/>
      <c r="AA134" s="47"/>
      <c r="AB134" s="47"/>
      <c r="AC134" s="47"/>
      <c r="AD134" s="47"/>
      <c r="AE134" s="47"/>
      <c r="AF134" s="47"/>
      <c r="AG134" s="47"/>
      <c r="AH134" s="47"/>
      <c r="AI134" s="46"/>
      <c r="AJ134" s="46"/>
      <c r="AK134" s="46"/>
      <c r="AL134" s="7"/>
      <c r="AM134" s="49" t="str">
        <f aca="false">IF(OR(C134="",G134=""),"",IFERROR(DATEDIF(C134,G134,"m"),""))</f>
        <v/>
      </c>
      <c r="AN134" s="49" t="str">
        <f aca="false">IF(OR(Q134="",AM134=""),"",60+2*Q134-AM134)</f>
        <v/>
      </c>
      <c r="AO134" s="49" t="str">
        <f aca="false">IF(OR(G134="",AJ134=""),"",AJ134-G134)</f>
        <v/>
      </c>
      <c r="AP134" s="50" t="str">
        <f aca="false">IF(AND(A134="",B134=""),"",IF(J134="","Status needed",IF(OR(J134="Applied",J134="Visit booked",J134="Withdrawn"),"OK",IF(G134="","Date assessed needed",IF(C134="","Date of birth needed",IF(COUNTA(L134,M134,P134,U134,V134,X134,AB134)&lt;7,"Band missing",IF(AND(OR(J134="Decision confirmed",J134="Family told",J134="Enrolled"),AG134=""),"Recommendation needed",IF(AND(OR(J134="Family told",J134="Enrolled"),AJ134=""),"Date family told needed","OK"))))))))</f>
        <v/>
      </c>
    </row>
    <row r="135" customFormat="false" ht="15" hidden="false" customHeight="false" outlineLevel="0" collapsed="false">
      <c r="A135" s="7"/>
      <c r="B135" s="7"/>
      <c r="C135" s="46"/>
      <c r="D135" s="7"/>
      <c r="E135" s="47"/>
      <c r="F135" s="46"/>
      <c r="G135" s="46"/>
      <c r="H135" s="7"/>
      <c r="I135" s="7"/>
      <c r="J135" s="47"/>
      <c r="K135" s="47"/>
      <c r="L135" s="47"/>
      <c r="M135" s="47"/>
      <c r="N135" s="10"/>
      <c r="O135" s="47"/>
      <c r="P135" s="47"/>
      <c r="Q135" s="47"/>
      <c r="R135" s="48" t="str">
        <f aca="false">IF(Q135="","",IF(Q135=0,"below 5:00",IF(Q135&gt;=66,"16:00 or above",INT((60+2*Q135)/12)&amp;":"&amp;TEXT(MOD(60+2*Q135,12),"00"))))</f>
        <v/>
      </c>
      <c r="S135" s="47"/>
      <c r="T135" s="47"/>
      <c r="U135" s="47"/>
      <c r="V135" s="47"/>
      <c r="W135" s="47"/>
      <c r="X135" s="47"/>
      <c r="Y135" s="47"/>
      <c r="Z135" s="47"/>
      <c r="AA135" s="47"/>
      <c r="AB135" s="47"/>
      <c r="AC135" s="47"/>
      <c r="AD135" s="47"/>
      <c r="AE135" s="47"/>
      <c r="AF135" s="47"/>
      <c r="AG135" s="47"/>
      <c r="AH135" s="47"/>
      <c r="AI135" s="46"/>
      <c r="AJ135" s="46"/>
      <c r="AK135" s="46"/>
      <c r="AL135" s="7"/>
      <c r="AM135" s="49" t="str">
        <f aca="false">IF(OR(C135="",G135=""),"",IFERROR(DATEDIF(C135,G135,"m"),""))</f>
        <v/>
      </c>
      <c r="AN135" s="49" t="str">
        <f aca="false">IF(OR(Q135="",AM135=""),"",60+2*Q135-AM135)</f>
        <v/>
      </c>
      <c r="AO135" s="49" t="str">
        <f aca="false">IF(OR(G135="",AJ135=""),"",AJ135-G135)</f>
        <v/>
      </c>
      <c r="AP135" s="50" t="str">
        <f aca="false">IF(AND(A135="",B135=""),"",IF(J135="","Status needed",IF(OR(J135="Applied",J135="Visit booked",J135="Withdrawn"),"OK",IF(G135="","Date assessed needed",IF(C135="","Date of birth needed",IF(COUNTA(L135,M135,P135,U135,V135,X135,AB135)&lt;7,"Band missing",IF(AND(OR(J135="Decision confirmed",J135="Family told",J135="Enrolled"),AG135=""),"Recommendation needed",IF(AND(OR(J135="Family told",J135="Enrolled"),AJ135=""),"Date family told needed","OK"))))))))</f>
        <v/>
      </c>
    </row>
    <row r="136" customFormat="false" ht="15" hidden="false" customHeight="false" outlineLevel="0" collapsed="false">
      <c r="A136" s="7"/>
      <c r="B136" s="7"/>
      <c r="C136" s="46"/>
      <c r="D136" s="7"/>
      <c r="E136" s="47"/>
      <c r="F136" s="46"/>
      <c r="G136" s="46"/>
      <c r="H136" s="7"/>
      <c r="I136" s="7"/>
      <c r="J136" s="47"/>
      <c r="K136" s="47"/>
      <c r="L136" s="47"/>
      <c r="M136" s="47"/>
      <c r="N136" s="10"/>
      <c r="O136" s="47"/>
      <c r="P136" s="47"/>
      <c r="Q136" s="47"/>
      <c r="R136" s="48" t="str">
        <f aca="false">IF(Q136="","",IF(Q136=0,"below 5:00",IF(Q136&gt;=66,"16:00 or above",INT((60+2*Q136)/12)&amp;":"&amp;TEXT(MOD(60+2*Q136,12),"00"))))</f>
        <v/>
      </c>
      <c r="S136" s="47"/>
      <c r="T136" s="47"/>
      <c r="U136" s="47"/>
      <c r="V136" s="47"/>
      <c r="W136" s="47"/>
      <c r="X136" s="47"/>
      <c r="Y136" s="47"/>
      <c r="Z136" s="47"/>
      <c r="AA136" s="47"/>
      <c r="AB136" s="47"/>
      <c r="AC136" s="47"/>
      <c r="AD136" s="47"/>
      <c r="AE136" s="47"/>
      <c r="AF136" s="47"/>
      <c r="AG136" s="47"/>
      <c r="AH136" s="47"/>
      <c r="AI136" s="46"/>
      <c r="AJ136" s="46"/>
      <c r="AK136" s="46"/>
      <c r="AL136" s="7"/>
      <c r="AM136" s="49" t="str">
        <f aca="false">IF(OR(C136="",G136=""),"",IFERROR(DATEDIF(C136,G136,"m"),""))</f>
        <v/>
      </c>
      <c r="AN136" s="49" t="str">
        <f aca="false">IF(OR(Q136="",AM136=""),"",60+2*Q136-AM136)</f>
        <v/>
      </c>
      <c r="AO136" s="49" t="str">
        <f aca="false">IF(OR(G136="",AJ136=""),"",AJ136-G136)</f>
        <v/>
      </c>
      <c r="AP136" s="50" t="str">
        <f aca="false">IF(AND(A136="",B136=""),"",IF(J136="","Status needed",IF(OR(J136="Applied",J136="Visit booked",J136="Withdrawn"),"OK",IF(G136="","Date assessed needed",IF(C136="","Date of birth needed",IF(COUNTA(L136,M136,P136,U136,V136,X136,AB136)&lt;7,"Band missing",IF(AND(OR(J136="Decision confirmed",J136="Family told",J136="Enrolled"),AG136=""),"Recommendation needed",IF(AND(OR(J136="Family told",J136="Enrolled"),AJ136=""),"Date family told needed","OK"))))))))</f>
        <v/>
      </c>
    </row>
    <row r="137" customFormat="false" ht="15" hidden="false" customHeight="false" outlineLevel="0" collapsed="false">
      <c r="A137" s="7"/>
      <c r="B137" s="7"/>
      <c r="C137" s="46"/>
      <c r="D137" s="7"/>
      <c r="E137" s="47"/>
      <c r="F137" s="46"/>
      <c r="G137" s="46"/>
      <c r="H137" s="7"/>
      <c r="I137" s="7"/>
      <c r="J137" s="47"/>
      <c r="K137" s="47"/>
      <c r="L137" s="47"/>
      <c r="M137" s="47"/>
      <c r="N137" s="10"/>
      <c r="O137" s="47"/>
      <c r="P137" s="47"/>
      <c r="Q137" s="47"/>
      <c r="R137" s="48" t="str">
        <f aca="false">IF(Q137="","",IF(Q137=0,"below 5:00",IF(Q137&gt;=66,"16:00 or above",INT((60+2*Q137)/12)&amp;":"&amp;TEXT(MOD(60+2*Q137,12),"00"))))</f>
        <v/>
      </c>
      <c r="S137" s="47"/>
      <c r="T137" s="47"/>
      <c r="U137" s="47"/>
      <c r="V137" s="47"/>
      <c r="W137" s="47"/>
      <c r="X137" s="47"/>
      <c r="Y137" s="47"/>
      <c r="Z137" s="47"/>
      <c r="AA137" s="47"/>
      <c r="AB137" s="47"/>
      <c r="AC137" s="47"/>
      <c r="AD137" s="47"/>
      <c r="AE137" s="47"/>
      <c r="AF137" s="47"/>
      <c r="AG137" s="47"/>
      <c r="AH137" s="47"/>
      <c r="AI137" s="46"/>
      <c r="AJ137" s="46"/>
      <c r="AK137" s="46"/>
      <c r="AL137" s="7"/>
      <c r="AM137" s="49" t="str">
        <f aca="false">IF(OR(C137="",G137=""),"",IFERROR(DATEDIF(C137,G137,"m"),""))</f>
        <v/>
      </c>
      <c r="AN137" s="49" t="str">
        <f aca="false">IF(OR(Q137="",AM137=""),"",60+2*Q137-AM137)</f>
        <v/>
      </c>
      <c r="AO137" s="49" t="str">
        <f aca="false">IF(OR(G137="",AJ137=""),"",AJ137-G137)</f>
        <v/>
      </c>
      <c r="AP137" s="50" t="str">
        <f aca="false">IF(AND(A137="",B137=""),"",IF(J137="","Status needed",IF(OR(J137="Applied",J137="Visit booked",J137="Withdrawn"),"OK",IF(G137="","Date assessed needed",IF(C137="","Date of birth needed",IF(COUNTA(L137,M137,P137,U137,V137,X137,AB137)&lt;7,"Band missing",IF(AND(OR(J137="Decision confirmed",J137="Family told",J137="Enrolled"),AG137=""),"Recommendation needed",IF(AND(OR(J137="Family told",J137="Enrolled"),AJ137=""),"Date family told needed","OK"))))))))</f>
        <v/>
      </c>
    </row>
    <row r="138" customFormat="false" ht="15" hidden="false" customHeight="false" outlineLevel="0" collapsed="false">
      <c r="A138" s="7"/>
      <c r="B138" s="7"/>
      <c r="C138" s="46"/>
      <c r="D138" s="7"/>
      <c r="E138" s="47"/>
      <c r="F138" s="46"/>
      <c r="G138" s="46"/>
      <c r="H138" s="7"/>
      <c r="I138" s="7"/>
      <c r="J138" s="47"/>
      <c r="K138" s="47"/>
      <c r="L138" s="47"/>
      <c r="M138" s="47"/>
      <c r="N138" s="10"/>
      <c r="O138" s="47"/>
      <c r="P138" s="47"/>
      <c r="Q138" s="47"/>
      <c r="R138" s="48" t="str">
        <f aca="false">IF(Q138="","",IF(Q138=0,"below 5:00",IF(Q138&gt;=66,"16:00 or above",INT((60+2*Q138)/12)&amp;":"&amp;TEXT(MOD(60+2*Q138,12),"00"))))</f>
        <v/>
      </c>
      <c r="S138" s="47"/>
      <c r="T138" s="47"/>
      <c r="U138" s="47"/>
      <c r="V138" s="47"/>
      <c r="W138" s="47"/>
      <c r="X138" s="47"/>
      <c r="Y138" s="47"/>
      <c r="Z138" s="47"/>
      <c r="AA138" s="47"/>
      <c r="AB138" s="47"/>
      <c r="AC138" s="47"/>
      <c r="AD138" s="47"/>
      <c r="AE138" s="47"/>
      <c r="AF138" s="47"/>
      <c r="AG138" s="47"/>
      <c r="AH138" s="47"/>
      <c r="AI138" s="46"/>
      <c r="AJ138" s="46"/>
      <c r="AK138" s="46"/>
      <c r="AL138" s="7"/>
      <c r="AM138" s="49" t="str">
        <f aca="false">IF(OR(C138="",G138=""),"",IFERROR(DATEDIF(C138,G138,"m"),""))</f>
        <v/>
      </c>
      <c r="AN138" s="49" t="str">
        <f aca="false">IF(OR(Q138="",AM138=""),"",60+2*Q138-AM138)</f>
        <v/>
      </c>
      <c r="AO138" s="49" t="str">
        <f aca="false">IF(OR(G138="",AJ138=""),"",AJ138-G138)</f>
        <v/>
      </c>
      <c r="AP138" s="50" t="str">
        <f aca="false">IF(AND(A138="",B138=""),"",IF(J138="","Status needed",IF(OR(J138="Applied",J138="Visit booked",J138="Withdrawn"),"OK",IF(G138="","Date assessed needed",IF(C138="","Date of birth needed",IF(COUNTA(L138,M138,P138,U138,V138,X138,AB138)&lt;7,"Band missing",IF(AND(OR(J138="Decision confirmed",J138="Family told",J138="Enrolled"),AG138=""),"Recommendation needed",IF(AND(OR(J138="Family told",J138="Enrolled"),AJ138=""),"Date family told needed","OK"))))))))</f>
        <v/>
      </c>
    </row>
    <row r="139" customFormat="false" ht="15" hidden="false" customHeight="false" outlineLevel="0" collapsed="false">
      <c r="A139" s="7"/>
      <c r="B139" s="7"/>
      <c r="C139" s="46"/>
      <c r="D139" s="7"/>
      <c r="E139" s="47"/>
      <c r="F139" s="46"/>
      <c r="G139" s="46"/>
      <c r="H139" s="7"/>
      <c r="I139" s="7"/>
      <c r="J139" s="47"/>
      <c r="K139" s="47"/>
      <c r="L139" s="47"/>
      <c r="M139" s="47"/>
      <c r="N139" s="10"/>
      <c r="O139" s="47"/>
      <c r="P139" s="47"/>
      <c r="Q139" s="47"/>
      <c r="R139" s="48" t="str">
        <f aca="false">IF(Q139="","",IF(Q139=0,"below 5:00",IF(Q139&gt;=66,"16:00 or above",INT((60+2*Q139)/12)&amp;":"&amp;TEXT(MOD(60+2*Q139,12),"00"))))</f>
        <v/>
      </c>
      <c r="S139" s="47"/>
      <c r="T139" s="47"/>
      <c r="U139" s="47"/>
      <c r="V139" s="47"/>
      <c r="W139" s="47"/>
      <c r="X139" s="47"/>
      <c r="Y139" s="47"/>
      <c r="Z139" s="47"/>
      <c r="AA139" s="47"/>
      <c r="AB139" s="47"/>
      <c r="AC139" s="47"/>
      <c r="AD139" s="47"/>
      <c r="AE139" s="47"/>
      <c r="AF139" s="47"/>
      <c r="AG139" s="47"/>
      <c r="AH139" s="47"/>
      <c r="AI139" s="46"/>
      <c r="AJ139" s="46"/>
      <c r="AK139" s="46"/>
      <c r="AL139" s="7"/>
      <c r="AM139" s="49" t="str">
        <f aca="false">IF(OR(C139="",G139=""),"",IFERROR(DATEDIF(C139,G139,"m"),""))</f>
        <v/>
      </c>
      <c r="AN139" s="49" t="str">
        <f aca="false">IF(OR(Q139="",AM139=""),"",60+2*Q139-AM139)</f>
        <v/>
      </c>
      <c r="AO139" s="49" t="str">
        <f aca="false">IF(OR(G139="",AJ139=""),"",AJ139-G139)</f>
        <v/>
      </c>
      <c r="AP139" s="50" t="str">
        <f aca="false">IF(AND(A139="",B139=""),"",IF(J139="","Status needed",IF(OR(J139="Applied",J139="Visit booked",J139="Withdrawn"),"OK",IF(G139="","Date assessed needed",IF(C139="","Date of birth needed",IF(COUNTA(L139,M139,P139,U139,V139,X139,AB139)&lt;7,"Band missing",IF(AND(OR(J139="Decision confirmed",J139="Family told",J139="Enrolled"),AG139=""),"Recommendation needed",IF(AND(OR(J139="Family told",J139="Enrolled"),AJ139=""),"Date family told needed","OK"))))))))</f>
        <v/>
      </c>
    </row>
    <row r="140" customFormat="false" ht="15" hidden="false" customHeight="false" outlineLevel="0" collapsed="false">
      <c r="A140" s="7"/>
      <c r="B140" s="7"/>
      <c r="C140" s="46"/>
      <c r="D140" s="7"/>
      <c r="E140" s="47"/>
      <c r="F140" s="46"/>
      <c r="G140" s="46"/>
      <c r="H140" s="7"/>
      <c r="I140" s="7"/>
      <c r="J140" s="47"/>
      <c r="K140" s="47"/>
      <c r="L140" s="47"/>
      <c r="M140" s="47"/>
      <c r="N140" s="10"/>
      <c r="O140" s="47"/>
      <c r="P140" s="47"/>
      <c r="Q140" s="47"/>
      <c r="R140" s="48" t="str">
        <f aca="false">IF(Q140="","",IF(Q140=0,"below 5:00",IF(Q140&gt;=66,"16:00 or above",INT((60+2*Q140)/12)&amp;":"&amp;TEXT(MOD(60+2*Q140,12),"00"))))</f>
        <v/>
      </c>
      <c r="S140" s="47"/>
      <c r="T140" s="47"/>
      <c r="U140" s="47"/>
      <c r="V140" s="47"/>
      <c r="W140" s="47"/>
      <c r="X140" s="47"/>
      <c r="Y140" s="47"/>
      <c r="Z140" s="47"/>
      <c r="AA140" s="47"/>
      <c r="AB140" s="47"/>
      <c r="AC140" s="47"/>
      <c r="AD140" s="47"/>
      <c r="AE140" s="47"/>
      <c r="AF140" s="47"/>
      <c r="AG140" s="47"/>
      <c r="AH140" s="47"/>
      <c r="AI140" s="46"/>
      <c r="AJ140" s="46"/>
      <c r="AK140" s="46"/>
      <c r="AL140" s="7"/>
      <c r="AM140" s="49" t="str">
        <f aca="false">IF(OR(C140="",G140=""),"",IFERROR(DATEDIF(C140,G140,"m"),""))</f>
        <v/>
      </c>
      <c r="AN140" s="49" t="str">
        <f aca="false">IF(OR(Q140="",AM140=""),"",60+2*Q140-AM140)</f>
        <v/>
      </c>
      <c r="AO140" s="49" t="str">
        <f aca="false">IF(OR(G140="",AJ140=""),"",AJ140-G140)</f>
        <v/>
      </c>
      <c r="AP140" s="50" t="str">
        <f aca="false">IF(AND(A140="",B140=""),"",IF(J140="","Status needed",IF(OR(J140="Applied",J140="Visit booked",J140="Withdrawn"),"OK",IF(G140="","Date assessed needed",IF(C140="","Date of birth needed",IF(COUNTA(L140,M140,P140,U140,V140,X140,AB140)&lt;7,"Band missing",IF(AND(OR(J140="Decision confirmed",J140="Family told",J140="Enrolled"),AG140=""),"Recommendation needed",IF(AND(OR(J140="Family told",J140="Enrolled"),AJ140=""),"Date family told needed","OK"))))))))</f>
        <v/>
      </c>
    </row>
    <row r="141" customFormat="false" ht="15" hidden="false" customHeight="false" outlineLevel="0" collapsed="false">
      <c r="A141" s="7"/>
      <c r="B141" s="7"/>
      <c r="C141" s="46"/>
      <c r="D141" s="7"/>
      <c r="E141" s="47"/>
      <c r="F141" s="46"/>
      <c r="G141" s="46"/>
      <c r="H141" s="7"/>
      <c r="I141" s="7"/>
      <c r="J141" s="47"/>
      <c r="K141" s="47"/>
      <c r="L141" s="47"/>
      <c r="M141" s="47"/>
      <c r="N141" s="10"/>
      <c r="O141" s="47"/>
      <c r="P141" s="47"/>
      <c r="Q141" s="47"/>
      <c r="R141" s="48" t="str">
        <f aca="false">IF(Q141="","",IF(Q141=0,"below 5:00",IF(Q141&gt;=66,"16:00 or above",INT((60+2*Q141)/12)&amp;":"&amp;TEXT(MOD(60+2*Q141,12),"00"))))</f>
        <v/>
      </c>
      <c r="S141" s="47"/>
      <c r="T141" s="47"/>
      <c r="U141" s="47"/>
      <c r="V141" s="47"/>
      <c r="W141" s="47"/>
      <c r="X141" s="47"/>
      <c r="Y141" s="47"/>
      <c r="Z141" s="47"/>
      <c r="AA141" s="47"/>
      <c r="AB141" s="47"/>
      <c r="AC141" s="47"/>
      <c r="AD141" s="47"/>
      <c r="AE141" s="47"/>
      <c r="AF141" s="47"/>
      <c r="AG141" s="47"/>
      <c r="AH141" s="47"/>
      <c r="AI141" s="46"/>
      <c r="AJ141" s="46"/>
      <c r="AK141" s="46"/>
      <c r="AL141" s="7"/>
      <c r="AM141" s="49" t="str">
        <f aca="false">IF(OR(C141="",G141=""),"",IFERROR(DATEDIF(C141,G141,"m"),""))</f>
        <v/>
      </c>
      <c r="AN141" s="49" t="str">
        <f aca="false">IF(OR(Q141="",AM141=""),"",60+2*Q141-AM141)</f>
        <v/>
      </c>
      <c r="AO141" s="49" t="str">
        <f aca="false">IF(OR(G141="",AJ141=""),"",AJ141-G141)</f>
        <v/>
      </c>
      <c r="AP141" s="50" t="str">
        <f aca="false">IF(AND(A141="",B141=""),"",IF(J141="","Status needed",IF(OR(J141="Applied",J141="Visit booked",J141="Withdrawn"),"OK",IF(G141="","Date assessed needed",IF(C141="","Date of birth needed",IF(COUNTA(L141,M141,P141,U141,V141,X141,AB141)&lt;7,"Band missing",IF(AND(OR(J141="Decision confirmed",J141="Family told",J141="Enrolled"),AG141=""),"Recommendation needed",IF(AND(OR(J141="Family told",J141="Enrolled"),AJ141=""),"Date family told needed","OK"))))))))</f>
        <v/>
      </c>
    </row>
    <row r="142" customFormat="false" ht="15" hidden="false" customHeight="false" outlineLevel="0" collapsed="false">
      <c r="A142" s="7"/>
      <c r="B142" s="7"/>
      <c r="C142" s="46"/>
      <c r="D142" s="7"/>
      <c r="E142" s="47"/>
      <c r="F142" s="46"/>
      <c r="G142" s="46"/>
      <c r="H142" s="7"/>
      <c r="I142" s="7"/>
      <c r="J142" s="47"/>
      <c r="K142" s="47"/>
      <c r="L142" s="47"/>
      <c r="M142" s="47"/>
      <c r="N142" s="10"/>
      <c r="O142" s="47"/>
      <c r="P142" s="47"/>
      <c r="Q142" s="47"/>
      <c r="R142" s="48" t="str">
        <f aca="false">IF(Q142="","",IF(Q142=0,"below 5:00",IF(Q142&gt;=66,"16:00 or above",INT((60+2*Q142)/12)&amp;":"&amp;TEXT(MOD(60+2*Q142,12),"00"))))</f>
        <v/>
      </c>
      <c r="S142" s="47"/>
      <c r="T142" s="47"/>
      <c r="U142" s="47"/>
      <c r="V142" s="47"/>
      <c r="W142" s="47"/>
      <c r="X142" s="47"/>
      <c r="Y142" s="47"/>
      <c r="Z142" s="47"/>
      <c r="AA142" s="47"/>
      <c r="AB142" s="47"/>
      <c r="AC142" s="47"/>
      <c r="AD142" s="47"/>
      <c r="AE142" s="47"/>
      <c r="AF142" s="47"/>
      <c r="AG142" s="47"/>
      <c r="AH142" s="47"/>
      <c r="AI142" s="46"/>
      <c r="AJ142" s="46"/>
      <c r="AK142" s="46"/>
      <c r="AL142" s="7"/>
      <c r="AM142" s="49" t="str">
        <f aca="false">IF(OR(C142="",G142=""),"",IFERROR(DATEDIF(C142,G142,"m"),""))</f>
        <v/>
      </c>
      <c r="AN142" s="49" t="str">
        <f aca="false">IF(OR(Q142="",AM142=""),"",60+2*Q142-AM142)</f>
        <v/>
      </c>
      <c r="AO142" s="49" t="str">
        <f aca="false">IF(OR(G142="",AJ142=""),"",AJ142-G142)</f>
        <v/>
      </c>
      <c r="AP142" s="50" t="str">
        <f aca="false">IF(AND(A142="",B142=""),"",IF(J142="","Status needed",IF(OR(J142="Applied",J142="Visit booked",J142="Withdrawn"),"OK",IF(G142="","Date assessed needed",IF(C142="","Date of birth needed",IF(COUNTA(L142,M142,P142,U142,V142,X142,AB142)&lt;7,"Band missing",IF(AND(OR(J142="Decision confirmed",J142="Family told",J142="Enrolled"),AG142=""),"Recommendation needed",IF(AND(OR(J142="Family told",J142="Enrolled"),AJ142=""),"Date family told needed","OK"))))))))</f>
        <v/>
      </c>
    </row>
    <row r="143" customFormat="false" ht="15" hidden="false" customHeight="false" outlineLevel="0" collapsed="false">
      <c r="A143" s="7"/>
      <c r="B143" s="7"/>
      <c r="C143" s="46"/>
      <c r="D143" s="7"/>
      <c r="E143" s="47"/>
      <c r="F143" s="46"/>
      <c r="G143" s="46"/>
      <c r="H143" s="7"/>
      <c r="I143" s="7"/>
      <c r="J143" s="47"/>
      <c r="K143" s="47"/>
      <c r="L143" s="47"/>
      <c r="M143" s="47"/>
      <c r="N143" s="10"/>
      <c r="O143" s="47"/>
      <c r="P143" s="47"/>
      <c r="Q143" s="47"/>
      <c r="R143" s="48" t="str">
        <f aca="false">IF(Q143="","",IF(Q143=0,"below 5:00",IF(Q143&gt;=66,"16:00 or above",INT((60+2*Q143)/12)&amp;":"&amp;TEXT(MOD(60+2*Q143,12),"00"))))</f>
        <v/>
      </c>
      <c r="S143" s="47"/>
      <c r="T143" s="47"/>
      <c r="U143" s="47"/>
      <c r="V143" s="47"/>
      <c r="W143" s="47"/>
      <c r="X143" s="47"/>
      <c r="Y143" s="47"/>
      <c r="Z143" s="47"/>
      <c r="AA143" s="47"/>
      <c r="AB143" s="47"/>
      <c r="AC143" s="47"/>
      <c r="AD143" s="47"/>
      <c r="AE143" s="47"/>
      <c r="AF143" s="47"/>
      <c r="AG143" s="47"/>
      <c r="AH143" s="47"/>
      <c r="AI143" s="46"/>
      <c r="AJ143" s="46"/>
      <c r="AK143" s="46"/>
      <c r="AL143" s="7"/>
      <c r="AM143" s="49" t="str">
        <f aca="false">IF(OR(C143="",G143=""),"",IFERROR(DATEDIF(C143,G143,"m"),""))</f>
        <v/>
      </c>
      <c r="AN143" s="49" t="str">
        <f aca="false">IF(OR(Q143="",AM143=""),"",60+2*Q143-AM143)</f>
        <v/>
      </c>
      <c r="AO143" s="49" t="str">
        <f aca="false">IF(OR(G143="",AJ143=""),"",AJ143-G143)</f>
        <v/>
      </c>
      <c r="AP143" s="50" t="str">
        <f aca="false">IF(AND(A143="",B143=""),"",IF(J143="","Status needed",IF(OR(J143="Applied",J143="Visit booked",J143="Withdrawn"),"OK",IF(G143="","Date assessed needed",IF(C143="","Date of birth needed",IF(COUNTA(L143,M143,P143,U143,V143,X143,AB143)&lt;7,"Band missing",IF(AND(OR(J143="Decision confirmed",J143="Family told",J143="Enrolled"),AG143=""),"Recommendation needed",IF(AND(OR(J143="Family told",J143="Enrolled"),AJ143=""),"Date family told needed","OK"))))))))</f>
        <v/>
      </c>
    </row>
    <row r="144" customFormat="false" ht="15" hidden="false" customHeight="false" outlineLevel="0" collapsed="false">
      <c r="A144" s="7"/>
      <c r="B144" s="7"/>
      <c r="C144" s="46"/>
      <c r="D144" s="7"/>
      <c r="E144" s="47"/>
      <c r="F144" s="46"/>
      <c r="G144" s="46"/>
      <c r="H144" s="7"/>
      <c r="I144" s="7"/>
      <c r="J144" s="47"/>
      <c r="K144" s="47"/>
      <c r="L144" s="47"/>
      <c r="M144" s="47"/>
      <c r="N144" s="10"/>
      <c r="O144" s="47"/>
      <c r="P144" s="47"/>
      <c r="Q144" s="47"/>
      <c r="R144" s="48" t="str">
        <f aca="false">IF(Q144="","",IF(Q144=0,"below 5:00",IF(Q144&gt;=66,"16:00 or above",INT((60+2*Q144)/12)&amp;":"&amp;TEXT(MOD(60+2*Q144,12),"00"))))</f>
        <v/>
      </c>
      <c r="S144" s="47"/>
      <c r="T144" s="47"/>
      <c r="U144" s="47"/>
      <c r="V144" s="47"/>
      <c r="W144" s="47"/>
      <c r="X144" s="47"/>
      <c r="Y144" s="47"/>
      <c r="Z144" s="47"/>
      <c r="AA144" s="47"/>
      <c r="AB144" s="47"/>
      <c r="AC144" s="47"/>
      <c r="AD144" s="47"/>
      <c r="AE144" s="47"/>
      <c r="AF144" s="47"/>
      <c r="AG144" s="47"/>
      <c r="AH144" s="47"/>
      <c r="AI144" s="46"/>
      <c r="AJ144" s="46"/>
      <c r="AK144" s="46"/>
      <c r="AL144" s="7"/>
      <c r="AM144" s="49" t="str">
        <f aca="false">IF(OR(C144="",G144=""),"",IFERROR(DATEDIF(C144,G144,"m"),""))</f>
        <v/>
      </c>
      <c r="AN144" s="49" t="str">
        <f aca="false">IF(OR(Q144="",AM144=""),"",60+2*Q144-AM144)</f>
        <v/>
      </c>
      <c r="AO144" s="49" t="str">
        <f aca="false">IF(OR(G144="",AJ144=""),"",AJ144-G144)</f>
        <v/>
      </c>
      <c r="AP144" s="50" t="str">
        <f aca="false">IF(AND(A144="",B144=""),"",IF(J144="","Status needed",IF(OR(J144="Applied",J144="Visit booked",J144="Withdrawn"),"OK",IF(G144="","Date assessed needed",IF(C144="","Date of birth needed",IF(COUNTA(L144,M144,P144,U144,V144,X144,AB144)&lt;7,"Band missing",IF(AND(OR(J144="Decision confirmed",J144="Family told",J144="Enrolled"),AG144=""),"Recommendation needed",IF(AND(OR(J144="Family told",J144="Enrolled"),AJ144=""),"Date family told needed","OK"))))))))</f>
        <v/>
      </c>
    </row>
    <row r="145" customFormat="false" ht="15" hidden="false" customHeight="false" outlineLevel="0" collapsed="false">
      <c r="A145" s="7"/>
      <c r="B145" s="7"/>
      <c r="C145" s="46"/>
      <c r="D145" s="7"/>
      <c r="E145" s="47"/>
      <c r="F145" s="46"/>
      <c r="G145" s="46"/>
      <c r="H145" s="7"/>
      <c r="I145" s="7"/>
      <c r="J145" s="47"/>
      <c r="K145" s="47"/>
      <c r="L145" s="47"/>
      <c r="M145" s="47"/>
      <c r="N145" s="10"/>
      <c r="O145" s="47"/>
      <c r="P145" s="47"/>
      <c r="Q145" s="47"/>
      <c r="R145" s="48" t="str">
        <f aca="false">IF(Q145="","",IF(Q145=0,"below 5:00",IF(Q145&gt;=66,"16:00 or above",INT((60+2*Q145)/12)&amp;":"&amp;TEXT(MOD(60+2*Q145,12),"00"))))</f>
        <v/>
      </c>
      <c r="S145" s="47"/>
      <c r="T145" s="47"/>
      <c r="U145" s="47"/>
      <c r="V145" s="47"/>
      <c r="W145" s="47"/>
      <c r="X145" s="47"/>
      <c r="Y145" s="47"/>
      <c r="Z145" s="47"/>
      <c r="AA145" s="47"/>
      <c r="AB145" s="47"/>
      <c r="AC145" s="47"/>
      <c r="AD145" s="47"/>
      <c r="AE145" s="47"/>
      <c r="AF145" s="47"/>
      <c r="AG145" s="47"/>
      <c r="AH145" s="47"/>
      <c r="AI145" s="46"/>
      <c r="AJ145" s="46"/>
      <c r="AK145" s="46"/>
      <c r="AL145" s="7"/>
      <c r="AM145" s="49" t="str">
        <f aca="false">IF(OR(C145="",G145=""),"",IFERROR(DATEDIF(C145,G145,"m"),""))</f>
        <v/>
      </c>
      <c r="AN145" s="49" t="str">
        <f aca="false">IF(OR(Q145="",AM145=""),"",60+2*Q145-AM145)</f>
        <v/>
      </c>
      <c r="AO145" s="49" t="str">
        <f aca="false">IF(OR(G145="",AJ145=""),"",AJ145-G145)</f>
        <v/>
      </c>
      <c r="AP145" s="50" t="str">
        <f aca="false">IF(AND(A145="",B145=""),"",IF(J145="","Status needed",IF(OR(J145="Applied",J145="Visit booked",J145="Withdrawn"),"OK",IF(G145="","Date assessed needed",IF(C145="","Date of birth needed",IF(COUNTA(L145,M145,P145,U145,V145,X145,AB145)&lt;7,"Band missing",IF(AND(OR(J145="Decision confirmed",J145="Family told",J145="Enrolled"),AG145=""),"Recommendation needed",IF(AND(OR(J145="Family told",J145="Enrolled"),AJ145=""),"Date family told needed","OK"))))))))</f>
        <v/>
      </c>
    </row>
    <row r="146" customFormat="false" ht="15" hidden="false" customHeight="false" outlineLevel="0" collapsed="false">
      <c r="A146" s="7"/>
      <c r="B146" s="7"/>
      <c r="C146" s="46"/>
      <c r="D146" s="7"/>
      <c r="E146" s="47"/>
      <c r="F146" s="46"/>
      <c r="G146" s="46"/>
      <c r="H146" s="7"/>
      <c r="I146" s="7"/>
      <c r="J146" s="47"/>
      <c r="K146" s="47"/>
      <c r="L146" s="47"/>
      <c r="M146" s="47"/>
      <c r="N146" s="10"/>
      <c r="O146" s="47"/>
      <c r="P146" s="47"/>
      <c r="Q146" s="47"/>
      <c r="R146" s="48" t="str">
        <f aca="false">IF(Q146="","",IF(Q146=0,"below 5:00",IF(Q146&gt;=66,"16:00 or above",INT((60+2*Q146)/12)&amp;":"&amp;TEXT(MOD(60+2*Q146,12),"00"))))</f>
        <v/>
      </c>
      <c r="S146" s="47"/>
      <c r="T146" s="47"/>
      <c r="U146" s="47"/>
      <c r="V146" s="47"/>
      <c r="W146" s="47"/>
      <c r="X146" s="47"/>
      <c r="Y146" s="47"/>
      <c r="Z146" s="47"/>
      <c r="AA146" s="47"/>
      <c r="AB146" s="47"/>
      <c r="AC146" s="47"/>
      <c r="AD146" s="47"/>
      <c r="AE146" s="47"/>
      <c r="AF146" s="47"/>
      <c r="AG146" s="47"/>
      <c r="AH146" s="47"/>
      <c r="AI146" s="46"/>
      <c r="AJ146" s="46"/>
      <c r="AK146" s="46"/>
      <c r="AL146" s="7"/>
      <c r="AM146" s="49" t="str">
        <f aca="false">IF(OR(C146="",G146=""),"",IFERROR(DATEDIF(C146,G146,"m"),""))</f>
        <v/>
      </c>
      <c r="AN146" s="49" t="str">
        <f aca="false">IF(OR(Q146="",AM146=""),"",60+2*Q146-AM146)</f>
        <v/>
      </c>
      <c r="AO146" s="49" t="str">
        <f aca="false">IF(OR(G146="",AJ146=""),"",AJ146-G146)</f>
        <v/>
      </c>
      <c r="AP146" s="50" t="str">
        <f aca="false">IF(AND(A146="",B146=""),"",IF(J146="","Status needed",IF(OR(J146="Applied",J146="Visit booked",J146="Withdrawn"),"OK",IF(G146="","Date assessed needed",IF(C146="","Date of birth needed",IF(COUNTA(L146,M146,P146,U146,V146,X146,AB146)&lt;7,"Band missing",IF(AND(OR(J146="Decision confirmed",J146="Family told",J146="Enrolled"),AG146=""),"Recommendation needed",IF(AND(OR(J146="Family told",J146="Enrolled"),AJ146=""),"Date family told needed","OK"))))))))</f>
        <v/>
      </c>
    </row>
    <row r="147" customFormat="false" ht="15" hidden="false" customHeight="false" outlineLevel="0" collapsed="false">
      <c r="A147" s="7"/>
      <c r="B147" s="7"/>
      <c r="C147" s="46"/>
      <c r="D147" s="7"/>
      <c r="E147" s="47"/>
      <c r="F147" s="46"/>
      <c r="G147" s="46"/>
      <c r="H147" s="7"/>
      <c r="I147" s="7"/>
      <c r="J147" s="47"/>
      <c r="K147" s="47"/>
      <c r="L147" s="47"/>
      <c r="M147" s="47"/>
      <c r="N147" s="10"/>
      <c r="O147" s="47"/>
      <c r="P147" s="47"/>
      <c r="Q147" s="47"/>
      <c r="R147" s="48" t="str">
        <f aca="false">IF(Q147="","",IF(Q147=0,"below 5:00",IF(Q147&gt;=66,"16:00 or above",INT((60+2*Q147)/12)&amp;":"&amp;TEXT(MOD(60+2*Q147,12),"00"))))</f>
        <v/>
      </c>
      <c r="S147" s="47"/>
      <c r="T147" s="47"/>
      <c r="U147" s="47"/>
      <c r="V147" s="47"/>
      <c r="W147" s="47"/>
      <c r="X147" s="47"/>
      <c r="Y147" s="47"/>
      <c r="Z147" s="47"/>
      <c r="AA147" s="47"/>
      <c r="AB147" s="47"/>
      <c r="AC147" s="47"/>
      <c r="AD147" s="47"/>
      <c r="AE147" s="47"/>
      <c r="AF147" s="47"/>
      <c r="AG147" s="47"/>
      <c r="AH147" s="47"/>
      <c r="AI147" s="46"/>
      <c r="AJ147" s="46"/>
      <c r="AK147" s="46"/>
      <c r="AL147" s="7"/>
      <c r="AM147" s="49" t="str">
        <f aca="false">IF(OR(C147="",G147=""),"",IFERROR(DATEDIF(C147,G147,"m"),""))</f>
        <v/>
      </c>
      <c r="AN147" s="49" t="str">
        <f aca="false">IF(OR(Q147="",AM147=""),"",60+2*Q147-AM147)</f>
        <v/>
      </c>
      <c r="AO147" s="49" t="str">
        <f aca="false">IF(OR(G147="",AJ147=""),"",AJ147-G147)</f>
        <v/>
      </c>
      <c r="AP147" s="50" t="str">
        <f aca="false">IF(AND(A147="",B147=""),"",IF(J147="","Status needed",IF(OR(J147="Applied",J147="Visit booked",J147="Withdrawn"),"OK",IF(G147="","Date assessed needed",IF(C147="","Date of birth needed",IF(COUNTA(L147,M147,P147,U147,V147,X147,AB147)&lt;7,"Band missing",IF(AND(OR(J147="Decision confirmed",J147="Family told",J147="Enrolled"),AG147=""),"Recommendation needed",IF(AND(OR(J147="Family told",J147="Enrolled"),AJ147=""),"Date family told needed","OK"))))))))</f>
        <v/>
      </c>
    </row>
    <row r="148" customFormat="false" ht="15" hidden="false" customHeight="false" outlineLevel="0" collapsed="false">
      <c r="A148" s="7"/>
      <c r="B148" s="7"/>
      <c r="C148" s="46"/>
      <c r="D148" s="7"/>
      <c r="E148" s="47"/>
      <c r="F148" s="46"/>
      <c r="G148" s="46"/>
      <c r="H148" s="7"/>
      <c r="I148" s="7"/>
      <c r="J148" s="47"/>
      <c r="K148" s="47"/>
      <c r="L148" s="47"/>
      <c r="M148" s="47"/>
      <c r="N148" s="10"/>
      <c r="O148" s="47"/>
      <c r="P148" s="47"/>
      <c r="Q148" s="47"/>
      <c r="R148" s="48" t="str">
        <f aca="false">IF(Q148="","",IF(Q148=0,"below 5:00",IF(Q148&gt;=66,"16:00 or above",INT((60+2*Q148)/12)&amp;":"&amp;TEXT(MOD(60+2*Q148,12),"00"))))</f>
        <v/>
      </c>
      <c r="S148" s="47"/>
      <c r="T148" s="47"/>
      <c r="U148" s="47"/>
      <c r="V148" s="47"/>
      <c r="W148" s="47"/>
      <c r="X148" s="47"/>
      <c r="Y148" s="47"/>
      <c r="Z148" s="47"/>
      <c r="AA148" s="47"/>
      <c r="AB148" s="47"/>
      <c r="AC148" s="47"/>
      <c r="AD148" s="47"/>
      <c r="AE148" s="47"/>
      <c r="AF148" s="47"/>
      <c r="AG148" s="47"/>
      <c r="AH148" s="47"/>
      <c r="AI148" s="46"/>
      <c r="AJ148" s="46"/>
      <c r="AK148" s="46"/>
      <c r="AL148" s="7"/>
      <c r="AM148" s="49" t="str">
        <f aca="false">IF(OR(C148="",G148=""),"",IFERROR(DATEDIF(C148,G148,"m"),""))</f>
        <v/>
      </c>
      <c r="AN148" s="49" t="str">
        <f aca="false">IF(OR(Q148="",AM148=""),"",60+2*Q148-AM148)</f>
        <v/>
      </c>
      <c r="AO148" s="49" t="str">
        <f aca="false">IF(OR(G148="",AJ148=""),"",AJ148-G148)</f>
        <v/>
      </c>
      <c r="AP148" s="50" t="str">
        <f aca="false">IF(AND(A148="",B148=""),"",IF(J148="","Status needed",IF(OR(J148="Applied",J148="Visit booked",J148="Withdrawn"),"OK",IF(G148="","Date assessed needed",IF(C148="","Date of birth needed",IF(COUNTA(L148,M148,P148,U148,V148,X148,AB148)&lt;7,"Band missing",IF(AND(OR(J148="Decision confirmed",J148="Family told",J148="Enrolled"),AG148=""),"Recommendation needed",IF(AND(OR(J148="Family told",J148="Enrolled"),AJ148=""),"Date family told needed","OK"))))))))</f>
        <v/>
      </c>
    </row>
    <row r="149" customFormat="false" ht="15" hidden="false" customHeight="false" outlineLevel="0" collapsed="false">
      <c r="A149" s="7"/>
      <c r="B149" s="7"/>
      <c r="C149" s="46"/>
      <c r="D149" s="7"/>
      <c r="E149" s="47"/>
      <c r="F149" s="46"/>
      <c r="G149" s="46"/>
      <c r="H149" s="7"/>
      <c r="I149" s="7"/>
      <c r="J149" s="47"/>
      <c r="K149" s="47"/>
      <c r="L149" s="47"/>
      <c r="M149" s="47"/>
      <c r="N149" s="10"/>
      <c r="O149" s="47"/>
      <c r="P149" s="47"/>
      <c r="Q149" s="47"/>
      <c r="R149" s="48" t="str">
        <f aca="false">IF(Q149="","",IF(Q149=0,"below 5:00",IF(Q149&gt;=66,"16:00 or above",INT((60+2*Q149)/12)&amp;":"&amp;TEXT(MOD(60+2*Q149,12),"00"))))</f>
        <v/>
      </c>
      <c r="S149" s="47"/>
      <c r="T149" s="47"/>
      <c r="U149" s="47"/>
      <c r="V149" s="47"/>
      <c r="W149" s="47"/>
      <c r="X149" s="47"/>
      <c r="Y149" s="47"/>
      <c r="Z149" s="47"/>
      <c r="AA149" s="47"/>
      <c r="AB149" s="47"/>
      <c r="AC149" s="47"/>
      <c r="AD149" s="47"/>
      <c r="AE149" s="47"/>
      <c r="AF149" s="47"/>
      <c r="AG149" s="47"/>
      <c r="AH149" s="47"/>
      <c r="AI149" s="46"/>
      <c r="AJ149" s="46"/>
      <c r="AK149" s="46"/>
      <c r="AL149" s="7"/>
      <c r="AM149" s="49" t="str">
        <f aca="false">IF(OR(C149="",G149=""),"",IFERROR(DATEDIF(C149,G149,"m"),""))</f>
        <v/>
      </c>
      <c r="AN149" s="49" t="str">
        <f aca="false">IF(OR(Q149="",AM149=""),"",60+2*Q149-AM149)</f>
        <v/>
      </c>
      <c r="AO149" s="49" t="str">
        <f aca="false">IF(OR(G149="",AJ149=""),"",AJ149-G149)</f>
        <v/>
      </c>
      <c r="AP149" s="50" t="str">
        <f aca="false">IF(AND(A149="",B149=""),"",IF(J149="","Status needed",IF(OR(J149="Applied",J149="Visit booked",J149="Withdrawn"),"OK",IF(G149="","Date assessed needed",IF(C149="","Date of birth needed",IF(COUNTA(L149,M149,P149,U149,V149,X149,AB149)&lt;7,"Band missing",IF(AND(OR(J149="Decision confirmed",J149="Family told",J149="Enrolled"),AG149=""),"Recommendation needed",IF(AND(OR(J149="Family told",J149="Enrolled"),AJ149=""),"Date family told needed","OK"))))))))</f>
        <v/>
      </c>
    </row>
    <row r="150" customFormat="false" ht="15" hidden="false" customHeight="false" outlineLevel="0" collapsed="false">
      <c r="A150" s="7"/>
      <c r="B150" s="7"/>
      <c r="C150" s="46"/>
      <c r="D150" s="7"/>
      <c r="E150" s="47"/>
      <c r="F150" s="46"/>
      <c r="G150" s="46"/>
      <c r="H150" s="7"/>
      <c r="I150" s="7"/>
      <c r="J150" s="47"/>
      <c r="K150" s="47"/>
      <c r="L150" s="47"/>
      <c r="M150" s="47"/>
      <c r="N150" s="10"/>
      <c r="O150" s="47"/>
      <c r="P150" s="47"/>
      <c r="Q150" s="47"/>
      <c r="R150" s="48" t="str">
        <f aca="false">IF(Q150="","",IF(Q150=0,"below 5:00",IF(Q150&gt;=66,"16:00 or above",INT((60+2*Q150)/12)&amp;":"&amp;TEXT(MOD(60+2*Q150,12),"00"))))</f>
        <v/>
      </c>
      <c r="S150" s="47"/>
      <c r="T150" s="47"/>
      <c r="U150" s="47"/>
      <c r="V150" s="47"/>
      <c r="W150" s="47"/>
      <c r="X150" s="47"/>
      <c r="Y150" s="47"/>
      <c r="Z150" s="47"/>
      <c r="AA150" s="47"/>
      <c r="AB150" s="47"/>
      <c r="AC150" s="47"/>
      <c r="AD150" s="47"/>
      <c r="AE150" s="47"/>
      <c r="AF150" s="47"/>
      <c r="AG150" s="47"/>
      <c r="AH150" s="47"/>
      <c r="AI150" s="46"/>
      <c r="AJ150" s="46"/>
      <c r="AK150" s="46"/>
      <c r="AL150" s="7"/>
      <c r="AM150" s="49" t="str">
        <f aca="false">IF(OR(C150="",G150=""),"",IFERROR(DATEDIF(C150,G150,"m"),""))</f>
        <v/>
      </c>
      <c r="AN150" s="49" t="str">
        <f aca="false">IF(OR(Q150="",AM150=""),"",60+2*Q150-AM150)</f>
        <v/>
      </c>
      <c r="AO150" s="49" t="str">
        <f aca="false">IF(OR(G150="",AJ150=""),"",AJ150-G150)</f>
        <v/>
      </c>
      <c r="AP150" s="50" t="str">
        <f aca="false">IF(AND(A150="",B150=""),"",IF(J150="","Status needed",IF(OR(J150="Applied",J150="Visit booked",J150="Withdrawn"),"OK",IF(G150="","Date assessed needed",IF(C150="","Date of birth needed",IF(COUNTA(L150,M150,P150,U150,V150,X150,AB150)&lt;7,"Band missing",IF(AND(OR(J150="Decision confirmed",J150="Family told",J150="Enrolled"),AG150=""),"Recommendation needed",IF(AND(OR(J150="Family told",J150="Enrolled"),AJ150=""),"Date family told needed","OK"))))))))</f>
        <v/>
      </c>
    </row>
    <row r="151" customFormat="false" ht="15" hidden="false" customHeight="false" outlineLevel="0" collapsed="false">
      <c r="A151" s="7"/>
      <c r="B151" s="7"/>
      <c r="C151" s="46"/>
      <c r="D151" s="7"/>
      <c r="E151" s="47"/>
      <c r="F151" s="46"/>
      <c r="G151" s="46"/>
      <c r="H151" s="7"/>
      <c r="I151" s="7"/>
      <c r="J151" s="47"/>
      <c r="K151" s="47"/>
      <c r="L151" s="47"/>
      <c r="M151" s="47"/>
      <c r="N151" s="10"/>
      <c r="O151" s="47"/>
      <c r="P151" s="47"/>
      <c r="Q151" s="47"/>
      <c r="R151" s="48" t="str">
        <f aca="false">IF(Q151="","",IF(Q151=0,"below 5:00",IF(Q151&gt;=66,"16:00 or above",INT((60+2*Q151)/12)&amp;":"&amp;TEXT(MOD(60+2*Q151,12),"00"))))</f>
        <v/>
      </c>
      <c r="S151" s="47"/>
      <c r="T151" s="47"/>
      <c r="U151" s="47"/>
      <c r="V151" s="47"/>
      <c r="W151" s="47"/>
      <c r="X151" s="47"/>
      <c r="Y151" s="47"/>
      <c r="Z151" s="47"/>
      <c r="AA151" s="47"/>
      <c r="AB151" s="47"/>
      <c r="AC151" s="47"/>
      <c r="AD151" s="47"/>
      <c r="AE151" s="47"/>
      <c r="AF151" s="47"/>
      <c r="AG151" s="47"/>
      <c r="AH151" s="47"/>
      <c r="AI151" s="46"/>
      <c r="AJ151" s="46"/>
      <c r="AK151" s="46"/>
      <c r="AL151" s="7"/>
      <c r="AM151" s="49" t="str">
        <f aca="false">IF(OR(C151="",G151=""),"",IFERROR(DATEDIF(C151,G151,"m"),""))</f>
        <v/>
      </c>
      <c r="AN151" s="49" t="str">
        <f aca="false">IF(OR(Q151="",AM151=""),"",60+2*Q151-AM151)</f>
        <v/>
      </c>
      <c r="AO151" s="49" t="str">
        <f aca="false">IF(OR(G151="",AJ151=""),"",AJ151-G151)</f>
        <v/>
      </c>
      <c r="AP151" s="50" t="str">
        <f aca="false">IF(AND(A151="",B151=""),"",IF(J151="","Status needed",IF(OR(J151="Applied",J151="Visit booked",J151="Withdrawn"),"OK",IF(G151="","Date assessed needed",IF(C151="","Date of birth needed",IF(COUNTA(L151,M151,P151,U151,V151,X151,AB151)&lt;7,"Band missing",IF(AND(OR(J151="Decision confirmed",J151="Family told",J151="Enrolled"),AG151=""),"Recommendation needed",IF(AND(OR(J151="Family told",J151="Enrolled"),AJ151=""),"Date family told needed","OK"))))))))</f>
        <v/>
      </c>
    </row>
    <row r="152" customFormat="false" ht="15" hidden="false" customHeight="false" outlineLevel="0" collapsed="false">
      <c r="A152" s="7"/>
      <c r="B152" s="7"/>
      <c r="C152" s="46"/>
      <c r="D152" s="7"/>
      <c r="E152" s="47"/>
      <c r="F152" s="46"/>
      <c r="G152" s="46"/>
      <c r="H152" s="7"/>
      <c r="I152" s="7"/>
      <c r="J152" s="47"/>
      <c r="K152" s="47"/>
      <c r="L152" s="47"/>
      <c r="M152" s="47"/>
      <c r="N152" s="10"/>
      <c r="O152" s="47"/>
      <c r="P152" s="47"/>
      <c r="Q152" s="47"/>
      <c r="R152" s="48" t="str">
        <f aca="false">IF(Q152="","",IF(Q152=0,"below 5:00",IF(Q152&gt;=66,"16:00 or above",INT((60+2*Q152)/12)&amp;":"&amp;TEXT(MOD(60+2*Q152,12),"00"))))</f>
        <v/>
      </c>
      <c r="S152" s="47"/>
      <c r="T152" s="47"/>
      <c r="U152" s="47"/>
      <c r="V152" s="47"/>
      <c r="W152" s="47"/>
      <c r="X152" s="47"/>
      <c r="Y152" s="47"/>
      <c r="Z152" s="47"/>
      <c r="AA152" s="47"/>
      <c r="AB152" s="47"/>
      <c r="AC152" s="47"/>
      <c r="AD152" s="47"/>
      <c r="AE152" s="47"/>
      <c r="AF152" s="47"/>
      <c r="AG152" s="47"/>
      <c r="AH152" s="47"/>
      <c r="AI152" s="46"/>
      <c r="AJ152" s="46"/>
      <c r="AK152" s="46"/>
      <c r="AL152" s="7"/>
      <c r="AM152" s="49" t="str">
        <f aca="false">IF(OR(C152="",G152=""),"",IFERROR(DATEDIF(C152,G152,"m"),""))</f>
        <v/>
      </c>
      <c r="AN152" s="49" t="str">
        <f aca="false">IF(OR(Q152="",AM152=""),"",60+2*Q152-AM152)</f>
        <v/>
      </c>
      <c r="AO152" s="49" t="str">
        <f aca="false">IF(OR(G152="",AJ152=""),"",AJ152-G152)</f>
        <v/>
      </c>
      <c r="AP152" s="50" t="str">
        <f aca="false">IF(AND(A152="",B152=""),"",IF(J152="","Status needed",IF(OR(J152="Applied",J152="Visit booked",J152="Withdrawn"),"OK",IF(G152="","Date assessed needed",IF(C152="","Date of birth needed",IF(COUNTA(L152,M152,P152,U152,V152,X152,AB152)&lt;7,"Band missing",IF(AND(OR(J152="Decision confirmed",J152="Family told",J152="Enrolled"),AG152=""),"Recommendation needed",IF(AND(OR(J152="Family told",J152="Enrolled"),AJ152=""),"Date family told needed","OK"))))))))</f>
        <v/>
      </c>
    </row>
    <row r="153" customFormat="false" ht="15" hidden="false" customHeight="false" outlineLevel="0" collapsed="false">
      <c r="A153" s="7"/>
      <c r="B153" s="7"/>
      <c r="C153" s="46"/>
      <c r="D153" s="7"/>
      <c r="E153" s="47"/>
      <c r="F153" s="46"/>
      <c r="G153" s="46"/>
      <c r="H153" s="7"/>
      <c r="I153" s="7"/>
      <c r="J153" s="47"/>
      <c r="K153" s="47"/>
      <c r="L153" s="47"/>
      <c r="M153" s="47"/>
      <c r="N153" s="10"/>
      <c r="O153" s="47"/>
      <c r="P153" s="47"/>
      <c r="Q153" s="47"/>
      <c r="R153" s="48" t="str">
        <f aca="false">IF(Q153="","",IF(Q153=0,"below 5:00",IF(Q153&gt;=66,"16:00 or above",INT((60+2*Q153)/12)&amp;":"&amp;TEXT(MOD(60+2*Q153,12),"00"))))</f>
        <v/>
      </c>
      <c r="S153" s="47"/>
      <c r="T153" s="47"/>
      <c r="U153" s="47"/>
      <c r="V153" s="47"/>
      <c r="W153" s="47"/>
      <c r="X153" s="47"/>
      <c r="Y153" s="47"/>
      <c r="Z153" s="47"/>
      <c r="AA153" s="47"/>
      <c r="AB153" s="47"/>
      <c r="AC153" s="47"/>
      <c r="AD153" s="47"/>
      <c r="AE153" s="47"/>
      <c r="AF153" s="47"/>
      <c r="AG153" s="47"/>
      <c r="AH153" s="47"/>
      <c r="AI153" s="46"/>
      <c r="AJ153" s="46"/>
      <c r="AK153" s="46"/>
      <c r="AL153" s="7"/>
      <c r="AM153" s="49" t="str">
        <f aca="false">IF(OR(C153="",G153=""),"",IFERROR(DATEDIF(C153,G153,"m"),""))</f>
        <v/>
      </c>
      <c r="AN153" s="49" t="str">
        <f aca="false">IF(OR(Q153="",AM153=""),"",60+2*Q153-AM153)</f>
        <v/>
      </c>
      <c r="AO153" s="49" t="str">
        <f aca="false">IF(OR(G153="",AJ153=""),"",AJ153-G153)</f>
        <v/>
      </c>
      <c r="AP153" s="50" t="str">
        <f aca="false">IF(AND(A153="",B153=""),"",IF(J153="","Status needed",IF(OR(J153="Applied",J153="Visit booked",J153="Withdrawn"),"OK",IF(G153="","Date assessed needed",IF(C153="","Date of birth needed",IF(COUNTA(L153,M153,P153,U153,V153,X153,AB153)&lt;7,"Band missing",IF(AND(OR(J153="Decision confirmed",J153="Family told",J153="Enrolled"),AG153=""),"Recommendation needed",IF(AND(OR(J153="Family told",J153="Enrolled"),AJ153=""),"Date family told needed","OK"))))))))</f>
        <v/>
      </c>
    </row>
    <row r="154" customFormat="false" ht="15" hidden="false" customHeight="false" outlineLevel="0" collapsed="false">
      <c r="A154" s="7"/>
      <c r="B154" s="7"/>
      <c r="C154" s="46"/>
      <c r="D154" s="7"/>
      <c r="E154" s="47"/>
      <c r="F154" s="46"/>
      <c r="G154" s="46"/>
      <c r="H154" s="7"/>
      <c r="I154" s="7"/>
      <c r="J154" s="47"/>
      <c r="K154" s="47"/>
      <c r="L154" s="47"/>
      <c r="M154" s="47"/>
      <c r="N154" s="10"/>
      <c r="O154" s="47"/>
      <c r="P154" s="47"/>
      <c r="Q154" s="47"/>
      <c r="R154" s="48" t="str">
        <f aca="false">IF(Q154="","",IF(Q154=0,"below 5:00",IF(Q154&gt;=66,"16:00 or above",INT((60+2*Q154)/12)&amp;":"&amp;TEXT(MOD(60+2*Q154,12),"00"))))</f>
        <v/>
      </c>
      <c r="S154" s="47"/>
      <c r="T154" s="47"/>
      <c r="U154" s="47"/>
      <c r="V154" s="47"/>
      <c r="W154" s="47"/>
      <c r="X154" s="47"/>
      <c r="Y154" s="47"/>
      <c r="Z154" s="47"/>
      <c r="AA154" s="47"/>
      <c r="AB154" s="47"/>
      <c r="AC154" s="47"/>
      <c r="AD154" s="47"/>
      <c r="AE154" s="47"/>
      <c r="AF154" s="47"/>
      <c r="AG154" s="47"/>
      <c r="AH154" s="47"/>
      <c r="AI154" s="46"/>
      <c r="AJ154" s="46"/>
      <c r="AK154" s="46"/>
      <c r="AL154" s="7"/>
      <c r="AM154" s="49" t="str">
        <f aca="false">IF(OR(C154="",G154=""),"",IFERROR(DATEDIF(C154,G154,"m"),""))</f>
        <v/>
      </c>
      <c r="AN154" s="49" t="str">
        <f aca="false">IF(OR(Q154="",AM154=""),"",60+2*Q154-AM154)</f>
        <v/>
      </c>
      <c r="AO154" s="49" t="str">
        <f aca="false">IF(OR(G154="",AJ154=""),"",AJ154-G154)</f>
        <v/>
      </c>
      <c r="AP154" s="50" t="str">
        <f aca="false">IF(AND(A154="",B154=""),"",IF(J154="","Status needed",IF(OR(J154="Applied",J154="Visit booked",J154="Withdrawn"),"OK",IF(G154="","Date assessed needed",IF(C154="","Date of birth needed",IF(COUNTA(L154,M154,P154,U154,V154,X154,AB154)&lt;7,"Band missing",IF(AND(OR(J154="Decision confirmed",J154="Family told",J154="Enrolled"),AG154=""),"Recommendation needed",IF(AND(OR(J154="Family told",J154="Enrolled"),AJ154=""),"Date family told needed","OK"))))))))</f>
        <v/>
      </c>
    </row>
    <row r="155" customFormat="false" ht="15" hidden="false" customHeight="false" outlineLevel="0" collapsed="false">
      <c r="A155" s="7"/>
      <c r="B155" s="7"/>
      <c r="C155" s="46"/>
      <c r="D155" s="7"/>
      <c r="E155" s="47"/>
      <c r="F155" s="46"/>
      <c r="G155" s="46"/>
      <c r="H155" s="7"/>
      <c r="I155" s="7"/>
      <c r="J155" s="47"/>
      <c r="K155" s="47"/>
      <c r="L155" s="47"/>
      <c r="M155" s="47"/>
      <c r="N155" s="10"/>
      <c r="O155" s="47"/>
      <c r="P155" s="47"/>
      <c r="Q155" s="47"/>
      <c r="R155" s="48" t="str">
        <f aca="false">IF(Q155="","",IF(Q155=0,"below 5:00",IF(Q155&gt;=66,"16:00 or above",INT((60+2*Q155)/12)&amp;":"&amp;TEXT(MOD(60+2*Q155,12),"00"))))</f>
        <v/>
      </c>
      <c r="S155" s="47"/>
      <c r="T155" s="47"/>
      <c r="U155" s="47"/>
      <c r="V155" s="47"/>
      <c r="W155" s="47"/>
      <c r="X155" s="47"/>
      <c r="Y155" s="47"/>
      <c r="Z155" s="47"/>
      <c r="AA155" s="47"/>
      <c r="AB155" s="47"/>
      <c r="AC155" s="47"/>
      <c r="AD155" s="47"/>
      <c r="AE155" s="47"/>
      <c r="AF155" s="47"/>
      <c r="AG155" s="47"/>
      <c r="AH155" s="47"/>
      <c r="AI155" s="46"/>
      <c r="AJ155" s="46"/>
      <c r="AK155" s="46"/>
      <c r="AL155" s="7"/>
      <c r="AM155" s="49" t="str">
        <f aca="false">IF(OR(C155="",G155=""),"",IFERROR(DATEDIF(C155,G155,"m"),""))</f>
        <v/>
      </c>
      <c r="AN155" s="49" t="str">
        <f aca="false">IF(OR(Q155="",AM155=""),"",60+2*Q155-AM155)</f>
        <v/>
      </c>
      <c r="AO155" s="49" t="str">
        <f aca="false">IF(OR(G155="",AJ155=""),"",AJ155-G155)</f>
        <v/>
      </c>
      <c r="AP155" s="50" t="str">
        <f aca="false">IF(AND(A155="",B155=""),"",IF(J155="","Status needed",IF(OR(J155="Applied",J155="Visit booked",J155="Withdrawn"),"OK",IF(G155="","Date assessed needed",IF(C155="","Date of birth needed",IF(COUNTA(L155,M155,P155,U155,V155,X155,AB155)&lt;7,"Band missing",IF(AND(OR(J155="Decision confirmed",J155="Family told",J155="Enrolled"),AG155=""),"Recommendation needed",IF(AND(OR(J155="Family told",J155="Enrolled"),AJ155=""),"Date family told needed","OK"))))))))</f>
        <v/>
      </c>
    </row>
    <row r="156" customFormat="false" ht="15" hidden="false" customHeight="false" outlineLevel="0" collapsed="false">
      <c r="A156" s="7"/>
      <c r="B156" s="7"/>
      <c r="C156" s="46"/>
      <c r="D156" s="7"/>
      <c r="E156" s="47"/>
      <c r="F156" s="46"/>
      <c r="G156" s="46"/>
      <c r="H156" s="7"/>
      <c r="I156" s="7"/>
      <c r="J156" s="47"/>
      <c r="K156" s="47"/>
      <c r="L156" s="47"/>
      <c r="M156" s="47"/>
      <c r="N156" s="10"/>
      <c r="O156" s="47"/>
      <c r="P156" s="47"/>
      <c r="Q156" s="47"/>
      <c r="R156" s="48" t="str">
        <f aca="false">IF(Q156="","",IF(Q156=0,"below 5:00",IF(Q156&gt;=66,"16:00 or above",INT((60+2*Q156)/12)&amp;":"&amp;TEXT(MOD(60+2*Q156,12),"00"))))</f>
        <v/>
      </c>
      <c r="S156" s="47"/>
      <c r="T156" s="47"/>
      <c r="U156" s="47"/>
      <c r="V156" s="47"/>
      <c r="W156" s="47"/>
      <c r="X156" s="47"/>
      <c r="Y156" s="47"/>
      <c r="Z156" s="47"/>
      <c r="AA156" s="47"/>
      <c r="AB156" s="47"/>
      <c r="AC156" s="47"/>
      <c r="AD156" s="47"/>
      <c r="AE156" s="47"/>
      <c r="AF156" s="47"/>
      <c r="AG156" s="47"/>
      <c r="AH156" s="47"/>
      <c r="AI156" s="46"/>
      <c r="AJ156" s="46"/>
      <c r="AK156" s="46"/>
      <c r="AL156" s="7"/>
      <c r="AM156" s="49" t="str">
        <f aca="false">IF(OR(C156="",G156=""),"",IFERROR(DATEDIF(C156,G156,"m"),""))</f>
        <v/>
      </c>
      <c r="AN156" s="49" t="str">
        <f aca="false">IF(OR(Q156="",AM156=""),"",60+2*Q156-AM156)</f>
        <v/>
      </c>
      <c r="AO156" s="49" t="str">
        <f aca="false">IF(OR(G156="",AJ156=""),"",AJ156-G156)</f>
        <v/>
      </c>
      <c r="AP156" s="50" t="str">
        <f aca="false">IF(AND(A156="",B156=""),"",IF(J156="","Status needed",IF(OR(J156="Applied",J156="Visit booked",J156="Withdrawn"),"OK",IF(G156="","Date assessed needed",IF(C156="","Date of birth needed",IF(COUNTA(L156,M156,P156,U156,V156,X156,AB156)&lt;7,"Band missing",IF(AND(OR(J156="Decision confirmed",J156="Family told",J156="Enrolled"),AG156=""),"Recommendation needed",IF(AND(OR(J156="Family told",J156="Enrolled"),AJ156=""),"Date family told needed","OK"))))))))</f>
        <v/>
      </c>
    </row>
    <row r="157" customFormat="false" ht="15" hidden="false" customHeight="false" outlineLevel="0" collapsed="false">
      <c r="A157" s="7"/>
      <c r="B157" s="7"/>
      <c r="C157" s="46"/>
      <c r="D157" s="7"/>
      <c r="E157" s="47"/>
      <c r="F157" s="46"/>
      <c r="G157" s="46"/>
      <c r="H157" s="7"/>
      <c r="I157" s="7"/>
      <c r="J157" s="47"/>
      <c r="K157" s="47"/>
      <c r="L157" s="47"/>
      <c r="M157" s="47"/>
      <c r="N157" s="10"/>
      <c r="O157" s="47"/>
      <c r="P157" s="47"/>
      <c r="Q157" s="47"/>
      <c r="R157" s="48" t="str">
        <f aca="false">IF(Q157="","",IF(Q157=0,"below 5:00",IF(Q157&gt;=66,"16:00 or above",INT((60+2*Q157)/12)&amp;":"&amp;TEXT(MOD(60+2*Q157,12),"00"))))</f>
        <v/>
      </c>
      <c r="S157" s="47"/>
      <c r="T157" s="47"/>
      <c r="U157" s="47"/>
      <c r="V157" s="47"/>
      <c r="W157" s="47"/>
      <c r="X157" s="47"/>
      <c r="Y157" s="47"/>
      <c r="Z157" s="47"/>
      <c r="AA157" s="47"/>
      <c r="AB157" s="47"/>
      <c r="AC157" s="47"/>
      <c r="AD157" s="47"/>
      <c r="AE157" s="47"/>
      <c r="AF157" s="47"/>
      <c r="AG157" s="47"/>
      <c r="AH157" s="47"/>
      <c r="AI157" s="46"/>
      <c r="AJ157" s="46"/>
      <c r="AK157" s="46"/>
      <c r="AL157" s="7"/>
      <c r="AM157" s="49" t="str">
        <f aca="false">IF(OR(C157="",G157=""),"",IFERROR(DATEDIF(C157,G157,"m"),""))</f>
        <v/>
      </c>
      <c r="AN157" s="49" t="str">
        <f aca="false">IF(OR(Q157="",AM157=""),"",60+2*Q157-AM157)</f>
        <v/>
      </c>
      <c r="AO157" s="49" t="str">
        <f aca="false">IF(OR(G157="",AJ157=""),"",AJ157-G157)</f>
        <v/>
      </c>
      <c r="AP157" s="50" t="str">
        <f aca="false">IF(AND(A157="",B157=""),"",IF(J157="","Status needed",IF(OR(J157="Applied",J157="Visit booked",J157="Withdrawn"),"OK",IF(G157="","Date assessed needed",IF(C157="","Date of birth needed",IF(COUNTA(L157,M157,P157,U157,V157,X157,AB157)&lt;7,"Band missing",IF(AND(OR(J157="Decision confirmed",J157="Family told",J157="Enrolled"),AG157=""),"Recommendation needed",IF(AND(OR(J157="Family told",J157="Enrolled"),AJ157=""),"Date family told needed","OK"))))))))</f>
        <v/>
      </c>
    </row>
    <row r="158" customFormat="false" ht="15" hidden="false" customHeight="false" outlineLevel="0" collapsed="false">
      <c r="A158" s="7"/>
      <c r="B158" s="7"/>
      <c r="C158" s="46"/>
      <c r="D158" s="7"/>
      <c r="E158" s="47"/>
      <c r="F158" s="46"/>
      <c r="G158" s="46"/>
      <c r="H158" s="7"/>
      <c r="I158" s="7"/>
      <c r="J158" s="47"/>
      <c r="K158" s="47"/>
      <c r="L158" s="47"/>
      <c r="M158" s="47"/>
      <c r="N158" s="10"/>
      <c r="O158" s="47"/>
      <c r="P158" s="47"/>
      <c r="Q158" s="47"/>
      <c r="R158" s="48" t="str">
        <f aca="false">IF(Q158="","",IF(Q158=0,"below 5:00",IF(Q158&gt;=66,"16:00 or above",INT((60+2*Q158)/12)&amp;":"&amp;TEXT(MOD(60+2*Q158,12),"00"))))</f>
        <v/>
      </c>
      <c r="S158" s="47"/>
      <c r="T158" s="47"/>
      <c r="U158" s="47"/>
      <c r="V158" s="47"/>
      <c r="W158" s="47"/>
      <c r="X158" s="47"/>
      <c r="Y158" s="47"/>
      <c r="Z158" s="47"/>
      <c r="AA158" s="47"/>
      <c r="AB158" s="47"/>
      <c r="AC158" s="47"/>
      <c r="AD158" s="47"/>
      <c r="AE158" s="47"/>
      <c r="AF158" s="47"/>
      <c r="AG158" s="47"/>
      <c r="AH158" s="47"/>
      <c r="AI158" s="46"/>
      <c r="AJ158" s="46"/>
      <c r="AK158" s="46"/>
      <c r="AL158" s="7"/>
      <c r="AM158" s="49" t="str">
        <f aca="false">IF(OR(C158="",G158=""),"",IFERROR(DATEDIF(C158,G158,"m"),""))</f>
        <v/>
      </c>
      <c r="AN158" s="49" t="str">
        <f aca="false">IF(OR(Q158="",AM158=""),"",60+2*Q158-AM158)</f>
        <v/>
      </c>
      <c r="AO158" s="49" t="str">
        <f aca="false">IF(OR(G158="",AJ158=""),"",AJ158-G158)</f>
        <v/>
      </c>
      <c r="AP158" s="50" t="str">
        <f aca="false">IF(AND(A158="",B158=""),"",IF(J158="","Status needed",IF(OR(J158="Applied",J158="Visit booked",J158="Withdrawn"),"OK",IF(G158="","Date assessed needed",IF(C158="","Date of birth needed",IF(COUNTA(L158,M158,P158,U158,V158,X158,AB158)&lt;7,"Band missing",IF(AND(OR(J158="Decision confirmed",J158="Family told",J158="Enrolled"),AG158=""),"Recommendation needed",IF(AND(OR(J158="Family told",J158="Enrolled"),AJ158=""),"Date family told needed","OK"))))))))</f>
        <v/>
      </c>
    </row>
    <row r="159" customFormat="false" ht="15" hidden="false" customHeight="false" outlineLevel="0" collapsed="false">
      <c r="A159" s="7"/>
      <c r="B159" s="7"/>
      <c r="C159" s="46"/>
      <c r="D159" s="7"/>
      <c r="E159" s="47"/>
      <c r="F159" s="46"/>
      <c r="G159" s="46"/>
      <c r="H159" s="7"/>
      <c r="I159" s="7"/>
      <c r="J159" s="47"/>
      <c r="K159" s="47"/>
      <c r="L159" s="47"/>
      <c r="M159" s="47"/>
      <c r="N159" s="10"/>
      <c r="O159" s="47"/>
      <c r="P159" s="47"/>
      <c r="Q159" s="47"/>
      <c r="R159" s="48" t="str">
        <f aca="false">IF(Q159="","",IF(Q159=0,"below 5:00",IF(Q159&gt;=66,"16:00 or above",INT((60+2*Q159)/12)&amp;":"&amp;TEXT(MOD(60+2*Q159,12),"00"))))</f>
        <v/>
      </c>
      <c r="S159" s="47"/>
      <c r="T159" s="47"/>
      <c r="U159" s="47"/>
      <c r="V159" s="47"/>
      <c r="W159" s="47"/>
      <c r="X159" s="47"/>
      <c r="Y159" s="47"/>
      <c r="Z159" s="47"/>
      <c r="AA159" s="47"/>
      <c r="AB159" s="47"/>
      <c r="AC159" s="47"/>
      <c r="AD159" s="47"/>
      <c r="AE159" s="47"/>
      <c r="AF159" s="47"/>
      <c r="AG159" s="47"/>
      <c r="AH159" s="47"/>
      <c r="AI159" s="46"/>
      <c r="AJ159" s="46"/>
      <c r="AK159" s="46"/>
      <c r="AL159" s="7"/>
      <c r="AM159" s="49" t="str">
        <f aca="false">IF(OR(C159="",G159=""),"",IFERROR(DATEDIF(C159,G159,"m"),""))</f>
        <v/>
      </c>
      <c r="AN159" s="49" t="str">
        <f aca="false">IF(OR(Q159="",AM159=""),"",60+2*Q159-AM159)</f>
        <v/>
      </c>
      <c r="AO159" s="49" t="str">
        <f aca="false">IF(OR(G159="",AJ159=""),"",AJ159-G159)</f>
        <v/>
      </c>
      <c r="AP159" s="50" t="str">
        <f aca="false">IF(AND(A159="",B159=""),"",IF(J159="","Status needed",IF(OR(J159="Applied",J159="Visit booked",J159="Withdrawn"),"OK",IF(G159="","Date assessed needed",IF(C159="","Date of birth needed",IF(COUNTA(L159,M159,P159,U159,V159,X159,AB159)&lt;7,"Band missing",IF(AND(OR(J159="Decision confirmed",J159="Family told",J159="Enrolled"),AG159=""),"Recommendation needed",IF(AND(OR(J159="Family told",J159="Enrolled"),AJ159=""),"Date family told needed","OK"))))))))</f>
        <v/>
      </c>
    </row>
    <row r="160" customFormat="false" ht="15" hidden="false" customHeight="false" outlineLevel="0" collapsed="false">
      <c r="A160" s="7"/>
      <c r="B160" s="7"/>
      <c r="C160" s="46"/>
      <c r="D160" s="7"/>
      <c r="E160" s="47"/>
      <c r="F160" s="46"/>
      <c r="G160" s="46"/>
      <c r="H160" s="7"/>
      <c r="I160" s="7"/>
      <c r="J160" s="47"/>
      <c r="K160" s="47"/>
      <c r="L160" s="47"/>
      <c r="M160" s="47"/>
      <c r="N160" s="10"/>
      <c r="O160" s="47"/>
      <c r="P160" s="47"/>
      <c r="Q160" s="47"/>
      <c r="R160" s="48" t="str">
        <f aca="false">IF(Q160="","",IF(Q160=0,"below 5:00",IF(Q160&gt;=66,"16:00 or above",INT((60+2*Q160)/12)&amp;":"&amp;TEXT(MOD(60+2*Q160,12),"00"))))</f>
        <v/>
      </c>
      <c r="S160" s="47"/>
      <c r="T160" s="47"/>
      <c r="U160" s="47"/>
      <c r="V160" s="47"/>
      <c r="W160" s="47"/>
      <c r="X160" s="47"/>
      <c r="Y160" s="47"/>
      <c r="Z160" s="47"/>
      <c r="AA160" s="47"/>
      <c r="AB160" s="47"/>
      <c r="AC160" s="47"/>
      <c r="AD160" s="47"/>
      <c r="AE160" s="47"/>
      <c r="AF160" s="47"/>
      <c r="AG160" s="47"/>
      <c r="AH160" s="47"/>
      <c r="AI160" s="46"/>
      <c r="AJ160" s="46"/>
      <c r="AK160" s="46"/>
      <c r="AL160" s="7"/>
      <c r="AM160" s="49" t="str">
        <f aca="false">IF(OR(C160="",G160=""),"",IFERROR(DATEDIF(C160,G160,"m"),""))</f>
        <v/>
      </c>
      <c r="AN160" s="49" t="str">
        <f aca="false">IF(OR(Q160="",AM160=""),"",60+2*Q160-AM160)</f>
        <v/>
      </c>
      <c r="AO160" s="49" t="str">
        <f aca="false">IF(OR(G160="",AJ160=""),"",AJ160-G160)</f>
        <v/>
      </c>
      <c r="AP160" s="50" t="str">
        <f aca="false">IF(AND(A160="",B160=""),"",IF(J160="","Status needed",IF(OR(J160="Applied",J160="Visit booked",J160="Withdrawn"),"OK",IF(G160="","Date assessed needed",IF(C160="","Date of birth needed",IF(COUNTA(L160,M160,P160,U160,V160,X160,AB160)&lt;7,"Band missing",IF(AND(OR(J160="Decision confirmed",J160="Family told",J160="Enrolled"),AG160=""),"Recommendation needed",IF(AND(OR(J160="Family told",J160="Enrolled"),AJ160=""),"Date family told needed","OK"))))))))</f>
        <v/>
      </c>
    </row>
    <row r="161" customFormat="false" ht="15" hidden="false" customHeight="false" outlineLevel="0" collapsed="false">
      <c r="A161" s="7"/>
      <c r="B161" s="7"/>
      <c r="C161" s="46"/>
      <c r="D161" s="7"/>
      <c r="E161" s="47"/>
      <c r="F161" s="46"/>
      <c r="G161" s="46"/>
      <c r="H161" s="7"/>
      <c r="I161" s="7"/>
      <c r="J161" s="47"/>
      <c r="K161" s="47"/>
      <c r="L161" s="47"/>
      <c r="M161" s="47"/>
      <c r="N161" s="10"/>
      <c r="O161" s="47"/>
      <c r="P161" s="47"/>
      <c r="Q161" s="47"/>
      <c r="R161" s="48" t="str">
        <f aca="false">IF(Q161="","",IF(Q161=0,"below 5:00",IF(Q161&gt;=66,"16:00 or above",INT((60+2*Q161)/12)&amp;":"&amp;TEXT(MOD(60+2*Q161,12),"00"))))</f>
        <v/>
      </c>
      <c r="S161" s="47"/>
      <c r="T161" s="47"/>
      <c r="U161" s="47"/>
      <c r="V161" s="47"/>
      <c r="W161" s="47"/>
      <c r="X161" s="47"/>
      <c r="Y161" s="47"/>
      <c r="Z161" s="47"/>
      <c r="AA161" s="47"/>
      <c r="AB161" s="47"/>
      <c r="AC161" s="47"/>
      <c r="AD161" s="47"/>
      <c r="AE161" s="47"/>
      <c r="AF161" s="47"/>
      <c r="AG161" s="47"/>
      <c r="AH161" s="47"/>
      <c r="AI161" s="46"/>
      <c r="AJ161" s="46"/>
      <c r="AK161" s="46"/>
      <c r="AL161" s="7"/>
      <c r="AM161" s="49" t="str">
        <f aca="false">IF(OR(C161="",G161=""),"",IFERROR(DATEDIF(C161,G161,"m"),""))</f>
        <v/>
      </c>
      <c r="AN161" s="49" t="str">
        <f aca="false">IF(OR(Q161="",AM161=""),"",60+2*Q161-AM161)</f>
        <v/>
      </c>
      <c r="AO161" s="49" t="str">
        <f aca="false">IF(OR(G161="",AJ161=""),"",AJ161-G161)</f>
        <v/>
      </c>
      <c r="AP161" s="50" t="str">
        <f aca="false">IF(AND(A161="",B161=""),"",IF(J161="","Status needed",IF(OR(J161="Applied",J161="Visit booked",J161="Withdrawn"),"OK",IF(G161="","Date assessed needed",IF(C161="","Date of birth needed",IF(COUNTA(L161,M161,P161,U161,V161,X161,AB161)&lt;7,"Band missing",IF(AND(OR(J161="Decision confirmed",J161="Family told",J161="Enrolled"),AG161=""),"Recommendation needed",IF(AND(OR(J161="Family told",J161="Enrolled"),AJ161=""),"Date family told needed","OK"))))))))</f>
        <v/>
      </c>
    </row>
    <row r="162" customFormat="false" ht="15" hidden="false" customHeight="false" outlineLevel="0" collapsed="false">
      <c r="A162" s="7"/>
      <c r="B162" s="7"/>
      <c r="C162" s="46"/>
      <c r="D162" s="7"/>
      <c r="E162" s="47"/>
      <c r="F162" s="46"/>
      <c r="G162" s="46"/>
      <c r="H162" s="7"/>
      <c r="I162" s="7"/>
      <c r="J162" s="47"/>
      <c r="K162" s="47"/>
      <c r="L162" s="47"/>
      <c r="M162" s="47"/>
      <c r="N162" s="10"/>
      <c r="O162" s="47"/>
      <c r="P162" s="47"/>
      <c r="Q162" s="47"/>
      <c r="R162" s="48" t="str">
        <f aca="false">IF(Q162="","",IF(Q162=0,"below 5:00",IF(Q162&gt;=66,"16:00 or above",INT((60+2*Q162)/12)&amp;":"&amp;TEXT(MOD(60+2*Q162,12),"00"))))</f>
        <v/>
      </c>
      <c r="S162" s="47"/>
      <c r="T162" s="47"/>
      <c r="U162" s="47"/>
      <c r="V162" s="47"/>
      <c r="W162" s="47"/>
      <c r="X162" s="47"/>
      <c r="Y162" s="47"/>
      <c r="Z162" s="47"/>
      <c r="AA162" s="47"/>
      <c r="AB162" s="47"/>
      <c r="AC162" s="47"/>
      <c r="AD162" s="47"/>
      <c r="AE162" s="47"/>
      <c r="AF162" s="47"/>
      <c r="AG162" s="47"/>
      <c r="AH162" s="47"/>
      <c r="AI162" s="46"/>
      <c r="AJ162" s="46"/>
      <c r="AK162" s="46"/>
      <c r="AL162" s="7"/>
      <c r="AM162" s="49" t="str">
        <f aca="false">IF(OR(C162="",G162=""),"",IFERROR(DATEDIF(C162,G162,"m"),""))</f>
        <v/>
      </c>
      <c r="AN162" s="49" t="str">
        <f aca="false">IF(OR(Q162="",AM162=""),"",60+2*Q162-AM162)</f>
        <v/>
      </c>
      <c r="AO162" s="49" t="str">
        <f aca="false">IF(OR(G162="",AJ162=""),"",AJ162-G162)</f>
        <v/>
      </c>
      <c r="AP162" s="50" t="str">
        <f aca="false">IF(AND(A162="",B162=""),"",IF(J162="","Status needed",IF(OR(J162="Applied",J162="Visit booked",J162="Withdrawn"),"OK",IF(G162="","Date assessed needed",IF(C162="","Date of birth needed",IF(COUNTA(L162,M162,P162,U162,V162,X162,AB162)&lt;7,"Band missing",IF(AND(OR(J162="Decision confirmed",J162="Family told",J162="Enrolled"),AG162=""),"Recommendation needed",IF(AND(OR(J162="Family told",J162="Enrolled"),AJ162=""),"Date family told needed","OK"))))))))</f>
        <v/>
      </c>
    </row>
    <row r="163" customFormat="false" ht="15" hidden="false" customHeight="false" outlineLevel="0" collapsed="false">
      <c r="A163" s="7"/>
      <c r="B163" s="7"/>
      <c r="C163" s="46"/>
      <c r="D163" s="7"/>
      <c r="E163" s="47"/>
      <c r="F163" s="46"/>
      <c r="G163" s="46"/>
      <c r="H163" s="7"/>
      <c r="I163" s="7"/>
      <c r="J163" s="47"/>
      <c r="K163" s="47"/>
      <c r="L163" s="47"/>
      <c r="M163" s="47"/>
      <c r="N163" s="10"/>
      <c r="O163" s="47"/>
      <c r="P163" s="47"/>
      <c r="Q163" s="47"/>
      <c r="R163" s="48" t="str">
        <f aca="false">IF(Q163="","",IF(Q163=0,"below 5:00",IF(Q163&gt;=66,"16:00 or above",INT((60+2*Q163)/12)&amp;":"&amp;TEXT(MOD(60+2*Q163,12),"00"))))</f>
        <v/>
      </c>
      <c r="S163" s="47"/>
      <c r="T163" s="47"/>
      <c r="U163" s="47"/>
      <c r="V163" s="47"/>
      <c r="W163" s="47"/>
      <c r="X163" s="47"/>
      <c r="Y163" s="47"/>
      <c r="Z163" s="47"/>
      <c r="AA163" s="47"/>
      <c r="AB163" s="47"/>
      <c r="AC163" s="47"/>
      <c r="AD163" s="47"/>
      <c r="AE163" s="47"/>
      <c r="AF163" s="47"/>
      <c r="AG163" s="47"/>
      <c r="AH163" s="47"/>
      <c r="AI163" s="46"/>
      <c r="AJ163" s="46"/>
      <c r="AK163" s="46"/>
      <c r="AL163" s="7"/>
      <c r="AM163" s="49" t="str">
        <f aca="false">IF(OR(C163="",G163=""),"",IFERROR(DATEDIF(C163,G163,"m"),""))</f>
        <v/>
      </c>
      <c r="AN163" s="49" t="str">
        <f aca="false">IF(OR(Q163="",AM163=""),"",60+2*Q163-AM163)</f>
        <v/>
      </c>
      <c r="AO163" s="49" t="str">
        <f aca="false">IF(OR(G163="",AJ163=""),"",AJ163-G163)</f>
        <v/>
      </c>
      <c r="AP163" s="50" t="str">
        <f aca="false">IF(AND(A163="",B163=""),"",IF(J163="","Status needed",IF(OR(J163="Applied",J163="Visit booked",J163="Withdrawn"),"OK",IF(G163="","Date assessed needed",IF(C163="","Date of birth needed",IF(COUNTA(L163,M163,P163,U163,V163,X163,AB163)&lt;7,"Band missing",IF(AND(OR(J163="Decision confirmed",J163="Family told",J163="Enrolled"),AG163=""),"Recommendation needed",IF(AND(OR(J163="Family told",J163="Enrolled"),AJ163=""),"Date family told needed","OK"))))))))</f>
        <v/>
      </c>
    </row>
    <row r="164" customFormat="false" ht="15" hidden="false" customHeight="false" outlineLevel="0" collapsed="false">
      <c r="A164" s="7"/>
      <c r="B164" s="7"/>
      <c r="C164" s="46"/>
      <c r="D164" s="7"/>
      <c r="E164" s="47"/>
      <c r="F164" s="46"/>
      <c r="G164" s="46"/>
      <c r="H164" s="7"/>
      <c r="I164" s="7"/>
      <c r="J164" s="47"/>
      <c r="K164" s="47"/>
      <c r="L164" s="47"/>
      <c r="M164" s="47"/>
      <c r="N164" s="10"/>
      <c r="O164" s="47"/>
      <c r="P164" s="47"/>
      <c r="Q164" s="47"/>
      <c r="R164" s="48" t="str">
        <f aca="false">IF(Q164="","",IF(Q164=0,"below 5:00",IF(Q164&gt;=66,"16:00 or above",INT((60+2*Q164)/12)&amp;":"&amp;TEXT(MOD(60+2*Q164,12),"00"))))</f>
        <v/>
      </c>
      <c r="S164" s="47"/>
      <c r="T164" s="47"/>
      <c r="U164" s="47"/>
      <c r="V164" s="47"/>
      <c r="W164" s="47"/>
      <c r="X164" s="47"/>
      <c r="Y164" s="47"/>
      <c r="Z164" s="47"/>
      <c r="AA164" s="47"/>
      <c r="AB164" s="47"/>
      <c r="AC164" s="47"/>
      <c r="AD164" s="47"/>
      <c r="AE164" s="47"/>
      <c r="AF164" s="47"/>
      <c r="AG164" s="47"/>
      <c r="AH164" s="47"/>
      <c r="AI164" s="46"/>
      <c r="AJ164" s="46"/>
      <c r="AK164" s="46"/>
      <c r="AL164" s="7"/>
      <c r="AM164" s="49" t="str">
        <f aca="false">IF(OR(C164="",G164=""),"",IFERROR(DATEDIF(C164,G164,"m"),""))</f>
        <v/>
      </c>
      <c r="AN164" s="49" t="str">
        <f aca="false">IF(OR(Q164="",AM164=""),"",60+2*Q164-AM164)</f>
        <v/>
      </c>
      <c r="AO164" s="49" t="str">
        <f aca="false">IF(OR(G164="",AJ164=""),"",AJ164-G164)</f>
        <v/>
      </c>
      <c r="AP164" s="50" t="str">
        <f aca="false">IF(AND(A164="",B164=""),"",IF(J164="","Status needed",IF(OR(J164="Applied",J164="Visit booked",J164="Withdrawn"),"OK",IF(G164="","Date assessed needed",IF(C164="","Date of birth needed",IF(COUNTA(L164,M164,P164,U164,V164,X164,AB164)&lt;7,"Band missing",IF(AND(OR(J164="Decision confirmed",J164="Family told",J164="Enrolled"),AG164=""),"Recommendation needed",IF(AND(OR(J164="Family told",J164="Enrolled"),AJ164=""),"Date family told needed","OK"))))))))</f>
        <v/>
      </c>
    </row>
    <row r="165" customFormat="false" ht="15" hidden="false" customHeight="false" outlineLevel="0" collapsed="false">
      <c r="A165" s="7"/>
      <c r="B165" s="7"/>
      <c r="C165" s="46"/>
      <c r="D165" s="7"/>
      <c r="E165" s="47"/>
      <c r="F165" s="46"/>
      <c r="G165" s="46"/>
      <c r="H165" s="7"/>
      <c r="I165" s="7"/>
      <c r="J165" s="47"/>
      <c r="K165" s="47"/>
      <c r="L165" s="47"/>
      <c r="M165" s="47"/>
      <c r="N165" s="10"/>
      <c r="O165" s="47"/>
      <c r="P165" s="47"/>
      <c r="Q165" s="47"/>
      <c r="R165" s="48" t="str">
        <f aca="false">IF(Q165="","",IF(Q165=0,"below 5:00",IF(Q165&gt;=66,"16:00 or above",INT((60+2*Q165)/12)&amp;":"&amp;TEXT(MOD(60+2*Q165,12),"00"))))</f>
        <v/>
      </c>
      <c r="S165" s="47"/>
      <c r="T165" s="47"/>
      <c r="U165" s="47"/>
      <c r="V165" s="47"/>
      <c r="W165" s="47"/>
      <c r="X165" s="47"/>
      <c r="Y165" s="47"/>
      <c r="Z165" s="47"/>
      <c r="AA165" s="47"/>
      <c r="AB165" s="47"/>
      <c r="AC165" s="47"/>
      <c r="AD165" s="47"/>
      <c r="AE165" s="47"/>
      <c r="AF165" s="47"/>
      <c r="AG165" s="47"/>
      <c r="AH165" s="47"/>
      <c r="AI165" s="46"/>
      <c r="AJ165" s="46"/>
      <c r="AK165" s="46"/>
      <c r="AL165" s="7"/>
      <c r="AM165" s="49" t="str">
        <f aca="false">IF(OR(C165="",G165=""),"",IFERROR(DATEDIF(C165,G165,"m"),""))</f>
        <v/>
      </c>
      <c r="AN165" s="49" t="str">
        <f aca="false">IF(OR(Q165="",AM165=""),"",60+2*Q165-AM165)</f>
        <v/>
      </c>
      <c r="AO165" s="49" t="str">
        <f aca="false">IF(OR(G165="",AJ165=""),"",AJ165-G165)</f>
        <v/>
      </c>
      <c r="AP165" s="50" t="str">
        <f aca="false">IF(AND(A165="",B165=""),"",IF(J165="","Status needed",IF(OR(J165="Applied",J165="Visit booked",J165="Withdrawn"),"OK",IF(G165="","Date assessed needed",IF(C165="","Date of birth needed",IF(COUNTA(L165,M165,P165,U165,V165,X165,AB165)&lt;7,"Band missing",IF(AND(OR(J165="Decision confirmed",J165="Family told",J165="Enrolled"),AG165=""),"Recommendation needed",IF(AND(OR(J165="Family told",J165="Enrolled"),AJ165=""),"Date family told needed","OK"))))))))</f>
        <v/>
      </c>
    </row>
    <row r="166" customFormat="false" ht="15" hidden="false" customHeight="false" outlineLevel="0" collapsed="false">
      <c r="A166" s="7"/>
      <c r="B166" s="7"/>
      <c r="C166" s="46"/>
      <c r="D166" s="7"/>
      <c r="E166" s="47"/>
      <c r="F166" s="46"/>
      <c r="G166" s="46"/>
      <c r="H166" s="7"/>
      <c r="I166" s="7"/>
      <c r="J166" s="47"/>
      <c r="K166" s="47"/>
      <c r="L166" s="47"/>
      <c r="M166" s="47"/>
      <c r="N166" s="10"/>
      <c r="O166" s="47"/>
      <c r="P166" s="47"/>
      <c r="Q166" s="47"/>
      <c r="R166" s="48" t="str">
        <f aca="false">IF(Q166="","",IF(Q166=0,"below 5:00",IF(Q166&gt;=66,"16:00 or above",INT((60+2*Q166)/12)&amp;":"&amp;TEXT(MOD(60+2*Q166,12),"00"))))</f>
        <v/>
      </c>
      <c r="S166" s="47"/>
      <c r="T166" s="47"/>
      <c r="U166" s="47"/>
      <c r="V166" s="47"/>
      <c r="W166" s="47"/>
      <c r="X166" s="47"/>
      <c r="Y166" s="47"/>
      <c r="Z166" s="47"/>
      <c r="AA166" s="47"/>
      <c r="AB166" s="47"/>
      <c r="AC166" s="47"/>
      <c r="AD166" s="47"/>
      <c r="AE166" s="47"/>
      <c r="AF166" s="47"/>
      <c r="AG166" s="47"/>
      <c r="AH166" s="47"/>
      <c r="AI166" s="46"/>
      <c r="AJ166" s="46"/>
      <c r="AK166" s="46"/>
      <c r="AL166" s="7"/>
      <c r="AM166" s="49" t="str">
        <f aca="false">IF(OR(C166="",G166=""),"",IFERROR(DATEDIF(C166,G166,"m"),""))</f>
        <v/>
      </c>
      <c r="AN166" s="49" t="str">
        <f aca="false">IF(OR(Q166="",AM166=""),"",60+2*Q166-AM166)</f>
        <v/>
      </c>
      <c r="AO166" s="49" t="str">
        <f aca="false">IF(OR(G166="",AJ166=""),"",AJ166-G166)</f>
        <v/>
      </c>
      <c r="AP166" s="50" t="str">
        <f aca="false">IF(AND(A166="",B166=""),"",IF(J166="","Status needed",IF(OR(J166="Applied",J166="Visit booked",J166="Withdrawn"),"OK",IF(G166="","Date assessed needed",IF(C166="","Date of birth needed",IF(COUNTA(L166,M166,P166,U166,V166,X166,AB166)&lt;7,"Band missing",IF(AND(OR(J166="Decision confirmed",J166="Family told",J166="Enrolled"),AG166=""),"Recommendation needed",IF(AND(OR(J166="Family told",J166="Enrolled"),AJ166=""),"Date family told needed","OK"))))))))</f>
        <v/>
      </c>
    </row>
    <row r="167" customFormat="false" ht="15" hidden="false" customHeight="false" outlineLevel="0" collapsed="false">
      <c r="A167" s="7"/>
      <c r="B167" s="7"/>
      <c r="C167" s="46"/>
      <c r="D167" s="7"/>
      <c r="E167" s="47"/>
      <c r="F167" s="46"/>
      <c r="G167" s="46"/>
      <c r="H167" s="7"/>
      <c r="I167" s="7"/>
      <c r="J167" s="47"/>
      <c r="K167" s="47"/>
      <c r="L167" s="47"/>
      <c r="M167" s="47"/>
      <c r="N167" s="10"/>
      <c r="O167" s="47"/>
      <c r="P167" s="47"/>
      <c r="Q167" s="47"/>
      <c r="R167" s="48" t="str">
        <f aca="false">IF(Q167="","",IF(Q167=0,"below 5:00",IF(Q167&gt;=66,"16:00 or above",INT((60+2*Q167)/12)&amp;":"&amp;TEXT(MOD(60+2*Q167,12),"00"))))</f>
        <v/>
      </c>
      <c r="S167" s="47"/>
      <c r="T167" s="47"/>
      <c r="U167" s="47"/>
      <c r="V167" s="47"/>
      <c r="W167" s="47"/>
      <c r="X167" s="47"/>
      <c r="Y167" s="47"/>
      <c r="Z167" s="47"/>
      <c r="AA167" s="47"/>
      <c r="AB167" s="47"/>
      <c r="AC167" s="47"/>
      <c r="AD167" s="47"/>
      <c r="AE167" s="47"/>
      <c r="AF167" s="47"/>
      <c r="AG167" s="47"/>
      <c r="AH167" s="47"/>
      <c r="AI167" s="46"/>
      <c r="AJ167" s="46"/>
      <c r="AK167" s="46"/>
      <c r="AL167" s="7"/>
      <c r="AM167" s="49" t="str">
        <f aca="false">IF(OR(C167="",G167=""),"",IFERROR(DATEDIF(C167,G167,"m"),""))</f>
        <v/>
      </c>
      <c r="AN167" s="49" t="str">
        <f aca="false">IF(OR(Q167="",AM167=""),"",60+2*Q167-AM167)</f>
        <v/>
      </c>
      <c r="AO167" s="49" t="str">
        <f aca="false">IF(OR(G167="",AJ167=""),"",AJ167-G167)</f>
        <v/>
      </c>
      <c r="AP167" s="50" t="str">
        <f aca="false">IF(AND(A167="",B167=""),"",IF(J167="","Status needed",IF(OR(J167="Applied",J167="Visit booked",J167="Withdrawn"),"OK",IF(G167="","Date assessed needed",IF(C167="","Date of birth needed",IF(COUNTA(L167,M167,P167,U167,V167,X167,AB167)&lt;7,"Band missing",IF(AND(OR(J167="Decision confirmed",J167="Family told",J167="Enrolled"),AG167=""),"Recommendation needed",IF(AND(OR(J167="Family told",J167="Enrolled"),AJ167=""),"Date family told needed","OK"))))))))</f>
        <v/>
      </c>
    </row>
    <row r="168" customFormat="false" ht="15" hidden="false" customHeight="false" outlineLevel="0" collapsed="false">
      <c r="A168" s="7"/>
      <c r="B168" s="7"/>
      <c r="C168" s="46"/>
      <c r="D168" s="7"/>
      <c r="E168" s="47"/>
      <c r="F168" s="46"/>
      <c r="G168" s="46"/>
      <c r="H168" s="7"/>
      <c r="I168" s="7"/>
      <c r="J168" s="47"/>
      <c r="K168" s="47"/>
      <c r="L168" s="47"/>
      <c r="M168" s="47"/>
      <c r="N168" s="10"/>
      <c r="O168" s="47"/>
      <c r="P168" s="47"/>
      <c r="Q168" s="47"/>
      <c r="R168" s="48" t="str">
        <f aca="false">IF(Q168="","",IF(Q168=0,"below 5:00",IF(Q168&gt;=66,"16:00 or above",INT((60+2*Q168)/12)&amp;":"&amp;TEXT(MOD(60+2*Q168,12),"00"))))</f>
        <v/>
      </c>
      <c r="S168" s="47"/>
      <c r="T168" s="47"/>
      <c r="U168" s="47"/>
      <c r="V168" s="47"/>
      <c r="W168" s="47"/>
      <c r="X168" s="47"/>
      <c r="Y168" s="47"/>
      <c r="Z168" s="47"/>
      <c r="AA168" s="47"/>
      <c r="AB168" s="47"/>
      <c r="AC168" s="47"/>
      <c r="AD168" s="47"/>
      <c r="AE168" s="47"/>
      <c r="AF168" s="47"/>
      <c r="AG168" s="47"/>
      <c r="AH168" s="47"/>
      <c r="AI168" s="46"/>
      <c r="AJ168" s="46"/>
      <c r="AK168" s="46"/>
      <c r="AL168" s="7"/>
      <c r="AM168" s="49" t="str">
        <f aca="false">IF(OR(C168="",G168=""),"",IFERROR(DATEDIF(C168,G168,"m"),""))</f>
        <v/>
      </c>
      <c r="AN168" s="49" t="str">
        <f aca="false">IF(OR(Q168="",AM168=""),"",60+2*Q168-AM168)</f>
        <v/>
      </c>
      <c r="AO168" s="49" t="str">
        <f aca="false">IF(OR(G168="",AJ168=""),"",AJ168-G168)</f>
        <v/>
      </c>
      <c r="AP168" s="50" t="str">
        <f aca="false">IF(AND(A168="",B168=""),"",IF(J168="","Status needed",IF(OR(J168="Applied",J168="Visit booked",J168="Withdrawn"),"OK",IF(G168="","Date assessed needed",IF(C168="","Date of birth needed",IF(COUNTA(L168,M168,P168,U168,V168,X168,AB168)&lt;7,"Band missing",IF(AND(OR(J168="Decision confirmed",J168="Family told",J168="Enrolled"),AG168=""),"Recommendation needed",IF(AND(OR(J168="Family told",J168="Enrolled"),AJ168=""),"Date family told needed","OK"))))))))</f>
        <v/>
      </c>
    </row>
    <row r="169" customFormat="false" ht="15" hidden="false" customHeight="false" outlineLevel="0" collapsed="false">
      <c r="A169" s="7"/>
      <c r="B169" s="7"/>
      <c r="C169" s="46"/>
      <c r="D169" s="7"/>
      <c r="E169" s="47"/>
      <c r="F169" s="46"/>
      <c r="G169" s="46"/>
      <c r="H169" s="7"/>
      <c r="I169" s="7"/>
      <c r="J169" s="47"/>
      <c r="K169" s="47"/>
      <c r="L169" s="47"/>
      <c r="M169" s="47"/>
      <c r="N169" s="10"/>
      <c r="O169" s="47"/>
      <c r="P169" s="47"/>
      <c r="Q169" s="47"/>
      <c r="R169" s="48" t="str">
        <f aca="false">IF(Q169="","",IF(Q169=0,"below 5:00",IF(Q169&gt;=66,"16:00 or above",INT((60+2*Q169)/12)&amp;":"&amp;TEXT(MOD(60+2*Q169,12),"00"))))</f>
        <v/>
      </c>
      <c r="S169" s="47"/>
      <c r="T169" s="47"/>
      <c r="U169" s="47"/>
      <c r="V169" s="47"/>
      <c r="W169" s="47"/>
      <c r="X169" s="47"/>
      <c r="Y169" s="47"/>
      <c r="Z169" s="47"/>
      <c r="AA169" s="47"/>
      <c r="AB169" s="47"/>
      <c r="AC169" s="47"/>
      <c r="AD169" s="47"/>
      <c r="AE169" s="47"/>
      <c r="AF169" s="47"/>
      <c r="AG169" s="47"/>
      <c r="AH169" s="47"/>
      <c r="AI169" s="46"/>
      <c r="AJ169" s="46"/>
      <c r="AK169" s="46"/>
      <c r="AL169" s="7"/>
      <c r="AM169" s="49" t="str">
        <f aca="false">IF(OR(C169="",G169=""),"",IFERROR(DATEDIF(C169,G169,"m"),""))</f>
        <v/>
      </c>
      <c r="AN169" s="49" t="str">
        <f aca="false">IF(OR(Q169="",AM169=""),"",60+2*Q169-AM169)</f>
        <v/>
      </c>
      <c r="AO169" s="49" t="str">
        <f aca="false">IF(OR(G169="",AJ169=""),"",AJ169-G169)</f>
        <v/>
      </c>
      <c r="AP169" s="50" t="str">
        <f aca="false">IF(AND(A169="",B169=""),"",IF(J169="","Status needed",IF(OR(J169="Applied",J169="Visit booked",J169="Withdrawn"),"OK",IF(G169="","Date assessed needed",IF(C169="","Date of birth needed",IF(COUNTA(L169,M169,P169,U169,V169,X169,AB169)&lt;7,"Band missing",IF(AND(OR(J169="Decision confirmed",J169="Family told",J169="Enrolled"),AG169=""),"Recommendation needed",IF(AND(OR(J169="Family told",J169="Enrolled"),AJ169=""),"Date family told needed","OK"))))))))</f>
        <v/>
      </c>
    </row>
    <row r="170" customFormat="false" ht="15" hidden="false" customHeight="false" outlineLevel="0" collapsed="false">
      <c r="A170" s="7"/>
      <c r="B170" s="7"/>
      <c r="C170" s="46"/>
      <c r="D170" s="7"/>
      <c r="E170" s="47"/>
      <c r="F170" s="46"/>
      <c r="G170" s="46"/>
      <c r="H170" s="7"/>
      <c r="I170" s="7"/>
      <c r="J170" s="47"/>
      <c r="K170" s="47"/>
      <c r="L170" s="47"/>
      <c r="M170" s="47"/>
      <c r="N170" s="10"/>
      <c r="O170" s="47"/>
      <c r="P170" s="47"/>
      <c r="Q170" s="47"/>
      <c r="R170" s="48" t="str">
        <f aca="false">IF(Q170="","",IF(Q170=0,"below 5:00",IF(Q170&gt;=66,"16:00 or above",INT((60+2*Q170)/12)&amp;":"&amp;TEXT(MOD(60+2*Q170,12),"00"))))</f>
        <v/>
      </c>
      <c r="S170" s="47"/>
      <c r="T170" s="47"/>
      <c r="U170" s="47"/>
      <c r="V170" s="47"/>
      <c r="W170" s="47"/>
      <c r="X170" s="47"/>
      <c r="Y170" s="47"/>
      <c r="Z170" s="47"/>
      <c r="AA170" s="47"/>
      <c r="AB170" s="47"/>
      <c r="AC170" s="47"/>
      <c r="AD170" s="47"/>
      <c r="AE170" s="47"/>
      <c r="AF170" s="47"/>
      <c r="AG170" s="47"/>
      <c r="AH170" s="47"/>
      <c r="AI170" s="46"/>
      <c r="AJ170" s="46"/>
      <c r="AK170" s="46"/>
      <c r="AL170" s="7"/>
      <c r="AM170" s="49" t="str">
        <f aca="false">IF(OR(C170="",G170=""),"",IFERROR(DATEDIF(C170,G170,"m"),""))</f>
        <v/>
      </c>
      <c r="AN170" s="49" t="str">
        <f aca="false">IF(OR(Q170="",AM170=""),"",60+2*Q170-AM170)</f>
        <v/>
      </c>
      <c r="AO170" s="49" t="str">
        <f aca="false">IF(OR(G170="",AJ170=""),"",AJ170-G170)</f>
        <v/>
      </c>
      <c r="AP170" s="50" t="str">
        <f aca="false">IF(AND(A170="",B170=""),"",IF(J170="","Status needed",IF(OR(J170="Applied",J170="Visit booked",J170="Withdrawn"),"OK",IF(G170="","Date assessed needed",IF(C170="","Date of birth needed",IF(COUNTA(L170,M170,P170,U170,V170,X170,AB170)&lt;7,"Band missing",IF(AND(OR(J170="Decision confirmed",J170="Family told",J170="Enrolled"),AG170=""),"Recommendation needed",IF(AND(OR(J170="Family told",J170="Enrolled"),AJ170=""),"Date family told needed","OK"))))))))</f>
        <v/>
      </c>
    </row>
    <row r="171" customFormat="false" ht="15" hidden="false" customHeight="false" outlineLevel="0" collapsed="false">
      <c r="A171" s="7"/>
      <c r="B171" s="7"/>
      <c r="C171" s="46"/>
      <c r="D171" s="7"/>
      <c r="E171" s="47"/>
      <c r="F171" s="46"/>
      <c r="G171" s="46"/>
      <c r="H171" s="7"/>
      <c r="I171" s="7"/>
      <c r="J171" s="47"/>
      <c r="K171" s="47"/>
      <c r="L171" s="47"/>
      <c r="M171" s="47"/>
      <c r="N171" s="10"/>
      <c r="O171" s="47"/>
      <c r="P171" s="47"/>
      <c r="Q171" s="47"/>
      <c r="R171" s="48" t="str">
        <f aca="false">IF(Q171="","",IF(Q171=0,"below 5:00",IF(Q171&gt;=66,"16:00 or above",INT((60+2*Q171)/12)&amp;":"&amp;TEXT(MOD(60+2*Q171,12),"00"))))</f>
        <v/>
      </c>
      <c r="S171" s="47"/>
      <c r="T171" s="47"/>
      <c r="U171" s="47"/>
      <c r="V171" s="47"/>
      <c r="W171" s="47"/>
      <c r="X171" s="47"/>
      <c r="Y171" s="47"/>
      <c r="Z171" s="47"/>
      <c r="AA171" s="47"/>
      <c r="AB171" s="47"/>
      <c r="AC171" s="47"/>
      <c r="AD171" s="47"/>
      <c r="AE171" s="47"/>
      <c r="AF171" s="47"/>
      <c r="AG171" s="47"/>
      <c r="AH171" s="47"/>
      <c r="AI171" s="46"/>
      <c r="AJ171" s="46"/>
      <c r="AK171" s="46"/>
      <c r="AL171" s="7"/>
      <c r="AM171" s="49" t="str">
        <f aca="false">IF(OR(C171="",G171=""),"",IFERROR(DATEDIF(C171,G171,"m"),""))</f>
        <v/>
      </c>
      <c r="AN171" s="49" t="str">
        <f aca="false">IF(OR(Q171="",AM171=""),"",60+2*Q171-AM171)</f>
        <v/>
      </c>
      <c r="AO171" s="49" t="str">
        <f aca="false">IF(OR(G171="",AJ171=""),"",AJ171-G171)</f>
        <v/>
      </c>
      <c r="AP171" s="50" t="str">
        <f aca="false">IF(AND(A171="",B171=""),"",IF(J171="","Status needed",IF(OR(J171="Applied",J171="Visit booked",J171="Withdrawn"),"OK",IF(G171="","Date assessed needed",IF(C171="","Date of birth needed",IF(COUNTA(L171,M171,P171,U171,V171,X171,AB171)&lt;7,"Band missing",IF(AND(OR(J171="Decision confirmed",J171="Family told",J171="Enrolled"),AG171=""),"Recommendation needed",IF(AND(OR(J171="Family told",J171="Enrolled"),AJ171=""),"Date family told needed","OK"))))))))</f>
        <v/>
      </c>
    </row>
    <row r="172" customFormat="false" ht="15" hidden="false" customHeight="false" outlineLevel="0" collapsed="false">
      <c r="A172" s="7"/>
      <c r="B172" s="7"/>
      <c r="C172" s="46"/>
      <c r="D172" s="7"/>
      <c r="E172" s="47"/>
      <c r="F172" s="46"/>
      <c r="G172" s="46"/>
      <c r="H172" s="7"/>
      <c r="I172" s="7"/>
      <c r="J172" s="47"/>
      <c r="K172" s="47"/>
      <c r="L172" s="47"/>
      <c r="M172" s="47"/>
      <c r="N172" s="10"/>
      <c r="O172" s="47"/>
      <c r="P172" s="47"/>
      <c r="Q172" s="47"/>
      <c r="R172" s="48" t="str">
        <f aca="false">IF(Q172="","",IF(Q172=0,"below 5:00",IF(Q172&gt;=66,"16:00 or above",INT((60+2*Q172)/12)&amp;":"&amp;TEXT(MOD(60+2*Q172,12),"00"))))</f>
        <v/>
      </c>
      <c r="S172" s="47"/>
      <c r="T172" s="47"/>
      <c r="U172" s="47"/>
      <c r="V172" s="47"/>
      <c r="W172" s="47"/>
      <c r="X172" s="47"/>
      <c r="Y172" s="47"/>
      <c r="Z172" s="47"/>
      <c r="AA172" s="47"/>
      <c r="AB172" s="47"/>
      <c r="AC172" s="47"/>
      <c r="AD172" s="47"/>
      <c r="AE172" s="47"/>
      <c r="AF172" s="47"/>
      <c r="AG172" s="47"/>
      <c r="AH172" s="47"/>
      <c r="AI172" s="46"/>
      <c r="AJ172" s="46"/>
      <c r="AK172" s="46"/>
      <c r="AL172" s="7"/>
      <c r="AM172" s="49" t="str">
        <f aca="false">IF(OR(C172="",G172=""),"",IFERROR(DATEDIF(C172,G172,"m"),""))</f>
        <v/>
      </c>
      <c r="AN172" s="49" t="str">
        <f aca="false">IF(OR(Q172="",AM172=""),"",60+2*Q172-AM172)</f>
        <v/>
      </c>
      <c r="AO172" s="49" t="str">
        <f aca="false">IF(OR(G172="",AJ172=""),"",AJ172-G172)</f>
        <v/>
      </c>
      <c r="AP172" s="50" t="str">
        <f aca="false">IF(AND(A172="",B172=""),"",IF(J172="","Status needed",IF(OR(J172="Applied",J172="Visit booked",J172="Withdrawn"),"OK",IF(G172="","Date assessed needed",IF(C172="","Date of birth needed",IF(COUNTA(L172,M172,P172,U172,V172,X172,AB172)&lt;7,"Band missing",IF(AND(OR(J172="Decision confirmed",J172="Family told",J172="Enrolled"),AG172=""),"Recommendation needed",IF(AND(OR(J172="Family told",J172="Enrolled"),AJ172=""),"Date family told needed","OK"))))))))</f>
        <v/>
      </c>
    </row>
    <row r="173" customFormat="false" ht="15" hidden="false" customHeight="false" outlineLevel="0" collapsed="false">
      <c r="A173" s="7"/>
      <c r="B173" s="7"/>
      <c r="C173" s="46"/>
      <c r="D173" s="7"/>
      <c r="E173" s="47"/>
      <c r="F173" s="46"/>
      <c r="G173" s="46"/>
      <c r="H173" s="7"/>
      <c r="I173" s="7"/>
      <c r="J173" s="47"/>
      <c r="K173" s="47"/>
      <c r="L173" s="47"/>
      <c r="M173" s="47"/>
      <c r="N173" s="10"/>
      <c r="O173" s="47"/>
      <c r="P173" s="47"/>
      <c r="Q173" s="47"/>
      <c r="R173" s="48" t="str">
        <f aca="false">IF(Q173="","",IF(Q173=0,"below 5:00",IF(Q173&gt;=66,"16:00 or above",INT((60+2*Q173)/12)&amp;":"&amp;TEXT(MOD(60+2*Q173,12),"00"))))</f>
        <v/>
      </c>
      <c r="S173" s="47"/>
      <c r="T173" s="47"/>
      <c r="U173" s="47"/>
      <c r="V173" s="47"/>
      <c r="W173" s="47"/>
      <c r="X173" s="47"/>
      <c r="Y173" s="47"/>
      <c r="Z173" s="47"/>
      <c r="AA173" s="47"/>
      <c r="AB173" s="47"/>
      <c r="AC173" s="47"/>
      <c r="AD173" s="47"/>
      <c r="AE173" s="47"/>
      <c r="AF173" s="47"/>
      <c r="AG173" s="47"/>
      <c r="AH173" s="47"/>
      <c r="AI173" s="46"/>
      <c r="AJ173" s="46"/>
      <c r="AK173" s="46"/>
      <c r="AL173" s="7"/>
      <c r="AM173" s="49" t="str">
        <f aca="false">IF(OR(C173="",G173=""),"",IFERROR(DATEDIF(C173,G173,"m"),""))</f>
        <v/>
      </c>
      <c r="AN173" s="49" t="str">
        <f aca="false">IF(OR(Q173="",AM173=""),"",60+2*Q173-AM173)</f>
        <v/>
      </c>
      <c r="AO173" s="49" t="str">
        <f aca="false">IF(OR(G173="",AJ173=""),"",AJ173-G173)</f>
        <v/>
      </c>
      <c r="AP173" s="50" t="str">
        <f aca="false">IF(AND(A173="",B173=""),"",IF(J173="","Status needed",IF(OR(J173="Applied",J173="Visit booked",J173="Withdrawn"),"OK",IF(G173="","Date assessed needed",IF(C173="","Date of birth needed",IF(COUNTA(L173,M173,P173,U173,V173,X173,AB173)&lt;7,"Band missing",IF(AND(OR(J173="Decision confirmed",J173="Family told",J173="Enrolled"),AG173=""),"Recommendation needed",IF(AND(OR(J173="Family told",J173="Enrolled"),AJ173=""),"Date family told needed","OK"))))))))</f>
        <v/>
      </c>
    </row>
    <row r="174" customFormat="false" ht="15" hidden="false" customHeight="false" outlineLevel="0" collapsed="false">
      <c r="A174" s="7"/>
      <c r="B174" s="7"/>
      <c r="C174" s="46"/>
      <c r="D174" s="7"/>
      <c r="E174" s="47"/>
      <c r="F174" s="46"/>
      <c r="G174" s="46"/>
      <c r="H174" s="7"/>
      <c r="I174" s="7"/>
      <c r="J174" s="47"/>
      <c r="K174" s="47"/>
      <c r="L174" s="47"/>
      <c r="M174" s="47"/>
      <c r="N174" s="10"/>
      <c r="O174" s="47"/>
      <c r="P174" s="47"/>
      <c r="Q174" s="47"/>
      <c r="R174" s="48" t="str">
        <f aca="false">IF(Q174="","",IF(Q174=0,"below 5:00",IF(Q174&gt;=66,"16:00 or above",INT((60+2*Q174)/12)&amp;":"&amp;TEXT(MOD(60+2*Q174,12),"00"))))</f>
        <v/>
      </c>
      <c r="S174" s="47"/>
      <c r="T174" s="47"/>
      <c r="U174" s="47"/>
      <c r="V174" s="47"/>
      <c r="W174" s="47"/>
      <c r="X174" s="47"/>
      <c r="Y174" s="47"/>
      <c r="Z174" s="47"/>
      <c r="AA174" s="47"/>
      <c r="AB174" s="47"/>
      <c r="AC174" s="47"/>
      <c r="AD174" s="47"/>
      <c r="AE174" s="47"/>
      <c r="AF174" s="47"/>
      <c r="AG174" s="47"/>
      <c r="AH174" s="47"/>
      <c r="AI174" s="46"/>
      <c r="AJ174" s="46"/>
      <c r="AK174" s="46"/>
      <c r="AL174" s="7"/>
      <c r="AM174" s="49" t="str">
        <f aca="false">IF(OR(C174="",G174=""),"",IFERROR(DATEDIF(C174,G174,"m"),""))</f>
        <v/>
      </c>
      <c r="AN174" s="49" t="str">
        <f aca="false">IF(OR(Q174="",AM174=""),"",60+2*Q174-AM174)</f>
        <v/>
      </c>
      <c r="AO174" s="49" t="str">
        <f aca="false">IF(OR(G174="",AJ174=""),"",AJ174-G174)</f>
        <v/>
      </c>
      <c r="AP174" s="50" t="str">
        <f aca="false">IF(AND(A174="",B174=""),"",IF(J174="","Status needed",IF(OR(J174="Applied",J174="Visit booked",J174="Withdrawn"),"OK",IF(G174="","Date assessed needed",IF(C174="","Date of birth needed",IF(COUNTA(L174,M174,P174,U174,V174,X174,AB174)&lt;7,"Band missing",IF(AND(OR(J174="Decision confirmed",J174="Family told",J174="Enrolled"),AG174=""),"Recommendation needed",IF(AND(OR(J174="Family told",J174="Enrolled"),AJ174=""),"Date family told needed","OK"))))))))</f>
        <v/>
      </c>
    </row>
    <row r="175" customFormat="false" ht="15" hidden="false" customHeight="false" outlineLevel="0" collapsed="false">
      <c r="A175" s="7"/>
      <c r="B175" s="7"/>
      <c r="C175" s="46"/>
      <c r="D175" s="7"/>
      <c r="E175" s="47"/>
      <c r="F175" s="46"/>
      <c r="G175" s="46"/>
      <c r="H175" s="7"/>
      <c r="I175" s="7"/>
      <c r="J175" s="47"/>
      <c r="K175" s="47"/>
      <c r="L175" s="47"/>
      <c r="M175" s="47"/>
      <c r="N175" s="10"/>
      <c r="O175" s="47"/>
      <c r="P175" s="47"/>
      <c r="Q175" s="47"/>
      <c r="R175" s="48" t="str">
        <f aca="false">IF(Q175="","",IF(Q175=0,"below 5:00",IF(Q175&gt;=66,"16:00 or above",INT((60+2*Q175)/12)&amp;":"&amp;TEXT(MOD(60+2*Q175,12),"00"))))</f>
        <v/>
      </c>
      <c r="S175" s="47"/>
      <c r="T175" s="47"/>
      <c r="U175" s="47"/>
      <c r="V175" s="47"/>
      <c r="W175" s="47"/>
      <c r="X175" s="47"/>
      <c r="Y175" s="47"/>
      <c r="Z175" s="47"/>
      <c r="AA175" s="47"/>
      <c r="AB175" s="47"/>
      <c r="AC175" s="47"/>
      <c r="AD175" s="47"/>
      <c r="AE175" s="47"/>
      <c r="AF175" s="47"/>
      <c r="AG175" s="47"/>
      <c r="AH175" s="47"/>
      <c r="AI175" s="46"/>
      <c r="AJ175" s="46"/>
      <c r="AK175" s="46"/>
      <c r="AL175" s="7"/>
      <c r="AM175" s="49" t="str">
        <f aca="false">IF(OR(C175="",G175=""),"",IFERROR(DATEDIF(C175,G175,"m"),""))</f>
        <v/>
      </c>
      <c r="AN175" s="49" t="str">
        <f aca="false">IF(OR(Q175="",AM175=""),"",60+2*Q175-AM175)</f>
        <v/>
      </c>
      <c r="AO175" s="49" t="str">
        <f aca="false">IF(OR(G175="",AJ175=""),"",AJ175-G175)</f>
        <v/>
      </c>
      <c r="AP175" s="50" t="str">
        <f aca="false">IF(AND(A175="",B175=""),"",IF(J175="","Status needed",IF(OR(J175="Applied",J175="Visit booked",J175="Withdrawn"),"OK",IF(G175="","Date assessed needed",IF(C175="","Date of birth needed",IF(COUNTA(L175,M175,P175,U175,V175,X175,AB175)&lt;7,"Band missing",IF(AND(OR(J175="Decision confirmed",J175="Family told",J175="Enrolled"),AG175=""),"Recommendation needed",IF(AND(OR(J175="Family told",J175="Enrolled"),AJ175=""),"Date family told needed","OK"))))))))</f>
        <v/>
      </c>
    </row>
    <row r="176" customFormat="false" ht="15" hidden="false" customHeight="false" outlineLevel="0" collapsed="false">
      <c r="A176" s="7"/>
      <c r="B176" s="7"/>
      <c r="C176" s="46"/>
      <c r="D176" s="7"/>
      <c r="E176" s="47"/>
      <c r="F176" s="46"/>
      <c r="G176" s="46"/>
      <c r="H176" s="7"/>
      <c r="I176" s="7"/>
      <c r="J176" s="47"/>
      <c r="K176" s="47"/>
      <c r="L176" s="47"/>
      <c r="M176" s="47"/>
      <c r="N176" s="10"/>
      <c r="O176" s="47"/>
      <c r="P176" s="47"/>
      <c r="Q176" s="47"/>
      <c r="R176" s="48" t="str">
        <f aca="false">IF(Q176="","",IF(Q176=0,"below 5:00",IF(Q176&gt;=66,"16:00 or above",INT((60+2*Q176)/12)&amp;":"&amp;TEXT(MOD(60+2*Q176,12),"00"))))</f>
        <v/>
      </c>
      <c r="S176" s="47"/>
      <c r="T176" s="47"/>
      <c r="U176" s="47"/>
      <c r="V176" s="47"/>
      <c r="W176" s="47"/>
      <c r="X176" s="47"/>
      <c r="Y176" s="47"/>
      <c r="Z176" s="47"/>
      <c r="AA176" s="47"/>
      <c r="AB176" s="47"/>
      <c r="AC176" s="47"/>
      <c r="AD176" s="47"/>
      <c r="AE176" s="47"/>
      <c r="AF176" s="47"/>
      <c r="AG176" s="47"/>
      <c r="AH176" s="47"/>
      <c r="AI176" s="46"/>
      <c r="AJ176" s="46"/>
      <c r="AK176" s="46"/>
      <c r="AL176" s="7"/>
      <c r="AM176" s="49" t="str">
        <f aca="false">IF(OR(C176="",G176=""),"",IFERROR(DATEDIF(C176,G176,"m"),""))</f>
        <v/>
      </c>
      <c r="AN176" s="49" t="str">
        <f aca="false">IF(OR(Q176="",AM176=""),"",60+2*Q176-AM176)</f>
        <v/>
      </c>
      <c r="AO176" s="49" t="str">
        <f aca="false">IF(OR(G176="",AJ176=""),"",AJ176-G176)</f>
        <v/>
      </c>
      <c r="AP176" s="50" t="str">
        <f aca="false">IF(AND(A176="",B176=""),"",IF(J176="","Status needed",IF(OR(J176="Applied",J176="Visit booked",J176="Withdrawn"),"OK",IF(G176="","Date assessed needed",IF(C176="","Date of birth needed",IF(COUNTA(L176,M176,P176,U176,V176,X176,AB176)&lt;7,"Band missing",IF(AND(OR(J176="Decision confirmed",J176="Family told",J176="Enrolled"),AG176=""),"Recommendation needed",IF(AND(OR(J176="Family told",J176="Enrolled"),AJ176=""),"Date family told needed","OK"))))))))</f>
        <v/>
      </c>
    </row>
    <row r="177" customFormat="false" ht="15" hidden="false" customHeight="false" outlineLevel="0" collapsed="false">
      <c r="A177" s="7"/>
      <c r="B177" s="7"/>
      <c r="C177" s="46"/>
      <c r="D177" s="7"/>
      <c r="E177" s="47"/>
      <c r="F177" s="46"/>
      <c r="G177" s="46"/>
      <c r="H177" s="7"/>
      <c r="I177" s="7"/>
      <c r="J177" s="47"/>
      <c r="K177" s="47"/>
      <c r="L177" s="47"/>
      <c r="M177" s="47"/>
      <c r="N177" s="10"/>
      <c r="O177" s="47"/>
      <c r="P177" s="47"/>
      <c r="Q177" s="47"/>
      <c r="R177" s="48" t="str">
        <f aca="false">IF(Q177="","",IF(Q177=0,"below 5:00",IF(Q177&gt;=66,"16:00 or above",INT((60+2*Q177)/12)&amp;":"&amp;TEXT(MOD(60+2*Q177,12),"00"))))</f>
        <v/>
      </c>
      <c r="S177" s="47"/>
      <c r="T177" s="47"/>
      <c r="U177" s="47"/>
      <c r="V177" s="47"/>
      <c r="W177" s="47"/>
      <c r="X177" s="47"/>
      <c r="Y177" s="47"/>
      <c r="Z177" s="47"/>
      <c r="AA177" s="47"/>
      <c r="AB177" s="47"/>
      <c r="AC177" s="47"/>
      <c r="AD177" s="47"/>
      <c r="AE177" s="47"/>
      <c r="AF177" s="47"/>
      <c r="AG177" s="47"/>
      <c r="AH177" s="47"/>
      <c r="AI177" s="46"/>
      <c r="AJ177" s="46"/>
      <c r="AK177" s="46"/>
      <c r="AL177" s="7"/>
      <c r="AM177" s="49" t="str">
        <f aca="false">IF(OR(C177="",G177=""),"",IFERROR(DATEDIF(C177,G177,"m"),""))</f>
        <v/>
      </c>
      <c r="AN177" s="49" t="str">
        <f aca="false">IF(OR(Q177="",AM177=""),"",60+2*Q177-AM177)</f>
        <v/>
      </c>
      <c r="AO177" s="49" t="str">
        <f aca="false">IF(OR(G177="",AJ177=""),"",AJ177-G177)</f>
        <v/>
      </c>
      <c r="AP177" s="50" t="str">
        <f aca="false">IF(AND(A177="",B177=""),"",IF(J177="","Status needed",IF(OR(J177="Applied",J177="Visit booked",J177="Withdrawn"),"OK",IF(G177="","Date assessed needed",IF(C177="","Date of birth needed",IF(COUNTA(L177,M177,P177,U177,V177,X177,AB177)&lt;7,"Band missing",IF(AND(OR(J177="Decision confirmed",J177="Family told",J177="Enrolled"),AG177=""),"Recommendation needed",IF(AND(OR(J177="Family told",J177="Enrolled"),AJ177=""),"Date family told needed","OK"))))))))</f>
        <v/>
      </c>
    </row>
    <row r="178" customFormat="false" ht="15" hidden="false" customHeight="false" outlineLevel="0" collapsed="false">
      <c r="A178" s="7"/>
      <c r="B178" s="7"/>
      <c r="C178" s="46"/>
      <c r="D178" s="7"/>
      <c r="E178" s="47"/>
      <c r="F178" s="46"/>
      <c r="G178" s="46"/>
      <c r="H178" s="7"/>
      <c r="I178" s="7"/>
      <c r="J178" s="47"/>
      <c r="K178" s="47"/>
      <c r="L178" s="47"/>
      <c r="M178" s="47"/>
      <c r="N178" s="10"/>
      <c r="O178" s="47"/>
      <c r="P178" s="47"/>
      <c r="Q178" s="47"/>
      <c r="R178" s="48" t="str">
        <f aca="false">IF(Q178="","",IF(Q178=0,"below 5:00",IF(Q178&gt;=66,"16:00 or above",INT((60+2*Q178)/12)&amp;":"&amp;TEXT(MOD(60+2*Q178,12),"00"))))</f>
        <v/>
      </c>
      <c r="S178" s="47"/>
      <c r="T178" s="47"/>
      <c r="U178" s="47"/>
      <c r="V178" s="47"/>
      <c r="W178" s="47"/>
      <c r="X178" s="47"/>
      <c r="Y178" s="47"/>
      <c r="Z178" s="47"/>
      <c r="AA178" s="47"/>
      <c r="AB178" s="47"/>
      <c r="AC178" s="47"/>
      <c r="AD178" s="47"/>
      <c r="AE178" s="47"/>
      <c r="AF178" s="47"/>
      <c r="AG178" s="47"/>
      <c r="AH178" s="47"/>
      <c r="AI178" s="46"/>
      <c r="AJ178" s="46"/>
      <c r="AK178" s="46"/>
      <c r="AL178" s="7"/>
      <c r="AM178" s="49" t="str">
        <f aca="false">IF(OR(C178="",G178=""),"",IFERROR(DATEDIF(C178,G178,"m"),""))</f>
        <v/>
      </c>
      <c r="AN178" s="49" t="str">
        <f aca="false">IF(OR(Q178="",AM178=""),"",60+2*Q178-AM178)</f>
        <v/>
      </c>
      <c r="AO178" s="49" t="str">
        <f aca="false">IF(OR(G178="",AJ178=""),"",AJ178-G178)</f>
        <v/>
      </c>
      <c r="AP178" s="50" t="str">
        <f aca="false">IF(AND(A178="",B178=""),"",IF(J178="","Status needed",IF(OR(J178="Applied",J178="Visit booked",J178="Withdrawn"),"OK",IF(G178="","Date assessed needed",IF(C178="","Date of birth needed",IF(COUNTA(L178,M178,P178,U178,V178,X178,AB178)&lt;7,"Band missing",IF(AND(OR(J178="Decision confirmed",J178="Family told",J178="Enrolled"),AG178=""),"Recommendation needed",IF(AND(OR(J178="Family told",J178="Enrolled"),AJ178=""),"Date family told needed","OK"))))))))</f>
        <v/>
      </c>
    </row>
    <row r="179" customFormat="false" ht="15" hidden="false" customHeight="false" outlineLevel="0" collapsed="false">
      <c r="A179" s="7"/>
      <c r="B179" s="7"/>
      <c r="C179" s="46"/>
      <c r="D179" s="7"/>
      <c r="E179" s="47"/>
      <c r="F179" s="46"/>
      <c r="G179" s="46"/>
      <c r="H179" s="7"/>
      <c r="I179" s="7"/>
      <c r="J179" s="47"/>
      <c r="K179" s="47"/>
      <c r="L179" s="47"/>
      <c r="M179" s="47"/>
      <c r="N179" s="10"/>
      <c r="O179" s="47"/>
      <c r="P179" s="47"/>
      <c r="Q179" s="47"/>
      <c r="R179" s="48" t="str">
        <f aca="false">IF(Q179="","",IF(Q179=0,"below 5:00",IF(Q179&gt;=66,"16:00 or above",INT((60+2*Q179)/12)&amp;":"&amp;TEXT(MOD(60+2*Q179,12),"00"))))</f>
        <v/>
      </c>
      <c r="S179" s="47"/>
      <c r="T179" s="47"/>
      <c r="U179" s="47"/>
      <c r="V179" s="47"/>
      <c r="W179" s="47"/>
      <c r="X179" s="47"/>
      <c r="Y179" s="47"/>
      <c r="Z179" s="47"/>
      <c r="AA179" s="47"/>
      <c r="AB179" s="47"/>
      <c r="AC179" s="47"/>
      <c r="AD179" s="47"/>
      <c r="AE179" s="47"/>
      <c r="AF179" s="47"/>
      <c r="AG179" s="47"/>
      <c r="AH179" s="47"/>
      <c r="AI179" s="46"/>
      <c r="AJ179" s="46"/>
      <c r="AK179" s="46"/>
      <c r="AL179" s="7"/>
      <c r="AM179" s="49" t="str">
        <f aca="false">IF(OR(C179="",G179=""),"",IFERROR(DATEDIF(C179,G179,"m"),""))</f>
        <v/>
      </c>
      <c r="AN179" s="49" t="str">
        <f aca="false">IF(OR(Q179="",AM179=""),"",60+2*Q179-AM179)</f>
        <v/>
      </c>
      <c r="AO179" s="49" t="str">
        <f aca="false">IF(OR(G179="",AJ179=""),"",AJ179-G179)</f>
        <v/>
      </c>
      <c r="AP179" s="50" t="str">
        <f aca="false">IF(AND(A179="",B179=""),"",IF(J179="","Status needed",IF(OR(J179="Applied",J179="Visit booked",J179="Withdrawn"),"OK",IF(G179="","Date assessed needed",IF(C179="","Date of birth needed",IF(COUNTA(L179,M179,P179,U179,V179,X179,AB179)&lt;7,"Band missing",IF(AND(OR(J179="Decision confirmed",J179="Family told",J179="Enrolled"),AG179=""),"Recommendation needed",IF(AND(OR(J179="Family told",J179="Enrolled"),AJ179=""),"Date family told needed","OK"))))))))</f>
        <v/>
      </c>
    </row>
    <row r="180" customFormat="false" ht="15" hidden="false" customHeight="false" outlineLevel="0" collapsed="false">
      <c r="A180" s="7"/>
      <c r="B180" s="7"/>
      <c r="C180" s="46"/>
      <c r="D180" s="7"/>
      <c r="E180" s="47"/>
      <c r="F180" s="46"/>
      <c r="G180" s="46"/>
      <c r="H180" s="7"/>
      <c r="I180" s="7"/>
      <c r="J180" s="47"/>
      <c r="K180" s="47"/>
      <c r="L180" s="47"/>
      <c r="M180" s="47"/>
      <c r="N180" s="10"/>
      <c r="O180" s="47"/>
      <c r="P180" s="47"/>
      <c r="Q180" s="47"/>
      <c r="R180" s="48" t="str">
        <f aca="false">IF(Q180="","",IF(Q180=0,"below 5:00",IF(Q180&gt;=66,"16:00 or above",INT((60+2*Q180)/12)&amp;":"&amp;TEXT(MOD(60+2*Q180,12),"00"))))</f>
        <v/>
      </c>
      <c r="S180" s="47"/>
      <c r="T180" s="47"/>
      <c r="U180" s="47"/>
      <c r="V180" s="47"/>
      <c r="W180" s="47"/>
      <c r="X180" s="47"/>
      <c r="Y180" s="47"/>
      <c r="Z180" s="47"/>
      <c r="AA180" s="47"/>
      <c r="AB180" s="47"/>
      <c r="AC180" s="47"/>
      <c r="AD180" s="47"/>
      <c r="AE180" s="47"/>
      <c r="AF180" s="47"/>
      <c r="AG180" s="47"/>
      <c r="AH180" s="47"/>
      <c r="AI180" s="46"/>
      <c r="AJ180" s="46"/>
      <c r="AK180" s="46"/>
      <c r="AL180" s="7"/>
      <c r="AM180" s="49" t="str">
        <f aca="false">IF(OR(C180="",G180=""),"",IFERROR(DATEDIF(C180,G180,"m"),""))</f>
        <v/>
      </c>
      <c r="AN180" s="49" t="str">
        <f aca="false">IF(OR(Q180="",AM180=""),"",60+2*Q180-AM180)</f>
        <v/>
      </c>
      <c r="AO180" s="49" t="str">
        <f aca="false">IF(OR(G180="",AJ180=""),"",AJ180-G180)</f>
        <v/>
      </c>
      <c r="AP180" s="50" t="str">
        <f aca="false">IF(AND(A180="",B180=""),"",IF(J180="","Status needed",IF(OR(J180="Applied",J180="Visit booked",J180="Withdrawn"),"OK",IF(G180="","Date assessed needed",IF(C180="","Date of birth needed",IF(COUNTA(L180,M180,P180,U180,V180,X180,AB180)&lt;7,"Band missing",IF(AND(OR(J180="Decision confirmed",J180="Family told",J180="Enrolled"),AG180=""),"Recommendation needed",IF(AND(OR(J180="Family told",J180="Enrolled"),AJ180=""),"Date family told needed","OK"))))))))</f>
        <v/>
      </c>
    </row>
    <row r="181" customFormat="false" ht="15" hidden="false" customHeight="false" outlineLevel="0" collapsed="false">
      <c r="A181" s="7"/>
      <c r="B181" s="7"/>
      <c r="C181" s="46"/>
      <c r="D181" s="7"/>
      <c r="E181" s="47"/>
      <c r="F181" s="46"/>
      <c r="G181" s="46"/>
      <c r="H181" s="7"/>
      <c r="I181" s="7"/>
      <c r="J181" s="47"/>
      <c r="K181" s="47"/>
      <c r="L181" s="47"/>
      <c r="M181" s="47"/>
      <c r="N181" s="10"/>
      <c r="O181" s="47"/>
      <c r="P181" s="47"/>
      <c r="Q181" s="47"/>
      <c r="R181" s="48" t="str">
        <f aca="false">IF(Q181="","",IF(Q181=0,"below 5:00",IF(Q181&gt;=66,"16:00 or above",INT((60+2*Q181)/12)&amp;":"&amp;TEXT(MOD(60+2*Q181,12),"00"))))</f>
        <v/>
      </c>
      <c r="S181" s="47"/>
      <c r="T181" s="47"/>
      <c r="U181" s="47"/>
      <c r="V181" s="47"/>
      <c r="W181" s="47"/>
      <c r="X181" s="47"/>
      <c r="Y181" s="47"/>
      <c r="Z181" s="47"/>
      <c r="AA181" s="47"/>
      <c r="AB181" s="47"/>
      <c r="AC181" s="47"/>
      <c r="AD181" s="47"/>
      <c r="AE181" s="47"/>
      <c r="AF181" s="47"/>
      <c r="AG181" s="47"/>
      <c r="AH181" s="47"/>
      <c r="AI181" s="46"/>
      <c r="AJ181" s="46"/>
      <c r="AK181" s="46"/>
      <c r="AL181" s="7"/>
      <c r="AM181" s="49" t="str">
        <f aca="false">IF(OR(C181="",G181=""),"",IFERROR(DATEDIF(C181,G181,"m"),""))</f>
        <v/>
      </c>
      <c r="AN181" s="49" t="str">
        <f aca="false">IF(OR(Q181="",AM181=""),"",60+2*Q181-AM181)</f>
        <v/>
      </c>
      <c r="AO181" s="49" t="str">
        <f aca="false">IF(OR(G181="",AJ181=""),"",AJ181-G181)</f>
        <v/>
      </c>
      <c r="AP181" s="50" t="str">
        <f aca="false">IF(AND(A181="",B181=""),"",IF(J181="","Status needed",IF(OR(J181="Applied",J181="Visit booked",J181="Withdrawn"),"OK",IF(G181="","Date assessed needed",IF(C181="","Date of birth needed",IF(COUNTA(L181,M181,P181,U181,V181,X181,AB181)&lt;7,"Band missing",IF(AND(OR(J181="Decision confirmed",J181="Family told",J181="Enrolled"),AG181=""),"Recommendation needed",IF(AND(OR(J181="Family told",J181="Enrolled"),AJ181=""),"Date family told needed","OK"))))))))</f>
        <v/>
      </c>
    </row>
    <row r="182" customFormat="false" ht="15" hidden="false" customHeight="false" outlineLevel="0" collapsed="false">
      <c r="A182" s="7"/>
      <c r="B182" s="7"/>
      <c r="C182" s="46"/>
      <c r="D182" s="7"/>
      <c r="E182" s="47"/>
      <c r="F182" s="46"/>
      <c r="G182" s="46"/>
      <c r="H182" s="7"/>
      <c r="I182" s="7"/>
      <c r="J182" s="47"/>
      <c r="K182" s="47"/>
      <c r="L182" s="47"/>
      <c r="M182" s="47"/>
      <c r="N182" s="10"/>
      <c r="O182" s="47"/>
      <c r="P182" s="47"/>
      <c r="Q182" s="47"/>
      <c r="R182" s="48" t="str">
        <f aca="false">IF(Q182="","",IF(Q182=0,"below 5:00",IF(Q182&gt;=66,"16:00 or above",INT((60+2*Q182)/12)&amp;":"&amp;TEXT(MOD(60+2*Q182,12),"00"))))</f>
        <v/>
      </c>
      <c r="S182" s="47"/>
      <c r="T182" s="47"/>
      <c r="U182" s="47"/>
      <c r="V182" s="47"/>
      <c r="W182" s="47"/>
      <c r="X182" s="47"/>
      <c r="Y182" s="47"/>
      <c r="Z182" s="47"/>
      <c r="AA182" s="47"/>
      <c r="AB182" s="47"/>
      <c r="AC182" s="47"/>
      <c r="AD182" s="47"/>
      <c r="AE182" s="47"/>
      <c r="AF182" s="47"/>
      <c r="AG182" s="47"/>
      <c r="AH182" s="47"/>
      <c r="AI182" s="46"/>
      <c r="AJ182" s="46"/>
      <c r="AK182" s="46"/>
      <c r="AL182" s="7"/>
      <c r="AM182" s="49" t="str">
        <f aca="false">IF(OR(C182="",G182=""),"",IFERROR(DATEDIF(C182,G182,"m"),""))</f>
        <v/>
      </c>
      <c r="AN182" s="49" t="str">
        <f aca="false">IF(OR(Q182="",AM182=""),"",60+2*Q182-AM182)</f>
        <v/>
      </c>
      <c r="AO182" s="49" t="str">
        <f aca="false">IF(OR(G182="",AJ182=""),"",AJ182-G182)</f>
        <v/>
      </c>
      <c r="AP182" s="50" t="str">
        <f aca="false">IF(AND(A182="",B182=""),"",IF(J182="","Status needed",IF(OR(J182="Applied",J182="Visit booked",J182="Withdrawn"),"OK",IF(G182="","Date assessed needed",IF(C182="","Date of birth needed",IF(COUNTA(L182,M182,P182,U182,V182,X182,AB182)&lt;7,"Band missing",IF(AND(OR(J182="Decision confirmed",J182="Family told",J182="Enrolled"),AG182=""),"Recommendation needed",IF(AND(OR(J182="Family told",J182="Enrolled"),AJ182=""),"Date family told needed","OK"))))))))</f>
        <v/>
      </c>
    </row>
    <row r="183" customFormat="false" ht="15" hidden="false" customHeight="false" outlineLevel="0" collapsed="false">
      <c r="A183" s="7"/>
      <c r="B183" s="7"/>
      <c r="C183" s="46"/>
      <c r="D183" s="7"/>
      <c r="E183" s="47"/>
      <c r="F183" s="46"/>
      <c r="G183" s="46"/>
      <c r="H183" s="7"/>
      <c r="I183" s="7"/>
      <c r="J183" s="47"/>
      <c r="K183" s="47"/>
      <c r="L183" s="47"/>
      <c r="M183" s="47"/>
      <c r="N183" s="10"/>
      <c r="O183" s="47"/>
      <c r="P183" s="47"/>
      <c r="Q183" s="47"/>
      <c r="R183" s="48" t="str">
        <f aca="false">IF(Q183="","",IF(Q183=0,"below 5:00",IF(Q183&gt;=66,"16:00 or above",INT((60+2*Q183)/12)&amp;":"&amp;TEXT(MOD(60+2*Q183,12),"00"))))</f>
        <v/>
      </c>
      <c r="S183" s="47"/>
      <c r="T183" s="47"/>
      <c r="U183" s="47"/>
      <c r="V183" s="47"/>
      <c r="W183" s="47"/>
      <c r="X183" s="47"/>
      <c r="Y183" s="47"/>
      <c r="Z183" s="47"/>
      <c r="AA183" s="47"/>
      <c r="AB183" s="47"/>
      <c r="AC183" s="47"/>
      <c r="AD183" s="47"/>
      <c r="AE183" s="47"/>
      <c r="AF183" s="47"/>
      <c r="AG183" s="47"/>
      <c r="AH183" s="47"/>
      <c r="AI183" s="46"/>
      <c r="AJ183" s="46"/>
      <c r="AK183" s="46"/>
      <c r="AL183" s="7"/>
      <c r="AM183" s="49" t="str">
        <f aca="false">IF(OR(C183="",G183=""),"",IFERROR(DATEDIF(C183,G183,"m"),""))</f>
        <v/>
      </c>
      <c r="AN183" s="49" t="str">
        <f aca="false">IF(OR(Q183="",AM183=""),"",60+2*Q183-AM183)</f>
        <v/>
      </c>
      <c r="AO183" s="49" t="str">
        <f aca="false">IF(OR(G183="",AJ183=""),"",AJ183-G183)</f>
        <v/>
      </c>
      <c r="AP183" s="50" t="str">
        <f aca="false">IF(AND(A183="",B183=""),"",IF(J183="","Status needed",IF(OR(J183="Applied",J183="Visit booked",J183="Withdrawn"),"OK",IF(G183="","Date assessed needed",IF(C183="","Date of birth needed",IF(COUNTA(L183,M183,P183,U183,V183,X183,AB183)&lt;7,"Band missing",IF(AND(OR(J183="Decision confirmed",J183="Family told",J183="Enrolled"),AG183=""),"Recommendation needed",IF(AND(OR(J183="Family told",J183="Enrolled"),AJ183=""),"Date family told needed","OK"))))))))</f>
        <v/>
      </c>
    </row>
    <row r="184" customFormat="false" ht="15" hidden="false" customHeight="false" outlineLevel="0" collapsed="false">
      <c r="A184" s="7"/>
      <c r="B184" s="7"/>
      <c r="C184" s="46"/>
      <c r="D184" s="7"/>
      <c r="E184" s="47"/>
      <c r="F184" s="46"/>
      <c r="G184" s="46"/>
      <c r="H184" s="7"/>
      <c r="I184" s="7"/>
      <c r="J184" s="47"/>
      <c r="K184" s="47"/>
      <c r="L184" s="47"/>
      <c r="M184" s="47"/>
      <c r="N184" s="10"/>
      <c r="O184" s="47"/>
      <c r="P184" s="47"/>
      <c r="Q184" s="47"/>
      <c r="R184" s="48" t="str">
        <f aca="false">IF(Q184="","",IF(Q184=0,"below 5:00",IF(Q184&gt;=66,"16:00 or above",INT((60+2*Q184)/12)&amp;":"&amp;TEXT(MOD(60+2*Q184,12),"00"))))</f>
        <v/>
      </c>
      <c r="S184" s="47"/>
      <c r="T184" s="47"/>
      <c r="U184" s="47"/>
      <c r="V184" s="47"/>
      <c r="W184" s="47"/>
      <c r="X184" s="47"/>
      <c r="Y184" s="47"/>
      <c r="Z184" s="47"/>
      <c r="AA184" s="47"/>
      <c r="AB184" s="47"/>
      <c r="AC184" s="47"/>
      <c r="AD184" s="47"/>
      <c r="AE184" s="47"/>
      <c r="AF184" s="47"/>
      <c r="AG184" s="47"/>
      <c r="AH184" s="47"/>
      <c r="AI184" s="46"/>
      <c r="AJ184" s="46"/>
      <c r="AK184" s="46"/>
      <c r="AL184" s="7"/>
      <c r="AM184" s="49" t="str">
        <f aca="false">IF(OR(C184="",G184=""),"",IFERROR(DATEDIF(C184,G184,"m"),""))</f>
        <v/>
      </c>
      <c r="AN184" s="49" t="str">
        <f aca="false">IF(OR(Q184="",AM184=""),"",60+2*Q184-AM184)</f>
        <v/>
      </c>
      <c r="AO184" s="49" t="str">
        <f aca="false">IF(OR(G184="",AJ184=""),"",AJ184-G184)</f>
        <v/>
      </c>
      <c r="AP184" s="50" t="str">
        <f aca="false">IF(AND(A184="",B184=""),"",IF(J184="","Status needed",IF(OR(J184="Applied",J184="Visit booked",J184="Withdrawn"),"OK",IF(G184="","Date assessed needed",IF(C184="","Date of birth needed",IF(COUNTA(L184,M184,P184,U184,V184,X184,AB184)&lt;7,"Band missing",IF(AND(OR(J184="Decision confirmed",J184="Family told",J184="Enrolled"),AG184=""),"Recommendation needed",IF(AND(OR(J184="Family told",J184="Enrolled"),AJ184=""),"Date family told needed","OK"))))))))</f>
        <v/>
      </c>
    </row>
    <row r="185" customFormat="false" ht="15" hidden="false" customHeight="false" outlineLevel="0" collapsed="false">
      <c r="A185" s="7"/>
      <c r="B185" s="7"/>
      <c r="C185" s="46"/>
      <c r="D185" s="7"/>
      <c r="E185" s="47"/>
      <c r="F185" s="46"/>
      <c r="G185" s="46"/>
      <c r="H185" s="7"/>
      <c r="I185" s="7"/>
      <c r="J185" s="47"/>
      <c r="K185" s="47"/>
      <c r="L185" s="47"/>
      <c r="M185" s="47"/>
      <c r="N185" s="10"/>
      <c r="O185" s="47"/>
      <c r="P185" s="47"/>
      <c r="Q185" s="47"/>
      <c r="R185" s="48" t="str">
        <f aca="false">IF(Q185="","",IF(Q185=0,"below 5:00",IF(Q185&gt;=66,"16:00 or above",INT((60+2*Q185)/12)&amp;":"&amp;TEXT(MOD(60+2*Q185,12),"00"))))</f>
        <v/>
      </c>
      <c r="S185" s="47"/>
      <c r="T185" s="47"/>
      <c r="U185" s="47"/>
      <c r="V185" s="47"/>
      <c r="W185" s="47"/>
      <c r="X185" s="47"/>
      <c r="Y185" s="47"/>
      <c r="Z185" s="47"/>
      <c r="AA185" s="47"/>
      <c r="AB185" s="47"/>
      <c r="AC185" s="47"/>
      <c r="AD185" s="47"/>
      <c r="AE185" s="47"/>
      <c r="AF185" s="47"/>
      <c r="AG185" s="47"/>
      <c r="AH185" s="47"/>
      <c r="AI185" s="46"/>
      <c r="AJ185" s="46"/>
      <c r="AK185" s="46"/>
      <c r="AL185" s="7"/>
      <c r="AM185" s="49" t="str">
        <f aca="false">IF(OR(C185="",G185=""),"",IFERROR(DATEDIF(C185,G185,"m"),""))</f>
        <v/>
      </c>
      <c r="AN185" s="49" t="str">
        <f aca="false">IF(OR(Q185="",AM185=""),"",60+2*Q185-AM185)</f>
        <v/>
      </c>
      <c r="AO185" s="49" t="str">
        <f aca="false">IF(OR(G185="",AJ185=""),"",AJ185-G185)</f>
        <v/>
      </c>
      <c r="AP185" s="50" t="str">
        <f aca="false">IF(AND(A185="",B185=""),"",IF(J185="","Status needed",IF(OR(J185="Applied",J185="Visit booked",J185="Withdrawn"),"OK",IF(G185="","Date assessed needed",IF(C185="","Date of birth needed",IF(COUNTA(L185,M185,P185,U185,V185,X185,AB185)&lt;7,"Band missing",IF(AND(OR(J185="Decision confirmed",J185="Family told",J185="Enrolled"),AG185=""),"Recommendation needed",IF(AND(OR(J185="Family told",J185="Enrolled"),AJ185=""),"Date family told needed","OK"))))))))</f>
        <v/>
      </c>
    </row>
    <row r="186" customFormat="false" ht="15" hidden="false" customHeight="false" outlineLevel="0" collapsed="false">
      <c r="A186" s="7"/>
      <c r="B186" s="7"/>
      <c r="C186" s="46"/>
      <c r="D186" s="7"/>
      <c r="E186" s="47"/>
      <c r="F186" s="46"/>
      <c r="G186" s="46"/>
      <c r="H186" s="7"/>
      <c r="I186" s="7"/>
      <c r="J186" s="47"/>
      <c r="K186" s="47"/>
      <c r="L186" s="47"/>
      <c r="M186" s="47"/>
      <c r="N186" s="10"/>
      <c r="O186" s="47"/>
      <c r="P186" s="47"/>
      <c r="Q186" s="47"/>
      <c r="R186" s="48" t="str">
        <f aca="false">IF(Q186="","",IF(Q186=0,"below 5:00",IF(Q186&gt;=66,"16:00 or above",INT((60+2*Q186)/12)&amp;":"&amp;TEXT(MOD(60+2*Q186,12),"00"))))</f>
        <v/>
      </c>
      <c r="S186" s="47"/>
      <c r="T186" s="47"/>
      <c r="U186" s="47"/>
      <c r="V186" s="47"/>
      <c r="W186" s="47"/>
      <c r="X186" s="47"/>
      <c r="Y186" s="47"/>
      <c r="Z186" s="47"/>
      <c r="AA186" s="47"/>
      <c r="AB186" s="47"/>
      <c r="AC186" s="47"/>
      <c r="AD186" s="47"/>
      <c r="AE186" s="47"/>
      <c r="AF186" s="47"/>
      <c r="AG186" s="47"/>
      <c r="AH186" s="47"/>
      <c r="AI186" s="46"/>
      <c r="AJ186" s="46"/>
      <c r="AK186" s="46"/>
      <c r="AL186" s="7"/>
      <c r="AM186" s="49" t="str">
        <f aca="false">IF(OR(C186="",G186=""),"",IFERROR(DATEDIF(C186,G186,"m"),""))</f>
        <v/>
      </c>
      <c r="AN186" s="49" t="str">
        <f aca="false">IF(OR(Q186="",AM186=""),"",60+2*Q186-AM186)</f>
        <v/>
      </c>
      <c r="AO186" s="49" t="str">
        <f aca="false">IF(OR(G186="",AJ186=""),"",AJ186-G186)</f>
        <v/>
      </c>
      <c r="AP186" s="50" t="str">
        <f aca="false">IF(AND(A186="",B186=""),"",IF(J186="","Status needed",IF(OR(J186="Applied",J186="Visit booked",J186="Withdrawn"),"OK",IF(G186="","Date assessed needed",IF(C186="","Date of birth needed",IF(COUNTA(L186,M186,P186,U186,V186,X186,AB186)&lt;7,"Band missing",IF(AND(OR(J186="Decision confirmed",J186="Family told",J186="Enrolled"),AG186=""),"Recommendation needed",IF(AND(OR(J186="Family told",J186="Enrolled"),AJ186=""),"Date family told needed","OK"))))))))</f>
        <v/>
      </c>
    </row>
    <row r="187" customFormat="false" ht="15" hidden="false" customHeight="false" outlineLevel="0" collapsed="false">
      <c r="A187" s="7"/>
      <c r="B187" s="7"/>
      <c r="C187" s="46"/>
      <c r="D187" s="7"/>
      <c r="E187" s="47"/>
      <c r="F187" s="46"/>
      <c r="G187" s="46"/>
      <c r="H187" s="7"/>
      <c r="I187" s="7"/>
      <c r="J187" s="47"/>
      <c r="K187" s="47"/>
      <c r="L187" s="47"/>
      <c r="M187" s="47"/>
      <c r="N187" s="10"/>
      <c r="O187" s="47"/>
      <c r="P187" s="47"/>
      <c r="Q187" s="47"/>
      <c r="R187" s="48" t="str">
        <f aca="false">IF(Q187="","",IF(Q187=0,"below 5:00",IF(Q187&gt;=66,"16:00 or above",INT((60+2*Q187)/12)&amp;":"&amp;TEXT(MOD(60+2*Q187,12),"00"))))</f>
        <v/>
      </c>
      <c r="S187" s="47"/>
      <c r="T187" s="47"/>
      <c r="U187" s="47"/>
      <c r="V187" s="47"/>
      <c r="W187" s="47"/>
      <c r="X187" s="47"/>
      <c r="Y187" s="47"/>
      <c r="Z187" s="47"/>
      <c r="AA187" s="47"/>
      <c r="AB187" s="47"/>
      <c r="AC187" s="47"/>
      <c r="AD187" s="47"/>
      <c r="AE187" s="47"/>
      <c r="AF187" s="47"/>
      <c r="AG187" s="47"/>
      <c r="AH187" s="47"/>
      <c r="AI187" s="46"/>
      <c r="AJ187" s="46"/>
      <c r="AK187" s="46"/>
      <c r="AL187" s="7"/>
      <c r="AM187" s="49" t="str">
        <f aca="false">IF(OR(C187="",G187=""),"",IFERROR(DATEDIF(C187,G187,"m"),""))</f>
        <v/>
      </c>
      <c r="AN187" s="49" t="str">
        <f aca="false">IF(OR(Q187="",AM187=""),"",60+2*Q187-AM187)</f>
        <v/>
      </c>
      <c r="AO187" s="49" t="str">
        <f aca="false">IF(OR(G187="",AJ187=""),"",AJ187-G187)</f>
        <v/>
      </c>
      <c r="AP187" s="50" t="str">
        <f aca="false">IF(AND(A187="",B187=""),"",IF(J187="","Status needed",IF(OR(J187="Applied",J187="Visit booked",J187="Withdrawn"),"OK",IF(G187="","Date assessed needed",IF(C187="","Date of birth needed",IF(COUNTA(L187,M187,P187,U187,V187,X187,AB187)&lt;7,"Band missing",IF(AND(OR(J187="Decision confirmed",J187="Family told",J187="Enrolled"),AG187=""),"Recommendation needed",IF(AND(OR(J187="Family told",J187="Enrolled"),AJ187=""),"Date family told needed","OK"))))))))</f>
        <v/>
      </c>
    </row>
    <row r="188" customFormat="false" ht="15" hidden="false" customHeight="false" outlineLevel="0" collapsed="false">
      <c r="A188" s="7"/>
      <c r="B188" s="7"/>
      <c r="C188" s="46"/>
      <c r="D188" s="7"/>
      <c r="E188" s="47"/>
      <c r="F188" s="46"/>
      <c r="G188" s="46"/>
      <c r="H188" s="7"/>
      <c r="I188" s="7"/>
      <c r="J188" s="47"/>
      <c r="K188" s="47"/>
      <c r="L188" s="47"/>
      <c r="M188" s="47"/>
      <c r="N188" s="10"/>
      <c r="O188" s="47"/>
      <c r="P188" s="47"/>
      <c r="Q188" s="47"/>
      <c r="R188" s="48" t="str">
        <f aca="false">IF(Q188="","",IF(Q188=0,"below 5:00",IF(Q188&gt;=66,"16:00 or above",INT((60+2*Q188)/12)&amp;":"&amp;TEXT(MOD(60+2*Q188,12),"00"))))</f>
        <v/>
      </c>
      <c r="S188" s="47"/>
      <c r="T188" s="47"/>
      <c r="U188" s="47"/>
      <c r="V188" s="47"/>
      <c r="W188" s="47"/>
      <c r="X188" s="47"/>
      <c r="Y188" s="47"/>
      <c r="Z188" s="47"/>
      <c r="AA188" s="47"/>
      <c r="AB188" s="47"/>
      <c r="AC188" s="47"/>
      <c r="AD188" s="47"/>
      <c r="AE188" s="47"/>
      <c r="AF188" s="47"/>
      <c r="AG188" s="47"/>
      <c r="AH188" s="47"/>
      <c r="AI188" s="46"/>
      <c r="AJ188" s="46"/>
      <c r="AK188" s="46"/>
      <c r="AL188" s="7"/>
      <c r="AM188" s="49" t="str">
        <f aca="false">IF(OR(C188="",G188=""),"",IFERROR(DATEDIF(C188,G188,"m"),""))</f>
        <v/>
      </c>
      <c r="AN188" s="49" t="str">
        <f aca="false">IF(OR(Q188="",AM188=""),"",60+2*Q188-AM188)</f>
        <v/>
      </c>
      <c r="AO188" s="49" t="str">
        <f aca="false">IF(OR(G188="",AJ188=""),"",AJ188-G188)</f>
        <v/>
      </c>
      <c r="AP188" s="50" t="str">
        <f aca="false">IF(AND(A188="",B188=""),"",IF(J188="","Status needed",IF(OR(J188="Applied",J188="Visit booked",J188="Withdrawn"),"OK",IF(G188="","Date assessed needed",IF(C188="","Date of birth needed",IF(COUNTA(L188,M188,P188,U188,V188,X188,AB188)&lt;7,"Band missing",IF(AND(OR(J188="Decision confirmed",J188="Family told",J188="Enrolled"),AG188=""),"Recommendation needed",IF(AND(OR(J188="Family told",J188="Enrolled"),AJ188=""),"Date family told needed","OK"))))))))</f>
        <v/>
      </c>
    </row>
    <row r="189" customFormat="false" ht="15" hidden="false" customHeight="false" outlineLevel="0" collapsed="false">
      <c r="A189" s="7"/>
      <c r="B189" s="7"/>
      <c r="C189" s="46"/>
      <c r="D189" s="7"/>
      <c r="E189" s="47"/>
      <c r="F189" s="46"/>
      <c r="G189" s="46"/>
      <c r="H189" s="7"/>
      <c r="I189" s="7"/>
      <c r="J189" s="47"/>
      <c r="K189" s="47"/>
      <c r="L189" s="47"/>
      <c r="M189" s="47"/>
      <c r="N189" s="10"/>
      <c r="O189" s="47"/>
      <c r="P189" s="47"/>
      <c r="Q189" s="47"/>
      <c r="R189" s="48" t="str">
        <f aca="false">IF(Q189="","",IF(Q189=0,"below 5:00",IF(Q189&gt;=66,"16:00 or above",INT((60+2*Q189)/12)&amp;":"&amp;TEXT(MOD(60+2*Q189,12),"00"))))</f>
        <v/>
      </c>
      <c r="S189" s="47"/>
      <c r="T189" s="47"/>
      <c r="U189" s="47"/>
      <c r="V189" s="47"/>
      <c r="W189" s="47"/>
      <c r="X189" s="47"/>
      <c r="Y189" s="47"/>
      <c r="Z189" s="47"/>
      <c r="AA189" s="47"/>
      <c r="AB189" s="47"/>
      <c r="AC189" s="47"/>
      <c r="AD189" s="47"/>
      <c r="AE189" s="47"/>
      <c r="AF189" s="47"/>
      <c r="AG189" s="47"/>
      <c r="AH189" s="47"/>
      <c r="AI189" s="46"/>
      <c r="AJ189" s="46"/>
      <c r="AK189" s="46"/>
      <c r="AL189" s="7"/>
      <c r="AM189" s="49" t="str">
        <f aca="false">IF(OR(C189="",G189=""),"",IFERROR(DATEDIF(C189,G189,"m"),""))</f>
        <v/>
      </c>
      <c r="AN189" s="49" t="str">
        <f aca="false">IF(OR(Q189="",AM189=""),"",60+2*Q189-AM189)</f>
        <v/>
      </c>
      <c r="AO189" s="49" t="str">
        <f aca="false">IF(OR(G189="",AJ189=""),"",AJ189-G189)</f>
        <v/>
      </c>
      <c r="AP189" s="50" t="str">
        <f aca="false">IF(AND(A189="",B189=""),"",IF(J189="","Status needed",IF(OR(J189="Applied",J189="Visit booked",J189="Withdrawn"),"OK",IF(G189="","Date assessed needed",IF(C189="","Date of birth needed",IF(COUNTA(L189,M189,P189,U189,V189,X189,AB189)&lt;7,"Band missing",IF(AND(OR(J189="Decision confirmed",J189="Family told",J189="Enrolled"),AG189=""),"Recommendation needed",IF(AND(OR(J189="Family told",J189="Enrolled"),AJ189=""),"Date family told needed","OK"))))))))</f>
        <v/>
      </c>
    </row>
    <row r="190" customFormat="false" ht="15" hidden="false" customHeight="false" outlineLevel="0" collapsed="false">
      <c r="A190" s="7"/>
      <c r="B190" s="7"/>
      <c r="C190" s="46"/>
      <c r="D190" s="7"/>
      <c r="E190" s="47"/>
      <c r="F190" s="46"/>
      <c r="G190" s="46"/>
      <c r="H190" s="7"/>
      <c r="I190" s="7"/>
      <c r="J190" s="47"/>
      <c r="K190" s="47"/>
      <c r="L190" s="47"/>
      <c r="M190" s="47"/>
      <c r="N190" s="10"/>
      <c r="O190" s="47"/>
      <c r="P190" s="47"/>
      <c r="Q190" s="47"/>
      <c r="R190" s="48" t="str">
        <f aca="false">IF(Q190="","",IF(Q190=0,"below 5:00",IF(Q190&gt;=66,"16:00 or above",INT((60+2*Q190)/12)&amp;":"&amp;TEXT(MOD(60+2*Q190,12),"00"))))</f>
        <v/>
      </c>
      <c r="S190" s="47"/>
      <c r="T190" s="47"/>
      <c r="U190" s="47"/>
      <c r="V190" s="47"/>
      <c r="W190" s="47"/>
      <c r="X190" s="47"/>
      <c r="Y190" s="47"/>
      <c r="Z190" s="47"/>
      <c r="AA190" s="47"/>
      <c r="AB190" s="47"/>
      <c r="AC190" s="47"/>
      <c r="AD190" s="47"/>
      <c r="AE190" s="47"/>
      <c r="AF190" s="47"/>
      <c r="AG190" s="47"/>
      <c r="AH190" s="47"/>
      <c r="AI190" s="46"/>
      <c r="AJ190" s="46"/>
      <c r="AK190" s="46"/>
      <c r="AL190" s="7"/>
      <c r="AM190" s="49" t="str">
        <f aca="false">IF(OR(C190="",G190=""),"",IFERROR(DATEDIF(C190,G190,"m"),""))</f>
        <v/>
      </c>
      <c r="AN190" s="49" t="str">
        <f aca="false">IF(OR(Q190="",AM190=""),"",60+2*Q190-AM190)</f>
        <v/>
      </c>
      <c r="AO190" s="49" t="str">
        <f aca="false">IF(OR(G190="",AJ190=""),"",AJ190-G190)</f>
        <v/>
      </c>
      <c r="AP190" s="50" t="str">
        <f aca="false">IF(AND(A190="",B190=""),"",IF(J190="","Status needed",IF(OR(J190="Applied",J190="Visit booked",J190="Withdrawn"),"OK",IF(G190="","Date assessed needed",IF(C190="","Date of birth needed",IF(COUNTA(L190,M190,P190,U190,V190,X190,AB190)&lt;7,"Band missing",IF(AND(OR(J190="Decision confirmed",J190="Family told",J190="Enrolled"),AG190=""),"Recommendation needed",IF(AND(OR(J190="Family told",J190="Enrolled"),AJ190=""),"Date family told needed","OK"))))))))</f>
        <v/>
      </c>
    </row>
    <row r="191" customFormat="false" ht="15" hidden="false" customHeight="false" outlineLevel="0" collapsed="false">
      <c r="A191" s="7"/>
      <c r="B191" s="7"/>
      <c r="C191" s="46"/>
      <c r="D191" s="7"/>
      <c r="E191" s="47"/>
      <c r="F191" s="46"/>
      <c r="G191" s="46"/>
      <c r="H191" s="7"/>
      <c r="I191" s="7"/>
      <c r="J191" s="47"/>
      <c r="K191" s="47"/>
      <c r="L191" s="47"/>
      <c r="M191" s="47"/>
      <c r="N191" s="10"/>
      <c r="O191" s="47"/>
      <c r="P191" s="47"/>
      <c r="Q191" s="47"/>
      <c r="R191" s="48" t="str">
        <f aca="false">IF(Q191="","",IF(Q191=0,"below 5:00",IF(Q191&gt;=66,"16:00 or above",INT((60+2*Q191)/12)&amp;":"&amp;TEXT(MOD(60+2*Q191,12),"00"))))</f>
        <v/>
      </c>
      <c r="S191" s="47"/>
      <c r="T191" s="47"/>
      <c r="U191" s="47"/>
      <c r="V191" s="47"/>
      <c r="W191" s="47"/>
      <c r="X191" s="47"/>
      <c r="Y191" s="47"/>
      <c r="Z191" s="47"/>
      <c r="AA191" s="47"/>
      <c r="AB191" s="47"/>
      <c r="AC191" s="47"/>
      <c r="AD191" s="47"/>
      <c r="AE191" s="47"/>
      <c r="AF191" s="47"/>
      <c r="AG191" s="47"/>
      <c r="AH191" s="47"/>
      <c r="AI191" s="46"/>
      <c r="AJ191" s="46"/>
      <c r="AK191" s="46"/>
      <c r="AL191" s="7"/>
      <c r="AM191" s="49" t="str">
        <f aca="false">IF(OR(C191="",G191=""),"",IFERROR(DATEDIF(C191,G191,"m"),""))</f>
        <v/>
      </c>
      <c r="AN191" s="49" t="str">
        <f aca="false">IF(OR(Q191="",AM191=""),"",60+2*Q191-AM191)</f>
        <v/>
      </c>
      <c r="AO191" s="49" t="str">
        <f aca="false">IF(OR(G191="",AJ191=""),"",AJ191-G191)</f>
        <v/>
      </c>
      <c r="AP191" s="50" t="str">
        <f aca="false">IF(AND(A191="",B191=""),"",IF(J191="","Status needed",IF(OR(J191="Applied",J191="Visit booked",J191="Withdrawn"),"OK",IF(G191="","Date assessed needed",IF(C191="","Date of birth needed",IF(COUNTA(L191,M191,P191,U191,V191,X191,AB191)&lt;7,"Band missing",IF(AND(OR(J191="Decision confirmed",J191="Family told",J191="Enrolled"),AG191=""),"Recommendation needed",IF(AND(OR(J191="Family told",J191="Enrolled"),AJ191=""),"Date family told needed","OK"))))))))</f>
        <v/>
      </c>
    </row>
    <row r="192" customFormat="false" ht="15" hidden="false" customHeight="false" outlineLevel="0" collapsed="false">
      <c r="A192" s="7"/>
      <c r="B192" s="7"/>
      <c r="C192" s="46"/>
      <c r="D192" s="7"/>
      <c r="E192" s="47"/>
      <c r="F192" s="46"/>
      <c r="G192" s="46"/>
      <c r="H192" s="7"/>
      <c r="I192" s="7"/>
      <c r="J192" s="47"/>
      <c r="K192" s="47"/>
      <c r="L192" s="47"/>
      <c r="M192" s="47"/>
      <c r="N192" s="10"/>
      <c r="O192" s="47"/>
      <c r="P192" s="47"/>
      <c r="Q192" s="47"/>
      <c r="R192" s="48" t="str">
        <f aca="false">IF(Q192="","",IF(Q192=0,"below 5:00",IF(Q192&gt;=66,"16:00 or above",INT((60+2*Q192)/12)&amp;":"&amp;TEXT(MOD(60+2*Q192,12),"00"))))</f>
        <v/>
      </c>
      <c r="S192" s="47"/>
      <c r="T192" s="47"/>
      <c r="U192" s="47"/>
      <c r="V192" s="47"/>
      <c r="W192" s="47"/>
      <c r="X192" s="47"/>
      <c r="Y192" s="47"/>
      <c r="Z192" s="47"/>
      <c r="AA192" s="47"/>
      <c r="AB192" s="47"/>
      <c r="AC192" s="47"/>
      <c r="AD192" s="47"/>
      <c r="AE192" s="47"/>
      <c r="AF192" s="47"/>
      <c r="AG192" s="47"/>
      <c r="AH192" s="47"/>
      <c r="AI192" s="46"/>
      <c r="AJ192" s="46"/>
      <c r="AK192" s="46"/>
      <c r="AL192" s="7"/>
      <c r="AM192" s="49" t="str">
        <f aca="false">IF(OR(C192="",G192=""),"",IFERROR(DATEDIF(C192,G192,"m"),""))</f>
        <v/>
      </c>
      <c r="AN192" s="49" t="str">
        <f aca="false">IF(OR(Q192="",AM192=""),"",60+2*Q192-AM192)</f>
        <v/>
      </c>
      <c r="AO192" s="49" t="str">
        <f aca="false">IF(OR(G192="",AJ192=""),"",AJ192-G192)</f>
        <v/>
      </c>
      <c r="AP192" s="50" t="str">
        <f aca="false">IF(AND(A192="",B192=""),"",IF(J192="","Status needed",IF(OR(J192="Applied",J192="Visit booked",J192="Withdrawn"),"OK",IF(G192="","Date assessed needed",IF(C192="","Date of birth needed",IF(COUNTA(L192,M192,P192,U192,V192,X192,AB192)&lt;7,"Band missing",IF(AND(OR(J192="Decision confirmed",J192="Family told",J192="Enrolled"),AG192=""),"Recommendation needed",IF(AND(OR(J192="Family told",J192="Enrolled"),AJ192=""),"Date family told needed","OK"))))))))</f>
        <v/>
      </c>
    </row>
    <row r="193" customFormat="false" ht="15" hidden="false" customHeight="false" outlineLevel="0" collapsed="false">
      <c r="A193" s="7"/>
      <c r="B193" s="7"/>
      <c r="C193" s="46"/>
      <c r="D193" s="7"/>
      <c r="E193" s="47"/>
      <c r="F193" s="46"/>
      <c r="G193" s="46"/>
      <c r="H193" s="7"/>
      <c r="I193" s="7"/>
      <c r="J193" s="47"/>
      <c r="K193" s="47"/>
      <c r="L193" s="47"/>
      <c r="M193" s="47"/>
      <c r="N193" s="10"/>
      <c r="O193" s="47"/>
      <c r="P193" s="47"/>
      <c r="Q193" s="47"/>
      <c r="R193" s="48" t="str">
        <f aca="false">IF(Q193="","",IF(Q193=0,"below 5:00",IF(Q193&gt;=66,"16:00 or above",INT((60+2*Q193)/12)&amp;":"&amp;TEXT(MOD(60+2*Q193,12),"00"))))</f>
        <v/>
      </c>
      <c r="S193" s="47"/>
      <c r="T193" s="47"/>
      <c r="U193" s="47"/>
      <c r="V193" s="47"/>
      <c r="W193" s="47"/>
      <c r="X193" s="47"/>
      <c r="Y193" s="47"/>
      <c r="Z193" s="47"/>
      <c r="AA193" s="47"/>
      <c r="AB193" s="47"/>
      <c r="AC193" s="47"/>
      <c r="AD193" s="47"/>
      <c r="AE193" s="47"/>
      <c r="AF193" s="47"/>
      <c r="AG193" s="47"/>
      <c r="AH193" s="47"/>
      <c r="AI193" s="46"/>
      <c r="AJ193" s="46"/>
      <c r="AK193" s="46"/>
      <c r="AL193" s="7"/>
      <c r="AM193" s="49" t="str">
        <f aca="false">IF(OR(C193="",G193=""),"",IFERROR(DATEDIF(C193,G193,"m"),""))</f>
        <v/>
      </c>
      <c r="AN193" s="49" t="str">
        <f aca="false">IF(OR(Q193="",AM193=""),"",60+2*Q193-AM193)</f>
        <v/>
      </c>
      <c r="AO193" s="49" t="str">
        <f aca="false">IF(OR(G193="",AJ193=""),"",AJ193-G193)</f>
        <v/>
      </c>
      <c r="AP193" s="50" t="str">
        <f aca="false">IF(AND(A193="",B193=""),"",IF(J193="","Status needed",IF(OR(J193="Applied",J193="Visit booked",J193="Withdrawn"),"OK",IF(G193="","Date assessed needed",IF(C193="","Date of birth needed",IF(COUNTA(L193,M193,P193,U193,V193,X193,AB193)&lt;7,"Band missing",IF(AND(OR(J193="Decision confirmed",J193="Family told",J193="Enrolled"),AG193=""),"Recommendation needed",IF(AND(OR(J193="Family told",J193="Enrolled"),AJ193=""),"Date family told needed","OK"))))))))</f>
        <v/>
      </c>
    </row>
    <row r="194" customFormat="false" ht="15" hidden="false" customHeight="false" outlineLevel="0" collapsed="false">
      <c r="A194" s="7"/>
      <c r="B194" s="7"/>
      <c r="C194" s="46"/>
      <c r="D194" s="7"/>
      <c r="E194" s="47"/>
      <c r="F194" s="46"/>
      <c r="G194" s="46"/>
      <c r="H194" s="7"/>
      <c r="I194" s="7"/>
      <c r="J194" s="47"/>
      <c r="K194" s="47"/>
      <c r="L194" s="47"/>
      <c r="M194" s="47"/>
      <c r="N194" s="10"/>
      <c r="O194" s="47"/>
      <c r="P194" s="47"/>
      <c r="Q194" s="47"/>
      <c r="R194" s="48" t="str">
        <f aca="false">IF(Q194="","",IF(Q194=0,"below 5:00",IF(Q194&gt;=66,"16:00 or above",INT((60+2*Q194)/12)&amp;":"&amp;TEXT(MOD(60+2*Q194,12),"00"))))</f>
        <v/>
      </c>
      <c r="S194" s="47"/>
      <c r="T194" s="47"/>
      <c r="U194" s="47"/>
      <c r="V194" s="47"/>
      <c r="W194" s="47"/>
      <c r="X194" s="47"/>
      <c r="Y194" s="47"/>
      <c r="Z194" s="47"/>
      <c r="AA194" s="47"/>
      <c r="AB194" s="47"/>
      <c r="AC194" s="47"/>
      <c r="AD194" s="47"/>
      <c r="AE194" s="47"/>
      <c r="AF194" s="47"/>
      <c r="AG194" s="47"/>
      <c r="AH194" s="47"/>
      <c r="AI194" s="46"/>
      <c r="AJ194" s="46"/>
      <c r="AK194" s="46"/>
      <c r="AL194" s="7"/>
      <c r="AM194" s="49" t="str">
        <f aca="false">IF(OR(C194="",G194=""),"",IFERROR(DATEDIF(C194,G194,"m"),""))</f>
        <v/>
      </c>
      <c r="AN194" s="49" t="str">
        <f aca="false">IF(OR(Q194="",AM194=""),"",60+2*Q194-AM194)</f>
        <v/>
      </c>
      <c r="AO194" s="49" t="str">
        <f aca="false">IF(OR(G194="",AJ194=""),"",AJ194-G194)</f>
        <v/>
      </c>
      <c r="AP194" s="50" t="str">
        <f aca="false">IF(AND(A194="",B194=""),"",IF(J194="","Status needed",IF(OR(J194="Applied",J194="Visit booked",J194="Withdrawn"),"OK",IF(G194="","Date assessed needed",IF(C194="","Date of birth needed",IF(COUNTA(L194,M194,P194,U194,V194,X194,AB194)&lt;7,"Band missing",IF(AND(OR(J194="Decision confirmed",J194="Family told",J194="Enrolled"),AG194=""),"Recommendation needed",IF(AND(OR(J194="Family told",J194="Enrolled"),AJ194=""),"Date family told needed","OK"))))))))</f>
        <v/>
      </c>
    </row>
    <row r="195" customFormat="false" ht="15" hidden="false" customHeight="false" outlineLevel="0" collapsed="false">
      <c r="A195" s="7"/>
      <c r="B195" s="7"/>
      <c r="C195" s="46"/>
      <c r="D195" s="7"/>
      <c r="E195" s="47"/>
      <c r="F195" s="46"/>
      <c r="G195" s="46"/>
      <c r="H195" s="7"/>
      <c r="I195" s="7"/>
      <c r="J195" s="47"/>
      <c r="K195" s="47"/>
      <c r="L195" s="47"/>
      <c r="M195" s="47"/>
      <c r="N195" s="10"/>
      <c r="O195" s="47"/>
      <c r="P195" s="47"/>
      <c r="Q195" s="47"/>
      <c r="R195" s="48" t="str">
        <f aca="false">IF(Q195="","",IF(Q195=0,"below 5:00",IF(Q195&gt;=66,"16:00 or above",INT((60+2*Q195)/12)&amp;":"&amp;TEXT(MOD(60+2*Q195,12),"00"))))</f>
        <v/>
      </c>
      <c r="S195" s="47"/>
      <c r="T195" s="47"/>
      <c r="U195" s="47"/>
      <c r="V195" s="47"/>
      <c r="W195" s="47"/>
      <c r="X195" s="47"/>
      <c r="Y195" s="47"/>
      <c r="Z195" s="47"/>
      <c r="AA195" s="47"/>
      <c r="AB195" s="47"/>
      <c r="AC195" s="47"/>
      <c r="AD195" s="47"/>
      <c r="AE195" s="47"/>
      <c r="AF195" s="47"/>
      <c r="AG195" s="47"/>
      <c r="AH195" s="47"/>
      <c r="AI195" s="46"/>
      <c r="AJ195" s="46"/>
      <c r="AK195" s="46"/>
      <c r="AL195" s="7"/>
      <c r="AM195" s="49" t="str">
        <f aca="false">IF(OR(C195="",G195=""),"",IFERROR(DATEDIF(C195,G195,"m"),""))</f>
        <v/>
      </c>
      <c r="AN195" s="49" t="str">
        <f aca="false">IF(OR(Q195="",AM195=""),"",60+2*Q195-AM195)</f>
        <v/>
      </c>
      <c r="AO195" s="49" t="str">
        <f aca="false">IF(OR(G195="",AJ195=""),"",AJ195-G195)</f>
        <v/>
      </c>
      <c r="AP195" s="50" t="str">
        <f aca="false">IF(AND(A195="",B195=""),"",IF(J195="","Status needed",IF(OR(J195="Applied",J195="Visit booked",J195="Withdrawn"),"OK",IF(G195="","Date assessed needed",IF(C195="","Date of birth needed",IF(COUNTA(L195,M195,P195,U195,V195,X195,AB195)&lt;7,"Band missing",IF(AND(OR(J195="Decision confirmed",J195="Family told",J195="Enrolled"),AG195=""),"Recommendation needed",IF(AND(OR(J195="Family told",J195="Enrolled"),AJ195=""),"Date family told needed","OK"))))))))</f>
        <v/>
      </c>
    </row>
    <row r="196" customFormat="false" ht="15" hidden="false" customHeight="false" outlineLevel="0" collapsed="false">
      <c r="A196" s="7"/>
      <c r="B196" s="7"/>
      <c r="C196" s="46"/>
      <c r="D196" s="7"/>
      <c r="E196" s="47"/>
      <c r="F196" s="46"/>
      <c r="G196" s="46"/>
      <c r="H196" s="7"/>
      <c r="I196" s="7"/>
      <c r="J196" s="47"/>
      <c r="K196" s="47"/>
      <c r="L196" s="47"/>
      <c r="M196" s="47"/>
      <c r="N196" s="10"/>
      <c r="O196" s="47"/>
      <c r="P196" s="47"/>
      <c r="Q196" s="47"/>
      <c r="R196" s="48" t="str">
        <f aca="false">IF(Q196="","",IF(Q196=0,"below 5:00",IF(Q196&gt;=66,"16:00 or above",INT((60+2*Q196)/12)&amp;":"&amp;TEXT(MOD(60+2*Q196,12),"00"))))</f>
        <v/>
      </c>
      <c r="S196" s="47"/>
      <c r="T196" s="47"/>
      <c r="U196" s="47"/>
      <c r="V196" s="47"/>
      <c r="W196" s="47"/>
      <c r="X196" s="47"/>
      <c r="Y196" s="47"/>
      <c r="Z196" s="47"/>
      <c r="AA196" s="47"/>
      <c r="AB196" s="47"/>
      <c r="AC196" s="47"/>
      <c r="AD196" s="47"/>
      <c r="AE196" s="47"/>
      <c r="AF196" s="47"/>
      <c r="AG196" s="47"/>
      <c r="AH196" s="47"/>
      <c r="AI196" s="46"/>
      <c r="AJ196" s="46"/>
      <c r="AK196" s="46"/>
      <c r="AL196" s="7"/>
      <c r="AM196" s="49" t="str">
        <f aca="false">IF(OR(C196="",G196=""),"",IFERROR(DATEDIF(C196,G196,"m"),""))</f>
        <v/>
      </c>
      <c r="AN196" s="49" t="str">
        <f aca="false">IF(OR(Q196="",AM196=""),"",60+2*Q196-AM196)</f>
        <v/>
      </c>
      <c r="AO196" s="49" t="str">
        <f aca="false">IF(OR(G196="",AJ196=""),"",AJ196-G196)</f>
        <v/>
      </c>
      <c r="AP196" s="50" t="str">
        <f aca="false">IF(AND(A196="",B196=""),"",IF(J196="","Status needed",IF(OR(J196="Applied",J196="Visit booked",J196="Withdrawn"),"OK",IF(G196="","Date assessed needed",IF(C196="","Date of birth needed",IF(COUNTA(L196,M196,P196,U196,V196,X196,AB196)&lt;7,"Band missing",IF(AND(OR(J196="Decision confirmed",J196="Family told",J196="Enrolled"),AG196=""),"Recommendation needed",IF(AND(OR(J196="Family told",J196="Enrolled"),AJ196=""),"Date family told needed","OK"))))))))</f>
        <v/>
      </c>
    </row>
    <row r="197" customFormat="false" ht="15" hidden="false" customHeight="false" outlineLevel="0" collapsed="false">
      <c r="A197" s="7"/>
      <c r="B197" s="7"/>
      <c r="C197" s="46"/>
      <c r="D197" s="7"/>
      <c r="E197" s="47"/>
      <c r="F197" s="46"/>
      <c r="G197" s="46"/>
      <c r="H197" s="7"/>
      <c r="I197" s="7"/>
      <c r="J197" s="47"/>
      <c r="K197" s="47"/>
      <c r="L197" s="47"/>
      <c r="M197" s="47"/>
      <c r="N197" s="10"/>
      <c r="O197" s="47"/>
      <c r="P197" s="47"/>
      <c r="Q197" s="47"/>
      <c r="R197" s="48" t="str">
        <f aca="false">IF(Q197="","",IF(Q197=0,"below 5:00",IF(Q197&gt;=66,"16:00 or above",INT((60+2*Q197)/12)&amp;":"&amp;TEXT(MOD(60+2*Q197,12),"00"))))</f>
        <v/>
      </c>
      <c r="S197" s="47"/>
      <c r="T197" s="47"/>
      <c r="U197" s="47"/>
      <c r="V197" s="47"/>
      <c r="W197" s="47"/>
      <c r="X197" s="47"/>
      <c r="Y197" s="47"/>
      <c r="Z197" s="47"/>
      <c r="AA197" s="47"/>
      <c r="AB197" s="47"/>
      <c r="AC197" s="47"/>
      <c r="AD197" s="47"/>
      <c r="AE197" s="47"/>
      <c r="AF197" s="47"/>
      <c r="AG197" s="47"/>
      <c r="AH197" s="47"/>
      <c r="AI197" s="46"/>
      <c r="AJ197" s="46"/>
      <c r="AK197" s="46"/>
      <c r="AL197" s="7"/>
      <c r="AM197" s="49" t="str">
        <f aca="false">IF(OR(C197="",G197=""),"",IFERROR(DATEDIF(C197,G197,"m"),""))</f>
        <v/>
      </c>
      <c r="AN197" s="49" t="str">
        <f aca="false">IF(OR(Q197="",AM197=""),"",60+2*Q197-AM197)</f>
        <v/>
      </c>
      <c r="AO197" s="49" t="str">
        <f aca="false">IF(OR(G197="",AJ197=""),"",AJ197-G197)</f>
        <v/>
      </c>
      <c r="AP197" s="50" t="str">
        <f aca="false">IF(AND(A197="",B197=""),"",IF(J197="","Status needed",IF(OR(J197="Applied",J197="Visit booked",J197="Withdrawn"),"OK",IF(G197="","Date assessed needed",IF(C197="","Date of birth needed",IF(COUNTA(L197,M197,P197,U197,V197,X197,AB197)&lt;7,"Band missing",IF(AND(OR(J197="Decision confirmed",J197="Family told",J197="Enrolled"),AG197=""),"Recommendation needed",IF(AND(OR(J197="Family told",J197="Enrolled"),AJ197=""),"Date family told needed","OK"))))))))</f>
        <v/>
      </c>
    </row>
    <row r="198" customFormat="false" ht="15" hidden="false" customHeight="false" outlineLevel="0" collapsed="false">
      <c r="A198" s="7"/>
      <c r="B198" s="7"/>
      <c r="C198" s="46"/>
      <c r="D198" s="7"/>
      <c r="E198" s="47"/>
      <c r="F198" s="46"/>
      <c r="G198" s="46"/>
      <c r="H198" s="7"/>
      <c r="I198" s="7"/>
      <c r="J198" s="47"/>
      <c r="K198" s="47"/>
      <c r="L198" s="47"/>
      <c r="M198" s="47"/>
      <c r="N198" s="10"/>
      <c r="O198" s="47"/>
      <c r="P198" s="47"/>
      <c r="Q198" s="47"/>
      <c r="R198" s="48" t="str">
        <f aca="false">IF(Q198="","",IF(Q198=0,"below 5:00",IF(Q198&gt;=66,"16:00 or above",INT((60+2*Q198)/12)&amp;":"&amp;TEXT(MOD(60+2*Q198,12),"00"))))</f>
        <v/>
      </c>
      <c r="S198" s="47"/>
      <c r="T198" s="47"/>
      <c r="U198" s="47"/>
      <c r="V198" s="47"/>
      <c r="W198" s="47"/>
      <c r="X198" s="47"/>
      <c r="Y198" s="47"/>
      <c r="Z198" s="47"/>
      <c r="AA198" s="47"/>
      <c r="AB198" s="47"/>
      <c r="AC198" s="47"/>
      <c r="AD198" s="47"/>
      <c r="AE198" s="47"/>
      <c r="AF198" s="47"/>
      <c r="AG198" s="47"/>
      <c r="AH198" s="47"/>
      <c r="AI198" s="46"/>
      <c r="AJ198" s="46"/>
      <c r="AK198" s="46"/>
      <c r="AL198" s="7"/>
      <c r="AM198" s="49" t="str">
        <f aca="false">IF(OR(C198="",G198=""),"",IFERROR(DATEDIF(C198,G198,"m"),""))</f>
        <v/>
      </c>
      <c r="AN198" s="49" t="str">
        <f aca="false">IF(OR(Q198="",AM198=""),"",60+2*Q198-AM198)</f>
        <v/>
      </c>
      <c r="AO198" s="49" t="str">
        <f aca="false">IF(OR(G198="",AJ198=""),"",AJ198-G198)</f>
        <v/>
      </c>
      <c r="AP198" s="50" t="str">
        <f aca="false">IF(AND(A198="",B198=""),"",IF(J198="","Status needed",IF(OR(J198="Applied",J198="Visit booked",J198="Withdrawn"),"OK",IF(G198="","Date assessed needed",IF(C198="","Date of birth needed",IF(COUNTA(L198,M198,P198,U198,V198,X198,AB198)&lt;7,"Band missing",IF(AND(OR(J198="Decision confirmed",J198="Family told",J198="Enrolled"),AG198=""),"Recommendation needed",IF(AND(OR(J198="Family told",J198="Enrolled"),AJ198=""),"Date family told needed","OK"))))))))</f>
        <v/>
      </c>
    </row>
    <row r="199" customFormat="false" ht="15" hidden="false" customHeight="false" outlineLevel="0" collapsed="false">
      <c r="A199" s="7"/>
      <c r="B199" s="7"/>
      <c r="C199" s="46"/>
      <c r="D199" s="7"/>
      <c r="E199" s="47"/>
      <c r="F199" s="46"/>
      <c r="G199" s="46"/>
      <c r="H199" s="7"/>
      <c r="I199" s="7"/>
      <c r="J199" s="47"/>
      <c r="K199" s="47"/>
      <c r="L199" s="47"/>
      <c r="M199" s="47"/>
      <c r="N199" s="10"/>
      <c r="O199" s="47"/>
      <c r="P199" s="47"/>
      <c r="Q199" s="47"/>
      <c r="R199" s="48" t="str">
        <f aca="false">IF(Q199="","",IF(Q199=0,"below 5:00",IF(Q199&gt;=66,"16:00 or above",INT((60+2*Q199)/12)&amp;":"&amp;TEXT(MOD(60+2*Q199,12),"00"))))</f>
        <v/>
      </c>
      <c r="S199" s="47"/>
      <c r="T199" s="47"/>
      <c r="U199" s="47"/>
      <c r="V199" s="47"/>
      <c r="W199" s="47"/>
      <c r="X199" s="47"/>
      <c r="Y199" s="47"/>
      <c r="Z199" s="47"/>
      <c r="AA199" s="47"/>
      <c r="AB199" s="47"/>
      <c r="AC199" s="47"/>
      <c r="AD199" s="47"/>
      <c r="AE199" s="47"/>
      <c r="AF199" s="47"/>
      <c r="AG199" s="47"/>
      <c r="AH199" s="47"/>
      <c r="AI199" s="46"/>
      <c r="AJ199" s="46"/>
      <c r="AK199" s="46"/>
      <c r="AL199" s="7"/>
      <c r="AM199" s="49" t="str">
        <f aca="false">IF(OR(C199="",G199=""),"",IFERROR(DATEDIF(C199,G199,"m"),""))</f>
        <v/>
      </c>
      <c r="AN199" s="49" t="str">
        <f aca="false">IF(OR(Q199="",AM199=""),"",60+2*Q199-AM199)</f>
        <v/>
      </c>
      <c r="AO199" s="49" t="str">
        <f aca="false">IF(OR(G199="",AJ199=""),"",AJ199-G199)</f>
        <v/>
      </c>
      <c r="AP199" s="50" t="str">
        <f aca="false">IF(AND(A199="",B199=""),"",IF(J199="","Status needed",IF(OR(J199="Applied",J199="Visit booked",J199="Withdrawn"),"OK",IF(G199="","Date assessed needed",IF(C199="","Date of birth needed",IF(COUNTA(L199,M199,P199,U199,V199,X199,AB199)&lt;7,"Band missing",IF(AND(OR(J199="Decision confirmed",J199="Family told",J199="Enrolled"),AG199=""),"Recommendation needed",IF(AND(OR(J199="Family told",J199="Enrolled"),AJ199=""),"Date family told needed","OK"))))))))</f>
        <v/>
      </c>
    </row>
    <row r="200" customFormat="false" ht="15" hidden="false" customHeight="false" outlineLevel="0" collapsed="false">
      <c r="A200" s="7"/>
      <c r="B200" s="7"/>
      <c r="C200" s="46"/>
      <c r="D200" s="7"/>
      <c r="E200" s="47"/>
      <c r="F200" s="46"/>
      <c r="G200" s="46"/>
      <c r="H200" s="7"/>
      <c r="I200" s="7"/>
      <c r="J200" s="47"/>
      <c r="K200" s="47"/>
      <c r="L200" s="47"/>
      <c r="M200" s="47"/>
      <c r="N200" s="10"/>
      <c r="O200" s="47"/>
      <c r="P200" s="47"/>
      <c r="Q200" s="47"/>
      <c r="R200" s="48" t="str">
        <f aca="false">IF(Q200="","",IF(Q200=0,"below 5:00",IF(Q200&gt;=66,"16:00 or above",INT((60+2*Q200)/12)&amp;":"&amp;TEXT(MOD(60+2*Q200,12),"00"))))</f>
        <v/>
      </c>
      <c r="S200" s="47"/>
      <c r="T200" s="47"/>
      <c r="U200" s="47"/>
      <c r="V200" s="47"/>
      <c r="W200" s="47"/>
      <c r="X200" s="47"/>
      <c r="Y200" s="47"/>
      <c r="Z200" s="47"/>
      <c r="AA200" s="47"/>
      <c r="AB200" s="47"/>
      <c r="AC200" s="47"/>
      <c r="AD200" s="47"/>
      <c r="AE200" s="47"/>
      <c r="AF200" s="47"/>
      <c r="AG200" s="47"/>
      <c r="AH200" s="47"/>
      <c r="AI200" s="46"/>
      <c r="AJ200" s="46"/>
      <c r="AK200" s="46"/>
      <c r="AL200" s="7"/>
      <c r="AM200" s="49" t="str">
        <f aca="false">IF(OR(C200="",G200=""),"",IFERROR(DATEDIF(C200,G200,"m"),""))</f>
        <v/>
      </c>
      <c r="AN200" s="49" t="str">
        <f aca="false">IF(OR(Q200="",AM200=""),"",60+2*Q200-AM200)</f>
        <v/>
      </c>
      <c r="AO200" s="49" t="str">
        <f aca="false">IF(OR(G200="",AJ200=""),"",AJ200-G200)</f>
        <v/>
      </c>
      <c r="AP200" s="50" t="str">
        <f aca="false">IF(AND(A200="",B200=""),"",IF(J200="","Status needed",IF(OR(J200="Applied",J200="Visit booked",J200="Withdrawn"),"OK",IF(G200="","Date assessed needed",IF(C200="","Date of birth needed",IF(COUNTA(L200,M200,P200,U200,V200,X200,AB200)&lt;7,"Band missing",IF(AND(OR(J200="Decision confirmed",J200="Family told",J200="Enrolled"),AG200=""),"Recommendation needed",IF(AND(OR(J200="Family told",J200="Enrolled"),AJ200=""),"Date family told needed","OK"))))))))</f>
        <v/>
      </c>
    </row>
    <row r="201" customFormat="false" ht="15" hidden="false" customHeight="false" outlineLevel="0" collapsed="false">
      <c r="A201" s="7"/>
      <c r="B201" s="7"/>
      <c r="C201" s="46"/>
      <c r="D201" s="7"/>
      <c r="E201" s="47"/>
      <c r="F201" s="46"/>
      <c r="G201" s="46"/>
      <c r="H201" s="7"/>
      <c r="I201" s="7"/>
      <c r="J201" s="47"/>
      <c r="K201" s="47"/>
      <c r="L201" s="47"/>
      <c r="M201" s="47"/>
      <c r="N201" s="10"/>
      <c r="O201" s="47"/>
      <c r="P201" s="47"/>
      <c r="Q201" s="47"/>
      <c r="R201" s="48" t="str">
        <f aca="false">IF(Q201="","",IF(Q201=0,"below 5:00",IF(Q201&gt;=66,"16:00 or above",INT((60+2*Q201)/12)&amp;":"&amp;TEXT(MOD(60+2*Q201,12),"00"))))</f>
        <v/>
      </c>
      <c r="S201" s="47"/>
      <c r="T201" s="47"/>
      <c r="U201" s="47"/>
      <c r="V201" s="47"/>
      <c r="W201" s="47"/>
      <c r="X201" s="47"/>
      <c r="Y201" s="47"/>
      <c r="Z201" s="47"/>
      <c r="AA201" s="47"/>
      <c r="AB201" s="47"/>
      <c r="AC201" s="47"/>
      <c r="AD201" s="47"/>
      <c r="AE201" s="47"/>
      <c r="AF201" s="47"/>
      <c r="AG201" s="47"/>
      <c r="AH201" s="47"/>
      <c r="AI201" s="46"/>
      <c r="AJ201" s="46"/>
      <c r="AK201" s="46"/>
      <c r="AL201" s="7"/>
      <c r="AM201" s="49" t="str">
        <f aca="false">IF(OR(C201="",G201=""),"",IFERROR(DATEDIF(C201,G201,"m"),""))</f>
        <v/>
      </c>
      <c r="AN201" s="49" t="str">
        <f aca="false">IF(OR(Q201="",AM201=""),"",60+2*Q201-AM201)</f>
        <v/>
      </c>
      <c r="AO201" s="49" t="str">
        <f aca="false">IF(OR(G201="",AJ201=""),"",AJ201-G201)</f>
        <v/>
      </c>
      <c r="AP201" s="50" t="str">
        <f aca="false">IF(AND(A201="",B201=""),"",IF(J201="","Status needed",IF(OR(J201="Applied",J201="Visit booked",J201="Withdrawn"),"OK",IF(G201="","Date assessed needed",IF(C201="","Date of birth needed",IF(COUNTA(L201,M201,P201,U201,V201,X201,AB201)&lt;7,"Band missing",IF(AND(OR(J201="Decision confirmed",J201="Family told",J201="Enrolled"),AG201=""),"Recommendation needed",IF(AND(OR(J201="Family told",J201="Enrolled"),AJ201=""),"Date family told needed","OK"))))))))</f>
        <v/>
      </c>
    </row>
    <row r="202" customFormat="false" ht="15" hidden="false" customHeight="false" outlineLevel="0" collapsed="false">
      <c r="A202" s="7"/>
      <c r="B202" s="7"/>
      <c r="C202" s="46"/>
      <c r="D202" s="7"/>
      <c r="E202" s="47"/>
      <c r="F202" s="46"/>
      <c r="G202" s="46"/>
      <c r="H202" s="7"/>
      <c r="I202" s="7"/>
      <c r="J202" s="47"/>
      <c r="K202" s="47"/>
      <c r="L202" s="47"/>
      <c r="M202" s="47"/>
      <c r="N202" s="10"/>
      <c r="O202" s="47"/>
      <c r="P202" s="47"/>
      <c r="Q202" s="47"/>
      <c r="R202" s="48" t="str">
        <f aca="false">IF(Q202="","",IF(Q202=0,"below 5:00",IF(Q202&gt;=66,"16:00 or above",INT((60+2*Q202)/12)&amp;":"&amp;TEXT(MOD(60+2*Q202,12),"00"))))</f>
        <v/>
      </c>
      <c r="S202" s="47"/>
      <c r="T202" s="47"/>
      <c r="U202" s="47"/>
      <c r="V202" s="47"/>
      <c r="W202" s="47"/>
      <c r="X202" s="47"/>
      <c r="Y202" s="47"/>
      <c r="Z202" s="47"/>
      <c r="AA202" s="47"/>
      <c r="AB202" s="47"/>
      <c r="AC202" s="47"/>
      <c r="AD202" s="47"/>
      <c r="AE202" s="47"/>
      <c r="AF202" s="47"/>
      <c r="AG202" s="47"/>
      <c r="AH202" s="47"/>
      <c r="AI202" s="46"/>
      <c r="AJ202" s="46"/>
      <c r="AK202" s="46"/>
      <c r="AL202" s="7"/>
      <c r="AM202" s="49" t="str">
        <f aca="false">IF(OR(C202="",G202=""),"",IFERROR(DATEDIF(C202,G202,"m"),""))</f>
        <v/>
      </c>
      <c r="AN202" s="49" t="str">
        <f aca="false">IF(OR(Q202="",AM202=""),"",60+2*Q202-AM202)</f>
        <v/>
      </c>
      <c r="AO202" s="49" t="str">
        <f aca="false">IF(OR(G202="",AJ202=""),"",AJ202-G202)</f>
        <v/>
      </c>
      <c r="AP202" s="50" t="str">
        <f aca="false">IF(AND(A202="",B202=""),"",IF(J202="","Status needed",IF(OR(J202="Applied",J202="Visit booked",J202="Withdrawn"),"OK",IF(G202="","Date assessed needed",IF(C202="","Date of birth needed",IF(COUNTA(L202,M202,P202,U202,V202,X202,AB202)&lt;7,"Band missing",IF(AND(OR(J202="Decision confirmed",J202="Family told",J202="Enrolled"),AG202=""),"Recommendation needed",IF(AND(OR(J202="Family told",J202="Enrolled"),AJ202=""),"Date family told needed","OK"))))))))</f>
        <v/>
      </c>
    </row>
    <row r="203" customFormat="false" ht="15" hidden="false" customHeight="false" outlineLevel="0" collapsed="false">
      <c r="A203" s="7"/>
      <c r="B203" s="7"/>
      <c r="C203" s="46"/>
      <c r="D203" s="7"/>
      <c r="E203" s="47"/>
      <c r="F203" s="46"/>
      <c r="G203" s="46"/>
      <c r="H203" s="7"/>
      <c r="I203" s="7"/>
      <c r="J203" s="47"/>
      <c r="K203" s="47"/>
      <c r="L203" s="47"/>
      <c r="M203" s="47"/>
      <c r="N203" s="10"/>
      <c r="O203" s="47"/>
      <c r="P203" s="47"/>
      <c r="Q203" s="47"/>
      <c r="R203" s="48" t="str">
        <f aca="false">IF(Q203="","",IF(Q203=0,"below 5:00",IF(Q203&gt;=66,"16:00 or above",INT((60+2*Q203)/12)&amp;":"&amp;TEXT(MOD(60+2*Q203,12),"00"))))</f>
        <v/>
      </c>
      <c r="S203" s="47"/>
      <c r="T203" s="47"/>
      <c r="U203" s="47"/>
      <c r="V203" s="47"/>
      <c r="W203" s="47"/>
      <c r="X203" s="47"/>
      <c r="Y203" s="47"/>
      <c r="Z203" s="47"/>
      <c r="AA203" s="47"/>
      <c r="AB203" s="47"/>
      <c r="AC203" s="47"/>
      <c r="AD203" s="47"/>
      <c r="AE203" s="47"/>
      <c r="AF203" s="47"/>
      <c r="AG203" s="47"/>
      <c r="AH203" s="47"/>
      <c r="AI203" s="46"/>
      <c r="AJ203" s="46"/>
      <c r="AK203" s="46"/>
      <c r="AL203" s="7"/>
      <c r="AM203" s="49" t="str">
        <f aca="false">IF(OR(C203="",G203=""),"",IFERROR(DATEDIF(C203,G203,"m"),""))</f>
        <v/>
      </c>
      <c r="AN203" s="49" t="str">
        <f aca="false">IF(OR(Q203="",AM203=""),"",60+2*Q203-AM203)</f>
        <v/>
      </c>
      <c r="AO203" s="49" t="str">
        <f aca="false">IF(OR(G203="",AJ203=""),"",AJ203-G203)</f>
        <v/>
      </c>
      <c r="AP203" s="50" t="str">
        <f aca="false">IF(AND(A203="",B203=""),"",IF(J203="","Status needed",IF(OR(J203="Applied",J203="Visit booked",J203="Withdrawn"),"OK",IF(G203="","Date assessed needed",IF(C203="","Date of birth needed",IF(COUNTA(L203,M203,P203,U203,V203,X203,AB203)&lt;7,"Band missing",IF(AND(OR(J203="Decision confirmed",J203="Family told",J203="Enrolled"),AG203=""),"Recommendation needed",IF(AND(OR(J203="Family told",J203="Enrolled"),AJ203=""),"Date family told needed","OK"))))))))</f>
        <v/>
      </c>
    </row>
    <row r="204" customFormat="false" ht="15" hidden="false" customHeight="false" outlineLevel="0" collapsed="false">
      <c r="A204" s="7"/>
      <c r="B204" s="7"/>
      <c r="C204" s="46"/>
      <c r="D204" s="7"/>
      <c r="E204" s="47"/>
      <c r="F204" s="46"/>
      <c r="G204" s="46"/>
      <c r="H204" s="7"/>
      <c r="I204" s="7"/>
      <c r="J204" s="47"/>
      <c r="K204" s="47"/>
      <c r="L204" s="47"/>
      <c r="M204" s="47"/>
      <c r="N204" s="10"/>
      <c r="O204" s="47"/>
      <c r="P204" s="47"/>
      <c r="Q204" s="47"/>
      <c r="R204" s="48" t="str">
        <f aca="false">IF(Q204="","",IF(Q204=0,"below 5:00",IF(Q204&gt;=66,"16:00 or above",INT((60+2*Q204)/12)&amp;":"&amp;TEXT(MOD(60+2*Q204,12),"00"))))</f>
        <v/>
      </c>
      <c r="S204" s="47"/>
      <c r="T204" s="47"/>
      <c r="U204" s="47"/>
      <c r="V204" s="47"/>
      <c r="W204" s="47"/>
      <c r="X204" s="47"/>
      <c r="Y204" s="47"/>
      <c r="Z204" s="47"/>
      <c r="AA204" s="47"/>
      <c r="AB204" s="47"/>
      <c r="AC204" s="47"/>
      <c r="AD204" s="47"/>
      <c r="AE204" s="47"/>
      <c r="AF204" s="47"/>
      <c r="AG204" s="47"/>
      <c r="AH204" s="47"/>
      <c r="AI204" s="46"/>
      <c r="AJ204" s="46"/>
      <c r="AK204" s="46"/>
      <c r="AL204" s="7"/>
      <c r="AM204" s="49" t="str">
        <f aca="false">IF(OR(C204="",G204=""),"",IFERROR(DATEDIF(C204,G204,"m"),""))</f>
        <v/>
      </c>
      <c r="AN204" s="49" t="str">
        <f aca="false">IF(OR(Q204="",AM204=""),"",60+2*Q204-AM204)</f>
        <v/>
      </c>
      <c r="AO204" s="49" t="str">
        <f aca="false">IF(OR(G204="",AJ204=""),"",AJ204-G204)</f>
        <v/>
      </c>
      <c r="AP204" s="50" t="str">
        <f aca="false">IF(AND(A204="",B204=""),"",IF(J204="","Status needed",IF(OR(J204="Applied",J204="Visit booked",J204="Withdrawn"),"OK",IF(G204="","Date assessed needed",IF(C204="","Date of birth needed",IF(COUNTA(L204,M204,P204,U204,V204,X204,AB204)&lt;7,"Band missing",IF(AND(OR(J204="Decision confirmed",J204="Family told",J204="Enrolled"),AG204=""),"Recommendation needed",IF(AND(OR(J204="Family told",J204="Enrolled"),AJ204=""),"Date family told needed","OK"))))))))</f>
        <v/>
      </c>
    </row>
    <row r="205" customFormat="false" ht="15" hidden="false" customHeight="false" outlineLevel="0" collapsed="false">
      <c r="A205" s="7"/>
      <c r="B205" s="7"/>
      <c r="C205" s="46"/>
      <c r="D205" s="7"/>
      <c r="E205" s="47"/>
      <c r="F205" s="46"/>
      <c r="G205" s="46"/>
      <c r="H205" s="7"/>
      <c r="I205" s="7"/>
      <c r="J205" s="47"/>
      <c r="K205" s="47"/>
      <c r="L205" s="47"/>
      <c r="M205" s="47"/>
      <c r="N205" s="10"/>
      <c r="O205" s="47"/>
      <c r="P205" s="47"/>
      <c r="Q205" s="47"/>
      <c r="R205" s="48" t="str">
        <f aca="false">IF(Q205="","",IF(Q205=0,"below 5:00",IF(Q205&gt;=66,"16:00 or above",INT((60+2*Q205)/12)&amp;":"&amp;TEXT(MOD(60+2*Q205,12),"00"))))</f>
        <v/>
      </c>
      <c r="S205" s="47"/>
      <c r="T205" s="47"/>
      <c r="U205" s="47"/>
      <c r="V205" s="47"/>
      <c r="W205" s="47"/>
      <c r="X205" s="47"/>
      <c r="Y205" s="47"/>
      <c r="Z205" s="47"/>
      <c r="AA205" s="47"/>
      <c r="AB205" s="47"/>
      <c r="AC205" s="47"/>
      <c r="AD205" s="47"/>
      <c r="AE205" s="47"/>
      <c r="AF205" s="47"/>
      <c r="AG205" s="47"/>
      <c r="AH205" s="47"/>
      <c r="AI205" s="46"/>
      <c r="AJ205" s="46"/>
      <c r="AK205" s="46"/>
      <c r="AL205" s="7"/>
      <c r="AM205" s="49" t="str">
        <f aca="false">IF(OR(C205="",G205=""),"",IFERROR(DATEDIF(C205,G205,"m"),""))</f>
        <v/>
      </c>
      <c r="AN205" s="49" t="str">
        <f aca="false">IF(OR(Q205="",AM205=""),"",60+2*Q205-AM205)</f>
        <v/>
      </c>
      <c r="AO205" s="49" t="str">
        <f aca="false">IF(OR(G205="",AJ205=""),"",AJ205-G205)</f>
        <v/>
      </c>
      <c r="AP205" s="50" t="str">
        <f aca="false">IF(AND(A205="",B205=""),"",IF(J205="","Status needed",IF(OR(J205="Applied",J205="Visit booked",J205="Withdrawn"),"OK",IF(G205="","Date assessed needed",IF(C205="","Date of birth needed",IF(COUNTA(L205,M205,P205,U205,V205,X205,AB205)&lt;7,"Band missing",IF(AND(OR(J205="Decision confirmed",J205="Family told",J205="Enrolled"),AG205=""),"Recommendation needed",IF(AND(OR(J205="Family told",J205="Enrolled"),AJ205=""),"Date family told needed","OK"))))))))</f>
        <v/>
      </c>
    </row>
    <row r="206" customFormat="false" ht="15" hidden="false" customHeight="false" outlineLevel="0" collapsed="false">
      <c r="A206" s="7"/>
      <c r="B206" s="7"/>
      <c r="C206" s="46"/>
      <c r="D206" s="7"/>
      <c r="E206" s="47"/>
      <c r="F206" s="46"/>
      <c r="G206" s="46"/>
      <c r="H206" s="7"/>
      <c r="I206" s="7"/>
      <c r="J206" s="47"/>
      <c r="K206" s="47"/>
      <c r="L206" s="47"/>
      <c r="M206" s="47"/>
      <c r="N206" s="10"/>
      <c r="O206" s="47"/>
      <c r="P206" s="47"/>
      <c r="Q206" s="47"/>
      <c r="R206" s="48" t="str">
        <f aca="false">IF(Q206="","",IF(Q206=0,"below 5:00",IF(Q206&gt;=66,"16:00 or above",INT((60+2*Q206)/12)&amp;":"&amp;TEXT(MOD(60+2*Q206,12),"00"))))</f>
        <v/>
      </c>
      <c r="S206" s="47"/>
      <c r="T206" s="47"/>
      <c r="U206" s="47"/>
      <c r="V206" s="47"/>
      <c r="W206" s="47"/>
      <c r="X206" s="47"/>
      <c r="Y206" s="47"/>
      <c r="Z206" s="47"/>
      <c r="AA206" s="47"/>
      <c r="AB206" s="47"/>
      <c r="AC206" s="47"/>
      <c r="AD206" s="47"/>
      <c r="AE206" s="47"/>
      <c r="AF206" s="47"/>
      <c r="AG206" s="47"/>
      <c r="AH206" s="47"/>
      <c r="AI206" s="46"/>
      <c r="AJ206" s="46"/>
      <c r="AK206" s="46"/>
      <c r="AL206" s="7"/>
      <c r="AM206" s="49" t="str">
        <f aca="false">IF(OR(C206="",G206=""),"",IFERROR(DATEDIF(C206,G206,"m"),""))</f>
        <v/>
      </c>
      <c r="AN206" s="49" t="str">
        <f aca="false">IF(OR(Q206="",AM206=""),"",60+2*Q206-AM206)</f>
        <v/>
      </c>
      <c r="AO206" s="49" t="str">
        <f aca="false">IF(OR(G206="",AJ206=""),"",AJ206-G206)</f>
        <v/>
      </c>
      <c r="AP206" s="50" t="str">
        <f aca="false">IF(AND(A206="",B206=""),"",IF(J206="","Status needed",IF(OR(J206="Applied",J206="Visit booked",J206="Withdrawn"),"OK",IF(G206="","Date assessed needed",IF(C206="","Date of birth needed",IF(COUNTA(L206,M206,P206,U206,V206,X206,AB206)&lt;7,"Band missing",IF(AND(OR(J206="Decision confirmed",J206="Family told",J206="Enrolled"),AG206=""),"Recommendation needed",IF(AND(OR(J206="Family told",J206="Enrolled"),AJ206=""),"Date family told needed","OK"))))))))</f>
        <v/>
      </c>
    </row>
    <row r="207" customFormat="false" ht="15" hidden="false" customHeight="false" outlineLevel="0" collapsed="false">
      <c r="A207" s="7"/>
      <c r="B207" s="7"/>
      <c r="C207" s="46"/>
      <c r="D207" s="7"/>
      <c r="E207" s="47"/>
      <c r="F207" s="46"/>
      <c r="G207" s="46"/>
      <c r="H207" s="7"/>
      <c r="I207" s="7"/>
      <c r="J207" s="47"/>
      <c r="K207" s="47"/>
      <c r="L207" s="47"/>
      <c r="M207" s="47"/>
      <c r="N207" s="10"/>
      <c r="O207" s="47"/>
      <c r="P207" s="47"/>
      <c r="Q207" s="47"/>
      <c r="R207" s="48" t="str">
        <f aca="false">IF(Q207="","",IF(Q207=0,"below 5:00",IF(Q207&gt;=66,"16:00 or above",INT((60+2*Q207)/12)&amp;":"&amp;TEXT(MOD(60+2*Q207,12),"00"))))</f>
        <v/>
      </c>
      <c r="S207" s="47"/>
      <c r="T207" s="47"/>
      <c r="U207" s="47"/>
      <c r="V207" s="47"/>
      <c r="W207" s="47"/>
      <c r="X207" s="47"/>
      <c r="Y207" s="47"/>
      <c r="Z207" s="47"/>
      <c r="AA207" s="47"/>
      <c r="AB207" s="47"/>
      <c r="AC207" s="47"/>
      <c r="AD207" s="47"/>
      <c r="AE207" s="47"/>
      <c r="AF207" s="47"/>
      <c r="AG207" s="47"/>
      <c r="AH207" s="47"/>
      <c r="AI207" s="46"/>
      <c r="AJ207" s="46"/>
      <c r="AK207" s="46"/>
      <c r="AL207" s="7"/>
      <c r="AM207" s="49" t="str">
        <f aca="false">IF(OR(C207="",G207=""),"",IFERROR(DATEDIF(C207,G207,"m"),""))</f>
        <v/>
      </c>
      <c r="AN207" s="49" t="str">
        <f aca="false">IF(OR(Q207="",AM207=""),"",60+2*Q207-AM207)</f>
        <v/>
      </c>
      <c r="AO207" s="49" t="str">
        <f aca="false">IF(OR(G207="",AJ207=""),"",AJ207-G207)</f>
        <v/>
      </c>
      <c r="AP207" s="50" t="str">
        <f aca="false">IF(AND(A207="",B207=""),"",IF(J207="","Status needed",IF(OR(J207="Applied",J207="Visit booked",J207="Withdrawn"),"OK",IF(G207="","Date assessed needed",IF(C207="","Date of birth needed",IF(COUNTA(L207,M207,P207,U207,V207,X207,AB207)&lt;7,"Band missing",IF(AND(OR(J207="Decision confirmed",J207="Family told",J207="Enrolled"),AG207=""),"Recommendation needed",IF(AND(OR(J207="Family told",J207="Enrolled"),AJ207=""),"Date family told needed","OK"))))))))</f>
        <v/>
      </c>
    </row>
    <row r="208" customFormat="false" ht="15" hidden="false" customHeight="false" outlineLevel="0" collapsed="false">
      <c r="A208" s="7"/>
      <c r="B208" s="7"/>
      <c r="C208" s="46"/>
      <c r="D208" s="7"/>
      <c r="E208" s="47"/>
      <c r="F208" s="46"/>
      <c r="G208" s="46"/>
      <c r="H208" s="7"/>
      <c r="I208" s="7"/>
      <c r="J208" s="47"/>
      <c r="K208" s="47"/>
      <c r="L208" s="47"/>
      <c r="M208" s="47"/>
      <c r="N208" s="10"/>
      <c r="O208" s="47"/>
      <c r="P208" s="47"/>
      <c r="Q208" s="47"/>
      <c r="R208" s="48" t="str">
        <f aca="false">IF(Q208="","",IF(Q208=0,"below 5:00",IF(Q208&gt;=66,"16:00 or above",INT((60+2*Q208)/12)&amp;":"&amp;TEXT(MOD(60+2*Q208,12),"00"))))</f>
        <v/>
      </c>
      <c r="S208" s="47"/>
      <c r="T208" s="47"/>
      <c r="U208" s="47"/>
      <c r="V208" s="47"/>
      <c r="W208" s="47"/>
      <c r="X208" s="47"/>
      <c r="Y208" s="47"/>
      <c r="Z208" s="47"/>
      <c r="AA208" s="47"/>
      <c r="AB208" s="47"/>
      <c r="AC208" s="47"/>
      <c r="AD208" s="47"/>
      <c r="AE208" s="47"/>
      <c r="AF208" s="47"/>
      <c r="AG208" s="47"/>
      <c r="AH208" s="47"/>
      <c r="AI208" s="46"/>
      <c r="AJ208" s="46"/>
      <c r="AK208" s="46"/>
      <c r="AL208" s="7"/>
      <c r="AM208" s="49" t="str">
        <f aca="false">IF(OR(C208="",G208=""),"",IFERROR(DATEDIF(C208,G208,"m"),""))</f>
        <v/>
      </c>
      <c r="AN208" s="49" t="str">
        <f aca="false">IF(OR(Q208="",AM208=""),"",60+2*Q208-AM208)</f>
        <v/>
      </c>
      <c r="AO208" s="49" t="str">
        <f aca="false">IF(OR(G208="",AJ208=""),"",AJ208-G208)</f>
        <v/>
      </c>
      <c r="AP208" s="50" t="str">
        <f aca="false">IF(AND(A208="",B208=""),"",IF(J208="","Status needed",IF(OR(J208="Applied",J208="Visit booked",J208="Withdrawn"),"OK",IF(G208="","Date assessed needed",IF(C208="","Date of birth needed",IF(COUNTA(L208,M208,P208,U208,V208,X208,AB208)&lt;7,"Band missing",IF(AND(OR(J208="Decision confirmed",J208="Family told",J208="Enrolled"),AG208=""),"Recommendation needed",IF(AND(OR(J208="Family told",J208="Enrolled"),AJ208=""),"Date family told needed","OK"))))))))</f>
        <v/>
      </c>
    </row>
    <row r="209" customFormat="false" ht="15" hidden="false" customHeight="false" outlineLevel="0" collapsed="false">
      <c r="A209" s="7"/>
      <c r="B209" s="7"/>
      <c r="C209" s="46"/>
      <c r="D209" s="7"/>
      <c r="E209" s="47"/>
      <c r="F209" s="46"/>
      <c r="G209" s="46"/>
      <c r="H209" s="7"/>
      <c r="I209" s="7"/>
      <c r="J209" s="47"/>
      <c r="K209" s="47"/>
      <c r="L209" s="47"/>
      <c r="M209" s="47"/>
      <c r="N209" s="10"/>
      <c r="O209" s="47"/>
      <c r="P209" s="47"/>
      <c r="Q209" s="47"/>
      <c r="R209" s="48" t="str">
        <f aca="false">IF(Q209="","",IF(Q209=0,"below 5:00",IF(Q209&gt;=66,"16:00 or above",INT((60+2*Q209)/12)&amp;":"&amp;TEXT(MOD(60+2*Q209,12),"00"))))</f>
        <v/>
      </c>
      <c r="S209" s="47"/>
      <c r="T209" s="47"/>
      <c r="U209" s="47"/>
      <c r="V209" s="47"/>
      <c r="W209" s="47"/>
      <c r="X209" s="47"/>
      <c r="Y209" s="47"/>
      <c r="Z209" s="47"/>
      <c r="AA209" s="47"/>
      <c r="AB209" s="47"/>
      <c r="AC209" s="47"/>
      <c r="AD209" s="47"/>
      <c r="AE209" s="47"/>
      <c r="AF209" s="47"/>
      <c r="AG209" s="47"/>
      <c r="AH209" s="47"/>
      <c r="AI209" s="46"/>
      <c r="AJ209" s="46"/>
      <c r="AK209" s="46"/>
      <c r="AL209" s="7"/>
      <c r="AM209" s="49" t="str">
        <f aca="false">IF(OR(C209="",G209=""),"",IFERROR(DATEDIF(C209,G209,"m"),""))</f>
        <v/>
      </c>
      <c r="AN209" s="49" t="str">
        <f aca="false">IF(OR(Q209="",AM209=""),"",60+2*Q209-AM209)</f>
        <v/>
      </c>
      <c r="AO209" s="49" t="str">
        <f aca="false">IF(OR(G209="",AJ209=""),"",AJ209-G209)</f>
        <v/>
      </c>
      <c r="AP209" s="50" t="str">
        <f aca="false">IF(AND(A209="",B209=""),"",IF(J209="","Status needed",IF(OR(J209="Applied",J209="Visit booked",J209="Withdrawn"),"OK",IF(G209="","Date assessed needed",IF(C209="","Date of birth needed",IF(COUNTA(L209,M209,P209,U209,V209,X209,AB209)&lt;7,"Band missing",IF(AND(OR(J209="Decision confirmed",J209="Family told",J209="Enrolled"),AG209=""),"Recommendation needed",IF(AND(OR(J209="Family told",J209="Enrolled"),AJ209=""),"Date family told needed","OK"))))))))</f>
        <v/>
      </c>
    </row>
    <row r="210" customFormat="false" ht="15" hidden="false" customHeight="false" outlineLevel="0" collapsed="false">
      <c r="A210" s="7"/>
      <c r="B210" s="7"/>
      <c r="C210" s="46"/>
      <c r="D210" s="7"/>
      <c r="E210" s="47"/>
      <c r="F210" s="46"/>
      <c r="G210" s="46"/>
      <c r="H210" s="7"/>
      <c r="I210" s="7"/>
      <c r="J210" s="47"/>
      <c r="K210" s="47"/>
      <c r="L210" s="47"/>
      <c r="M210" s="47"/>
      <c r="N210" s="10"/>
      <c r="O210" s="47"/>
      <c r="P210" s="47"/>
      <c r="Q210" s="47"/>
      <c r="R210" s="48" t="str">
        <f aca="false">IF(Q210="","",IF(Q210=0,"below 5:00",IF(Q210&gt;=66,"16:00 or above",INT((60+2*Q210)/12)&amp;":"&amp;TEXT(MOD(60+2*Q210,12),"00"))))</f>
        <v/>
      </c>
      <c r="S210" s="47"/>
      <c r="T210" s="47"/>
      <c r="U210" s="47"/>
      <c r="V210" s="47"/>
      <c r="W210" s="47"/>
      <c r="X210" s="47"/>
      <c r="Y210" s="47"/>
      <c r="Z210" s="47"/>
      <c r="AA210" s="47"/>
      <c r="AB210" s="47"/>
      <c r="AC210" s="47"/>
      <c r="AD210" s="47"/>
      <c r="AE210" s="47"/>
      <c r="AF210" s="47"/>
      <c r="AG210" s="47"/>
      <c r="AH210" s="47"/>
      <c r="AI210" s="46"/>
      <c r="AJ210" s="46"/>
      <c r="AK210" s="46"/>
      <c r="AL210" s="7"/>
      <c r="AM210" s="49" t="str">
        <f aca="false">IF(OR(C210="",G210=""),"",IFERROR(DATEDIF(C210,G210,"m"),""))</f>
        <v/>
      </c>
      <c r="AN210" s="49" t="str">
        <f aca="false">IF(OR(Q210="",AM210=""),"",60+2*Q210-AM210)</f>
        <v/>
      </c>
      <c r="AO210" s="49" t="str">
        <f aca="false">IF(OR(G210="",AJ210=""),"",AJ210-G210)</f>
        <v/>
      </c>
      <c r="AP210" s="50" t="str">
        <f aca="false">IF(AND(A210="",B210=""),"",IF(J210="","Status needed",IF(OR(J210="Applied",J210="Visit booked",J210="Withdrawn"),"OK",IF(G210="","Date assessed needed",IF(C210="","Date of birth needed",IF(COUNTA(L210,M210,P210,U210,V210,X210,AB210)&lt;7,"Band missing",IF(AND(OR(J210="Decision confirmed",J210="Family told",J210="Enrolled"),AG210=""),"Recommendation needed",IF(AND(OR(J210="Family told",J210="Enrolled"),AJ210=""),"Date family told needed","OK"))))))))</f>
        <v/>
      </c>
    </row>
    <row r="211" customFormat="false" ht="15" hidden="false" customHeight="false" outlineLevel="0" collapsed="false">
      <c r="A211" s="7"/>
      <c r="B211" s="7"/>
      <c r="C211" s="46"/>
      <c r="D211" s="7"/>
      <c r="E211" s="47"/>
      <c r="F211" s="46"/>
      <c r="G211" s="46"/>
      <c r="H211" s="7"/>
      <c r="I211" s="7"/>
      <c r="J211" s="47"/>
      <c r="K211" s="47"/>
      <c r="L211" s="47"/>
      <c r="M211" s="47"/>
      <c r="N211" s="10"/>
      <c r="O211" s="47"/>
      <c r="P211" s="47"/>
      <c r="Q211" s="47"/>
      <c r="R211" s="48" t="str">
        <f aca="false">IF(Q211="","",IF(Q211=0,"below 5:00",IF(Q211&gt;=66,"16:00 or above",INT((60+2*Q211)/12)&amp;":"&amp;TEXT(MOD(60+2*Q211,12),"00"))))</f>
        <v/>
      </c>
      <c r="S211" s="47"/>
      <c r="T211" s="47"/>
      <c r="U211" s="47"/>
      <c r="V211" s="47"/>
      <c r="W211" s="47"/>
      <c r="X211" s="47"/>
      <c r="Y211" s="47"/>
      <c r="Z211" s="47"/>
      <c r="AA211" s="47"/>
      <c r="AB211" s="47"/>
      <c r="AC211" s="47"/>
      <c r="AD211" s="47"/>
      <c r="AE211" s="47"/>
      <c r="AF211" s="47"/>
      <c r="AG211" s="47"/>
      <c r="AH211" s="47"/>
      <c r="AI211" s="46"/>
      <c r="AJ211" s="46"/>
      <c r="AK211" s="46"/>
      <c r="AL211" s="7"/>
      <c r="AM211" s="49" t="str">
        <f aca="false">IF(OR(C211="",G211=""),"",IFERROR(DATEDIF(C211,G211,"m"),""))</f>
        <v/>
      </c>
      <c r="AN211" s="49" t="str">
        <f aca="false">IF(OR(Q211="",AM211=""),"",60+2*Q211-AM211)</f>
        <v/>
      </c>
      <c r="AO211" s="49" t="str">
        <f aca="false">IF(OR(G211="",AJ211=""),"",AJ211-G211)</f>
        <v/>
      </c>
      <c r="AP211" s="50" t="str">
        <f aca="false">IF(AND(A211="",B211=""),"",IF(J211="","Status needed",IF(OR(J211="Applied",J211="Visit booked",J211="Withdrawn"),"OK",IF(G211="","Date assessed needed",IF(C211="","Date of birth needed",IF(COUNTA(L211,M211,P211,U211,V211,X211,AB211)&lt;7,"Band missing",IF(AND(OR(J211="Decision confirmed",J211="Family told",J211="Enrolled"),AG211=""),"Recommendation needed",IF(AND(OR(J211="Family told",J211="Enrolled"),AJ211=""),"Date family told needed","OK"))))))))</f>
        <v/>
      </c>
    </row>
    <row r="212" customFormat="false" ht="15" hidden="false" customHeight="false" outlineLevel="0" collapsed="false">
      <c r="A212" s="7"/>
      <c r="B212" s="7"/>
      <c r="C212" s="46"/>
      <c r="D212" s="7"/>
      <c r="E212" s="47"/>
      <c r="F212" s="46"/>
      <c r="G212" s="46"/>
      <c r="H212" s="7"/>
      <c r="I212" s="7"/>
      <c r="J212" s="47"/>
      <c r="K212" s="47"/>
      <c r="L212" s="47"/>
      <c r="M212" s="47"/>
      <c r="N212" s="10"/>
      <c r="O212" s="47"/>
      <c r="P212" s="47"/>
      <c r="Q212" s="47"/>
      <c r="R212" s="48" t="str">
        <f aca="false">IF(Q212="","",IF(Q212=0,"below 5:00",IF(Q212&gt;=66,"16:00 or above",INT((60+2*Q212)/12)&amp;":"&amp;TEXT(MOD(60+2*Q212,12),"00"))))</f>
        <v/>
      </c>
      <c r="S212" s="47"/>
      <c r="T212" s="47"/>
      <c r="U212" s="47"/>
      <c r="V212" s="47"/>
      <c r="W212" s="47"/>
      <c r="X212" s="47"/>
      <c r="Y212" s="47"/>
      <c r="Z212" s="47"/>
      <c r="AA212" s="47"/>
      <c r="AB212" s="47"/>
      <c r="AC212" s="47"/>
      <c r="AD212" s="47"/>
      <c r="AE212" s="47"/>
      <c r="AF212" s="47"/>
      <c r="AG212" s="47"/>
      <c r="AH212" s="47"/>
      <c r="AI212" s="46"/>
      <c r="AJ212" s="46"/>
      <c r="AK212" s="46"/>
      <c r="AL212" s="7"/>
      <c r="AM212" s="49" t="str">
        <f aca="false">IF(OR(C212="",G212=""),"",IFERROR(DATEDIF(C212,G212,"m"),""))</f>
        <v/>
      </c>
      <c r="AN212" s="49" t="str">
        <f aca="false">IF(OR(Q212="",AM212=""),"",60+2*Q212-AM212)</f>
        <v/>
      </c>
      <c r="AO212" s="49" t="str">
        <f aca="false">IF(OR(G212="",AJ212=""),"",AJ212-G212)</f>
        <v/>
      </c>
      <c r="AP212" s="50" t="str">
        <f aca="false">IF(AND(A212="",B212=""),"",IF(J212="","Status needed",IF(OR(J212="Applied",J212="Visit booked",J212="Withdrawn"),"OK",IF(G212="","Date assessed needed",IF(C212="","Date of birth needed",IF(COUNTA(L212,M212,P212,U212,V212,X212,AB212)&lt;7,"Band missing",IF(AND(OR(J212="Decision confirmed",J212="Family told",J212="Enrolled"),AG212=""),"Recommendation needed",IF(AND(OR(J212="Family told",J212="Enrolled"),AJ212=""),"Date family told needed","OK"))))))))</f>
        <v/>
      </c>
    </row>
    <row r="213" customFormat="false" ht="15" hidden="false" customHeight="false" outlineLevel="0" collapsed="false">
      <c r="A213" s="7"/>
      <c r="B213" s="7"/>
      <c r="C213" s="46"/>
      <c r="D213" s="7"/>
      <c r="E213" s="47"/>
      <c r="F213" s="46"/>
      <c r="G213" s="46"/>
      <c r="H213" s="7"/>
      <c r="I213" s="7"/>
      <c r="J213" s="47"/>
      <c r="K213" s="47"/>
      <c r="L213" s="47"/>
      <c r="M213" s="47"/>
      <c r="N213" s="10"/>
      <c r="O213" s="47"/>
      <c r="P213" s="47"/>
      <c r="Q213" s="47"/>
      <c r="R213" s="48" t="str">
        <f aca="false">IF(Q213="","",IF(Q213=0,"below 5:00",IF(Q213&gt;=66,"16:00 or above",INT((60+2*Q213)/12)&amp;":"&amp;TEXT(MOD(60+2*Q213,12),"00"))))</f>
        <v/>
      </c>
      <c r="S213" s="47"/>
      <c r="T213" s="47"/>
      <c r="U213" s="47"/>
      <c r="V213" s="47"/>
      <c r="W213" s="47"/>
      <c r="X213" s="47"/>
      <c r="Y213" s="47"/>
      <c r="Z213" s="47"/>
      <c r="AA213" s="47"/>
      <c r="AB213" s="47"/>
      <c r="AC213" s="47"/>
      <c r="AD213" s="47"/>
      <c r="AE213" s="47"/>
      <c r="AF213" s="47"/>
      <c r="AG213" s="47"/>
      <c r="AH213" s="47"/>
      <c r="AI213" s="46"/>
      <c r="AJ213" s="46"/>
      <c r="AK213" s="46"/>
      <c r="AL213" s="7"/>
      <c r="AM213" s="49" t="str">
        <f aca="false">IF(OR(C213="",G213=""),"",IFERROR(DATEDIF(C213,G213,"m"),""))</f>
        <v/>
      </c>
      <c r="AN213" s="49" t="str">
        <f aca="false">IF(OR(Q213="",AM213=""),"",60+2*Q213-AM213)</f>
        <v/>
      </c>
      <c r="AO213" s="49" t="str">
        <f aca="false">IF(OR(G213="",AJ213=""),"",AJ213-G213)</f>
        <v/>
      </c>
      <c r="AP213" s="50" t="str">
        <f aca="false">IF(AND(A213="",B213=""),"",IF(J213="","Status needed",IF(OR(J213="Applied",J213="Visit booked",J213="Withdrawn"),"OK",IF(G213="","Date assessed needed",IF(C213="","Date of birth needed",IF(COUNTA(L213,M213,P213,U213,V213,X213,AB213)&lt;7,"Band missing",IF(AND(OR(J213="Decision confirmed",J213="Family told",J213="Enrolled"),AG213=""),"Recommendation needed",IF(AND(OR(J213="Family told",J213="Enrolled"),AJ213=""),"Date family told needed","OK"))))))))</f>
        <v/>
      </c>
    </row>
    <row r="214" customFormat="false" ht="15" hidden="false" customHeight="false" outlineLevel="0" collapsed="false">
      <c r="A214" s="7"/>
      <c r="B214" s="7"/>
      <c r="C214" s="46"/>
      <c r="D214" s="7"/>
      <c r="E214" s="47"/>
      <c r="F214" s="46"/>
      <c r="G214" s="46"/>
      <c r="H214" s="7"/>
      <c r="I214" s="7"/>
      <c r="J214" s="47"/>
      <c r="K214" s="47"/>
      <c r="L214" s="47"/>
      <c r="M214" s="47"/>
      <c r="N214" s="10"/>
      <c r="O214" s="47"/>
      <c r="P214" s="47"/>
      <c r="Q214" s="47"/>
      <c r="R214" s="48" t="str">
        <f aca="false">IF(Q214="","",IF(Q214=0,"below 5:00",IF(Q214&gt;=66,"16:00 or above",INT((60+2*Q214)/12)&amp;":"&amp;TEXT(MOD(60+2*Q214,12),"00"))))</f>
        <v/>
      </c>
      <c r="S214" s="47"/>
      <c r="T214" s="47"/>
      <c r="U214" s="47"/>
      <c r="V214" s="47"/>
      <c r="W214" s="47"/>
      <c r="X214" s="47"/>
      <c r="Y214" s="47"/>
      <c r="Z214" s="47"/>
      <c r="AA214" s="47"/>
      <c r="AB214" s="47"/>
      <c r="AC214" s="47"/>
      <c r="AD214" s="47"/>
      <c r="AE214" s="47"/>
      <c r="AF214" s="47"/>
      <c r="AG214" s="47"/>
      <c r="AH214" s="47"/>
      <c r="AI214" s="46"/>
      <c r="AJ214" s="46"/>
      <c r="AK214" s="46"/>
      <c r="AL214" s="7"/>
      <c r="AM214" s="49" t="str">
        <f aca="false">IF(OR(C214="",G214=""),"",IFERROR(DATEDIF(C214,G214,"m"),""))</f>
        <v/>
      </c>
      <c r="AN214" s="49" t="str">
        <f aca="false">IF(OR(Q214="",AM214=""),"",60+2*Q214-AM214)</f>
        <v/>
      </c>
      <c r="AO214" s="49" t="str">
        <f aca="false">IF(OR(G214="",AJ214=""),"",AJ214-G214)</f>
        <v/>
      </c>
      <c r="AP214" s="50" t="str">
        <f aca="false">IF(AND(A214="",B214=""),"",IF(J214="","Status needed",IF(OR(J214="Applied",J214="Visit booked",J214="Withdrawn"),"OK",IF(G214="","Date assessed needed",IF(C214="","Date of birth needed",IF(COUNTA(L214,M214,P214,U214,V214,X214,AB214)&lt;7,"Band missing",IF(AND(OR(J214="Decision confirmed",J214="Family told",J214="Enrolled"),AG214=""),"Recommendation needed",IF(AND(OR(J214="Family told",J214="Enrolled"),AJ214=""),"Date family told needed","OK"))))))))</f>
        <v/>
      </c>
    </row>
    <row r="215" customFormat="false" ht="15" hidden="false" customHeight="false" outlineLevel="0" collapsed="false">
      <c r="A215" s="7"/>
      <c r="B215" s="7"/>
      <c r="C215" s="46"/>
      <c r="D215" s="7"/>
      <c r="E215" s="47"/>
      <c r="F215" s="46"/>
      <c r="G215" s="46"/>
      <c r="H215" s="7"/>
      <c r="I215" s="7"/>
      <c r="J215" s="47"/>
      <c r="K215" s="47"/>
      <c r="L215" s="47"/>
      <c r="M215" s="47"/>
      <c r="N215" s="10"/>
      <c r="O215" s="47"/>
      <c r="P215" s="47"/>
      <c r="Q215" s="47"/>
      <c r="R215" s="48" t="str">
        <f aca="false">IF(Q215="","",IF(Q215=0,"below 5:00",IF(Q215&gt;=66,"16:00 or above",INT((60+2*Q215)/12)&amp;":"&amp;TEXT(MOD(60+2*Q215,12),"00"))))</f>
        <v/>
      </c>
      <c r="S215" s="47"/>
      <c r="T215" s="47"/>
      <c r="U215" s="47"/>
      <c r="V215" s="47"/>
      <c r="W215" s="47"/>
      <c r="X215" s="47"/>
      <c r="Y215" s="47"/>
      <c r="Z215" s="47"/>
      <c r="AA215" s="47"/>
      <c r="AB215" s="47"/>
      <c r="AC215" s="47"/>
      <c r="AD215" s="47"/>
      <c r="AE215" s="47"/>
      <c r="AF215" s="47"/>
      <c r="AG215" s="47"/>
      <c r="AH215" s="47"/>
      <c r="AI215" s="46"/>
      <c r="AJ215" s="46"/>
      <c r="AK215" s="46"/>
      <c r="AL215" s="7"/>
      <c r="AM215" s="49" t="str">
        <f aca="false">IF(OR(C215="",G215=""),"",IFERROR(DATEDIF(C215,G215,"m"),""))</f>
        <v/>
      </c>
      <c r="AN215" s="49" t="str">
        <f aca="false">IF(OR(Q215="",AM215=""),"",60+2*Q215-AM215)</f>
        <v/>
      </c>
      <c r="AO215" s="49" t="str">
        <f aca="false">IF(OR(G215="",AJ215=""),"",AJ215-G215)</f>
        <v/>
      </c>
      <c r="AP215" s="50" t="str">
        <f aca="false">IF(AND(A215="",B215=""),"",IF(J215="","Status needed",IF(OR(J215="Applied",J215="Visit booked",J215="Withdrawn"),"OK",IF(G215="","Date assessed needed",IF(C215="","Date of birth needed",IF(COUNTA(L215,M215,P215,U215,V215,X215,AB215)&lt;7,"Band missing",IF(AND(OR(J215="Decision confirmed",J215="Family told",J215="Enrolled"),AG215=""),"Recommendation needed",IF(AND(OR(J215="Family told",J215="Enrolled"),AJ215=""),"Date family told needed","OK"))))))))</f>
        <v/>
      </c>
    </row>
    <row r="216" customFormat="false" ht="15" hidden="false" customHeight="false" outlineLevel="0" collapsed="false">
      <c r="A216" s="7"/>
      <c r="B216" s="7"/>
      <c r="C216" s="46"/>
      <c r="D216" s="7"/>
      <c r="E216" s="47"/>
      <c r="F216" s="46"/>
      <c r="G216" s="46"/>
      <c r="H216" s="7"/>
      <c r="I216" s="7"/>
      <c r="J216" s="47"/>
      <c r="K216" s="47"/>
      <c r="L216" s="47"/>
      <c r="M216" s="47"/>
      <c r="N216" s="10"/>
      <c r="O216" s="47"/>
      <c r="P216" s="47"/>
      <c r="Q216" s="47"/>
      <c r="R216" s="48" t="str">
        <f aca="false">IF(Q216="","",IF(Q216=0,"below 5:00",IF(Q216&gt;=66,"16:00 or above",INT((60+2*Q216)/12)&amp;":"&amp;TEXT(MOD(60+2*Q216,12),"00"))))</f>
        <v/>
      </c>
      <c r="S216" s="47"/>
      <c r="T216" s="47"/>
      <c r="U216" s="47"/>
      <c r="V216" s="47"/>
      <c r="W216" s="47"/>
      <c r="X216" s="47"/>
      <c r="Y216" s="47"/>
      <c r="Z216" s="47"/>
      <c r="AA216" s="47"/>
      <c r="AB216" s="47"/>
      <c r="AC216" s="47"/>
      <c r="AD216" s="47"/>
      <c r="AE216" s="47"/>
      <c r="AF216" s="47"/>
      <c r="AG216" s="47"/>
      <c r="AH216" s="47"/>
      <c r="AI216" s="46"/>
      <c r="AJ216" s="46"/>
      <c r="AK216" s="46"/>
      <c r="AL216" s="7"/>
      <c r="AM216" s="49" t="str">
        <f aca="false">IF(OR(C216="",G216=""),"",IFERROR(DATEDIF(C216,G216,"m"),""))</f>
        <v/>
      </c>
      <c r="AN216" s="49" t="str">
        <f aca="false">IF(OR(Q216="",AM216=""),"",60+2*Q216-AM216)</f>
        <v/>
      </c>
      <c r="AO216" s="49" t="str">
        <f aca="false">IF(OR(G216="",AJ216=""),"",AJ216-G216)</f>
        <v/>
      </c>
      <c r="AP216" s="50" t="str">
        <f aca="false">IF(AND(A216="",B216=""),"",IF(J216="","Status needed",IF(OR(J216="Applied",J216="Visit booked",J216="Withdrawn"),"OK",IF(G216="","Date assessed needed",IF(C216="","Date of birth needed",IF(COUNTA(L216,M216,P216,U216,V216,X216,AB216)&lt;7,"Band missing",IF(AND(OR(J216="Decision confirmed",J216="Family told",J216="Enrolled"),AG216=""),"Recommendation needed",IF(AND(OR(J216="Family told",J216="Enrolled"),AJ216=""),"Date family told needed","OK"))))))))</f>
        <v/>
      </c>
    </row>
    <row r="217" customFormat="false" ht="15" hidden="false" customHeight="false" outlineLevel="0" collapsed="false">
      <c r="A217" s="7"/>
      <c r="B217" s="7"/>
      <c r="C217" s="46"/>
      <c r="D217" s="7"/>
      <c r="E217" s="47"/>
      <c r="F217" s="46"/>
      <c r="G217" s="46"/>
      <c r="H217" s="7"/>
      <c r="I217" s="7"/>
      <c r="J217" s="47"/>
      <c r="K217" s="47"/>
      <c r="L217" s="47"/>
      <c r="M217" s="47"/>
      <c r="N217" s="10"/>
      <c r="O217" s="47"/>
      <c r="P217" s="47"/>
      <c r="Q217" s="47"/>
      <c r="R217" s="48" t="str">
        <f aca="false">IF(Q217="","",IF(Q217=0,"below 5:00",IF(Q217&gt;=66,"16:00 or above",INT((60+2*Q217)/12)&amp;":"&amp;TEXT(MOD(60+2*Q217,12),"00"))))</f>
        <v/>
      </c>
      <c r="S217" s="47"/>
      <c r="T217" s="47"/>
      <c r="U217" s="47"/>
      <c r="V217" s="47"/>
      <c r="W217" s="47"/>
      <c r="X217" s="47"/>
      <c r="Y217" s="47"/>
      <c r="Z217" s="47"/>
      <c r="AA217" s="47"/>
      <c r="AB217" s="47"/>
      <c r="AC217" s="47"/>
      <c r="AD217" s="47"/>
      <c r="AE217" s="47"/>
      <c r="AF217" s="47"/>
      <c r="AG217" s="47"/>
      <c r="AH217" s="47"/>
      <c r="AI217" s="46"/>
      <c r="AJ217" s="46"/>
      <c r="AK217" s="46"/>
      <c r="AL217" s="7"/>
      <c r="AM217" s="49" t="str">
        <f aca="false">IF(OR(C217="",G217=""),"",IFERROR(DATEDIF(C217,G217,"m"),""))</f>
        <v/>
      </c>
      <c r="AN217" s="49" t="str">
        <f aca="false">IF(OR(Q217="",AM217=""),"",60+2*Q217-AM217)</f>
        <v/>
      </c>
      <c r="AO217" s="49" t="str">
        <f aca="false">IF(OR(G217="",AJ217=""),"",AJ217-G217)</f>
        <v/>
      </c>
      <c r="AP217" s="50" t="str">
        <f aca="false">IF(AND(A217="",B217=""),"",IF(J217="","Status needed",IF(OR(J217="Applied",J217="Visit booked",J217="Withdrawn"),"OK",IF(G217="","Date assessed needed",IF(C217="","Date of birth needed",IF(COUNTA(L217,M217,P217,U217,V217,X217,AB217)&lt;7,"Band missing",IF(AND(OR(J217="Decision confirmed",J217="Family told",J217="Enrolled"),AG217=""),"Recommendation needed",IF(AND(OR(J217="Family told",J217="Enrolled"),AJ217=""),"Date family told needed","OK"))))))))</f>
        <v/>
      </c>
    </row>
    <row r="218" customFormat="false" ht="15" hidden="false" customHeight="false" outlineLevel="0" collapsed="false">
      <c r="A218" s="7"/>
      <c r="B218" s="7"/>
      <c r="C218" s="46"/>
      <c r="D218" s="7"/>
      <c r="E218" s="47"/>
      <c r="F218" s="46"/>
      <c r="G218" s="46"/>
      <c r="H218" s="7"/>
      <c r="I218" s="7"/>
      <c r="J218" s="47"/>
      <c r="K218" s="47"/>
      <c r="L218" s="47"/>
      <c r="M218" s="47"/>
      <c r="N218" s="10"/>
      <c r="O218" s="47"/>
      <c r="P218" s="47"/>
      <c r="Q218" s="47"/>
      <c r="R218" s="48" t="str">
        <f aca="false">IF(Q218="","",IF(Q218=0,"below 5:00",IF(Q218&gt;=66,"16:00 or above",INT((60+2*Q218)/12)&amp;":"&amp;TEXT(MOD(60+2*Q218,12),"00"))))</f>
        <v/>
      </c>
      <c r="S218" s="47"/>
      <c r="T218" s="47"/>
      <c r="U218" s="47"/>
      <c r="V218" s="47"/>
      <c r="W218" s="47"/>
      <c r="X218" s="47"/>
      <c r="Y218" s="47"/>
      <c r="Z218" s="47"/>
      <c r="AA218" s="47"/>
      <c r="AB218" s="47"/>
      <c r="AC218" s="47"/>
      <c r="AD218" s="47"/>
      <c r="AE218" s="47"/>
      <c r="AF218" s="47"/>
      <c r="AG218" s="47"/>
      <c r="AH218" s="47"/>
      <c r="AI218" s="46"/>
      <c r="AJ218" s="46"/>
      <c r="AK218" s="46"/>
      <c r="AL218" s="7"/>
      <c r="AM218" s="49" t="str">
        <f aca="false">IF(OR(C218="",G218=""),"",IFERROR(DATEDIF(C218,G218,"m"),""))</f>
        <v/>
      </c>
      <c r="AN218" s="49" t="str">
        <f aca="false">IF(OR(Q218="",AM218=""),"",60+2*Q218-AM218)</f>
        <v/>
      </c>
      <c r="AO218" s="49" t="str">
        <f aca="false">IF(OR(G218="",AJ218=""),"",AJ218-G218)</f>
        <v/>
      </c>
      <c r="AP218" s="50" t="str">
        <f aca="false">IF(AND(A218="",B218=""),"",IF(J218="","Status needed",IF(OR(J218="Applied",J218="Visit booked",J218="Withdrawn"),"OK",IF(G218="","Date assessed needed",IF(C218="","Date of birth needed",IF(COUNTA(L218,M218,P218,U218,V218,X218,AB218)&lt;7,"Band missing",IF(AND(OR(J218="Decision confirmed",J218="Family told",J218="Enrolled"),AG218=""),"Recommendation needed",IF(AND(OR(J218="Family told",J218="Enrolled"),AJ218=""),"Date family told needed","OK"))))))))</f>
        <v/>
      </c>
    </row>
    <row r="219" customFormat="false" ht="15" hidden="false" customHeight="false" outlineLevel="0" collapsed="false">
      <c r="A219" s="7"/>
      <c r="B219" s="7"/>
      <c r="C219" s="46"/>
      <c r="D219" s="7"/>
      <c r="E219" s="47"/>
      <c r="F219" s="46"/>
      <c r="G219" s="46"/>
      <c r="H219" s="7"/>
      <c r="I219" s="7"/>
      <c r="J219" s="47"/>
      <c r="K219" s="47"/>
      <c r="L219" s="47"/>
      <c r="M219" s="47"/>
      <c r="N219" s="10"/>
      <c r="O219" s="47"/>
      <c r="P219" s="47"/>
      <c r="Q219" s="47"/>
      <c r="R219" s="48" t="str">
        <f aca="false">IF(Q219="","",IF(Q219=0,"below 5:00",IF(Q219&gt;=66,"16:00 or above",INT((60+2*Q219)/12)&amp;":"&amp;TEXT(MOD(60+2*Q219,12),"00"))))</f>
        <v/>
      </c>
      <c r="S219" s="47"/>
      <c r="T219" s="47"/>
      <c r="U219" s="47"/>
      <c r="V219" s="47"/>
      <c r="W219" s="47"/>
      <c r="X219" s="47"/>
      <c r="Y219" s="47"/>
      <c r="Z219" s="47"/>
      <c r="AA219" s="47"/>
      <c r="AB219" s="47"/>
      <c r="AC219" s="47"/>
      <c r="AD219" s="47"/>
      <c r="AE219" s="47"/>
      <c r="AF219" s="47"/>
      <c r="AG219" s="47"/>
      <c r="AH219" s="47"/>
      <c r="AI219" s="46"/>
      <c r="AJ219" s="46"/>
      <c r="AK219" s="46"/>
      <c r="AL219" s="7"/>
      <c r="AM219" s="49" t="str">
        <f aca="false">IF(OR(C219="",G219=""),"",IFERROR(DATEDIF(C219,G219,"m"),""))</f>
        <v/>
      </c>
      <c r="AN219" s="49" t="str">
        <f aca="false">IF(OR(Q219="",AM219=""),"",60+2*Q219-AM219)</f>
        <v/>
      </c>
      <c r="AO219" s="49" t="str">
        <f aca="false">IF(OR(G219="",AJ219=""),"",AJ219-G219)</f>
        <v/>
      </c>
      <c r="AP219" s="50" t="str">
        <f aca="false">IF(AND(A219="",B219=""),"",IF(J219="","Status needed",IF(OR(J219="Applied",J219="Visit booked",J219="Withdrawn"),"OK",IF(G219="","Date assessed needed",IF(C219="","Date of birth needed",IF(COUNTA(L219,M219,P219,U219,V219,X219,AB219)&lt;7,"Band missing",IF(AND(OR(J219="Decision confirmed",J219="Family told",J219="Enrolled"),AG219=""),"Recommendation needed",IF(AND(OR(J219="Family told",J219="Enrolled"),AJ219=""),"Date family told needed","OK"))))))))</f>
        <v/>
      </c>
    </row>
    <row r="220" customFormat="false" ht="15" hidden="false" customHeight="false" outlineLevel="0" collapsed="false">
      <c r="A220" s="7"/>
      <c r="B220" s="7"/>
      <c r="C220" s="46"/>
      <c r="D220" s="7"/>
      <c r="E220" s="47"/>
      <c r="F220" s="46"/>
      <c r="G220" s="46"/>
      <c r="H220" s="7"/>
      <c r="I220" s="7"/>
      <c r="J220" s="47"/>
      <c r="K220" s="47"/>
      <c r="L220" s="47"/>
      <c r="M220" s="47"/>
      <c r="N220" s="10"/>
      <c r="O220" s="47"/>
      <c r="P220" s="47"/>
      <c r="Q220" s="47"/>
      <c r="R220" s="48" t="str">
        <f aca="false">IF(Q220="","",IF(Q220=0,"below 5:00",IF(Q220&gt;=66,"16:00 or above",INT((60+2*Q220)/12)&amp;":"&amp;TEXT(MOD(60+2*Q220,12),"00"))))</f>
        <v/>
      </c>
      <c r="S220" s="47"/>
      <c r="T220" s="47"/>
      <c r="U220" s="47"/>
      <c r="V220" s="47"/>
      <c r="W220" s="47"/>
      <c r="X220" s="47"/>
      <c r="Y220" s="47"/>
      <c r="Z220" s="47"/>
      <c r="AA220" s="47"/>
      <c r="AB220" s="47"/>
      <c r="AC220" s="47"/>
      <c r="AD220" s="47"/>
      <c r="AE220" s="47"/>
      <c r="AF220" s="47"/>
      <c r="AG220" s="47"/>
      <c r="AH220" s="47"/>
      <c r="AI220" s="46"/>
      <c r="AJ220" s="46"/>
      <c r="AK220" s="46"/>
      <c r="AL220" s="7"/>
      <c r="AM220" s="49" t="str">
        <f aca="false">IF(OR(C220="",G220=""),"",IFERROR(DATEDIF(C220,G220,"m"),""))</f>
        <v/>
      </c>
      <c r="AN220" s="49" t="str">
        <f aca="false">IF(OR(Q220="",AM220=""),"",60+2*Q220-AM220)</f>
        <v/>
      </c>
      <c r="AO220" s="49" t="str">
        <f aca="false">IF(OR(G220="",AJ220=""),"",AJ220-G220)</f>
        <v/>
      </c>
      <c r="AP220" s="50" t="str">
        <f aca="false">IF(AND(A220="",B220=""),"",IF(J220="","Status needed",IF(OR(J220="Applied",J220="Visit booked",J220="Withdrawn"),"OK",IF(G220="","Date assessed needed",IF(C220="","Date of birth needed",IF(COUNTA(L220,M220,P220,U220,V220,X220,AB220)&lt;7,"Band missing",IF(AND(OR(J220="Decision confirmed",J220="Family told",J220="Enrolled"),AG220=""),"Recommendation needed",IF(AND(OR(J220="Family told",J220="Enrolled"),AJ220=""),"Date family told needed","OK"))))))))</f>
        <v/>
      </c>
    </row>
    <row r="221" customFormat="false" ht="15" hidden="false" customHeight="false" outlineLevel="0" collapsed="false">
      <c r="A221" s="7"/>
      <c r="B221" s="7"/>
      <c r="C221" s="46"/>
      <c r="D221" s="7"/>
      <c r="E221" s="47"/>
      <c r="F221" s="46"/>
      <c r="G221" s="46"/>
      <c r="H221" s="7"/>
      <c r="I221" s="7"/>
      <c r="J221" s="47"/>
      <c r="K221" s="47"/>
      <c r="L221" s="47"/>
      <c r="M221" s="47"/>
      <c r="N221" s="10"/>
      <c r="O221" s="47"/>
      <c r="P221" s="47"/>
      <c r="Q221" s="47"/>
      <c r="R221" s="48" t="str">
        <f aca="false">IF(Q221="","",IF(Q221=0,"below 5:00",IF(Q221&gt;=66,"16:00 or above",INT((60+2*Q221)/12)&amp;":"&amp;TEXT(MOD(60+2*Q221,12),"00"))))</f>
        <v/>
      </c>
      <c r="S221" s="47"/>
      <c r="T221" s="47"/>
      <c r="U221" s="47"/>
      <c r="V221" s="47"/>
      <c r="W221" s="47"/>
      <c r="X221" s="47"/>
      <c r="Y221" s="47"/>
      <c r="Z221" s="47"/>
      <c r="AA221" s="47"/>
      <c r="AB221" s="47"/>
      <c r="AC221" s="47"/>
      <c r="AD221" s="47"/>
      <c r="AE221" s="47"/>
      <c r="AF221" s="47"/>
      <c r="AG221" s="47"/>
      <c r="AH221" s="47"/>
      <c r="AI221" s="46"/>
      <c r="AJ221" s="46"/>
      <c r="AK221" s="46"/>
      <c r="AL221" s="7"/>
      <c r="AM221" s="49" t="str">
        <f aca="false">IF(OR(C221="",G221=""),"",IFERROR(DATEDIF(C221,G221,"m"),""))</f>
        <v/>
      </c>
      <c r="AN221" s="49" t="str">
        <f aca="false">IF(OR(Q221="",AM221=""),"",60+2*Q221-AM221)</f>
        <v/>
      </c>
      <c r="AO221" s="49" t="str">
        <f aca="false">IF(OR(G221="",AJ221=""),"",AJ221-G221)</f>
        <v/>
      </c>
      <c r="AP221" s="50" t="str">
        <f aca="false">IF(AND(A221="",B221=""),"",IF(J221="","Status needed",IF(OR(J221="Applied",J221="Visit booked",J221="Withdrawn"),"OK",IF(G221="","Date assessed needed",IF(C221="","Date of birth needed",IF(COUNTA(L221,M221,P221,U221,V221,X221,AB221)&lt;7,"Band missing",IF(AND(OR(J221="Decision confirmed",J221="Family told",J221="Enrolled"),AG221=""),"Recommendation needed",IF(AND(OR(J221="Family told",J221="Enrolled"),AJ221=""),"Date family told needed","OK"))))))))</f>
        <v/>
      </c>
    </row>
    <row r="222" customFormat="false" ht="15" hidden="false" customHeight="false" outlineLevel="0" collapsed="false">
      <c r="A222" s="7"/>
      <c r="B222" s="7"/>
      <c r="C222" s="46"/>
      <c r="D222" s="7"/>
      <c r="E222" s="47"/>
      <c r="F222" s="46"/>
      <c r="G222" s="46"/>
      <c r="H222" s="7"/>
      <c r="I222" s="7"/>
      <c r="J222" s="47"/>
      <c r="K222" s="47"/>
      <c r="L222" s="47"/>
      <c r="M222" s="47"/>
      <c r="N222" s="10"/>
      <c r="O222" s="47"/>
      <c r="P222" s="47"/>
      <c r="Q222" s="47"/>
      <c r="R222" s="48" t="str">
        <f aca="false">IF(Q222="","",IF(Q222=0,"below 5:00",IF(Q222&gt;=66,"16:00 or above",INT((60+2*Q222)/12)&amp;":"&amp;TEXT(MOD(60+2*Q222,12),"00"))))</f>
        <v/>
      </c>
      <c r="S222" s="47"/>
      <c r="T222" s="47"/>
      <c r="U222" s="47"/>
      <c r="V222" s="47"/>
      <c r="W222" s="47"/>
      <c r="X222" s="47"/>
      <c r="Y222" s="47"/>
      <c r="Z222" s="47"/>
      <c r="AA222" s="47"/>
      <c r="AB222" s="47"/>
      <c r="AC222" s="47"/>
      <c r="AD222" s="47"/>
      <c r="AE222" s="47"/>
      <c r="AF222" s="47"/>
      <c r="AG222" s="47"/>
      <c r="AH222" s="47"/>
      <c r="AI222" s="46"/>
      <c r="AJ222" s="46"/>
      <c r="AK222" s="46"/>
      <c r="AL222" s="7"/>
      <c r="AM222" s="49" t="str">
        <f aca="false">IF(OR(C222="",G222=""),"",IFERROR(DATEDIF(C222,G222,"m"),""))</f>
        <v/>
      </c>
      <c r="AN222" s="49" t="str">
        <f aca="false">IF(OR(Q222="",AM222=""),"",60+2*Q222-AM222)</f>
        <v/>
      </c>
      <c r="AO222" s="49" t="str">
        <f aca="false">IF(OR(G222="",AJ222=""),"",AJ222-G222)</f>
        <v/>
      </c>
      <c r="AP222" s="50" t="str">
        <f aca="false">IF(AND(A222="",B222=""),"",IF(J222="","Status needed",IF(OR(J222="Applied",J222="Visit booked",J222="Withdrawn"),"OK",IF(G222="","Date assessed needed",IF(C222="","Date of birth needed",IF(COUNTA(L222,M222,P222,U222,V222,X222,AB222)&lt;7,"Band missing",IF(AND(OR(J222="Decision confirmed",J222="Family told",J222="Enrolled"),AG222=""),"Recommendation needed",IF(AND(OR(J222="Family told",J222="Enrolled"),AJ222=""),"Date family told needed","OK"))))))))</f>
        <v/>
      </c>
    </row>
    <row r="223" customFormat="false" ht="15" hidden="false" customHeight="false" outlineLevel="0" collapsed="false">
      <c r="A223" s="7"/>
      <c r="B223" s="7"/>
      <c r="C223" s="46"/>
      <c r="D223" s="7"/>
      <c r="E223" s="47"/>
      <c r="F223" s="46"/>
      <c r="G223" s="46"/>
      <c r="H223" s="7"/>
      <c r="I223" s="7"/>
      <c r="J223" s="47"/>
      <c r="K223" s="47"/>
      <c r="L223" s="47"/>
      <c r="M223" s="47"/>
      <c r="N223" s="10"/>
      <c r="O223" s="47"/>
      <c r="P223" s="47"/>
      <c r="Q223" s="47"/>
      <c r="R223" s="48" t="str">
        <f aca="false">IF(Q223="","",IF(Q223=0,"below 5:00",IF(Q223&gt;=66,"16:00 or above",INT((60+2*Q223)/12)&amp;":"&amp;TEXT(MOD(60+2*Q223,12),"00"))))</f>
        <v/>
      </c>
      <c r="S223" s="47"/>
      <c r="T223" s="47"/>
      <c r="U223" s="47"/>
      <c r="V223" s="47"/>
      <c r="W223" s="47"/>
      <c r="X223" s="47"/>
      <c r="Y223" s="47"/>
      <c r="Z223" s="47"/>
      <c r="AA223" s="47"/>
      <c r="AB223" s="47"/>
      <c r="AC223" s="47"/>
      <c r="AD223" s="47"/>
      <c r="AE223" s="47"/>
      <c r="AF223" s="47"/>
      <c r="AG223" s="47"/>
      <c r="AH223" s="47"/>
      <c r="AI223" s="46"/>
      <c r="AJ223" s="46"/>
      <c r="AK223" s="46"/>
      <c r="AL223" s="7"/>
      <c r="AM223" s="49" t="str">
        <f aca="false">IF(OR(C223="",G223=""),"",IFERROR(DATEDIF(C223,G223,"m"),""))</f>
        <v/>
      </c>
      <c r="AN223" s="49" t="str">
        <f aca="false">IF(OR(Q223="",AM223=""),"",60+2*Q223-AM223)</f>
        <v/>
      </c>
      <c r="AO223" s="49" t="str">
        <f aca="false">IF(OR(G223="",AJ223=""),"",AJ223-G223)</f>
        <v/>
      </c>
      <c r="AP223" s="50" t="str">
        <f aca="false">IF(AND(A223="",B223=""),"",IF(J223="","Status needed",IF(OR(J223="Applied",J223="Visit booked",J223="Withdrawn"),"OK",IF(G223="","Date assessed needed",IF(C223="","Date of birth needed",IF(COUNTA(L223,M223,P223,U223,V223,X223,AB223)&lt;7,"Band missing",IF(AND(OR(J223="Decision confirmed",J223="Family told",J223="Enrolled"),AG223=""),"Recommendation needed",IF(AND(OR(J223="Family told",J223="Enrolled"),AJ223=""),"Date family told needed","OK"))))))))</f>
        <v/>
      </c>
    </row>
    <row r="224" customFormat="false" ht="15" hidden="false" customHeight="false" outlineLevel="0" collapsed="false">
      <c r="A224" s="7"/>
      <c r="B224" s="7"/>
      <c r="C224" s="46"/>
      <c r="D224" s="7"/>
      <c r="E224" s="47"/>
      <c r="F224" s="46"/>
      <c r="G224" s="46"/>
      <c r="H224" s="7"/>
      <c r="I224" s="7"/>
      <c r="J224" s="47"/>
      <c r="K224" s="47"/>
      <c r="L224" s="47"/>
      <c r="M224" s="47"/>
      <c r="N224" s="10"/>
      <c r="O224" s="47"/>
      <c r="P224" s="47"/>
      <c r="Q224" s="47"/>
      <c r="R224" s="48" t="str">
        <f aca="false">IF(Q224="","",IF(Q224=0,"below 5:00",IF(Q224&gt;=66,"16:00 or above",INT((60+2*Q224)/12)&amp;":"&amp;TEXT(MOD(60+2*Q224,12),"00"))))</f>
        <v/>
      </c>
      <c r="S224" s="47"/>
      <c r="T224" s="47"/>
      <c r="U224" s="47"/>
      <c r="V224" s="47"/>
      <c r="W224" s="47"/>
      <c r="X224" s="47"/>
      <c r="Y224" s="47"/>
      <c r="Z224" s="47"/>
      <c r="AA224" s="47"/>
      <c r="AB224" s="47"/>
      <c r="AC224" s="47"/>
      <c r="AD224" s="47"/>
      <c r="AE224" s="47"/>
      <c r="AF224" s="47"/>
      <c r="AG224" s="47"/>
      <c r="AH224" s="47"/>
      <c r="AI224" s="46"/>
      <c r="AJ224" s="46"/>
      <c r="AK224" s="46"/>
      <c r="AL224" s="7"/>
      <c r="AM224" s="49" t="str">
        <f aca="false">IF(OR(C224="",G224=""),"",IFERROR(DATEDIF(C224,G224,"m"),""))</f>
        <v/>
      </c>
      <c r="AN224" s="49" t="str">
        <f aca="false">IF(OR(Q224="",AM224=""),"",60+2*Q224-AM224)</f>
        <v/>
      </c>
      <c r="AO224" s="49" t="str">
        <f aca="false">IF(OR(G224="",AJ224=""),"",AJ224-G224)</f>
        <v/>
      </c>
      <c r="AP224" s="50" t="str">
        <f aca="false">IF(AND(A224="",B224=""),"",IF(J224="","Status needed",IF(OR(J224="Applied",J224="Visit booked",J224="Withdrawn"),"OK",IF(G224="","Date assessed needed",IF(C224="","Date of birth needed",IF(COUNTA(L224,M224,P224,U224,V224,X224,AB224)&lt;7,"Band missing",IF(AND(OR(J224="Decision confirmed",J224="Family told",J224="Enrolled"),AG224=""),"Recommendation needed",IF(AND(OR(J224="Family told",J224="Enrolled"),AJ224=""),"Date family told needed","OK"))))))))</f>
        <v/>
      </c>
    </row>
    <row r="225" customFormat="false" ht="15" hidden="false" customHeight="false" outlineLevel="0" collapsed="false">
      <c r="A225" s="7"/>
      <c r="B225" s="7"/>
      <c r="C225" s="46"/>
      <c r="D225" s="7"/>
      <c r="E225" s="47"/>
      <c r="F225" s="46"/>
      <c r="G225" s="46"/>
      <c r="H225" s="7"/>
      <c r="I225" s="7"/>
      <c r="J225" s="47"/>
      <c r="K225" s="47"/>
      <c r="L225" s="47"/>
      <c r="M225" s="47"/>
      <c r="N225" s="10"/>
      <c r="O225" s="47"/>
      <c r="P225" s="47"/>
      <c r="Q225" s="47"/>
      <c r="R225" s="48" t="str">
        <f aca="false">IF(Q225="","",IF(Q225=0,"below 5:00",IF(Q225&gt;=66,"16:00 or above",INT((60+2*Q225)/12)&amp;":"&amp;TEXT(MOD(60+2*Q225,12),"00"))))</f>
        <v/>
      </c>
      <c r="S225" s="47"/>
      <c r="T225" s="47"/>
      <c r="U225" s="47"/>
      <c r="V225" s="47"/>
      <c r="W225" s="47"/>
      <c r="X225" s="47"/>
      <c r="Y225" s="47"/>
      <c r="Z225" s="47"/>
      <c r="AA225" s="47"/>
      <c r="AB225" s="47"/>
      <c r="AC225" s="47"/>
      <c r="AD225" s="47"/>
      <c r="AE225" s="47"/>
      <c r="AF225" s="47"/>
      <c r="AG225" s="47"/>
      <c r="AH225" s="47"/>
      <c r="AI225" s="46"/>
      <c r="AJ225" s="46"/>
      <c r="AK225" s="46"/>
      <c r="AL225" s="7"/>
      <c r="AM225" s="49" t="str">
        <f aca="false">IF(OR(C225="",G225=""),"",IFERROR(DATEDIF(C225,G225,"m"),""))</f>
        <v/>
      </c>
      <c r="AN225" s="49" t="str">
        <f aca="false">IF(OR(Q225="",AM225=""),"",60+2*Q225-AM225)</f>
        <v/>
      </c>
      <c r="AO225" s="49" t="str">
        <f aca="false">IF(OR(G225="",AJ225=""),"",AJ225-G225)</f>
        <v/>
      </c>
      <c r="AP225" s="50" t="str">
        <f aca="false">IF(AND(A225="",B225=""),"",IF(J225="","Status needed",IF(OR(J225="Applied",J225="Visit booked",J225="Withdrawn"),"OK",IF(G225="","Date assessed needed",IF(C225="","Date of birth needed",IF(COUNTA(L225,M225,P225,U225,V225,X225,AB225)&lt;7,"Band missing",IF(AND(OR(J225="Decision confirmed",J225="Family told",J225="Enrolled"),AG225=""),"Recommendation needed",IF(AND(OR(J225="Family told",J225="Enrolled"),AJ225=""),"Date family told needed","OK"))))))))</f>
        <v/>
      </c>
    </row>
    <row r="226" customFormat="false" ht="15" hidden="false" customHeight="false" outlineLevel="0" collapsed="false">
      <c r="A226" s="7"/>
      <c r="B226" s="7"/>
      <c r="C226" s="46"/>
      <c r="D226" s="7"/>
      <c r="E226" s="47"/>
      <c r="F226" s="46"/>
      <c r="G226" s="46"/>
      <c r="H226" s="7"/>
      <c r="I226" s="7"/>
      <c r="J226" s="47"/>
      <c r="K226" s="47"/>
      <c r="L226" s="47"/>
      <c r="M226" s="47"/>
      <c r="N226" s="10"/>
      <c r="O226" s="47"/>
      <c r="P226" s="47"/>
      <c r="Q226" s="47"/>
      <c r="R226" s="48" t="str">
        <f aca="false">IF(Q226="","",IF(Q226=0,"below 5:00",IF(Q226&gt;=66,"16:00 or above",INT((60+2*Q226)/12)&amp;":"&amp;TEXT(MOD(60+2*Q226,12),"00"))))</f>
        <v/>
      </c>
      <c r="S226" s="47"/>
      <c r="T226" s="47"/>
      <c r="U226" s="47"/>
      <c r="V226" s="47"/>
      <c r="W226" s="47"/>
      <c r="X226" s="47"/>
      <c r="Y226" s="47"/>
      <c r="Z226" s="47"/>
      <c r="AA226" s="47"/>
      <c r="AB226" s="47"/>
      <c r="AC226" s="47"/>
      <c r="AD226" s="47"/>
      <c r="AE226" s="47"/>
      <c r="AF226" s="47"/>
      <c r="AG226" s="47"/>
      <c r="AH226" s="47"/>
      <c r="AI226" s="46"/>
      <c r="AJ226" s="46"/>
      <c r="AK226" s="46"/>
      <c r="AL226" s="7"/>
      <c r="AM226" s="49" t="str">
        <f aca="false">IF(OR(C226="",G226=""),"",IFERROR(DATEDIF(C226,G226,"m"),""))</f>
        <v/>
      </c>
      <c r="AN226" s="49" t="str">
        <f aca="false">IF(OR(Q226="",AM226=""),"",60+2*Q226-AM226)</f>
        <v/>
      </c>
      <c r="AO226" s="49" t="str">
        <f aca="false">IF(OR(G226="",AJ226=""),"",AJ226-G226)</f>
        <v/>
      </c>
      <c r="AP226" s="50" t="str">
        <f aca="false">IF(AND(A226="",B226=""),"",IF(J226="","Status needed",IF(OR(J226="Applied",J226="Visit booked",J226="Withdrawn"),"OK",IF(G226="","Date assessed needed",IF(C226="","Date of birth needed",IF(COUNTA(L226,M226,P226,U226,V226,X226,AB226)&lt;7,"Band missing",IF(AND(OR(J226="Decision confirmed",J226="Family told",J226="Enrolled"),AG226=""),"Recommendation needed",IF(AND(OR(J226="Family told",J226="Enrolled"),AJ226=""),"Date family told needed","OK"))))))))</f>
        <v/>
      </c>
    </row>
    <row r="227" customFormat="false" ht="15" hidden="false" customHeight="false" outlineLevel="0" collapsed="false">
      <c r="A227" s="7"/>
      <c r="B227" s="7"/>
      <c r="C227" s="46"/>
      <c r="D227" s="7"/>
      <c r="E227" s="47"/>
      <c r="F227" s="46"/>
      <c r="G227" s="46"/>
      <c r="H227" s="7"/>
      <c r="I227" s="7"/>
      <c r="J227" s="47"/>
      <c r="K227" s="47"/>
      <c r="L227" s="47"/>
      <c r="M227" s="47"/>
      <c r="N227" s="10"/>
      <c r="O227" s="47"/>
      <c r="P227" s="47"/>
      <c r="Q227" s="47"/>
      <c r="R227" s="48" t="str">
        <f aca="false">IF(Q227="","",IF(Q227=0,"below 5:00",IF(Q227&gt;=66,"16:00 or above",INT((60+2*Q227)/12)&amp;":"&amp;TEXT(MOD(60+2*Q227,12),"00"))))</f>
        <v/>
      </c>
      <c r="S227" s="47"/>
      <c r="T227" s="47"/>
      <c r="U227" s="47"/>
      <c r="V227" s="47"/>
      <c r="W227" s="47"/>
      <c r="X227" s="47"/>
      <c r="Y227" s="47"/>
      <c r="Z227" s="47"/>
      <c r="AA227" s="47"/>
      <c r="AB227" s="47"/>
      <c r="AC227" s="47"/>
      <c r="AD227" s="47"/>
      <c r="AE227" s="47"/>
      <c r="AF227" s="47"/>
      <c r="AG227" s="47"/>
      <c r="AH227" s="47"/>
      <c r="AI227" s="46"/>
      <c r="AJ227" s="46"/>
      <c r="AK227" s="46"/>
      <c r="AL227" s="7"/>
      <c r="AM227" s="49" t="str">
        <f aca="false">IF(OR(C227="",G227=""),"",IFERROR(DATEDIF(C227,G227,"m"),""))</f>
        <v/>
      </c>
      <c r="AN227" s="49" t="str">
        <f aca="false">IF(OR(Q227="",AM227=""),"",60+2*Q227-AM227)</f>
        <v/>
      </c>
      <c r="AO227" s="49" t="str">
        <f aca="false">IF(OR(G227="",AJ227=""),"",AJ227-G227)</f>
        <v/>
      </c>
      <c r="AP227" s="50" t="str">
        <f aca="false">IF(AND(A227="",B227=""),"",IF(J227="","Status needed",IF(OR(J227="Applied",J227="Visit booked",J227="Withdrawn"),"OK",IF(G227="","Date assessed needed",IF(C227="","Date of birth needed",IF(COUNTA(L227,M227,P227,U227,V227,X227,AB227)&lt;7,"Band missing",IF(AND(OR(J227="Decision confirmed",J227="Family told",J227="Enrolled"),AG227=""),"Recommendation needed",IF(AND(OR(J227="Family told",J227="Enrolled"),AJ227=""),"Date family told needed","OK"))))))))</f>
        <v/>
      </c>
    </row>
    <row r="228" customFormat="false" ht="15" hidden="false" customHeight="false" outlineLevel="0" collapsed="false">
      <c r="A228" s="7"/>
      <c r="B228" s="7"/>
      <c r="C228" s="46"/>
      <c r="D228" s="7"/>
      <c r="E228" s="47"/>
      <c r="F228" s="46"/>
      <c r="G228" s="46"/>
      <c r="H228" s="7"/>
      <c r="I228" s="7"/>
      <c r="J228" s="47"/>
      <c r="K228" s="47"/>
      <c r="L228" s="47"/>
      <c r="M228" s="47"/>
      <c r="N228" s="10"/>
      <c r="O228" s="47"/>
      <c r="P228" s="47"/>
      <c r="Q228" s="47"/>
      <c r="R228" s="48" t="str">
        <f aca="false">IF(Q228="","",IF(Q228=0,"below 5:00",IF(Q228&gt;=66,"16:00 or above",INT((60+2*Q228)/12)&amp;":"&amp;TEXT(MOD(60+2*Q228,12),"00"))))</f>
        <v/>
      </c>
      <c r="S228" s="47"/>
      <c r="T228" s="47"/>
      <c r="U228" s="47"/>
      <c r="V228" s="47"/>
      <c r="W228" s="47"/>
      <c r="X228" s="47"/>
      <c r="Y228" s="47"/>
      <c r="Z228" s="47"/>
      <c r="AA228" s="47"/>
      <c r="AB228" s="47"/>
      <c r="AC228" s="47"/>
      <c r="AD228" s="47"/>
      <c r="AE228" s="47"/>
      <c r="AF228" s="47"/>
      <c r="AG228" s="47"/>
      <c r="AH228" s="47"/>
      <c r="AI228" s="46"/>
      <c r="AJ228" s="46"/>
      <c r="AK228" s="46"/>
      <c r="AL228" s="7"/>
      <c r="AM228" s="49" t="str">
        <f aca="false">IF(OR(C228="",G228=""),"",IFERROR(DATEDIF(C228,G228,"m"),""))</f>
        <v/>
      </c>
      <c r="AN228" s="49" t="str">
        <f aca="false">IF(OR(Q228="",AM228=""),"",60+2*Q228-AM228)</f>
        <v/>
      </c>
      <c r="AO228" s="49" t="str">
        <f aca="false">IF(OR(G228="",AJ228=""),"",AJ228-G228)</f>
        <v/>
      </c>
      <c r="AP228" s="50" t="str">
        <f aca="false">IF(AND(A228="",B228=""),"",IF(J228="","Status needed",IF(OR(J228="Applied",J228="Visit booked",J228="Withdrawn"),"OK",IF(G228="","Date assessed needed",IF(C228="","Date of birth needed",IF(COUNTA(L228,M228,P228,U228,V228,X228,AB228)&lt;7,"Band missing",IF(AND(OR(J228="Decision confirmed",J228="Family told",J228="Enrolled"),AG228=""),"Recommendation needed",IF(AND(OR(J228="Family told",J228="Enrolled"),AJ228=""),"Date family told needed","OK"))))))))</f>
        <v/>
      </c>
    </row>
    <row r="229" customFormat="false" ht="15" hidden="false" customHeight="false" outlineLevel="0" collapsed="false">
      <c r="A229" s="7"/>
      <c r="B229" s="7"/>
      <c r="C229" s="46"/>
      <c r="D229" s="7"/>
      <c r="E229" s="47"/>
      <c r="F229" s="46"/>
      <c r="G229" s="46"/>
      <c r="H229" s="7"/>
      <c r="I229" s="7"/>
      <c r="J229" s="47"/>
      <c r="K229" s="47"/>
      <c r="L229" s="47"/>
      <c r="M229" s="47"/>
      <c r="N229" s="10"/>
      <c r="O229" s="47"/>
      <c r="P229" s="47"/>
      <c r="Q229" s="47"/>
      <c r="R229" s="48" t="str">
        <f aca="false">IF(Q229="","",IF(Q229=0,"below 5:00",IF(Q229&gt;=66,"16:00 or above",INT((60+2*Q229)/12)&amp;":"&amp;TEXT(MOD(60+2*Q229,12),"00"))))</f>
        <v/>
      </c>
      <c r="S229" s="47"/>
      <c r="T229" s="47"/>
      <c r="U229" s="47"/>
      <c r="V229" s="47"/>
      <c r="W229" s="47"/>
      <c r="X229" s="47"/>
      <c r="Y229" s="47"/>
      <c r="Z229" s="47"/>
      <c r="AA229" s="47"/>
      <c r="AB229" s="47"/>
      <c r="AC229" s="47"/>
      <c r="AD229" s="47"/>
      <c r="AE229" s="47"/>
      <c r="AF229" s="47"/>
      <c r="AG229" s="47"/>
      <c r="AH229" s="47"/>
      <c r="AI229" s="46"/>
      <c r="AJ229" s="46"/>
      <c r="AK229" s="46"/>
      <c r="AL229" s="7"/>
      <c r="AM229" s="49" t="str">
        <f aca="false">IF(OR(C229="",G229=""),"",IFERROR(DATEDIF(C229,G229,"m"),""))</f>
        <v/>
      </c>
      <c r="AN229" s="49" t="str">
        <f aca="false">IF(OR(Q229="",AM229=""),"",60+2*Q229-AM229)</f>
        <v/>
      </c>
      <c r="AO229" s="49" t="str">
        <f aca="false">IF(OR(G229="",AJ229=""),"",AJ229-G229)</f>
        <v/>
      </c>
      <c r="AP229" s="50" t="str">
        <f aca="false">IF(AND(A229="",B229=""),"",IF(J229="","Status needed",IF(OR(J229="Applied",J229="Visit booked",J229="Withdrawn"),"OK",IF(G229="","Date assessed needed",IF(C229="","Date of birth needed",IF(COUNTA(L229,M229,P229,U229,V229,X229,AB229)&lt;7,"Band missing",IF(AND(OR(J229="Decision confirmed",J229="Family told",J229="Enrolled"),AG229=""),"Recommendation needed",IF(AND(OR(J229="Family told",J229="Enrolled"),AJ229=""),"Date family told needed","OK"))))))))</f>
        <v/>
      </c>
    </row>
    <row r="230" customFormat="false" ht="15" hidden="false" customHeight="false" outlineLevel="0" collapsed="false">
      <c r="A230" s="7"/>
      <c r="B230" s="7"/>
      <c r="C230" s="46"/>
      <c r="D230" s="7"/>
      <c r="E230" s="47"/>
      <c r="F230" s="46"/>
      <c r="G230" s="46"/>
      <c r="H230" s="7"/>
      <c r="I230" s="7"/>
      <c r="J230" s="47"/>
      <c r="K230" s="47"/>
      <c r="L230" s="47"/>
      <c r="M230" s="47"/>
      <c r="N230" s="10"/>
      <c r="O230" s="47"/>
      <c r="P230" s="47"/>
      <c r="Q230" s="47"/>
      <c r="R230" s="48" t="str">
        <f aca="false">IF(Q230="","",IF(Q230=0,"below 5:00",IF(Q230&gt;=66,"16:00 or above",INT((60+2*Q230)/12)&amp;":"&amp;TEXT(MOD(60+2*Q230,12),"00"))))</f>
        <v/>
      </c>
      <c r="S230" s="47"/>
      <c r="T230" s="47"/>
      <c r="U230" s="47"/>
      <c r="V230" s="47"/>
      <c r="W230" s="47"/>
      <c r="X230" s="47"/>
      <c r="Y230" s="47"/>
      <c r="Z230" s="47"/>
      <c r="AA230" s="47"/>
      <c r="AB230" s="47"/>
      <c r="AC230" s="47"/>
      <c r="AD230" s="47"/>
      <c r="AE230" s="47"/>
      <c r="AF230" s="47"/>
      <c r="AG230" s="47"/>
      <c r="AH230" s="47"/>
      <c r="AI230" s="46"/>
      <c r="AJ230" s="46"/>
      <c r="AK230" s="46"/>
      <c r="AL230" s="7"/>
      <c r="AM230" s="49" t="str">
        <f aca="false">IF(OR(C230="",G230=""),"",IFERROR(DATEDIF(C230,G230,"m"),""))</f>
        <v/>
      </c>
      <c r="AN230" s="49" t="str">
        <f aca="false">IF(OR(Q230="",AM230=""),"",60+2*Q230-AM230)</f>
        <v/>
      </c>
      <c r="AO230" s="49" t="str">
        <f aca="false">IF(OR(G230="",AJ230=""),"",AJ230-G230)</f>
        <v/>
      </c>
      <c r="AP230" s="50" t="str">
        <f aca="false">IF(AND(A230="",B230=""),"",IF(J230="","Status needed",IF(OR(J230="Applied",J230="Visit booked",J230="Withdrawn"),"OK",IF(G230="","Date assessed needed",IF(C230="","Date of birth needed",IF(COUNTA(L230,M230,P230,U230,V230,X230,AB230)&lt;7,"Band missing",IF(AND(OR(J230="Decision confirmed",J230="Family told",J230="Enrolled"),AG230=""),"Recommendation needed",IF(AND(OR(J230="Family told",J230="Enrolled"),AJ230=""),"Date family told needed","OK"))))))))</f>
        <v/>
      </c>
    </row>
    <row r="231" customFormat="false" ht="15" hidden="false" customHeight="false" outlineLevel="0" collapsed="false">
      <c r="A231" s="7"/>
      <c r="B231" s="7"/>
      <c r="C231" s="46"/>
      <c r="D231" s="7"/>
      <c r="E231" s="47"/>
      <c r="F231" s="46"/>
      <c r="G231" s="46"/>
      <c r="H231" s="7"/>
      <c r="I231" s="7"/>
      <c r="J231" s="47"/>
      <c r="K231" s="47"/>
      <c r="L231" s="47"/>
      <c r="M231" s="47"/>
      <c r="N231" s="10"/>
      <c r="O231" s="47"/>
      <c r="P231" s="47"/>
      <c r="Q231" s="47"/>
      <c r="R231" s="48" t="str">
        <f aca="false">IF(Q231="","",IF(Q231=0,"below 5:00",IF(Q231&gt;=66,"16:00 or above",INT((60+2*Q231)/12)&amp;":"&amp;TEXT(MOD(60+2*Q231,12),"00"))))</f>
        <v/>
      </c>
      <c r="S231" s="47"/>
      <c r="T231" s="47"/>
      <c r="U231" s="47"/>
      <c r="V231" s="47"/>
      <c r="W231" s="47"/>
      <c r="X231" s="47"/>
      <c r="Y231" s="47"/>
      <c r="Z231" s="47"/>
      <c r="AA231" s="47"/>
      <c r="AB231" s="47"/>
      <c r="AC231" s="47"/>
      <c r="AD231" s="47"/>
      <c r="AE231" s="47"/>
      <c r="AF231" s="47"/>
      <c r="AG231" s="47"/>
      <c r="AH231" s="47"/>
      <c r="AI231" s="46"/>
      <c r="AJ231" s="46"/>
      <c r="AK231" s="46"/>
      <c r="AL231" s="7"/>
      <c r="AM231" s="49" t="str">
        <f aca="false">IF(OR(C231="",G231=""),"",IFERROR(DATEDIF(C231,G231,"m"),""))</f>
        <v/>
      </c>
      <c r="AN231" s="49" t="str">
        <f aca="false">IF(OR(Q231="",AM231=""),"",60+2*Q231-AM231)</f>
        <v/>
      </c>
      <c r="AO231" s="49" t="str">
        <f aca="false">IF(OR(G231="",AJ231=""),"",AJ231-G231)</f>
        <v/>
      </c>
      <c r="AP231" s="50" t="str">
        <f aca="false">IF(AND(A231="",B231=""),"",IF(J231="","Status needed",IF(OR(J231="Applied",J231="Visit booked",J231="Withdrawn"),"OK",IF(G231="","Date assessed needed",IF(C231="","Date of birth needed",IF(COUNTA(L231,M231,P231,U231,V231,X231,AB231)&lt;7,"Band missing",IF(AND(OR(J231="Decision confirmed",J231="Family told",J231="Enrolled"),AG231=""),"Recommendation needed",IF(AND(OR(J231="Family told",J231="Enrolled"),AJ231=""),"Date family told needed","OK"))))))))</f>
        <v/>
      </c>
    </row>
    <row r="232" customFormat="false" ht="15" hidden="false" customHeight="false" outlineLevel="0" collapsed="false">
      <c r="A232" s="7"/>
      <c r="B232" s="7"/>
      <c r="C232" s="46"/>
      <c r="D232" s="7"/>
      <c r="E232" s="47"/>
      <c r="F232" s="46"/>
      <c r="G232" s="46"/>
      <c r="H232" s="7"/>
      <c r="I232" s="7"/>
      <c r="J232" s="47"/>
      <c r="K232" s="47"/>
      <c r="L232" s="47"/>
      <c r="M232" s="47"/>
      <c r="N232" s="10"/>
      <c r="O232" s="47"/>
      <c r="P232" s="47"/>
      <c r="Q232" s="47"/>
      <c r="R232" s="48" t="str">
        <f aca="false">IF(Q232="","",IF(Q232=0,"below 5:00",IF(Q232&gt;=66,"16:00 or above",INT((60+2*Q232)/12)&amp;":"&amp;TEXT(MOD(60+2*Q232,12),"00"))))</f>
        <v/>
      </c>
      <c r="S232" s="47"/>
      <c r="T232" s="47"/>
      <c r="U232" s="47"/>
      <c r="V232" s="47"/>
      <c r="W232" s="47"/>
      <c r="X232" s="47"/>
      <c r="Y232" s="47"/>
      <c r="Z232" s="47"/>
      <c r="AA232" s="47"/>
      <c r="AB232" s="47"/>
      <c r="AC232" s="47"/>
      <c r="AD232" s="47"/>
      <c r="AE232" s="47"/>
      <c r="AF232" s="47"/>
      <c r="AG232" s="47"/>
      <c r="AH232" s="47"/>
      <c r="AI232" s="46"/>
      <c r="AJ232" s="46"/>
      <c r="AK232" s="46"/>
      <c r="AL232" s="7"/>
      <c r="AM232" s="49" t="str">
        <f aca="false">IF(OR(C232="",G232=""),"",IFERROR(DATEDIF(C232,G232,"m"),""))</f>
        <v/>
      </c>
      <c r="AN232" s="49" t="str">
        <f aca="false">IF(OR(Q232="",AM232=""),"",60+2*Q232-AM232)</f>
        <v/>
      </c>
      <c r="AO232" s="49" t="str">
        <f aca="false">IF(OR(G232="",AJ232=""),"",AJ232-G232)</f>
        <v/>
      </c>
      <c r="AP232" s="50" t="str">
        <f aca="false">IF(AND(A232="",B232=""),"",IF(J232="","Status needed",IF(OR(J232="Applied",J232="Visit booked",J232="Withdrawn"),"OK",IF(G232="","Date assessed needed",IF(C232="","Date of birth needed",IF(COUNTA(L232,M232,P232,U232,V232,X232,AB232)&lt;7,"Band missing",IF(AND(OR(J232="Decision confirmed",J232="Family told",J232="Enrolled"),AG232=""),"Recommendation needed",IF(AND(OR(J232="Family told",J232="Enrolled"),AJ232=""),"Date family told needed","OK"))))))))</f>
        <v/>
      </c>
    </row>
    <row r="233" customFormat="false" ht="15" hidden="false" customHeight="false" outlineLevel="0" collapsed="false">
      <c r="A233" s="7"/>
      <c r="B233" s="7"/>
      <c r="C233" s="46"/>
      <c r="D233" s="7"/>
      <c r="E233" s="47"/>
      <c r="F233" s="46"/>
      <c r="G233" s="46"/>
      <c r="H233" s="7"/>
      <c r="I233" s="7"/>
      <c r="J233" s="47"/>
      <c r="K233" s="47"/>
      <c r="L233" s="47"/>
      <c r="M233" s="47"/>
      <c r="N233" s="10"/>
      <c r="O233" s="47"/>
      <c r="P233" s="47"/>
      <c r="Q233" s="47"/>
      <c r="R233" s="48" t="str">
        <f aca="false">IF(Q233="","",IF(Q233=0,"below 5:00",IF(Q233&gt;=66,"16:00 or above",INT((60+2*Q233)/12)&amp;":"&amp;TEXT(MOD(60+2*Q233,12),"00"))))</f>
        <v/>
      </c>
      <c r="S233" s="47"/>
      <c r="T233" s="47"/>
      <c r="U233" s="47"/>
      <c r="V233" s="47"/>
      <c r="W233" s="47"/>
      <c r="X233" s="47"/>
      <c r="Y233" s="47"/>
      <c r="Z233" s="47"/>
      <c r="AA233" s="47"/>
      <c r="AB233" s="47"/>
      <c r="AC233" s="47"/>
      <c r="AD233" s="47"/>
      <c r="AE233" s="47"/>
      <c r="AF233" s="47"/>
      <c r="AG233" s="47"/>
      <c r="AH233" s="47"/>
      <c r="AI233" s="46"/>
      <c r="AJ233" s="46"/>
      <c r="AK233" s="46"/>
      <c r="AL233" s="7"/>
      <c r="AM233" s="49" t="str">
        <f aca="false">IF(OR(C233="",G233=""),"",IFERROR(DATEDIF(C233,G233,"m"),""))</f>
        <v/>
      </c>
      <c r="AN233" s="49" t="str">
        <f aca="false">IF(OR(Q233="",AM233=""),"",60+2*Q233-AM233)</f>
        <v/>
      </c>
      <c r="AO233" s="49" t="str">
        <f aca="false">IF(OR(G233="",AJ233=""),"",AJ233-G233)</f>
        <v/>
      </c>
      <c r="AP233" s="50" t="str">
        <f aca="false">IF(AND(A233="",B233=""),"",IF(J233="","Status needed",IF(OR(J233="Applied",J233="Visit booked",J233="Withdrawn"),"OK",IF(G233="","Date assessed needed",IF(C233="","Date of birth needed",IF(COUNTA(L233,M233,P233,U233,V233,X233,AB233)&lt;7,"Band missing",IF(AND(OR(J233="Decision confirmed",J233="Family told",J233="Enrolled"),AG233=""),"Recommendation needed",IF(AND(OR(J233="Family told",J233="Enrolled"),AJ233=""),"Date family told needed","OK"))))))))</f>
        <v/>
      </c>
    </row>
    <row r="234" customFormat="false" ht="15" hidden="false" customHeight="false" outlineLevel="0" collapsed="false">
      <c r="A234" s="7"/>
      <c r="B234" s="7"/>
      <c r="C234" s="46"/>
      <c r="D234" s="7"/>
      <c r="E234" s="47"/>
      <c r="F234" s="46"/>
      <c r="G234" s="46"/>
      <c r="H234" s="7"/>
      <c r="I234" s="7"/>
      <c r="J234" s="47"/>
      <c r="K234" s="47"/>
      <c r="L234" s="47"/>
      <c r="M234" s="47"/>
      <c r="N234" s="10"/>
      <c r="O234" s="47"/>
      <c r="P234" s="47"/>
      <c r="Q234" s="47"/>
      <c r="R234" s="48" t="str">
        <f aca="false">IF(Q234="","",IF(Q234=0,"below 5:00",IF(Q234&gt;=66,"16:00 or above",INT((60+2*Q234)/12)&amp;":"&amp;TEXT(MOD(60+2*Q234,12),"00"))))</f>
        <v/>
      </c>
      <c r="S234" s="47"/>
      <c r="T234" s="47"/>
      <c r="U234" s="47"/>
      <c r="V234" s="47"/>
      <c r="W234" s="47"/>
      <c r="X234" s="47"/>
      <c r="Y234" s="47"/>
      <c r="Z234" s="47"/>
      <c r="AA234" s="47"/>
      <c r="AB234" s="47"/>
      <c r="AC234" s="47"/>
      <c r="AD234" s="47"/>
      <c r="AE234" s="47"/>
      <c r="AF234" s="47"/>
      <c r="AG234" s="47"/>
      <c r="AH234" s="47"/>
      <c r="AI234" s="46"/>
      <c r="AJ234" s="46"/>
      <c r="AK234" s="46"/>
      <c r="AL234" s="7"/>
      <c r="AM234" s="49" t="str">
        <f aca="false">IF(OR(C234="",G234=""),"",IFERROR(DATEDIF(C234,G234,"m"),""))</f>
        <v/>
      </c>
      <c r="AN234" s="49" t="str">
        <f aca="false">IF(OR(Q234="",AM234=""),"",60+2*Q234-AM234)</f>
        <v/>
      </c>
      <c r="AO234" s="49" t="str">
        <f aca="false">IF(OR(G234="",AJ234=""),"",AJ234-G234)</f>
        <v/>
      </c>
      <c r="AP234" s="50" t="str">
        <f aca="false">IF(AND(A234="",B234=""),"",IF(J234="","Status needed",IF(OR(J234="Applied",J234="Visit booked",J234="Withdrawn"),"OK",IF(G234="","Date assessed needed",IF(C234="","Date of birth needed",IF(COUNTA(L234,M234,P234,U234,V234,X234,AB234)&lt;7,"Band missing",IF(AND(OR(J234="Decision confirmed",J234="Family told",J234="Enrolled"),AG234=""),"Recommendation needed",IF(AND(OR(J234="Family told",J234="Enrolled"),AJ234=""),"Date family told needed","OK"))))))))</f>
        <v/>
      </c>
    </row>
    <row r="235" customFormat="false" ht="15" hidden="false" customHeight="false" outlineLevel="0" collapsed="false">
      <c r="A235" s="7"/>
      <c r="B235" s="7"/>
      <c r="C235" s="46"/>
      <c r="D235" s="7"/>
      <c r="E235" s="47"/>
      <c r="F235" s="46"/>
      <c r="G235" s="46"/>
      <c r="H235" s="7"/>
      <c r="I235" s="7"/>
      <c r="J235" s="47"/>
      <c r="K235" s="47"/>
      <c r="L235" s="47"/>
      <c r="M235" s="47"/>
      <c r="N235" s="10"/>
      <c r="O235" s="47"/>
      <c r="P235" s="47"/>
      <c r="Q235" s="47"/>
      <c r="R235" s="48" t="str">
        <f aca="false">IF(Q235="","",IF(Q235=0,"below 5:00",IF(Q235&gt;=66,"16:00 or above",INT((60+2*Q235)/12)&amp;":"&amp;TEXT(MOD(60+2*Q235,12),"00"))))</f>
        <v/>
      </c>
      <c r="S235" s="47"/>
      <c r="T235" s="47"/>
      <c r="U235" s="47"/>
      <c r="V235" s="47"/>
      <c r="W235" s="47"/>
      <c r="X235" s="47"/>
      <c r="Y235" s="47"/>
      <c r="Z235" s="47"/>
      <c r="AA235" s="47"/>
      <c r="AB235" s="47"/>
      <c r="AC235" s="47"/>
      <c r="AD235" s="47"/>
      <c r="AE235" s="47"/>
      <c r="AF235" s="47"/>
      <c r="AG235" s="47"/>
      <c r="AH235" s="47"/>
      <c r="AI235" s="46"/>
      <c r="AJ235" s="46"/>
      <c r="AK235" s="46"/>
      <c r="AL235" s="7"/>
      <c r="AM235" s="49" t="str">
        <f aca="false">IF(OR(C235="",G235=""),"",IFERROR(DATEDIF(C235,G235,"m"),""))</f>
        <v/>
      </c>
      <c r="AN235" s="49" t="str">
        <f aca="false">IF(OR(Q235="",AM235=""),"",60+2*Q235-AM235)</f>
        <v/>
      </c>
      <c r="AO235" s="49" t="str">
        <f aca="false">IF(OR(G235="",AJ235=""),"",AJ235-G235)</f>
        <v/>
      </c>
      <c r="AP235" s="50" t="str">
        <f aca="false">IF(AND(A235="",B235=""),"",IF(J235="","Status needed",IF(OR(J235="Applied",J235="Visit booked",J235="Withdrawn"),"OK",IF(G235="","Date assessed needed",IF(C235="","Date of birth needed",IF(COUNTA(L235,M235,P235,U235,V235,X235,AB235)&lt;7,"Band missing",IF(AND(OR(J235="Decision confirmed",J235="Family told",J235="Enrolled"),AG235=""),"Recommendation needed",IF(AND(OR(J235="Family told",J235="Enrolled"),AJ235=""),"Date family told needed","OK"))))))))</f>
        <v/>
      </c>
    </row>
    <row r="236" customFormat="false" ht="15" hidden="false" customHeight="false" outlineLevel="0" collapsed="false">
      <c r="A236" s="7"/>
      <c r="B236" s="7"/>
      <c r="C236" s="46"/>
      <c r="D236" s="7"/>
      <c r="E236" s="47"/>
      <c r="F236" s="46"/>
      <c r="G236" s="46"/>
      <c r="H236" s="7"/>
      <c r="I236" s="7"/>
      <c r="J236" s="47"/>
      <c r="K236" s="47"/>
      <c r="L236" s="47"/>
      <c r="M236" s="47"/>
      <c r="N236" s="10"/>
      <c r="O236" s="47"/>
      <c r="P236" s="47"/>
      <c r="Q236" s="47"/>
      <c r="R236" s="48" t="str">
        <f aca="false">IF(Q236="","",IF(Q236=0,"below 5:00",IF(Q236&gt;=66,"16:00 or above",INT((60+2*Q236)/12)&amp;":"&amp;TEXT(MOD(60+2*Q236,12),"00"))))</f>
        <v/>
      </c>
      <c r="S236" s="47"/>
      <c r="T236" s="47"/>
      <c r="U236" s="47"/>
      <c r="V236" s="47"/>
      <c r="W236" s="47"/>
      <c r="X236" s="47"/>
      <c r="Y236" s="47"/>
      <c r="Z236" s="47"/>
      <c r="AA236" s="47"/>
      <c r="AB236" s="47"/>
      <c r="AC236" s="47"/>
      <c r="AD236" s="47"/>
      <c r="AE236" s="47"/>
      <c r="AF236" s="47"/>
      <c r="AG236" s="47"/>
      <c r="AH236" s="47"/>
      <c r="AI236" s="46"/>
      <c r="AJ236" s="46"/>
      <c r="AK236" s="46"/>
      <c r="AL236" s="7"/>
      <c r="AM236" s="49" t="str">
        <f aca="false">IF(OR(C236="",G236=""),"",IFERROR(DATEDIF(C236,G236,"m"),""))</f>
        <v/>
      </c>
      <c r="AN236" s="49" t="str">
        <f aca="false">IF(OR(Q236="",AM236=""),"",60+2*Q236-AM236)</f>
        <v/>
      </c>
      <c r="AO236" s="49" t="str">
        <f aca="false">IF(OR(G236="",AJ236=""),"",AJ236-G236)</f>
        <v/>
      </c>
      <c r="AP236" s="50" t="str">
        <f aca="false">IF(AND(A236="",B236=""),"",IF(J236="","Status needed",IF(OR(J236="Applied",J236="Visit booked",J236="Withdrawn"),"OK",IF(G236="","Date assessed needed",IF(C236="","Date of birth needed",IF(COUNTA(L236,M236,P236,U236,V236,X236,AB236)&lt;7,"Band missing",IF(AND(OR(J236="Decision confirmed",J236="Family told",J236="Enrolled"),AG236=""),"Recommendation needed",IF(AND(OR(J236="Family told",J236="Enrolled"),AJ236=""),"Date family told needed","OK"))))))))</f>
        <v/>
      </c>
    </row>
    <row r="237" customFormat="false" ht="15" hidden="false" customHeight="false" outlineLevel="0" collapsed="false">
      <c r="A237" s="7"/>
      <c r="B237" s="7"/>
      <c r="C237" s="46"/>
      <c r="D237" s="7"/>
      <c r="E237" s="47"/>
      <c r="F237" s="46"/>
      <c r="G237" s="46"/>
      <c r="H237" s="7"/>
      <c r="I237" s="7"/>
      <c r="J237" s="47"/>
      <c r="K237" s="47"/>
      <c r="L237" s="47"/>
      <c r="M237" s="47"/>
      <c r="N237" s="10"/>
      <c r="O237" s="47"/>
      <c r="P237" s="47"/>
      <c r="Q237" s="47"/>
      <c r="R237" s="48" t="str">
        <f aca="false">IF(Q237="","",IF(Q237=0,"below 5:00",IF(Q237&gt;=66,"16:00 or above",INT((60+2*Q237)/12)&amp;":"&amp;TEXT(MOD(60+2*Q237,12),"00"))))</f>
        <v/>
      </c>
      <c r="S237" s="47"/>
      <c r="T237" s="47"/>
      <c r="U237" s="47"/>
      <c r="V237" s="47"/>
      <c r="W237" s="47"/>
      <c r="X237" s="47"/>
      <c r="Y237" s="47"/>
      <c r="Z237" s="47"/>
      <c r="AA237" s="47"/>
      <c r="AB237" s="47"/>
      <c r="AC237" s="47"/>
      <c r="AD237" s="47"/>
      <c r="AE237" s="47"/>
      <c r="AF237" s="47"/>
      <c r="AG237" s="47"/>
      <c r="AH237" s="47"/>
      <c r="AI237" s="46"/>
      <c r="AJ237" s="46"/>
      <c r="AK237" s="46"/>
      <c r="AL237" s="7"/>
      <c r="AM237" s="49" t="str">
        <f aca="false">IF(OR(C237="",G237=""),"",IFERROR(DATEDIF(C237,G237,"m"),""))</f>
        <v/>
      </c>
      <c r="AN237" s="49" t="str">
        <f aca="false">IF(OR(Q237="",AM237=""),"",60+2*Q237-AM237)</f>
        <v/>
      </c>
      <c r="AO237" s="49" t="str">
        <f aca="false">IF(OR(G237="",AJ237=""),"",AJ237-G237)</f>
        <v/>
      </c>
      <c r="AP237" s="50" t="str">
        <f aca="false">IF(AND(A237="",B237=""),"",IF(J237="","Status needed",IF(OR(J237="Applied",J237="Visit booked",J237="Withdrawn"),"OK",IF(G237="","Date assessed needed",IF(C237="","Date of birth needed",IF(COUNTA(L237,M237,P237,U237,V237,X237,AB237)&lt;7,"Band missing",IF(AND(OR(J237="Decision confirmed",J237="Family told",J237="Enrolled"),AG237=""),"Recommendation needed",IF(AND(OR(J237="Family told",J237="Enrolled"),AJ237=""),"Date family told needed","OK"))))))))</f>
        <v/>
      </c>
    </row>
    <row r="238" customFormat="false" ht="15" hidden="false" customHeight="false" outlineLevel="0" collapsed="false">
      <c r="A238" s="7"/>
      <c r="B238" s="7"/>
      <c r="C238" s="46"/>
      <c r="D238" s="7"/>
      <c r="E238" s="47"/>
      <c r="F238" s="46"/>
      <c r="G238" s="46"/>
      <c r="H238" s="7"/>
      <c r="I238" s="7"/>
      <c r="J238" s="47"/>
      <c r="K238" s="47"/>
      <c r="L238" s="47"/>
      <c r="M238" s="47"/>
      <c r="N238" s="10"/>
      <c r="O238" s="47"/>
      <c r="P238" s="47"/>
      <c r="Q238" s="47"/>
      <c r="R238" s="48" t="str">
        <f aca="false">IF(Q238="","",IF(Q238=0,"below 5:00",IF(Q238&gt;=66,"16:00 or above",INT((60+2*Q238)/12)&amp;":"&amp;TEXT(MOD(60+2*Q238,12),"00"))))</f>
        <v/>
      </c>
      <c r="S238" s="47"/>
      <c r="T238" s="47"/>
      <c r="U238" s="47"/>
      <c r="V238" s="47"/>
      <c r="W238" s="47"/>
      <c r="X238" s="47"/>
      <c r="Y238" s="47"/>
      <c r="Z238" s="47"/>
      <c r="AA238" s="47"/>
      <c r="AB238" s="47"/>
      <c r="AC238" s="47"/>
      <c r="AD238" s="47"/>
      <c r="AE238" s="47"/>
      <c r="AF238" s="47"/>
      <c r="AG238" s="47"/>
      <c r="AH238" s="47"/>
      <c r="AI238" s="46"/>
      <c r="AJ238" s="46"/>
      <c r="AK238" s="46"/>
      <c r="AL238" s="7"/>
      <c r="AM238" s="49" t="str">
        <f aca="false">IF(OR(C238="",G238=""),"",IFERROR(DATEDIF(C238,G238,"m"),""))</f>
        <v/>
      </c>
      <c r="AN238" s="49" t="str">
        <f aca="false">IF(OR(Q238="",AM238=""),"",60+2*Q238-AM238)</f>
        <v/>
      </c>
      <c r="AO238" s="49" t="str">
        <f aca="false">IF(OR(G238="",AJ238=""),"",AJ238-G238)</f>
        <v/>
      </c>
      <c r="AP238" s="50" t="str">
        <f aca="false">IF(AND(A238="",B238=""),"",IF(J238="","Status needed",IF(OR(J238="Applied",J238="Visit booked",J238="Withdrawn"),"OK",IF(G238="","Date assessed needed",IF(C238="","Date of birth needed",IF(COUNTA(L238,M238,P238,U238,V238,X238,AB238)&lt;7,"Band missing",IF(AND(OR(J238="Decision confirmed",J238="Family told",J238="Enrolled"),AG238=""),"Recommendation needed",IF(AND(OR(J238="Family told",J238="Enrolled"),AJ238=""),"Date family told needed","OK"))))))))</f>
        <v/>
      </c>
    </row>
    <row r="239" customFormat="false" ht="15" hidden="false" customHeight="false" outlineLevel="0" collapsed="false">
      <c r="A239" s="7"/>
      <c r="B239" s="7"/>
      <c r="C239" s="46"/>
      <c r="D239" s="7"/>
      <c r="E239" s="47"/>
      <c r="F239" s="46"/>
      <c r="G239" s="46"/>
      <c r="H239" s="7"/>
      <c r="I239" s="7"/>
      <c r="J239" s="47"/>
      <c r="K239" s="47"/>
      <c r="L239" s="47"/>
      <c r="M239" s="47"/>
      <c r="N239" s="10"/>
      <c r="O239" s="47"/>
      <c r="P239" s="47"/>
      <c r="Q239" s="47"/>
      <c r="R239" s="48" t="str">
        <f aca="false">IF(Q239="","",IF(Q239=0,"below 5:00",IF(Q239&gt;=66,"16:00 or above",INT((60+2*Q239)/12)&amp;":"&amp;TEXT(MOD(60+2*Q239,12),"00"))))</f>
        <v/>
      </c>
      <c r="S239" s="47"/>
      <c r="T239" s="47"/>
      <c r="U239" s="47"/>
      <c r="V239" s="47"/>
      <c r="W239" s="47"/>
      <c r="X239" s="47"/>
      <c r="Y239" s="47"/>
      <c r="Z239" s="47"/>
      <c r="AA239" s="47"/>
      <c r="AB239" s="47"/>
      <c r="AC239" s="47"/>
      <c r="AD239" s="47"/>
      <c r="AE239" s="47"/>
      <c r="AF239" s="47"/>
      <c r="AG239" s="47"/>
      <c r="AH239" s="47"/>
      <c r="AI239" s="46"/>
      <c r="AJ239" s="46"/>
      <c r="AK239" s="46"/>
      <c r="AL239" s="7"/>
      <c r="AM239" s="49" t="str">
        <f aca="false">IF(OR(C239="",G239=""),"",IFERROR(DATEDIF(C239,G239,"m"),""))</f>
        <v/>
      </c>
      <c r="AN239" s="49" t="str">
        <f aca="false">IF(OR(Q239="",AM239=""),"",60+2*Q239-AM239)</f>
        <v/>
      </c>
      <c r="AO239" s="49" t="str">
        <f aca="false">IF(OR(G239="",AJ239=""),"",AJ239-G239)</f>
        <v/>
      </c>
      <c r="AP239" s="50" t="str">
        <f aca="false">IF(AND(A239="",B239=""),"",IF(J239="","Status needed",IF(OR(J239="Applied",J239="Visit booked",J239="Withdrawn"),"OK",IF(G239="","Date assessed needed",IF(C239="","Date of birth needed",IF(COUNTA(L239,M239,P239,U239,V239,X239,AB239)&lt;7,"Band missing",IF(AND(OR(J239="Decision confirmed",J239="Family told",J239="Enrolled"),AG239=""),"Recommendation needed",IF(AND(OR(J239="Family told",J239="Enrolled"),AJ239=""),"Date family told needed","OK"))))))))</f>
        <v/>
      </c>
    </row>
    <row r="240" customFormat="false" ht="15" hidden="false" customHeight="false" outlineLevel="0" collapsed="false">
      <c r="A240" s="7"/>
      <c r="B240" s="7"/>
      <c r="C240" s="46"/>
      <c r="D240" s="7"/>
      <c r="E240" s="47"/>
      <c r="F240" s="46"/>
      <c r="G240" s="46"/>
      <c r="H240" s="7"/>
      <c r="I240" s="7"/>
      <c r="J240" s="47"/>
      <c r="K240" s="47"/>
      <c r="L240" s="47"/>
      <c r="M240" s="47"/>
      <c r="N240" s="10"/>
      <c r="O240" s="47"/>
      <c r="P240" s="47"/>
      <c r="Q240" s="47"/>
      <c r="R240" s="48" t="str">
        <f aca="false">IF(Q240="","",IF(Q240=0,"below 5:00",IF(Q240&gt;=66,"16:00 or above",INT((60+2*Q240)/12)&amp;":"&amp;TEXT(MOD(60+2*Q240,12),"00"))))</f>
        <v/>
      </c>
      <c r="S240" s="47"/>
      <c r="T240" s="47"/>
      <c r="U240" s="47"/>
      <c r="V240" s="47"/>
      <c r="W240" s="47"/>
      <c r="X240" s="47"/>
      <c r="Y240" s="47"/>
      <c r="Z240" s="47"/>
      <c r="AA240" s="47"/>
      <c r="AB240" s="47"/>
      <c r="AC240" s="47"/>
      <c r="AD240" s="47"/>
      <c r="AE240" s="47"/>
      <c r="AF240" s="47"/>
      <c r="AG240" s="47"/>
      <c r="AH240" s="47"/>
      <c r="AI240" s="46"/>
      <c r="AJ240" s="46"/>
      <c r="AK240" s="46"/>
      <c r="AL240" s="7"/>
      <c r="AM240" s="49" t="str">
        <f aca="false">IF(OR(C240="",G240=""),"",IFERROR(DATEDIF(C240,G240,"m"),""))</f>
        <v/>
      </c>
      <c r="AN240" s="49" t="str">
        <f aca="false">IF(OR(Q240="",AM240=""),"",60+2*Q240-AM240)</f>
        <v/>
      </c>
      <c r="AO240" s="49" t="str">
        <f aca="false">IF(OR(G240="",AJ240=""),"",AJ240-G240)</f>
        <v/>
      </c>
      <c r="AP240" s="50" t="str">
        <f aca="false">IF(AND(A240="",B240=""),"",IF(J240="","Status needed",IF(OR(J240="Applied",J240="Visit booked",J240="Withdrawn"),"OK",IF(G240="","Date assessed needed",IF(C240="","Date of birth needed",IF(COUNTA(L240,M240,P240,U240,V240,X240,AB240)&lt;7,"Band missing",IF(AND(OR(J240="Decision confirmed",J240="Family told",J240="Enrolled"),AG240=""),"Recommendation needed",IF(AND(OR(J240="Family told",J240="Enrolled"),AJ240=""),"Date family told needed","OK"))))))))</f>
        <v/>
      </c>
    </row>
    <row r="241" customFormat="false" ht="15" hidden="false" customHeight="false" outlineLevel="0" collapsed="false">
      <c r="A241" s="7"/>
      <c r="B241" s="7"/>
      <c r="C241" s="46"/>
      <c r="D241" s="7"/>
      <c r="E241" s="47"/>
      <c r="F241" s="46"/>
      <c r="G241" s="46"/>
      <c r="H241" s="7"/>
      <c r="I241" s="7"/>
      <c r="J241" s="47"/>
      <c r="K241" s="47"/>
      <c r="L241" s="47"/>
      <c r="M241" s="47"/>
      <c r="N241" s="10"/>
      <c r="O241" s="47"/>
      <c r="P241" s="47"/>
      <c r="Q241" s="47"/>
      <c r="R241" s="48" t="str">
        <f aca="false">IF(Q241="","",IF(Q241=0,"below 5:00",IF(Q241&gt;=66,"16:00 or above",INT((60+2*Q241)/12)&amp;":"&amp;TEXT(MOD(60+2*Q241,12),"00"))))</f>
        <v/>
      </c>
      <c r="S241" s="47"/>
      <c r="T241" s="47"/>
      <c r="U241" s="47"/>
      <c r="V241" s="47"/>
      <c r="W241" s="47"/>
      <c r="X241" s="47"/>
      <c r="Y241" s="47"/>
      <c r="Z241" s="47"/>
      <c r="AA241" s="47"/>
      <c r="AB241" s="47"/>
      <c r="AC241" s="47"/>
      <c r="AD241" s="47"/>
      <c r="AE241" s="47"/>
      <c r="AF241" s="47"/>
      <c r="AG241" s="47"/>
      <c r="AH241" s="47"/>
      <c r="AI241" s="46"/>
      <c r="AJ241" s="46"/>
      <c r="AK241" s="46"/>
      <c r="AL241" s="7"/>
      <c r="AM241" s="49" t="str">
        <f aca="false">IF(OR(C241="",G241=""),"",IFERROR(DATEDIF(C241,G241,"m"),""))</f>
        <v/>
      </c>
      <c r="AN241" s="49" t="str">
        <f aca="false">IF(OR(Q241="",AM241=""),"",60+2*Q241-AM241)</f>
        <v/>
      </c>
      <c r="AO241" s="49" t="str">
        <f aca="false">IF(OR(G241="",AJ241=""),"",AJ241-G241)</f>
        <v/>
      </c>
      <c r="AP241" s="50" t="str">
        <f aca="false">IF(AND(A241="",B241=""),"",IF(J241="","Status needed",IF(OR(J241="Applied",J241="Visit booked",J241="Withdrawn"),"OK",IF(G241="","Date assessed needed",IF(C241="","Date of birth needed",IF(COUNTA(L241,M241,P241,U241,V241,X241,AB241)&lt;7,"Band missing",IF(AND(OR(J241="Decision confirmed",J241="Family told",J241="Enrolled"),AG241=""),"Recommendation needed",IF(AND(OR(J241="Family told",J241="Enrolled"),AJ241=""),"Date family told needed","OK"))))))))</f>
        <v/>
      </c>
    </row>
    <row r="242" customFormat="false" ht="15" hidden="false" customHeight="false" outlineLevel="0" collapsed="false">
      <c r="A242" s="7"/>
      <c r="B242" s="7"/>
      <c r="C242" s="46"/>
      <c r="D242" s="7"/>
      <c r="E242" s="47"/>
      <c r="F242" s="46"/>
      <c r="G242" s="46"/>
      <c r="H242" s="7"/>
      <c r="I242" s="7"/>
      <c r="J242" s="47"/>
      <c r="K242" s="47"/>
      <c r="L242" s="47"/>
      <c r="M242" s="47"/>
      <c r="N242" s="10"/>
      <c r="O242" s="47"/>
      <c r="P242" s="47"/>
      <c r="Q242" s="47"/>
      <c r="R242" s="48" t="str">
        <f aca="false">IF(Q242="","",IF(Q242=0,"below 5:00",IF(Q242&gt;=66,"16:00 or above",INT((60+2*Q242)/12)&amp;":"&amp;TEXT(MOD(60+2*Q242,12),"00"))))</f>
        <v/>
      </c>
      <c r="S242" s="47"/>
      <c r="T242" s="47"/>
      <c r="U242" s="47"/>
      <c r="V242" s="47"/>
      <c r="W242" s="47"/>
      <c r="X242" s="47"/>
      <c r="Y242" s="47"/>
      <c r="Z242" s="47"/>
      <c r="AA242" s="47"/>
      <c r="AB242" s="47"/>
      <c r="AC242" s="47"/>
      <c r="AD242" s="47"/>
      <c r="AE242" s="47"/>
      <c r="AF242" s="47"/>
      <c r="AG242" s="47"/>
      <c r="AH242" s="47"/>
      <c r="AI242" s="46"/>
      <c r="AJ242" s="46"/>
      <c r="AK242" s="46"/>
      <c r="AL242" s="7"/>
      <c r="AM242" s="49" t="str">
        <f aca="false">IF(OR(C242="",G242=""),"",IFERROR(DATEDIF(C242,G242,"m"),""))</f>
        <v/>
      </c>
      <c r="AN242" s="49" t="str">
        <f aca="false">IF(OR(Q242="",AM242=""),"",60+2*Q242-AM242)</f>
        <v/>
      </c>
      <c r="AO242" s="49" t="str">
        <f aca="false">IF(OR(G242="",AJ242=""),"",AJ242-G242)</f>
        <v/>
      </c>
      <c r="AP242" s="50" t="str">
        <f aca="false">IF(AND(A242="",B242=""),"",IF(J242="","Status needed",IF(OR(J242="Applied",J242="Visit booked",J242="Withdrawn"),"OK",IF(G242="","Date assessed needed",IF(C242="","Date of birth needed",IF(COUNTA(L242,M242,P242,U242,V242,X242,AB242)&lt;7,"Band missing",IF(AND(OR(J242="Decision confirmed",J242="Family told",J242="Enrolled"),AG242=""),"Recommendation needed",IF(AND(OR(J242="Family told",J242="Enrolled"),AJ242=""),"Date family told needed","OK"))))))))</f>
        <v/>
      </c>
    </row>
    <row r="243" customFormat="false" ht="15" hidden="false" customHeight="false" outlineLevel="0" collapsed="false">
      <c r="A243" s="7"/>
      <c r="B243" s="7"/>
      <c r="C243" s="46"/>
      <c r="D243" s="7"/>
      <c r="E243" s="47"/>
      <c r="F243" s="46"/>
      <c r="G243" s="46"/>
      <c r="H243" s="7"/>
      <c r="I243" s="7"/>
      <c r="J243" s="47"/>
      <c r="K243" s="47"/>
      <c r="L243" s="47"/>
      <c r="M243" s="47"/>
      <c r="N243" s="10"/>
      <c r="O243" s="47"/>
      <c r="P243" s="47"/>
      <c r="Q243" s="47"/>
      <c r="R243" s="48" t="str">
        <f aca="false">IF(Q243="","",IF(Q243=0,"below 5:00",IF(Q243&gt;=66,"16:00 or above",INT((60+2*Q243)/12)&amp;":"&amp;TEXT(MOD(60+2*Q243,12),"00"))))</f>
        <v/>
      </c>
      <c r="S243" s="47"/>
      <c r="T243" s="47"/>
      <c r="U243" s="47"/>
      <c r="V243" s="47"/>
      <c r="W243" s="47"/>
      <c r="X243" s="47"/>
      <c r="Y243" s="47"/>
      <c r="Z243" s="47"/>
      <c r="AA243" s="47"/>
      <c r="AB243" s="47"/>
      <c r="AC243" s="47"/>
      <c r="AD243" s="47"/>
      <c r="AE243" s="47"/>
      <c r="AF243" s="47"/>
      <c r="AG243" s="47"/>
      <c r="AH243" s="47"/>
      <c r="AI243" s="46"/>
      <c r="AJ243" s="46"/>
      <c r="AK243" s="46"/>
      <c r="AL243" s="7"/>
      <c r="AM243" s="49" t="str">
        <f aca="false">IF(OR(C243="",G243=""),"",IFERROR(DATEDIF(C243,G243,"m"),""))</f>
        <v/>
      </c>
      <c r="AN243" s="49" t="str">
        <f aca="false">IF(OR(Q243="",AM243=""),"",60+2*Q243-AM243)</f>
        <v/>
      </c>
      <c r="AO243" s="49" t="str">
        <f aca="false">IF(OR(G243="",AJ243=""),"",AJ243-G243)</f>
        <v/>
      </c>
      <c r="AP243" s="50" t="str">
        <f aca="false">IF(AND(A243="",B243=""),"",IF(J243="","Status needed",IF(OR(J243="Applied",J243="Visit booked",J243="Withdrawn"),"OK",IF(G243="","Date assessed needed",IF(C243="","Date of birth needed",IF(COUNTA(L243,M243,P243,U243,V243,X243,AB243)&lt;7,"Band missing",IF(AND(OR(J243="Decision confirmed",J243="Family told",J243="Enrolled"),AG243=""),"Recommendation needed",IF(AND(OR(J243="Family told",J243="Enrolled"),AJ243=""),"Date family told needed","OK"))))))))</f>
        <v/>
      </c>
    </row>
    <row r="244" customFormat="false" ht="15" hidden="false" customHeight="false" outlineLevel="0" collapsed="false">
      <c r="A244" s="7"/>
      <c r="B244" s="7"/>
      <c r="C244" s="46"/>
      <c r="D244" s="7"/>
      <c r="E244" s="47"/>
      <c r="F244" s="46"/>
      <c r="G244" s="46"/>
      <c r="H244" s="7"/>
      <c r="I244" s="7"/>
      <c r="J244" s="47"/>
      <c r="K244" s="47"/>
      <c r="L244" s="47"/>
      <c r="M244" s="47"/>
      <c r="N244" s="10"/>
      <c r="O244" s="47"/>
      <c r="P244" s="47"/>
      <c r="Q244" s="47"/>
      <c r="R244" s="48" t="str">
        <f aca="false">IF(Q244="","",IF(Q244=0,"below 5:00",IF(Q244&gt;=66,"16:00 or above",INT((60+2*Q244)/12)&amp;":"&amp;TEXT(MOD(60+2*Q244,12),"00"))))</f>
        <v/>
      </c>
      <c r="S244" s="47"/>
      <c r="T244" s="47"/>
      <c r="U244" s="47"/>
      <c r="V244" s="47"/>
      <c r="W244" s="47"/>
      <c r="X244" s="47"/>
      <c r="Y244" s="47"/>
      <c r="Z244" s="47"/>
      <c r="AA244" s="47"/>
      <c r="AB244" s="47"/>
      <c r="AC244" s="47"/>
      <c r="AD244" s="47"/>
      <c r="AE244" s="47"/>
      <c r="AF244" s="47"/>
      <c r="AG244" s="47"/>
      <c r="AH244" s="47"/>
      <c r="AI244" s="46"/>
      <c r="AJ244" s="46"/>
      <c r="AK244" s="46"/>
      <c r="AL244" s="7"/>
      <c r="AM244" s="49" t="str">
        <f aca="false">IF(OR(C244="",G244=""),"",IFERROR(DATEDIF(C244,G244,"m"),""))</f>
        <v/>
      </c>
      <c r="AN244" s="49" t="str">
        <f aca="false">IF(OR(Q244="",AM244=""),"",60+2*Q244-AM244)</f>
        <v/>
      </c>
      <c r="AO244" s="49" t="str">
        <f aca="false">IF(OR(G244="",AJ244=""),"",AJ244-G244)</f>
        <v/>
      </c>
      <c r="AP244" s="50" t="str">
        <f aca="false">IF(AND(A244="",B244=""),"",IF(J244="","Status needed",IF(OR(J244="Applied",J244="Visit booked",J244="Withdrawn"),"OK",IF(G244="","Date assessed needed",IF(C244="","Date of birth needed",IF(COUNTA(L244,M244,P244,U244,V244,X244,AB244)&lt;7,"Band missing",IF(AND(OR(J244="Decision confirmed",J244="Family told",J244="Enrolled"),AG244=""),"Recommendation needed",IF(AND(OR(J244="Family told",J244="Enrolled"),AJ244=""),"Date family told needed","OK"))))))))</f>
        <v/>
      </c>
    </row>
    <row r="245" customFormat="false" ht="15" hidden="false" customHeight="false" outlineLevel="0" collapsed="false">
      <c r="A245" s="7"/>
      <c r="B245" s="7"/>
      <c r="C245" s="46"/>
      <c r="D245" s="7"/>
      <c r="E245" s="47"/>
      <c r="F245" s="46"/>
      <c r="G245" s="46"/>
      <c r="H245" s="7"/>
      <c r="I245" s="7"/>
      <c r="J245" s="47"/>
      <c r="K245" s="47"/>
      <c r="L245" s="47"/>
      <c r="M245" s="47"/>
      <c r="N245" s="10"/>
      <c r="O245" s="47"/>
      <c r="P245" s="47"/>
      <c r="Q245" s="47"/>
      <c r="R245" s="48" t="str">
        <f aca="false">IF(Q245="","",IF(Q245=0,"below 5:00",IF(Q245&gt;=66,"16:00 or above",INT((60+2*Q245)/12)&amp;":"&amp;TEXT(MOD(60+2*Q245,12),"00"))))</f>
        <v/>
      </c>
      <c r="S245" s="47"/>
      <c r="T245" s="47"/>
      <c r="U245" s="47"/>
      <c r="V245" s="47"/>
      <c r="W245" s="47"/>
      <c r="X245" s="47"/>
      <c r="Y245" s="47"/>
      <c r="Z245" s="47"/>
      <c r="AA245" s="47"/>
      <c r="AB245" s="47"/>
      <c r="AC245" s="47"/>
      <c r="AD245" s="47"/>
      <c r="AE245" s="47"/>
      <c r="AF245" s="47"/>
      <c r="AG245" s="47"/>
      <c r="AH245" s="47"/>
      <c r="AI245" s="46"/>
      <c r="AJ245" s="46"/>
      <c r="AK245" s="46"/>
      <c r="AL245" s="7"/>
      <c r="AM245" s="49" t="str">
        <f aca="false">IF(OR(C245="",G245=""),"",IFERROR(DATEDIF(C245,G245,"m"),""))</f>
        <v/>
      </c>
      <c r="AN245" s="49" t="str">
        <f aca="false">IF(OR(Q245="",AM245=""),"",60+2*Q245-AM245)</f>
        <v/>
      </c>
      <c r="AO245" s="49" t="str">
        <f aca="false">IF(OR(G245="",AJ245=""),"",AJ245-G245)</f>
        <v/>
      </c>
      <c r="AP245" s="50" t="str">
        <f aca="false">IF(AND(A245="",B245=""),"",IF(J245="","Status needed",IF(OR(J245="Applied",J245="Visit booked",J245="Withdrawn"),"OK",IF(G245="","Date assessed needed",IF(C245="","Date of birth needed",IF(COUNTA(L245,M245,P245,U245,V245,X245,AB245)&lt;7,"Band missing",IF(AND(OR(J245="Decision confirmed",J245="Family told",J245="Enrolled"),AG245=""),"Recommendation needed",IF(AND(OR(J245="Family told",J245="Enrolled"),AJ245=""),"Date family told needed","OK"))))))))</f>
        <v/>
      </c>
    </row>
    <row r="246" customFormat="false" ht="15" hidden="false" customHeight="false" outlineLevel="0" collapsed="false">
      <c r="A246" s="7"/>
      <c r="B246" s="7"/>
      <c r="C246" s="46"/>
      <c r="D246" s="7"/>
      <c r="E246" s="47"/>
      <c r="F246" s="46"/>
      <c r="G246" s="46"/>
      <c r="H246" s="7"/>
      <c r="I246" s="7"/>
      <c r="J246" s="47"/>
      <c r="K246" s="47"/>
      <c r="L246" s="47"/>
      <c r="M246" s="47"/>
      <c r="N246" s="10"/>
      <c r="O246" s="47"/>
      <c r="P246" s="47"/>
      <c r="Q246" s="47"/>
      <c r="R246" s="48" t="str">
        <f aca="false">IF(Q246="","",IF(Q246=0,"below 5:00",IF(Q246&gt;=66,"16:00 or above",INT((60+2*Q246)/12)&amp;":"&amp;TEXT(MOD(60+2*Q246,12),"00"))))</f>
        <v/>
      </c>
      <c r="S246" s="47"/>
      <c r="T246" s="47"/>
      <c r="U246" s="47"/>
      <c r="V246" s="47"/>
      <c r="W246" s="47"/>
      <c r="X246" s="47"/>
      <c r="Y246" s="47"/>
      <c r="Z246" s="47"/>
      <c r="AA246" s="47"/>
      <c r="AB246" s="47"/>
      <c r="AC246" s="47"/>
      <c r="AD246" s="47"/>
      <c r="AE246" s="47"/>
      <c r="AF246" s="47"/>
      <c r="AG246" s="47"/>
      <c r="AH246" s="47"/>
      <c r="AI246" s="46"/>
      <c r="AJ246" s="46"/>
      <c r="AK246" s="46"/>
      <c r="AL246" s="7"/>
      <c r="AM246" s="49" t="str">
        <f aca="false">IF(OR(C246="",G246=""),"",IFERROR(DATEDIF(C246,G246,"m"),""))</f>
        <v/>
      </c>
      <c r="AN246" s="49" t="str">
        <f aca="false">IF(OR(Q246="",AM246=""),"",60+2*Q246-AM246)</f>
        <v/>
      </c>
      <c r="AO246" s="49" t="str">
        <f aca="false">IF(OR(G246="",AJ246=""),"",AJ246-G246)</f>
        <v/>
      </c>
      <c r="AP246" s="50" t="str">
        <f aca="false">IF(AND(A246="",B246=""),"",IF(J246="","Status needed",IF(OR(J246="Applied",J246="Visit booked",J246="Withdrawn"),"OK",IF(G246="","Date assessed needed",IF(C246="","Date of birth needed",IF(COUNTA(L246,M246,P246,U246,V246,X246,AB246)&lt;7,"Band missing",IF(AND(OR(J246="Decision confirmed",J246="Family told",J246="Enrolled"),AG246=""),"Recommendation needed",IF(AND(OR(J246="Family told",J246="Enrolled"),AJ246=""),"Date family told needed","OK"))))))))</f>
        <v/>
      </c>
    </row>
    <row r="247" customFormat="false" ht="15" hidden="false" customHeight="false" outlineLevel="0" collapsed="false">
      <c r="A247" s="7"/>
      <c r="B247" s="7"/>
      <c r="C247" s="46"/>
      <c r="D247" s="7"/>
      <c r="E247" s="47"/>
      <c r="F247" s="46"/>
      <c r="G247" s="46"/>
      <c r="H247" s="7"/>
      <c r="I247" s="7"/>
      <c r="J247" s="47"/>
      <c r="K247" s="47"/>
      <c r="L247" s="47"/>
      <c r="M247" s="47"/>
      <c r="N247" s="10"/>
      <c r="O247" s="47"/>
      <c r="P247" s="47"/>
      <c r="Q247" s="47"/>
      <c r="R247" s="48" t="str">
        <f aca="false">IF(Q247="","",IF(Q247=0,"below 5:00",IF(Q247&gt;=66,"16:00 or above",INT((60+2*Q247)/12)&amp;":"&amp;TEXT(MOD(60+2*Q247,12),"00"))))</f>
        <v/>
      </c>
      <c r="S247" s="47"/>
      <c r="T247" s="47"/>
      <c r="U247" s="47"/>
      <c r="V247" s="47"/>
      <c r="W247" s="47"/>
      <c r="X247" s="47"/>
      <c r="Y247" s="47"/>
      <c r="Z247" s="47"/>
      <c r="AA247" s="47"/>
      <c r="AB247" s="47"/>
      <c r="AC247" s="47"/>
      <c r="AD247" s="47"/>
      <c r="AE247" s="47"/>
      <c r="AF247" s="47"/>
      <c r="AG247" s="47"/>
      <c r="AH247" s="47"/>
      <c r="AI247" s="46"/>
      <c r="AJ247" s="46"/>
      <c r="AK247" s="46"/>
      <c r="AL247" s="7"/>
      <c r="AM247" s="49" t="str">
        <f aca="false">IF(OR(C247="",G247=""),"",IFERROR(DATEDIF(C247,G247,"m"),""))</f>
        <v/>
      </c>
      <c r="AN247" s="49" t="str">
        <f aca="false">IF(OR(Q247="",AM247=""),"",60+2*Q247-AM247)</f>
        <v/>
      </c>
      <c r="AO247" s="49" t="str">
        <f aca="false">IF(OR(G247="",AJ247=""),"",AJ247-G247)</f>
        <v/>
      </c>
      <c r="AP247" s="50" t="str">
        <f aca="false">IF(AND(A247="",B247=""),"",IF(J247="","Status needed",IF(OR(J247="Applied",J247="Visit booked",J247="Withdrawn"),"OK",IF(G247="","Date assessed needed",IF(C247="","Date of birth needed",IF(COUNTA(L247,M247,P247,U247,V247,X247,AB247)&lt;7,"Band missing",IF(AND(OR(J247="Decision confirmed",J247="Family told",J247="Enrolled"),AG247=""),"Recommendation needed",IF(AND(OR(J247="Family told",J247="Enrolled"),AJ247=""),"Date family told needed","OK"))))))))</f>
        <v/>
      </c>
    </row>
    <row r="248" customFormat="false" ht="15" hidden="false" customHeight="false" outlineLevel="0" collapsed="false">
      <c r="A248" s="7"/>
      <c r="B248" s="7"/>
      <c r="C248" s="46"/>
      <c r="D248" s="7"/>
      <c r="E248" s="47"/>
      <c r="F248" s="46"/>
      <c r="G248" s="46"/>
      <c r="H248" s="7"/>
      <c r="I248" s="7"/>
      <c r="J248" s="47"/>
      <c r="K248" s="47"/>
      <c r="L248" s="47"/>
      <c r="M248" s="47"/>
      <c r="N248" s="10"/>
      <c r="O248" s="47"/>
      <c r="P248" s="47"/>
      <c r="Q248" s="47"/>
      <c r="R248" s="48" t="str">
        <f aca="false">IF(Q248="","",IF(Q248=0,"below 5:00",IF(Q248&gt;=66,"16:00 or above",INT((60+2*Q248)/12)&amp;":"&amp;TEXT(MOD(60+2*Q248,12),"00"))))</f>
        <v/>
      </c>
      <c r="S248" s="47"/>
      <c r="T248" s="47"/>
      <c r="U248" s="47"/>
      <c r="V248" s="47"/>
      <c r="W248" s="47"/>
      <c r="X248" s="47"/>
      <c r="Y248" s="47"/>
      <c r="Z248" s="47"/>
      <c r="AA248" s="47"/>
      <c r="AB248" s="47"/>
      <c r="AC248" s="47"/>
      <c r="AD248" s="47"/>
      <c r="AE248" s="47"/>
      <c r="AF248" s="47"/>
      <c r="AG248" s="47"/>
      <c r="AH248" s="47"/>
      <c r="AI248" s="46"/>
      <c r="AJ248" s="46"/>
      <c r="AK248" s="46"/>
      <c r="AL248" s="7"/>
      <c r="AM248" s="49" t="str">
        <f aca="false">IF(OR(C248="",G248=""),"",IFERROR(DATEDIF(C248,G248,"m"),""))</f>
        <v/>
      </c>
      <c r="AN248" s="49" t="str">
        <f aca="false">IF(OR(Q248="",AM248=""),"",60+2*Q248-AM248)</f>
        <v/>
      </c>
      <c r="AO248" s="49" t="str">
        <f aca="false">IF(OR(G248="",AJ248=""),"",AJ248-G248)</f>
        <v/>
      </c>
      <c r="AP248" s="50" t="str">
        <f aca="false">IF(AND(A248="",B248=""),"",IF(J248="","Status needed",IF(OR(J248="Applied",J248="Visit booked",J248="Withdrawn"),"OK",IF(G248="","Date assessed needed",IF(C248="","Date of birth needed",IF(COUNTA(L248,M248,P248,U248,V248,X248,AB248)&lt;7,"Band missing",IF(AND(OR(J248="Decision confirmed",J248="Family told",J248="Enrolled"),AG248=""),"Recommendation needed",IF(AND(OR(J248="Family told",J248="Enrolled"),AJ248=""),"Date family told needed","OK"))))))))</f>
        <v/>
      </c>
    </row>
    <row r="249" customFormat="false" ht="15" hidden="false" customHeight="false" outlineLevel="0" collapsed="false">
      <c r="A249" s="7"/>
      <c r="B249" s="7"/>
      <c r="C249" s="46"/>
      <c r="D249" s="7"/>
      <c r="E249" s="47"/>
      <c r="F249" s="46"/>
      <c r="G249" s="46"/>
      <c r="H249" s="7"/>
      <c r="I249" s="7"/>
      <c r="J249" s="47"/>
      <c r="K249" s="47"/>
      <c r="L249" s="47"/>
      <c r="M249" s="47"/>
      <c r="N249" s="10"/>
      <c r="O249" s="47"/>
      <c r="P249" s="47"/>
      <c r="Q249" s="47"/>
      <c r="R249" s="48" t="str">
        <f aca="false">IF(Q249="","",IF(Q249=0,"below 5:00",IF(Q249&gt;=66,"16:00 or above",INT((60+2*Q249)/12)&amp;":"&amp;TEXT(MOD(60+2*Q249,12),"00"))))</f>
        <v/>
      </c>
      <c r="S249" s="47"/>
      <c r="T249" s="47"/>
      <c r="U249" s="47"/>
      <c r="V249" s="47"/>
      <c r="W249" s="47"/>
      <c r="X249" s="47"/>
      <c r="Y249" s="47"/>
      <c r="Z249" s="47"/>
      <c r="AA249" s="47"/>
      <c r="AB249" s="47"/>
      <c r="AC249" s="47"/>
      <c r="AD249" s="47"/>
      <c r="AE249" s="47"/>
      <c r="AF249" s="47"/>
      <c r="AG249" s="47"/>
      <c r="AH249" s="47"/>
      <c r="AI249" s="46"/>
      <c r="AJ249" s="46"/>
      <c r="AK249" s="46"/>
      <c r="AL249" s="7"/>
      <c r="AM249" s="49" t="str">
        <f aca="false">IF(OR(C249="",G249=""),"",IFERROR(DATEDIF(C249,G249,"m"),""))</f>
        <v/>
      </c>
      <c r="AN249" s="49" t="str">
        <f aca="false">IF(OR(Q249="",AM249=""),"",60+2*Q249-AM249)</f>
        <v/>
      </c>
      <c r="AO249" s="49" t="str">
        <f aca="false">IF(OR(G249="",AJ249=""),"",AJ249-G249)</f>
        <v/>
      </c>
      <c r="AP249" s="50" t="str">
        <f aca="false">IF(AND(A249="",B249=""),"",IF(J249="","Status needed",IF(OR(J249="Applied",J249="Visit booked",J249="Withdrawn"),"OK",IF(G249="","Date assessed needed",IF(C249="","Date of birth needed",IF(COUNTA(L249,M249,P249,U249,V249,X249,AB249)&lt;7,"Band missing",IF(AND(OR(J249="Decision confirmed",J249="Family told",J249="Enrolled"),AG249=""),"Recommendation needed",IF(AND(OR(J249="Family told",J249="Enrolled"),AJ249=""),"Date family told needed","OK"))))))))</f>
        <v/>
      </c>
    </row>
    <row r="250" customFormat="false" ht="15" hidden="false" customHeight="false" outlineLevel="0" collapsed="false">
      <c r="A250" s="7"/>
      <c r="B250" s="7"/>
      <c r="C250" s="46"/>
      <c r="D250" s="7"/>
      <c r="E250" s="47"/>
      <c r="F250" s="46"/>
      <c r="G250" s="46"/>
      <c r="H250" s="7"/>
      <c r="I250" s="7"/>
      <c r="J250" s="47"/>
      <c r="K250" s="47"/>
      <c r="L250" s="47"/>
      <c r="M250" s="47"/>
      <c r="N250" s="10"/>
      <c r="O250" s="47"/>
      <c r="P250" s="47"/>
      <c r="Q250" s="47"/>
      <c r="R250" s="48" t="str">
        <f aca="false">IF(Q250="","",IF(Q250=0,"below 5:00",IF(Q250&gt;=66,"16:00 or above",INT((60+2*Q250)/12)&amp;":"&amp;TEXT(MOD(60+2*Q250,12),"00"))))</f>
        <v/>
      </c>
      <c r="S250" s="47"/>
      <c r="T250" s="47"/>
      <c r="U250" s="47"/>
      <c r="V250" s="47"/>
      <c r="W250" s="47"/>
      <c r="X250" s="47"/>
      <c r="Y250" s="47"/>
      <c r="Z250" s="47"/>
      <c r="AA250" s="47"/>
      <c r="AB250" s="47"/>
      <c r="AC250" s="47"/>
      <c r="AD250" s="47"/>
      <c r="AE250" s="47"/>
      <c r="AF250" s="47"/>
      <c r="AG250" s="47"/>
      <c r="AH250" s="47"/>
      <c r="AI250" s="46"/>
      <c r="AJ250" s="46"/>
      <c r="AK250" s="46"/>
      <c r="AL250" s="7"/>
      <c r="AM250" s="49" t="str">
        <f aca="false">IF(OR(C250="",G250=""),"",IFERROR(DATEDIF(C250,G250,"m"),""))</f>
        <v/>
      </c>
      <c r="AN250" s="49" t="str">
        <f aca="false">IF(OR(Q250="",AM250=""),"",60+2*Q250-AM250)</f>
        <v/>
      </c>
      <c r="AO250" s="49" t="str">
        <f aca="false">IF(OR(G250="",AJ250=""),"",AJ250-G250)</f>
        <v/>
      </c>
      <c r="AP250" s="50" t="str">
        <f aca="false">IF(AND(A250="",B250=""),"",IF(J250="","Status needed",IF(OR(J250="Applied",J250="Visit booked",J250="Withdrawn"),"OK",IF(G250="","Date assessed needed",IF(C250="","Date of birth needed",IF(COUNTA(L250,M250,P250,U250,V250,X250,AB250)&lt;7,"Band missing",IF(AND(OR(J250="Decision confirmed",J250="Family told",J250="Enrolled"),AG250=""),"Recommendation needed",IF(AND(OR(J250="Family told",J250="Enrolled"),AJ250=""),"Date family told needed","OK"))))))))</f>
        <v/>
      </c>
    </row>
    <row r="251" customFormat="false" ht="15" hidden="false" customHeight="false" outlineLevel="0" collapsed="false">
      <c r="A251" s="7"/>
      <c r="B251" s="7"/>
      <c r="C251" s="46"/>
      <c r="D251" s="7"/>
      <c r="E251" s="47"/>
      <c r="F251" s="46"/>
      <c r="G251" s="46"/>
      <c r="H251" s="7"/>
      <c r="I251" s="7"/>
      <c r="J251" s="47"/>
      <c r="K251" s="47"/>
      <c r="L251" s="47"/>
      <c r="M251" s="47"/>
      <c r="N251" s="10"/>
      <c r="O251" s="47"/>
      <c r="P251" s="47"/>
      <c r="Q251" s="47"/>
      <c r="R251" s="48" t="str">
        <f aca="false">IF(Q251="","",IF(Q251=0,"below 5:00",IF(Q251&gt;=66,"16:00 or above",INT((60+2*Q251)/12)&amp;":"&amp;TEXT(MOD(60+2*Q251,12),"00"))))</f>
        <v/>
      </c>
      <c r="S251" s="47"/>
      <c r="T251" s="47"/>
      <c r="U251" s="47"/>
      <c r="V251" s="47"/>
      <c r="W251" s="47"/>
      <c r="X251" s="47"/>
      <c r="Y251" s="47"/>
      <c r="Z251" s="47"/>
      <c r="AA251" s="47"/>
      <c r="AB251" s="47"/>
      <c r="AC251" s="47"/>
      <c r="AD251" s="47"/>
      <c r="AE251" s="47"/>
      <c r="AF251" s="47"/>
      <c r="AG251" s="47"/>
      <c r="AH251" s="47"/>
      <c r="AI251" s="46"/>
      <c r="AJ251" s="46"/>
      <c r="AK251" s="46"/>
      <c r="AL251" s="7"/>
      <c r="AM251" s="49" t="str">
        <f aca="false">IF(OR(C251="",G251=""),"",IFERROR(DATEDIF(C251,G251,"m"),""))</f>
        <v/>
      </c>
      <c r="AN251" s="49" t="str">
        <f aca="false">IF(OR(Q251="",AM251=""),"",60+2*Q251-AM251)</f>
        <v/>
      </c>
      <c r="AO251" s="49" t="str">
        <f aca="false">IF(OR(G251="",AJ251=""),"",AJ251-G251)</f>
        <v/>
      </c>
      <c r="AP251" s="50" t="str">
        <f aca="false">IF(AND(A251="",B251=""),"",IF(J251="","Status needed",IF(OR(J251="Applied",J251="Visit booked",J251="Withdrawn"),"OK",IF(G251="","Date assessed needed",IF(C251="","Date of birth needed",IF(COUNTA(L251,M251,P251,U251,V251,X251,AB251)&lt;7,"Band missing",IF(AND(OR(J251="Decision confirmed",J251="Family told",J251="Enrolled"),AG251=""),"Recommendation needed",IF(AND(OR(J251="Family told",J251="Enrolled"),AJ251=""),"Date family told needed","OK"))))))))</f>
        <v/>
      </c>
    </row>
    <row r="252" customFormat="false" ht="15" hidden="false" customHeight="false" outlineLevel="0" collapsed="false">
      <c r="A252" s="7"/>
      <c r="B252" s="7"/>
      <c r="C252" s="46"/>
      <c r="D252" s="7"/>
      <c r="E252" s="47"/>
      <c r="F252" s="46"/>
      <c r="G252" s="46"/>
      <c r="H252" s="7"/>
      <c r="I252" s="7"/>
      <c r="J252" s="47"/>
      <c r="K252" s="47"/>
      <c r="L252" s="47"/>
      <c r="M252" s="47"/>
      <c r="N252" s="10"/>
      <c r="O252" s="47"/>
      <c r="P252" s="47"/>
      <c r="Q252" s="47"/>
      <c r="R252" s="48" t="str">
        <f aca="false">IF(Q252="","",IF(Q252=0,"below 5:00",IF(Q252&gt;=66,"16:00 or above",INT((60+2*Q252)/12)&amp;":"&amp;TEXT(MOD(60+2*Q252,12),"00"))))</f>
        <v/>
      </c>
      <c r="S252" s="47"/>
      <c r="T252" s="47"/>
      <c r="U252" s="47"/>
      <c r="V252" s="47"/>
      <c r="W252" s="47"/>
      <c r="X252" s="47"/>
      <c r="Y252" s="47"/>
      <c r="Z252" s="47"/>
      <c r="AA252" s="47"/>
      <c r="AB252" s="47"/>
      <c r="AC252" s="47"/>
      <c r="AD252" s="47"/>
      <c r="AE252" s="47"/>
      <c r="AF252" s="47"/>
      <c r="AG252" s="47"/>
      <c r="AH252" s="47"/>
      <c r="AI252" s="46"/>
      <c r="AJ252" s="46"/>
      <c r="AK252" s="46"/>
      <c r="AL252" s="7"/>
      <c r="AM252" s="49" t="str">
        <f aca="false">IF(OR(C252="",G252=""),"",IFERROR(DATEDIF(C252,G252,"m"),""))</f>
        <v/>
      </c>
      <c r="AN252" s="49" t="str">
        <f aca="false">IF(OR(Q252="",AM252=""),"",60+2*Q252-AM252)</f>
        <v/>
      </c>
      <c r="AO252" s="49" t="str">
        <f aca="false">IF(OR(G252="",AJ252=""),"",AJ252-G252)</f>
        <v/>
      </c>
      <c r="AP252" s="50" t="str">
        <f aca="false">IF(AND(A252="",B252=""),"",IF(J252="","Status needed",IF(OR(J252="Applied",J252="Visit booked",J252="Withdrawn"),"OK",IF(G252="","Date assessed needed",IF(C252="","Date of birth needed",IF(COUNTA(L252,M252,P252,U252,V252,X252,AB252)&lt;7,"Band missing",IF(AND(OR(J252="Decision confirmed",J252="Family told",J252="Enrolled"),AG252=""),"Recommendation needed",IF(AND(OR(J252="Family told",J252="Enrolled"),AJ252=""),"Date family told needed","OK"))))))))</f>
        <v/>
      </c>
    </row>
    <row r="253" customFormat="false" ht="15" hidden="false" customHeight="false" outlineLevel="0" collapsed="false">
      <c r="A253" s="7"/>
      <c r="B253" s="7"/>
      <c r="C253" s="46"/>
      <c r="D253" s="7"/>
      <c r="E253" s="47"/>
      <c r="F253" s="46"/>
      <c r="G253" s="46"/>
      <c r="H253" s="7"/>
      <c r="I253" s="7"/>
      <c r="J253" s="47"/>
      <c r="K253" s="47"/>
      <c r="L253" s="47"/>
      <c r="M253" s="47"/>
      <c r="N253" s="10"/>
      <c r="O253" s="47"/>
      <c r="P253" s="47"/>
      <c r="Q253" s="47"/>
      <c r="R253" s="48" t="str">
        <f aca="false">IF(Q253="","",IF(Q253=0,"below 5:00",IF(Q253&gt;=66,"16:00 or above",INT((60+2*Q253)/12)&amp;":"&amp;TEXT(MOD(60+2*Q253,12),"00"))))</f>
        <v/>
      </c>
      <c r="S253" s="47"/>
      <c r="T253" s="47"/>
      <c r="U253" s="47"/>
      <c r="V253" s="47"/>
      <c r="W253" s="47"/>
      <c r="X253" s="47"/>
      <c r="Y253" s="47"/>
      <c r="Z253" s="47"/>
      <c r="AA253" s="47"/>
      <c r="AB253" s="47"/>
      <c r="AC253" s="47"/>
      <c r="AD253" s="47"/>
      <c r="AE253" s="47"/>
      <c r="AF253" s="47"/>
      <c r="AG253" s="47"/>
      <c r="AH253" s="47"/>
      <c r="AI253" s="46"/>
      <c r="AJ253" s="46"/>
      <c r="AK253" s="46"/>
      <c r="AL253" s="7"/>
      <c r="AM253" s="49" t="str">
        <f aca="false">IF(OR(C253="",G253=""),"",IFERROR(DATEDIF(C253,G253,"m"),""))</f>
        <v/>
      </c>
      <c r="AN253" s="49" t="str">
        <f aca="false">IF(OR(Q253="",AM253=""),"",60+2*Q253-AM253)</f>
        <v/>
      </c>
      <c r="AO253" s="49" t="str">
        <f aca="false">IF(OR(G253="",AJ253=""),"",AJ253-G253)</f>
        <v/>
      </c>
      <c r="AP253" s="50" t="str">
        <f aca="false">IF(AND(A253="",B253=""),"",IF(J253="","Status needed",IF(OR(J253="Applied",J253="Visit booked",J253="Withdrawn"),"OK",IF(G253="","Date assessed needed",IF(C253="","Date of birth needed",IF(COUNTA(L253,M253,P253,U253,V253,X253,AB253)&lt;7,"Band missing",IF(AND(OR(J253="Decision confirmed",J253="Family told",J253="Enrolled"),AG253=""),"Recommendation needed",IF(AND(OR(J253="Family told",J253="Enrolled"),AJ253=""),"Date family told needed","OK"))))))))</f>
        <v/>
      </c>
    </row>
    <row r="254" customFormat="false" ht="15" hidden="false" customHeight="false" outlineLevel="0" collapsed="false">
      <c r="A254" s="7"/>
      <c r="B254" s="7"/>
      <c r="C254" s="46"/>
      <c r="D254" s="7"/>
      <c r="E254" s="47"/>
      <c r="F254" s="46"/>
      <c r="G254" s="46"/>
      <c r="H254" s="7"/>
      <c r="I254" s="7"/>
      <c r="J254" s="47"/>
      <c r="K254" s="47"/>
      <c r="L254" s="47"/>
      <c r="M254" s="47"/>
      <c r="N254" s="10"/>
      <c r="O254" s="47"/>
      <c r="P254" s="47"/>
      <c r="Q254" s="47"/>
      <c r="R254" s="48" t="str">
        <f aca="false">IF(Q254="","",IF(Q254=0,"below 5:00",IF(Q254&gt;=66,"16:00 or above",INT((60+2*Q254)/12)&amp;":"&amp;TEXT(MOD(60+2*Q254,12),"00"))))</f>
        <v/>
      </c>
      <c r="S254" s="47"/>
      <c r="T254" s="47"/>
      <c r="U254" s="47"/>
      <c r="V254" s="47"/>
      <c r="W254" s="47"/>
      <c r="X254" s="47"/>
      <c r="Y254" s="47"/>
      <c r="Z254" s="47"/>
      <c r="AA254" s="47"/>
      <c r="AB254" s="47"/>
      <c r="AC254" s="47"/>
      <c r="AD254" s="47"/>
      <c r="AE254" s="47"/>
      <c r="AF254" s="47"/>
      <c r="AG254" s="47"/>
      <c r="AH254" s="47"/>
      <c r="AI254" s="46"/>
      <c r="AJ254" s="46"/>
      <c r="AK254" s="46"/>
      <c r="AL254" s="7"/>
      <c r="AM254" s="49" t="str">
        <f aca="false">IF(OR(C254="",G254=""),"",IFERROR(DATEDIF(C254,G254,"m"),""))</f>
        <v/>
      </c>
      <c r="AN254" s="49" t="str">
        <f aca="false">IF(OR(Q254="",AM254=""),"",60+2*Q254-AM254)</f>
        <v/>
      </c>
      <c r="AO254" s="49" t="str">
        <f aca="false">IF(OR(G254="",AJ254=""),"",AJ254-G254)</f>
        <v/>
      </c>
      <c r="AP254" s="50" t="str">
        <f aca="false">IF(AND(A254="",B254=""),"",IF(J254="","Status needed",IF(OR(J254="Applied",J254="Visit booked",J254="Withdrawn"),"OK",IF(G254="","Date assessed needed",IF(C254="","Date of birth needed",IF(COUNTA(L254,M254,P254,U254,V254,X254,AB254)&lt;7,"Band missing",IF(AND(OR(J254="Decision confirmed",J254="Family told",J254="Enrolled"),AG254=""),"Recommendation needed",IF(AND(OR(J254="Family told",J254="Enrolled"),AJ254=""),"Date family told needed","OK"))))))))</f>
        <v/>
      </c>
    </row>
    <row r="255" customFormat="false" ht="15" hidden="false" customHeight="false" outlineLevel="0" collapsed="false">
      <c r="A255" s="7"/>
      <c r="B255" s="7"/>
      <c r="C255" s="46"/>
      <c r="D255" s="7"/>
      <c r="E255" s="47"/>
      <c r="F255" s="46"/>
      <c r="G255" s="46"/>
      <c r="H255" s="7"/>
      <c r="I255" s="7"/>
      <c r="J255" s="47"/>
      <c r="K255" s="47"/>
      <c r="L255" s="47"/>
      <c r="M255" s="47"/>
      <c r="N255" s="10"/>
      <c r="O255" s="47"/>
      <c r="P255" s="47"/>
      <c r="Q255" s="47"/>
      <c r="R255" s="48" t="str">
        <f aca="false">IF(Q255="","",IF(Q255=0,"below 5:00",IF(Q255&gt;=66,"16:00 or above",INT((60+2*Q255)/12)&amp;":"&amp;TEXT(MOD(60+2*Q255,12),"00"))))</f>
        <v/>
      </c>
      <c r="S255" s="47"/>
      <c r="T255" s="47"/>
      <c r="U255" s="47"/>
      <c r="V255" s="47"/>
      <c r="W255" s="47"/>
      <c r="X255" s="47"/>
      <c r="Y255" s="47"/>
      <c r="Z255" s="47"/>
      <c r="AA255" s="47"/>
      <c r="AB255" s="47"/>
      <c r="AC255" s="47"/>
      <c r="AD255" s="47"/>
      <c r="AE255" s="47"/>
      <c r="AF255" s="47"/>
      <c r="AG255" s="47"/>
      <c r="AH255" s="47"/>
      <c r="AI255" s="46"/>
      <c r="AJ255" s="46"/>
      <c r="AK255" s="46"/>
      <c r="AL255" s="7"/>
      <c r="AM255" s="49" t="str">
        <f aca="false">IF(OR(C255="",G255=""),"",IFERROR(DATEDIF(C255,G255,"m"),""))</f>
        <v/>
      </c>
      <c r="AN255" s="49" t="str">
        <f aca="false">IF(OR(Q255="",AM255=""),"",60+2*Q255-AM255)</f>
        <v/>
      </c>
      <c r="AO255" s="49" t="str">
        <f aca="false">IF(OR(G255="",AJ255=""),"",AJ255-G255)</f>
        <v/>
      </c>
      <c r="AP255" s="50" t="str">
        <f aca="false">IF(AND(A255="",B255=""),"",IF(J255="","Status needed",IF(OR(J255="Applied",J255="Visit booked",J255="Withdrawn"),"OK",IF(G255="","Date assessed needed",IF(C255="","Date of birth needed",IF(COUNTA(L255,M255,P255,U255,V255,X255,AB255)&lt;7,"Band missing",IF(AND(OR(J255="Decision confirmed",J255="Family told",J255="Enrolled"),AG255=""),"Recommendation needed",IF(AND(OR(J255="Family told",J255="Enrolled"),AJ255=""),"Date family told needed","OK"))))))))</f>
        <v/>
      </c>
    </row>
    <row r="256" customFormat="false" ht="15" hidden="false" customHeight="false" outlineLevel="0" collapsed="false">
      <c r="A256" s="7"/>
      <c r="B256" s="7"/>
      <c r="C256" s="46"/>
      <c r="D256" s="7"/>
      <c r="E256" s="47"/>
      <c r="F256" s="46"/>
      <c r="G256" s="46"/>
      <c r="H256" s="7"/>
      <c r="I256" s="7"/>
      <c r="J256" s="47"/>
      <c r="K256" s="47"/>
      <c r="L256" s="47"/>
      <c r="M256" s="47"/>
      <c r="N256" s="10"/>
      <c r="O256" s="47"/>
      <c r="P256" s="47"/>
      <c r="Q256" s="47"/>
      <c r="R256" s="48" t="str">
        <f aca="false">IF(Q256="","",IF(Q256=0,"below 5:00",IF(Q256&gt;=66,"16:00 or above",INT((60+2*Q256)/12)&amp;":"&amp;TEXT(MOD(60+2*Q256,12),"00"))))</f>
        <v/>
      </c>
      <c r="S256" s="47"/>
      <c r="T256" s="47"/>
      <c r="U256" s="47"/>
      <c r="V256" s="47"/>
      <c r="W256" s="47"/>
      <c r="X256" s="47"/>
      <c r="Y256" s="47"/>
      <c r="Z256" s="47"/>
      <c r="AA256" s="47"/>
      <c r="AB256" s="47"/>
      <c r="AC256" s="47"/>
      <c r="AD256" s="47"/>
      <c r="AE256" s="47"/>
      <c r="AF256" s="47"/>
      <c r="AG256" s="47"/>
      <c r="AH256" s="47"/>
      <c r="AI256" s="46"/>
      <c r="AJ256" s="46"/>
      <c r="AK256" s="46"/>
      <c r="AL256" s="7"/>
      <c r="AM256" s="49" t="str">
        <f aca="false">IF(OR(C256="",G256=""),"",IFERROR(DATEDIF(C256,G256,"m"),""))</f>
        <v/>
      </c>
      <c r="AN256" s="49" t="str">
        <f aca="false">IF(OR(Q256="",AM256=""),"",60+2*Q256-AM256)</f>
        <v/>
      </c>
      <c r="AO256" s="49" t="str">
        <f aca="false">IF(OR(G256="",AJ256=""),"",AJ256-G256)</f>
        <v/>
      </c>
      <c r="AP256" s="50" t="str">
        <f aca="false">IF(AND(A256="",B256=""),"",IF(J256="","Status needed",IF(OR(J256="Applied",J256="Visit booked",J256="Withdrawn"),"OK",IF(G256="","Date assessed needed",IF(C256="","Date of birth needed",IF(COUNTA(L256,M256,P256,U256,V256,X256,AB256)&lt;7,"Band missing",IF(AND(OR(J256="Decision confirmed",J256="Family told",J256="Enrolled"),AG256=""),"Recommendation needed",IF(AND(OR(J256="Family told",J256="Enrolled"),AJ256=""),"Date family told needed","OK"))))))))</f>
        <v/>
      </c>
    </row>
    <row r="257" customFormat="false" ht="15" hidden="false" customHeight="false" outlineLevel="0" collapsed="false">
      <c r="A257" s="7"/>
      <c r="B257" s="7"/>
      <c r="C257" s="46"/>
      <c r="D257" s="7"/>
      <c r="E257" s="47"/>
      <c r="F257" s="46"/>
      <c r="G257" s="46"/>
      <c r="H257" s="7"/>
      <c r="I257" s="7"/>
      <c r="J257" s="47"/>
      <c r="K257" s="47"/>
      <c r="L257" s="47"/>
      <c r="M257" s="47"/>
      <c r="N257" s="10"/>
      <c r="O257" s="47"/>
      <c r="P257" s="47"/>
      <c r="Q257" s="47"/>
      <c r="R257" s="48" t="str">
        <f aca="false">IF(Q257="","",IF(Q257=0,"below 5:00",IF(Q257&gt;=66,"16:00 or above",INT((60+2*Q257)/12)&amp;":"&amp;TEXT(MOD(60+2*Q257,12),"00"))))</f>
        <v/>
      </c>
      <c r="S257" s="47"/>
      <c r="T257" s="47"/>
      <c r="U257" s="47"/>
      <c r="V257" s="47"/>
      <c r="W257" s="47"/>
      <c r="X257" s="47"/>
      <c r="Y257" s="47"/>
      <c r="Z257" s="47"/>
      <c r="AA257" s="47"/>
      <c r="AB257" s="47"/>
      <c r="AC257" s="47"/>
      <c r="AD257" s="47"/>
      <c r="AE257" s="47"/>
      <c r="AF257" s="47"/>
      <c r="AG257" s="47"/>
      <c r="AH257" s="47"/>
      <c r="AI257" s="46"/>
      <c r="AJ257" s="46"/>
      <c r="AK257" s="46"/>
      <c r="AL257" s="7"/>
      <c r="AM257" s="49" t="str">
        <f aca="false">IF(OR(C257="",G257=""),"",IFERROR(DATEDIF(C257,G257,"m"),""))</f>
        <v/>
      </c>
      <c r="AN257" s="49" t="str">
        <f aca="false">IF(OR(Q257="",AM257=""),"",60+2*Q257-AM257)</f>
        <v/>
      </c>
      <c r="AO257" s="49" t="str">
        <f aca="false">IF(OR(G257="",AJ257=""),"",AJ257-G257)</f>
        <v/>
      </c>
      <c r="AP257" s="50" t="str">
        <f aca="false">IF(AND(A257="",B257=""),"",IF(J257="","Status needed",IF(OR(J257="Applied",J257="Visit booked",J257="Withdrawn"),"OK",IF(G257="","Date assessed needed",IF(C257="","Date of birth needed",IF(COUNTA(L257,M257,P257,U257,V257,X257,AB257)&lt;7,"Band missing",IF(AND(OR(J257="Decision confirmed",J257="Family told",J257="Enrolled"),AG257=""),"Recommendation needed",IF(AND(OR(J257="Family told",J257="Enrolled"),AJ257=""),"Date family told needed","OK"))))))))</f>
        <v/>
      </c>
    </row>
    <row r="258" customFormat="false" ht="15" hidden="false" customHeight="false" outlineLevel="0" collapsed="false">
      <c r="A258" s="7"/>
      <c r="B258" s="7"/>
      <c r="C258" s="46"/>
      <c r="D258" s="7"/>
      <c r="E258" s="47"/>
      <c r="F258" s="46"/>
      <c r="G258" s="46"/>
      <c r="H258" s="7"/>
      <c r="I258" s="7"/>
      <c r="J258" s="47"/>
      <c r="K258" s="47"/>
      <c r="L258" s="47"/>
      <c r="M258" s="47"/>
      <c r="N258" s="10"/>
      <c r="O258" s="47"/>
      <c r="P258" s="47"/>
      <c r="Q258" s="47"/>
      <c r="R258" s="48" t="str">
        <f aca="false">IF(Q258="","",IF(Q258=0,"below 5:00",IF(Q258&gt;=66,"16:00 or above",INT((60+2*Q258)/12)&amp;":"&amp;TEXT(MOD(60+2*Q258,12),"00"))))</f>
        <v/>
      </c>
      <c r="S258" s="47"/>
      <c r="T258" s="47"/>
      <c r="U258" s="47"/>
      <c r="V258" s="47"/>
      <c r="W258" s="47"/>
      <c r="X258" s="47"/>
      <c r="Y258" s="47"/>
      <c r="Z258" s="47"/>
      <c r="AA258" s="47"/>
      <c r="AB258" s="47"/>
      <c r="AC258" s="47"/>
      <c r="AD258" s="47"/>
      <c r="AE258" s="47"/>
      <c r="AF258" s="47"/>
      <c r="AG258" s="47"/>
      <c r="AH258" s="47"/>
      <c r="AI258" s="46"/>
      <c r="AJ258" s="46"/>
      <c r="AK258" s="46"/>
      <c r="AL258" s="7"/>
      <c r="AM258" s="49" t="str">
        <f aca="false">IF(OR(C258="",G258=""),"",IFERROR(DATEDIF(C258,G258,"m"),""))</f>
        <v/>
      </c>
      <c r="AN258" s="49" t="str">
        <f aca="false">IF(OR(Q258="",AM258=""),"",60+2*Q258-AM258)</f>
        <v/>
      </c>
      <c r="AO258" s="49" t="str">
        <f aca="false">IF(OR(G258="",AJ258=""),"",AJ258-G258)</f>
        <v/>
      </c>
      <c r="AP258" s="50" t="str">
        <f aca="false">IF(AND(A258="",B258=""),"",IF(J258="","Status needed",IF(OR(J258="Applied",J258="Visit booked",J258="Withdrawn"),"OK",IF(G258="","Date assessed needed",IF(C258="","Date of birth needed",IF(COUNTA(L258,M258,P258,U258,V258,X258,AB258)&lt;7,"Band missing",IF(AND(OR(J258="Decision confirmed",J258="Family told",J258="Enrolled"),AG258=""),"Recommendation needed",IF(AND(OR(J258="Family told",J258="Enrolled"),AJ258=""),"Date family told needed","OK"))))))))</f>
        <v/>
      </c>
    </row>
    <row r="259" customFormat="false" ht="15" hidden="false" customHeight="false" outlineLevel="0" collapsed="false">
      <c r="A259" s="7"/>
      <c r="B259" s="7"/>
      <c r="C259" s="46"/>
      <c r="D259" s="7"/>
      <c r="E259" s="47"/>
      <c r="F259" s="46"/>
      <c r="G259" s="46"/>
      <c r="H259" s="7"/>
      <c r="I259" s="7"/>
      <c r="J259" s="47"/>
      <c r="K259" s="47"/>
      <c r="L259" s="47"/>
      <c r="M259" s="47"/>
      <c r="N259" s="10"/>
      <c r="O259" s="47"/>
      <c r="P259" s="47"/>
      <c r="Q259" s="47"/>
      <c r="R259" s="48" t="str">
        <f aca="false">IF(Q259="","",IF(Q259=0,"below 5:00",IF(Q259&gt;=66,"16:00 or above",INT((60+2*Q259)/12)&amp;":"&amp;TEXT(MOD(60+2*Q259,12),"00"))))</f>
        <v/>
      </c>
      <c r="S259" s="47"/>
      <c r="T259" s="47"/>
      <c r="U259" s="47"/>
      <c r="V259" s="47"/>
      <c r="W259" s="47"/>
      <c r="X259" s="47"/>
      <c r="Y259" s="47"/>
      <c r="Z259" s="47"/>
      <c r="AA259" s="47"/>
      <c r="AB259" s="47"/>
      <c r="AC259" s="47"/>
      <c r="AD259" s="47"/>
      <c r="AE259" s="47"/>
      <c r="AF259" s="47"/>
      <c r="AG259" s="47"/>
      <c r="AH259" s="47"/>
      <c r="AI259" s="46"/>
      <c r="AJ259" s="46"/>
      <c r="AK259" s="46"/>
      <c r="AL259" s="7"/>
      <c r="AM259" s="49" t="str">
        <f aca="false">IF(OR(C259="",G259=""),"",IFERROR(DATEDIF(C259,G259,"m"),""))</f>
        <v/>
      </c>
      <c r="AN259" s="49" t="str">
        <f aca="false">IF(OR(Q259="",AM259=""),"",60+2*Q259-AM259)</f>
        <v/>
      </c>
      <c r="AO259" s="49" t="str">
        <f aca="false">IF(OR(G259="",AJ259=""),"",AJ259-G259)</f>
        <v/>
      </c>
      <c r="AP259" s="50" t="str">
        <f aca="false">IF(AND(A259="",B259=""),"",IF(J259="","Status needed",IF(OR(J259="Applied",J259="Visit booked",J259="Withdrawn"),"OK",IF(G259="","Date assessed needed",IF(C259="","Date of birth needed",IF(COUNTA(L259,M259,P259,U259,V259,X259,AB259)&lt;7,"Band missing",IF(AND(OR(J259="Decision confirmed",J259="Family told",J259="Enrolled"),AG259=""),"Recommendation needed",IF(AND(OR(J259="Family told",J259="Enrolled"),AJ259=""),"Date family told needed","OK"))))))))</f>
        <v/>
      </c>
    </row>
    <row r="260" customFormat="false" ht="15" hidden="false" customHeight="false" outlineLevel="0" collapsed="false">
      <c r="A260" s="7"/>
      <c r="B260" s="7"/>
      <c r="C260" s="46"/>
      <c r="D260" s="7"/>
      <c r="E260" s="47"/>
      <c r="F260" s="46"/>
      <c r="G260" s="46"/>
      <c r="H260" s="7"/>
      <c r="I260" s="7"/>
      <c r="J260" s="47"/>
      <c r="K260" s="47"/>
      <c r="L260" s="47"/>
      <c r="M260" s="47"/>
      <c r="N260" s="10"/>
      <c r="O260" s="47"/>
      <c r="P260" s="47"/>
      <c r="Q260" s="47"/>
      <c r="R260" s="48" t="str">
        <f aca="false">IF(Q260="","",IF(Q260=0,"below 5:00",IF(Q260&gt;=66,"16:00 or above",INT((60+2*Q260)/12)&amp;":"&amp;TEXT(MOD(60+2*Q260,12),"00"))))</f>
        <v/>
      </c>
      <c r="S260" s="47"/>
      <c r="T260" s="47"/>
      <c r="U260" s="47"/>
      <c r="V260" s="47"/>
      <c r="W260" s="47"/>
      <c r="X260" s="47"/>
      <c r="Y260" s="47"/>
      <c r="Z260" s="47"/>
      <c r="AA260" s="47"/>
      <c r="AB260" s="47"/>
      <c r="AC260" s="47"/>
      <c r="AD260" s="47"/>
      <c r="AE260" s="47"/>
      <c r="AF260" s="47"/>
      <c r="AG260" s="47"/>
      <c r="AH260" s="47"/>
      <c r="AI260" s="46"/>
      <c r="AJ260" s="46"/>
      <c r="AK260" s="46"/>
      <c r="AL260" s="7"/>
      <c r="AM260" s="49" t="str">
        <f aca="false">IF(OR(C260="",G260=""),"",IFERROR(DATEDIF(C260,G260,"m"),""))</f>
        <v/>
      </c>
      <c r="AN260" s="49" t="str">
        <f aca="false">IF(OR(Q260="",AM260=""),"",60+2*Q260-AM260)</f>
        <v/>
      </c>
      <c r="AO260" s="49" t="str">
        <f aca="false">IF(OR(G260="",AJ260=""),"",AJ260-G260)</f>
        <v/>
      </c>
      <c r="AP260" s="50" t="str">
        <f aca="false">IF(AND(A260="",B260=""),"",IF(J260="","Status needed",IF(OR(J260="Applied",J260="Visit booked",J260="Withdrawn"),"OK",IF(G260="","Date assessed needed",IF(C260="","Date of birth needed",IF(COUNTA(L260,M260,P260,U260,V260,X260,AB260)&lt;7,"Band missing",IF(AND(OR(J260="Decision confirmed",J260="Family told",J260="Enrolled"),AG260=""),"Recommendation needed",IF(AND(OR(J260="Family told",J260="Enrolled"),AJ260=""),"Date family told needed","OK"))))))))</f>
        <v/>
      </c>
    </row>
    <row r="261" customFormat="false" ht="15" hidden="false" customHeight="false" outlineLevel="0" collapsed="false">
      <c r="A261" s="7"/>
      <c r="B261" s="7"/>
      <c r="C261" s="46"/>
      <c r="D261" s="7"/>
      <c r="E261" s="47"/>
      <c r="F261" s="46"/>
      <c r="G261" s="46"/>
      <c r="H261" s="7"/>
      <c r="I261" s="7"/>
      <c r="J261" s="47"/>
      <c r="K261" s="47"/>
      <c r="L261" s="47"/>
      <c r="M261" s="47"/>
      <c r="N261" s="10"/>
      <c r="O261" s="47"/>
      <c r="P261" s="47"/>
      <c r="Q261" s="47"/>
      <c r="R261" s="48" t="str">
        <f aca="false">IF(Q261="","",IF(Q261=0,"below 5:00",IF(Q261&gt;=66,"16:00 or above",INT((60+2*Q261)/12)&amp;":"&amp;TEXT(MOD(60+2*Q261,12),"00"))))</f>
        <v/>
      </c>
      <c r="S261" s="47"/>
      <c r="T261" s="47"/>
      <c r="U261" s="47"/>
      <c r="V261" s="47"/>
      <c r="W261" s="47"/>
      <c r="X261" s="47"/>
      <c r="Y261" s="47"/>
      <c r="Z261" s="47"/>
      <c r="AA261" s="47"/>
      <c r="AB261" s="47"/>
      <c r="AC261" s="47"/>
      <c r="AD261" s="47"/>
      <c r="AE261" s="47"/>
      <c r="AF261" s="47"/>
      <c r="AG261" s="47"/>
      <c r="AH261" s="47"/>
      <c r="AI261" s="46"/>
      <c r="AJ261" s="46"/>
      <c r="AK261" s="46"/>
      <c r="AL261" s="7"/>
      <c r="AM261" s="49" t="str">
        <f aca="false">IF(OR(C261="",G261=""),"",IFERROR(DATEDIF(C261,G261,"m"),""))</f>
        <v/>
      </c>
      <c r="AN261" s="49" t="str">
        <f aca="false">IF(OR(Q261="",AM261=""),"",60+2*Q261-AM261)</f>
        <v/>
      </c>
      <c r="AO261" s="49" t="str">
        <f aca="false">IF(OR(G261="",AJ261=""),"",AJ261-G261)</f>
        <v/>
      </c>
      <c r="AP261" s="50" t="str">
        <f aca="false">IF(AND(A261="",B261=""),"",IF(J261="","Status needed",IF(OR(J261="Applied",J261="Visit booked",J261="Withdrawn"),"OK",IF(G261="","Date assessed needed",IF(C261="","Date of birth needed",IF(COUNTA(L261,M261,P261,U261,V261,X261,AB261)&lt;7,"Band missing",IF(AND(OR(J261="Decision confirmed",J261="Family told",J261="Enrolled"),AG261=""),"Recommendation needed",IF(AND(OR(J261="Family told",J261="Enrolled"),AJ261=""),"Date family told needed","OK"))))))))</f>
        <v/>
      </c>
    </row>
    <row r="262" customFormat="false" ht="15" hidden="false" customHeight="false" outlineLevel="0" collapsed="false">
      <c r="A262" s="7"/>
      <c r="B262" s="7"/>
      <c r="C262" s="46"/>
      <c r="D262" s="7"/>
      <c r="E262" s="47"/>
      <c r="F262" s="46"/>
      <c r="G262" s="46"/>
      <c r="H262" s="7"/>
      <c r="I262" s="7"/>
      <c r="J262" s="47"/>
      <c r="K262" s="47"/>
      <c r="L262" s="47"/>
      <c r="M262" s="47"/>
      <c r="N262" s="10"/>
      <c r="O262" s="47"/>
      <c r="P262" s="47"/>
      <c r="Q262" s="47"/>
      <c r="R262" s="48" t="str">
        <f aca="false">IF(Q262="","",IF(Q262=0,"below 5:00",IF(Q262&gt;=66,"16:00 or above",INT((60+2*Q262)/12)&amp;":"&amp;TEXT(MOD(60+2*Q262,12),"00"))))</f>
        <v/>
      </c>
      <c r="S262" s="47"/>
      <c r="T262" s="47"/>
      <c r="U262" s="47"/>
      <c r="V262" s="47"/>
      <c r="W262" s="47"/>
      <c r="X262" s="47"/>
      <c r="Y262" s="47"/>
      <c r="Z262" s="47"/>
      <c r="AA262" s="47"/>
      <c r="AB262" s="47"/>
      <c r="AC262" s="47"/>
      <c r="AD262" s="47"/>
      <c r="AE262" s="47"/>
      <c r="AF262" s="47"/>
      <c r="AG262" s="47"/>
      <c r="AH262" s="47"/>
      <c r="AI262" s="46"/>
      <c r="AJ262" s="46"/>
      <c r="AK262" s="46"/>
      <c r="AL262" s="7"/>
      <c r="AM262" s="49" t="str">
        <f aca="false">IF(OR(C262="",G262=""),"",IFERROR(DATEDIF(C262,G262,"m"),""))</f>
        <v/>
      </c>
      <c r="AN262" s="49" t="str">
        <f aca="false">IF(OR(Q262="",AM262=""),"",60+2*Q262-AM262)</f>
        <v/>
      </c>
      <c r="AO262" s="49" t="str">
        <f aca="false">IF(OR(G262="",AJ262=""),"",AJ262-G262)</f>
        <v/>
      </c>
      <c r="AP262" s="50" t="str">
        <f aca="false">IF(AND(A262="",B262=""),"",IF(J262="","Status needed",IF(OR(J262="Applied",J262="Visit booked",J262="Withdrawn"),"OK",IF(G262="","Date assessed needed",IF(C262="","Date of birth needed",IF(COUNTA(L262,M262,P262,U262,V262,X262,AB262)&lt;7,"Band missing",IF(AND(OR(J262="Decision confirmed",J262="Family told",J262="Enrolled"),AG262=""),"Recommendation needed",IF(AND(OR(J262="Family told",J262="Enrolled"),AJ262=""),"Date family told needed","OK"))))))))</f>
        <v/>
      </c>
    </row>
    <row r="263" customFormat="false" ht="15" hidden="false" customHeight="false" outlineLevel="0" collapsed="false">
      <c r="A263" s="7"/>
      <c r="B263" s="7"/>
      <c r="C263" s="46"/>
      <c r="D263" s="7"/>
      <c r="E263" s="47"/>
      <c r="F263" s="46"/>
      <c r="G263" s="46"/>
      <c r="H263" s="7"/>
      <c r="I263" s="7"/>
      <c r="J263" s="47"/>
      <c r="K263" s="47"/>
      <c r="L263" s="47"/>
      <c r="M263" s="47"/>
      <c r="N263" s="10"/>
      <c r="O263" s="47"/>
      <c r="P263" s="47"/>
      <c r="Q263" s="47"/>
      <c r="R263" s="48" t="str">
        <f aca="false">IF(Q263="","",IF(Q263=0,"below 5:00",IF(Q263&gt;=66,"16:00 or above",INT((60+2*Q263)/12)&amp;":"&amp;TEXT(MOD(60+2*Q263,12),"00"))))</f>
        <v/>
      </c>
      <c r="S263" s="47"/>
      <c r="T263" s="47"/>
      <c r="U263" s="47"/>
      <c r="V263" s="47"/>
      <c r="W263" s="47"/>
      <c r="X263" s="47"/>
      <c r="Y263" s="47"/>
      <c r="Z263" s="47"/>
      <c r="AA263" s="47"/>
      <c r="AB263" s="47"/>
      <c r="AC263" s="47"/>
      <c r="AD263" s="47"/>
      <c r="AE263" s="47"/>
      <c r="AF263" s="47"/>
      <c r="AG263" s="47"/>
      <c r="AH263" s="47"/>
      <c r="AI263" s="46"/>
      <c r="AJ263" s="46"/>
      <c r="AK263" s="46"/>
      <c r="AL263" s="7"/>
      <c r="AM263" s="49" t="str">
        <f aca="false">IF(OR(C263="",G263=""),"",IFERROR(DATEDIF(C263,G263,"m"),""))</f>
        <v/>
      </c>
      <c r="AN263" s="49" t="str">
        <f aca="false">IF(OR(Q263="",AM263=""),"",60+2*Q263-AM263)</f>
        <v/>
      </c>
      <c r="AO263" s="49" t="str">
        <f aca="false">IF(OR(G263="",AJ263=""),"",AJ263-G263)</f>
        <v/>
      </c>
      <c r="AP263" s="50" t="str">
        <f aca="false">IF(AND(A263="",B263=""),"",IF(J263="","Status needed",IF(OR(J263="Applied",J263="Visit booked",J263="Withdrawn"),"OK",IF(G263="","Date assessed needed",IF(C263="","Date of birth needed",IF(COUNTA(L263,M263,P263,U263,V263,X263,AB263)&lt;7,"Band missing",IF(AND(OR(J263="Decision confirmed",J263="Family told",J263="Enrolled"),AG263=""),"Recommendation needed",IF(AND(OR(J263="Family told",J263="Enrolled"),AJ263=""),"Date family told needed","OK"))))))))</f>
        <v/>
      </c>
    </row>
    <row r="264" customFormat="false" ht="15" hidden="false" customHeight="false" outlineLevel="0" collapsed="false">
      <c r="A264" s="7"/>
      <c r="B264" s="7"/>
      <c r="C264" s="46"/>
      <c r="D264" s="7"/>
      <c r="E264" s="47"/>
      <c r="F264" s="46"/>
      <c r="G264" s="46"/>
      <c r="H264" s="7"/>
      <c r="I264" s="7"/>
      <c r="J264" s="47"/>
      <c r="K264" s="47"/>
      <c r="L264" s="47"/>
      <c r="M264" s="47"/>
      <c r="N264" s="10"/>
      <c r="O264" s="47"/>
      <c r="P264" s="47"/>
      <c r="Q264" s="47"/>
      <c r="R264" s="48" t="str">
        <f aca="false">IF(Q264="","",IF(Q264=0,"below 5:00",IF(Q264&gt;=66,"16:00 or above",INT((60+2*Q264)/12)&amp;":"&amp;TEXT(MOD(60+2*Q264,12),"00"))))</f>
        <v/>
      </c>
      <c r="S264" s="47"/>
      <c r="T264" s="47"/>
      <c r="U264" s="47"/>
      <c r="V264" s="47"/>
      <c r="W264" s="47"/>
      <c r="X264" s="47"/>
      <c r="Y264" s="47"/>
      <c r="Z264" s="47"/>
      <c r="AA264" s="47"/>
      <c r="AB264" s="47"/>
      <c r="AC264" s="47"/>
      <c r="AD264" s="47"/>
      <c r="AE264" s="47"/>
      <c r="AF264" s="47"/>
      <c r="AG264" s="47"/>
      <c r="AH264" s="47"/>
      <c r="AI264" s="46"/>
      <c r="AJ264" s="46"/>
      <c r="AK264" s="46"/>
      <c r="AL264" s="7"/>
      <c r="AM264" s="49" t="str">
        <f aca="false">IF(OR(C264="",G264=""),"",IFERROR(DATEDIF(C264,G264,"m"),""))</f>
        <v/>
      </c>
      <c r="AN264" s="49" t="str">
        <f aca="false">IF(OR(Q264="",AM264=""),"",60+2*Q264-AM264)</f>
        <v/>
      </c>
      <c r="AO264" s="49" t="str">
        <f aca="false">IF(OR(G264="",AJ264=""),"",AJ264-G264)</f>
        <v/>
      </c>
      <c r="AP264" s="50" t="str">
        <f aca="false">IF(AND(A264="",B264=""),"",IF(J264="","Status needed",IF(OR(J264="Applied",J264="Visit booked",J264="Withdrawn"),"OK",IF(G264="","Date assessed needed",IF(C264="","Date of birth needed",IF(COUNTA(L264,M264,P264,U264,V264,X264,AB264)&lt;7,"Band missing",IF(AND(OR(J264="Decision confirmed",J264="Family told",J264="Enrolled"),AG264=""),"Recommendation needed",IF(AND(OR(J264="Family told",J264="Enrolled"),AJ264=""),"Date family told needed","OK"))))))))</f>
        <v/>
      </c>
    </row>
    <row r="265" customFormat="false" ht="15" hidden="false" customHeight="false" outlineLevel="0" collapsed="false">
      <c r="A265" s="7"/>
      <c r="B265" s="7"/>
      <c r="C265" s="46"/>
      <c r="D265" s="7"/>
      <c r="E265" s="47"/>
      <c r="F265" s="46"/>
      <c r="G265" s="46"/>
      <c r="H265" s="7"/>
      <c r="I265" s="7"/>
      <c r="J265" s="47"/>
      <c r="K265" s="47"/>
      <c r="L265" s="47"/>
      <c r="M265" s="47"/>
      <c r="N265" s="10"/>
      <c r="O265" s="47"/>
      <c r="P265" s="47"/>
      <c r="Q265" s="47"/>
      <c r="R265" s="48" t="str">
        <f aca="false">IF(Q265="","",IF(Q265=0,"below 5:00",IF(Q265&gt;=66,"16:00 or above",INT((60+2*Q265)/12)&amp;":"&amp;TEXT(MOD(60+2*Q265,12),"00"))))</f>
        <v/>
      </c>
      <c r="S265" s="47"/>
      <c r="T265" s="47"/>
      <c r="U265" s="47"/>
      <c r="V265" s="47"/>
      <c r="W265" s="47"/>
      <c r="X265" s="47"/>
      <c r="Y265" s="47"/>
      <c r="Z265" s="47"/>
      <c r="AA265" s="47"/>
      <c r="AB265" s="47"/>
      <c r="AC265" s="47"/>
      <c r="AD265" s="47"/>
      <c r="AE265" s="47"/>
      <c r="AF265" s="47"/>
      <c r="AG265" s="47"/>
      <c r="AH265" s="47"/>
      <c r="AI265" s="46"/>
      <c r="AJ265" s="46"/>
      <c r="AK265" s="46"/>
      <c r="AL265" s="7"/>
      <c r="AM265" s="49" t="str">
        <f aca="false">IF(OR(C265="",G265=""),"",IFERROR(DATEDIF(C265,G265,"m"),""))</f>
        <v/>
      </c>
      <c r="AN265" s="49" t="str">
        <f aca="false">IF(OR(Q265="",AM265=""),"",60+2*Q265-AM265)</f>
        <v/>
      </c>
      <c r="AO265" s="49" t="str">
        <f aca="false">IF(OR(G265="",AJ265=""),"",AJ265-G265)</f>
        <v/>
      </c>
      <c r="AP265" s="50" t="str">
        <f aca="false">IF(AND(A265="",B265=""),"",IF(J265="","Status needed",IF(OR(J265="Applied",J265="Visit booked",J265="Withdrawn"),"OK",IF(G265="","Date assessed needed",IF(C265="","Date of birth needed",IF(COUNTA(L265,M265,P265,U265,V265,X265,AB265)&lt;7,"Band missing",IF(AND(OR(J265="Decision confirmed",J265="Family told",J265="Enrolled"),AG265=""),"Recommendation needed",IF(AND(OR(J265="Family told",J265="Enrolled"),AJ265=""),"Date family told needed","OK"))))))))</f>
        <v/>
      </c>
    </row>
    <row r="266" customFormat="false" ht="15" hidden="false" customHeight="false" outlineLevel="0" collapsed="false">
      <c r="A266" s="7"/>
      <c r="B266" s="7"/>
      <c r="C266" s="46"/>
      <c r="D266" s="7"/>
      <c r="E266" s="47"/>
      <c r="F266" s="46"/>
      <c r="G266" s="46"/>
      <c r="H266" s="7"/>
      <c r="I266" s="7"/>
      <c r="J266" s="47"/>
      <c r="K266" s="47"/>
      <c r="L266" s="47"/>
      <c r="M266" s="47"/>
      <c r="N266" s="10"/>
      <c r="O266" s="47"/>
      <c r="P266" s="47"/>
      <c r="Q266" s="47"/>
      <c r="R266" s="48" t="str">
        <f aca="false">IF(Q266="","",IF(Q266=0,"below 5:00",IF(Q266&gt;=66,"16:00 or above",INT((60+2*Q266)/12)&amp;":"&amp;TEXT(MOD(60+2*Q266,12),"00"))))</f>
        <v/>
      </c>
      <c r="S266" s="47"/>
      <c r="T266" s="47"/>
      <c r="U266" s="47"/>
      <c r="V266" s="47"/>
      <c r="W266" s="47"/>
      <c r="X266" s="47"/>
      <c r="Y266" s="47"/>
      <c r="Z266" s="47"/>
      <c r="AA266" s="47"/>
      <c r="AB266" s="47"/>
      <c r="AC266" s="47"/>
      <c r="AD266" s="47"/>
      <c r="AE266" s="47"/>
      <c r="AF266" s="47"/>
      <c r="AG266" s="47"/>
      <c r="AH266" s="47"/>
      <c r="AI266" s="46"/>
      <c r="AJ266" s="46"/>
      <c r="AK266" s="46"/>
      <c r="AL266" s="7"/>
      <c r="AM266" s="49" t="str">
        <f aca="false">IF(OR(C266="",G266=""),"",IFERROR(DATEDIF(C266,G266,"m"),""))</f>
        <v/>
      </c>
      <c r="AN266" s="49" t="str">
        <f aca="false">IF(OR(Q266="",AM266=""),"",60+2*Q266-AM266)</f>
        <v/>
      </c>
      <c r="AO266" s="49" t="str">
        <f aca="false">IF(OR(G266="",AJ266=""),"",AJ266-G266)</f>
        <v/>
      </c>
      <c r="AP266" s="50" t="str">
        <f aca="false">IF(AND(A266="",B266=""),"",IF(J266="","Status needed",IF(OR(J266="Applied",J266="Visit booked",J266="Withdrawn"),"OK",IF(G266="","Date assessed needed",IF(C266="","Date of birth needed",IF(COUNTA(L266,M266,P266,U266,V266,X266,AB266)&lt;7,"Band missing",IF(AND(OR(J266="Decision confirmed",J266="Family told",J266="Enrolled"),AG266=""),"Recommendation needed",IF(AND(OR(J266="Family told",J266="Enrolled"),AJ266=""),"Date family told needed","OK"))))))))</f>
        <v/>
      </c>
    </row>
    <row r="267" customFormat="false" ht="15" hidden="false" customHeight="false" outlineLevel="0" collapsed="false">
      <c r="A267" s="7"/>
      <c r="B267" s="7"/>
      <c r="C267" s="46"/>
      <c r="D267" s="7"/>
      <c r="E267" s="47"/>
      <c r="F267" s="46"/>
      <c r="G267" s="46"/>
      <c r="H267" s="7"/>
      <c r="I267" s="7"/>
      <c r="J267" s="47"/>
      <c r="K267" s="47"/>
      <c r="L267" s="47"/>
      <c r="M267" s="47"/>
      <c r="N267" s="10"/>
      <c r="O267" s="47"/>
      <c r="P267" s="47"/>
      <c r="Q267" s="47"/>
      <c r="R267" s="48" t="str">
        <f aca="false">IF(Q267="","",IF(Q267=0,"below 5:00",IF(Q267&gt;=66,"16:00 or above",INT((60+2*Q267)/12)&amp;":"&amp;TEXT(MOD(60+2*Q267,12),"00"))))</f>
        <v/>
      </c>
      <c r="S267" s="47"/>
      <c r="T267" s="47"/>
      <c r="U267" s="47"/>
      <c r="V267" s="47"/>
      <c r="W267" s="47"/>
      <c r="X267" s="47"/>
      <c r="Y267" s="47"/>
      <c r="Z267" s="47"/>
      <c r="AA267" s="47"/>
      <c r="AB267" s="47"/>
      <c r="AC267" s="47"/>
      <c r="AD267" s="47"/>
      <c r="AE267" s="47"/>
      <c r="AF267" s="47"/>
      <c r="AG267" s="47"/>
      <c r="AH267" s="47"/>
      <c r="AI267" s="46"/>
      <c r="AJ267" s="46"/>
      <c r="AK267" s="46"/>
      <c r="AL267" s="7"/>
      <c r="AM267" s="49" t="str">
        <f aca="false">IF(OR(C267="",G267=""),"",IFERROR(DATEDIF(C267,G267,"m"),""))</f>
        <v/>
      </c>
      <c r="AN267" s="49" t="str">
        <f aca="false">IF(OR(Q267="",AM267=""),"",60+2*Q267-AM267)</f>
        <v/>
      </c>
      <c r="AO267" s="49" t="str">
        <f aca="false">IF(OR(G267="",AJ267=""),"",AJ267-G267)</f>
        <v/>
      </c>
      <c r="AP267" s="50" t="str">
        <f aca="false">IF(AND(A267="",B267=""),"",IF(J267="","Status needed",IF(OR(J267="Applied",J267="Visit booked",J267="Withdrawn"),"OK",IF(G267="","Date assessed needed",IF(C267="","Date of birth needed",IF(COUNTA(L267,M267,P267,U267,V267,X267,AB267)&lt;7,"Band missing",IF(AND(OR(J267="Decision confirmed",J267="Family told",J267="Enrolled"),AG267=""),"Recommendation needed",IF(AND(OR(J267="Family told",J267="Enrolled"),AJ267=""),"Date family told needed","OK"))))))))</f>
        <v/>
      </c>
    </row>
    <row r="268" customFormat="false" ht="15" hidden="false" customHeight="false" outlineLevel="0" collapsed="false">
      <c r="A268" s="7"/>
      <c r="B268" s="7"/>
      <c r="C268" s="46"/>
      <c r="D268" s="7"/>
      <c r="E268" s="47"/>
      <c r="F268" s="46"/>
      <c r="G268" s="46"/>
      <c r="H268" s="7"/>
      <c r="I268" s="7"/>
      <c r="J268" s="47"/>
      <c r="K268" s="47"/>
      <c r="L268" s="47"/>
      <c r="M268" s="47"/>
      <c r="N268" s="10"/>
      <c r="O268" s="47"/>
      <c r="P268" s="47"/>
      <c r="Q268" s="47"/>
      <c r="R268" s="48" t="str">
        <f aca="false">IF(Q268="","",IF(Q268=0,"below 5:00",IF(Q268&gt;=66,"16:00 or above",INT((60+2*Q268)/12)&amp;":"&amp;TEXT(MOD(60+2*Q268,12),"00"))))</f>
        <v/>
      </c>
      <c r="S268" s="47"/>
      <c r="T268" s="47"/>
      <c r="U268" s="47"/>
      <c r="V268" s="47"/>
      <c r="W268" s="47"/>
      <c r="X268" s="47"/>
      <c r="Y268" s="47"/>
      <c r="Z268" s="47"/>
      <c r="AA268" s="47"/>
      <c r="AB268" s="47"/>
      <c r="AC268" s="47"/>
      <c r="AD268" s="47"/>
      <c r="AE268" s="47"/>
      <c r="AF268" s="47"/>
      <c r="AG268" s="47"/>
      <c r="AH268" s="47"/>
      <c r="AI268" s="46"/>
      <c r="AJ268" s="46"/>
      <c r="AK268" s="46"/>
      <c r="AL268" s="7"/>
      <c r="AM268" s="49" t="str">
        <f aca="false">IF(OR(C268="",G268=""),"",IFERROR(DATEDIF(C268,G268,"m"),""))</f>
        <v/>
      </c>
      <c r="AN268" s="49" t="str">
        <f aca="false">IF(OR(Q268="",AM268=""),"",60+2*Q268-AM268)</f>
        <v/>
      </c>
      <c r="AO268" s="49" t="str">
        <f aca="false">IF(OR(G268="",AJ268=""),"",AJ268-G268)</f>
        <v/>
      </c>
      <c r="AP268" s="50" t="str">
        <f aca="false">IF(AND(A268="",B268=""),"",IF(J268="","Status needed",IF(OR(J268="Applied",J268="Visit booked",J268="Withdrawn"),"OK",IF(G268="","Date assessed needed",IF(C268="","Date of birth needed",IF(COUNTA(L268,M268,P268,U268,V268,X268,AB268)&lt;7,"Band missing",IF(AND(OR(J268="Decision confirmed",J268="Family told",J268="Enrolled"),AG268=""),"Recommendation needed",IF(AND(OR(J268="Family told",J268="Enrolled"),AJ268=""),"Date family told needed","OK"))))))))</f>
        <v/>
      </c>
    </row>
    <row r="269" customFormat="false" ht="15" hidden="false" customHeight="false" outlineLevel="0" collapsed="false">
      <c r="A269" s="7"/>
      <c r="B269" s="7"/>
      <c r="C269" s="46"/>
      <c r="D269" s="7"/>
      <c r="E269" s="47"/>
      <c r="F269" s="46"/>
      <c r="G269" s="46"/>
      <c r="H269" s="7"/>
      <c r="I269" s="7"/>
      <c r="J269" s="47"/>
      <c r="K269" s="47"/>
      <c r="L269" s="47"/>
      <c r="M269" s="47"/>
      <c r="N269" s="10"/>
      <c r="O269" s="47"/>
      <c r="P269" s="47"/>
      <c r="Q269" s="47"/>
      <c r="R269" s="48" t="str">
        <f aca="false">IF(Q269="","",IF(Q269=0,"below 5:00",IF(Q269&gt;=66,"16:00 or above",INT((60+2*Q269)/12)&amp;":"&amp;TEXT(MOD(60+2*Q269,12),"00"))))</f>
        <v/>
      </c>
      <c r="S269" s="47"/>
      <c r="T269" s="47"/>
      <c r="U269" s="47"/>
      <c r="V269" s="47"/>
      <c r="W269" s="47"/>
      <c r="X269" s="47"/>
      <c r="Y269" s="47"/>
      <c r="Z269" s="47"/>
      <c r="AA269" s="47"/>
      <c r="AB269" s="47"/>
      <c r="AC269" s="47"/>
      <c r="AD269" s="47"/>
      <c r="AE269" s="47"/>
      <c r="AF269" s="47"/>
      <c r="AG269" s="47"/>
      <c r="AH269" s="47"/>
      <c r="AI269" s="46"/>
      <c r="AJ269" s="46"/>
      <c r="AK269" s="46"/>
      <c r="AL269" s="7"/>
      <c r="AM269" s="49" t="str">
        <f aca="false">IF(OR(C269="",G269=""),"",IFERROR(DATEDIF(C269,G269,"m"),""))</f>
        <v/>
      </c>
      <c r="AN269" s="49" t="str">
        <f aca="false">IF(OR(Q269="",AM269=""),"",60+2*Q269-AM269)</f>
        <v/>
      </c>
      <c r="AO269" s="49" t="str">
        <f aca="false">IF(OR(G269="",AJ269=""),"",AJ269-G269)</f>
        <v/>
      </c>
      <c r="AP269" s="50" t="str">
        <f aca="false">IF(AND(A269="",B269=""),"",IF(J269="","Status needed",IF(OR(J269="Applied",J269="Visit booked",J269="Withdrawn"),"OK",IF(G269="","Date assessed needed",IF(C269="","Date of birth needed",IF(COUNTA(L269,M269,P269,U269,V269,X269,AB269)&lt;7,"Band missing",IF(AND(OR(J269="Decision confirmed",J269="Family told",J269="Enrolled"),AG269=""),"Recommendation needed",IF(AND(OR(J269="Family told",J269="Enrolled"),AJ269=""),"Date family told needed","OK"))))))))</f>
        <v/>
      </c>
    </row>
    <row r="270" customFormat="false" ht="15" hidden="false" customHeight="false" outlineLevel="0" collapsed="false">
      <c r="A270" s="7"/>
      <c r="B270" s="7"/>
      <c r="C270" s="46"/>
      <c r="D270" s="7"/>
      <c r="E270" s="47"/>
      <c r="F270" s="46"/>
      <c r="G270" s="46"/>
      <c r="H270" s="7"/>
      <c r="I270" s="7"/>
      <c r="J270" s="47"/>
      <c r="K270" s="47"/>
      <c r="L270" s="47"/>
      <c r="M270" s="47"/>
      <c r="N270" s="10"/>
      <c r="O270" s="47"/>
      <c r="P270" s="47"/>
      <c r="Q270" s="47"/>
      <c r="R270" s="48" t="str">
        <f aca="false">IF(Q270="","",IF(Q270=0,"below 5:00",IF(Q270&gt;=66,"16:00 or above",INT((60+2*Q270)/12)&amp;":"&amp;TEXT(MOD(60+2*Q270,12),"00"))))</f>
        <v/>
      </c>
      <c r="S270" s="47"/>
      <c r="T270" s="47"/>
      <c r="U270" s="47"/>
      <c r="V270" s="47"/>
      <c r="W270" s="47"/>
      <c r="X270" s="47"/>
      <c r="Y270" s="47"/>
      <c r="Z270" s="47"/>
      <c r="AA270" s="47"/>
      <c r="AB270" s="47"/>
      <c r="AC270" s="47"/>
      <c r="AD270" s="47"/>
      <c r="AE270" s="47"/>
      <c r="AF270" s="47"/>
      <c r="AG270" s="47"/>
      <c r="AH270" s="47"/>
      <c r="AI270" s="46"/>
      <c r="AJ270" s="46"/>
      <c r="AK270" s="46"/>
      <c r="AL270" s="7"/>
      <c r="AM270" s="49" t="str">
        <f aca="false">IF(OR(C270="",G270=""),"",IFERROR(DATEDIF(C270,G270,"m"),""))</f>
        <v/>
      </c>
      <c r="AN270" s="49" t="str">
        <f aca="false">IF(OR(Q270="",AM270=""),"",60+2*Q270-AM270)</f>
        <v/>
      </c>
      <c r="AO270" s="49" t="str">
        <f aca="false">IF(OR(G270="",AJ270=""),"",AJ270-G270)</f>
        <v/>
      </c>
      <c r="AP270" s="50" t="str">
        <f aca="false">IF(AND(A270="",B270=""),"",IF(J270="","Status needed",IF(OR(J270="Applied",J270="Visit booked",J270="Withdrawn"),"OK",IF(G270="","Date assessed needed",IF(C270="","Date of birth needed",IF(COUNTA(L270,M270,P270,U270,V270,X270,AB270)&lt;7,"Band missing",IF(AND(OR(J270="Decision confirmed",J270="Family told",J270="Enrolled"),AG270=""),"Recommendation needed",IF(AND(OR(J270="Family told",J270="Enrolled"),AJ270=""),"Date family told needed","OK"))))))))</f>
        <v/>
      </c>
    </row>
    <row r="271" customFormat="false" ht="15" hidden="false" customHeight="false" outlineLevel="0" collapsed="false">
      <c r="A271" s="7"/>
      <c r="B271" s="7"/>
      <c r="C271" s="46"/>
      <c r="D271" s="7"/>
      <c r="E271" s="47"/>
      <c r="F271" s="46"/>
      <c r="G271" s="46"/>
      <c r="H271" s="7"/>
      <c r="I271" s="7"/>
      <c r="J271" s="47"/>
      <c r="K271" s="47"/>
      <c r="L271" s="47"/>
      <c r="M271" s="47"/>
      <c r="N271" s="10"/>
      <c r="O271" s="47"/>
      <c r="P271" s="47"/>
      <c r="Q271" s="47"/>
      <c r="R271" s="48" t="str">
        <f aca="false">IF(Q271="","",IF(Q271=0,"below 5:00",IF(Q271&gt;=66,"16:00 or above",INT((60+2*Q271)/12)&amp;":"&amp;TEXT(MOD(60+2*Q271,12),"00"))))</f>
        <v/>
      </c>
      <c r="S271" s="47"/>
      <c r="T271" s="47"/>
      <c r="U271" s="47"/>
      <c r="V271" s="47"/>
      <c r="W271" s="47"/>
      <c r="X271" s="47"/>
      <c r="Y271" s="47"/>
      <c r="Z271" s="47"/>
      <c r="AA271" s="47"/>
      <c r="AB271" s="47"/>
      <c r="AC271" s="47"/>
      <c r="AD271" s="47"/>
      <c r="AE271" s="47"/>
      <c r="AF271" s="47"/>
      <c r="AG271" s="47"/>
      <c r="AH271" s="47"/>
      <c r="AI271" s="46"/>
      <c r="AJ271" s="46"/>
      <c r="AK271" s="46"/>
      <c r="AL271" s="7"/>
      <c r="AM271" s="49" t="str">
        <f aca="false">IF(OR(C271="",G271=""),"",IFERROR(DATEDIF(C271,G271,"m"),""))</f>
        <v/>
      </c>
      <c r="AN271" s="49" t="str">
        <f aca="false">IF(OR(Q271="",AM271=""),"",60+2*Q271-AM271)</f>
        <v/>
      </c>
      <c r="AO271" s="49" t="str">
        <f aca="false">IF(OR(G271="",AJ271=""),"",AJ271-G271)</f>
        <v/>
      </c>
      <c r="AP271" s="50" t="str">
        <f aca="false">IF(AND(A271="",B271=""),"",IF(J271="","Status needed",IF(OR(J271="Applied",J271="Visit booked",J271="Withdrawn"),"OK",IF(G271="","Date assessed needed",IF(C271="","Date of birth needed",IF(COUNTA(L271,M271,P271,U271,V271,X271,AB271)&lt;7,"Band missing",IF(AND(OR(J271="Decision confirmed",J271="Family told",J271="Enrolled"),AG271=""),"Recommendation needed",IF(AND(OR(J271="Family told",J271="Enrolled"),AJ271=""),"Date family told needed","OK"))))))))</f>
        <v/>
      </c>
    </row>
    <row r="272" customFormat="false" ht="15" hidden="false" customHeight="false" outlineLevel="0" collapsed="false">
      <c r="A272" s="7"/>
      <c r="B272" s="7"/>
      <c r="C272" s="46"/>
      <c r="D272" s="7"/>
      <c r="E272" s="47"/>
      <c r="F272" s="46"/>
      <c r="G272" s="46"/>
      <c r="H272" s="7"/>
      <c r="I272" s="7"/>
      <c r="J272" s="47"/>
      <c r="K272" s="47"/>
      <c r="L272" s="47"/>
      <c r="M272" s="47"/>
      <c r="N272" s="10"/>
      <c r="O272" s="47"/>
      <c r="P272" s="47"/>
      <c r="Q272" s="47"/>
      <c r="R272" s="48" t="str">
        <f aca="false">IF(Q272="","",IF(Q272=0,"below 5:00",IF(Q272&gt;=66,"16:00 or above",INT((60+2*Q272)/12)&amp;":"&amp;TEXT(MOD(60+2*Q272,12),"00"))))</f>
        <v/>
      </c>
      <c r="S272" s="47"/>
      <c r="T272" s="47"/>
      <c r="U272" s="47"/>
      <c r="V272" s="47"/>
      <c r="W272" s="47"/>
      <c r="X272" s="47"/>
      <c r="Y272" s="47"/>
      <c r="Z272" s="47"/>
      <c r="AA272" s="47"/>
      <c r="AB272" s="47"/>
      <c r="AC272" s="47"/>
      <c r="AD272" s="47"/>
      <c r="AE272" s="47"/>
      <c r="AF272" s="47"/>
      <c r="AG272" s="47"/>
      <c r="AH272" s="47"/>
      <c r="AI272" s="46"/>
      <c r="AJ272" s="46"/>
      <c r="AK272" s="46"/>
      <c r="AL272" s="7"/>
      <c r="AM272" s="49" t="str">
        <f aca="false">IF(OR(C272="",G272=""),"",IFERROR(DATEDIF(C272,G272,"m"),""))</f>
        <v/>
      </c>
      <c r="AN272" s="49" t="str">
        <f aca="false">IF(OR(Q272="",AM272=""),"",60+2*Q272-AM272)</f>
        <v/>
      </c>
      <c r="AO272" s="49" t="str">
        <f aca="false">IF(OR(G272="",AJ272=""),"",AJ272-G272)</f>
        <v/>
      </c>
      <c r="AP272" s="50" t="str">
        <f aca="false">IF(AND(A272="",B272=""),"",IF(J272="","Status needed",IF(OR(J272="Applied",J272="Visit booked",J272="Withdrawn"),"OK",IF(G272="","Date assessed needed",IF(C272="","Date of birth needed",IF(COUNTA(L272,M272,P272,U272,V272,X272,AB272)&lt;7,"Band missing",IF(AND(OR(J272="Decision confirmed",J272="Family told",J272="Enrolled"),AG272=""),"Recommendation needed",IF(AND(OR(J272="Family told",J272="Enrolled"),AJ272=""),"Date family told needed","OK"))))))))</f>
        <v/>
      </c>
    </row>
    <row r="273" customFormat="false" ht="15" hidden="false" customHeight="false" outlineLevel="0" collapsed="false">
      <c r="A273" s="7"/>
      <c r="B273" s="7"/>
      <c r="C273" s="46"/>
      <c r="D273" s="7"/>
      <c r="E273" s="47"/>
      <c r="F273" s="46"/>
      <c r="G273" s="46"/>
      <c r="H273" s="7"/>
      <c r="I273" s="7"/>
      <c r="J273" s="47"/>
      <c r="K273" s="47"/>
      <c r="L273" s="47"/>
      <c r="M273" s="47"/>
      <c r="N273" s="10"/>
      <c r="O273" s="47"/>
      <c r="P273" s="47"/>
      <c r="Q273" s="47"/>
      <c r="R273" s="48" t="str">
        <f aca="false">IF(Q273="","",IF(Q273=0,"below 5:00",IF(Q273&gt;=66,"16:00 or above",INT((60+2*Q273)/12)&amp;":"&amp;TEXT(MOD(60+2*Q273,12),"00"))))</f>
        <v/>
      </c>
      <c r="S273" s="47"/>
      <c r="T273" s="47"/>
      <c r="U273" s="47"/>
      <c r="V273" s="47"/>
      <c r="W273" s="47"/>
      <c r="X273" s="47"/>
      <c r="Y273" s="47"/>
      <c r="Z273" s="47"/>
      <c r="AA273" s="47"/>
      <c r="AB273" s="47"/>
      <c r="AC273" s="47"/>
      <c r="AD273" s="47"/>
      <c r="AE273" s="47"/>
      <c r="AF273" s="47"/>
      <c r="AG273" s="47"/>
      <c r="AH273" s="47"/>
      <c r="AI273" s="46"/>
      <c r="AJ273" s="46"/>
      <c r="AK273" s="46"/>
      <c r="AL273" s="7"/>
      <c r="AM273" s="49" t="str">
        <f aca="false">IF(OR(C273="",G273=""),"",IFERROR(DATEDIF(C273,G273,"m"),""))</f>
        <v/>
      </c>
      <c r="AN273" s="49" t="str">
        <f aca="false">IF(OR(Q273="",AM273=""),"",60+2*Q273-AM273)</f>
        <v/>
      </c>
      <c r="AO273" s="49" t="str">
        <f aca="false">IF(OR(G273="",AJ273=""),"",AJ273-G273)</f>
        <v/>
      </c>
      <c r="AP273" s="50" t="str">
        <f aca="false">IF(AND(A273="",B273=""),"",IF(J273="","Status needed",IF(OR(J273="Applied",J273="Visit booked",J273="Withdrawn"),"OK",IF(G273="","Date assessed needed",IF(C273="","Date of birth needed",IF(COUNTA(L273,M273,P273,U273,V273,X273,AB273)&lt;7,"Band missing",IF(AND(OR(J273="Decision confirmed",J273="Family told",J273="Enrolled"),AG273=""),"Recommendation needed",IF(AND(OR(J273="Family told",J273="Enrolled"),AJ273=""),"Date family told needed","OK"))))))))</f>
        <v/>
      </c>
    </row>
    <row r="274" customFormat="false" ht="15" hidden="false" customHeight="false" outlineLevel="0" collapsed="false">
      <c r="A274" s="7"/>
      <c r="B274" s="7"/>
      <c r="C274" s="46"/>
      <c r="D274" s="7"/>
      <c r="E274" s="47"/>
      <c r="F274" s="46"/>
      <c r="G274" s="46"/>
      <c r="H274" s="7"/>
      <c r="I274" s="7"/>
      <c r="J274" s="47"/>
      <c r="K274" s="47"/>
      <c r="L274" s="47"/>
      <c r="M274" s="47"/>
      <c r="N274" s="10"/>
      <c r="O274" s="47"/>
      <c r="P274" s="47"/>
      <c r="Q274" s="47"/>
      <c r="R274" s="48" t="str">
        <f aca="false">IF(Q274="","",IF(Q274=0,"below 5:00",IF(Q274&gt;=66,"16:00 or above",INT((60+2*Q274)/12)&amp;":"&amp;TEXT(MOD(60+2*Q274,12),"00"))))</f>
        <v/>
      </c>
      <c r="S274" s="47"/>
      <c r="T274" s="47"/>
      <c r="U274" s="47"/>
      <c r="V274" s="47"/>
      <c r="W274" s="47"/>
      <c r="X274" s="47"/>
      <c r="Y274" s="47"/>
      <c r="Z274" s="47"/>
      <c r="AA274" s="47"/>
      <c r="AB274" s="47"/>
      <c r="AC274" s="47"/>
      <c r="AD274" s="47"/>
      <c r="AE274" s="47"/>
      <c r="AF274" s="47"/>
      <c r="AG274" s="47"/>
      <c r="AH274" s="47"/>
      <c r="AI274" s="46"/>
      <c r="AJ274" s="46"/>
      <c r="AK274" s="46"/>
      <c r="AL274" s="7"/>
      <c r="AM274" s="49" t="str">
        <f aca="false">IF(OR(C274="",G274=""),"",IFERROR(DATEDIF(C274,G274,"m"),""))</f>
        <v/>
      </c>
      <c r="AN274" s="49" t="str">
        <f aca="false">IF(OR(Q274="",AM274=""),"",60+2*Q274-AM274)</f>
        <v/>
      </c>
      <c r="AO274" s="49" t="str">
        <f aca="false">IF(OR(G274="",AJ274=""),"",AJ274-G274)</f>
        <v/>
      </c>
      <c r="AP274" s="50" t="str">
        <f aca="false">IF(AND(A274="",B274=""),"",IF(J274="","Status needed",IF(OR(J274="Applied",J274="Visit booked",J274="Withdrawn"),"OK",IF(G274="","Date assessed needed",IF(C274="","Date of birth needed",IF(COUNTA(L274,M274,P274,U274,V274,X274,AB274)&lt;7,"Band missing",IF(AND(OR(J274="Decision confirmed",J274="Family told",J274="Enrolled"),AG274=""),"Recommendation needed",IF(AND(OR(J274="Family told",J274="Enrolled"),AJ274=""),"Date family told needed","OK"))))))))</f>
        <v/>
      </c>
    </row>
    <row r="275" customFormat="false" ht="15" hidden="false" customHeight="false" outlineLevel="0" collapsed="false">
      <c r="A275" s="7"/>
      <c r="B275" s="7"/>
      <c r="C275" s="46"/>
      <c r="D275" s="7"/>
      <c r="E275" s="47"/>
      <c r="F275" s="46"/>
      <c r="G275" s="46"/>
      <c r="H275" s="7"/>
      <c r="I275" s="7"/>
      <c r="J275" s="47"/>
      <c r="K275" s="47"/>
      <c r="L275" s="47"/>
      <c r="M275" s="47"/>
      <c r="N275" s="10"/>
      <c r="O275" s="47"/>
      <c r="P275" s="47"/>
      <c r="Q275" s="47"/>
      <c r="R275" s="48" t="str">
        <f aca="false">IF(Q275="","",IF(Q275=0,"below 5:00",IF(Q275&gt;=66,"16:00 or above",INT((60+2*Q275)/12)&amp;":"&amp;TEXT(MOD(60+2*Q275,12),"00"))))</f>
        <v/>
      </c>
      <c r="S275" s="47"/>
      <c r="T275" s="47"/>
      <c r="U275" s="47"/>
      <c r="V275" s="47"/>
      <c r="W275" s="47"/>
      <c r="X275" s="47"/>
      <c r="Y275" s="47"/>
      <c r="Z275" s="47"/>
      <c r="AA275" s="47"/>
      <c r="AB275" s="47"/>
      <c r="AC275" s="47"/>
      <c r="AD275" s="47"/>
      <c r="AE275" s="47"/>
      <c r="AF275" s="47"/>
      <c r="AG275" s="47"/>
      <c r="AH275" s="47"/>
      <c r="AI275" s="46"/>
      <c r="AJ275" s="46"/>
      <c r="AK275" s="46"/>
      <c r="AL275" s="7"/>
      <c r="AM275" s="49" t="str">
        <f aca="false">IF(OR(C275="",G275=""),"",IFERROR(DATEDIF(C275,G275,"m"),""))</f>
        <v/>
      </c>
      <c r="AN275" s="49" t="str">
        <f aca="false">IF(OR(Q275="",AM275=""),"",60+2*Q275-AM275)</f>
        <v/>
      </c>
      <c r="AO275" s="49" t="str">
        <f aca="false">IF(OR(G275="",AJ275=""),"",AJ275-G275)</f>
        <v/>
      </c>
      <c r="AP275" s="50" t="str">
        <f aca="false">IF(AND(A275="",B275=""),"",IF(J275="","Status needed",IF(OR(J275="Applied",J275="Visit booked",J275="Withdrawn"),"OK",IF(G275="","Date assessed needed",IF(C275="","Date of birth needed",IF(COUNTA(L275,M275,P275,U275,V275,X275,AB275)&lt;7,"Band missing",IF(AND(OR(J275="Decision confirmed",J275="Family told",J275="Enrolled"),AG275=""),"Recommendation needed",IF(AND(OR(J275="Family told",J275="Enrolled"),AJ275=""),"Date family told needed","OK"))))))))</f>
        <v/>
      </c>
    </row>
    <row r="276" customFormat="false" ht="15" hidden="false" customHeight="false" outlineLevel="0" collapsed="false">
      <c r="A276" s="7"/>
      <c r="B276" s="7"/>
      <c r="C276" s="46"/>
      <c r="D276" s="7"/>
      <c r="E276" s="47"/>
      <c r="F276" s="46"/>
      <c r="G276" s="46"/>
      <c r="H276" s="7"/>
      <c r="I276" s="7"/>
      <c r="J276" s="47"/>
      <c r="K276" s="47"/>
      <c r="L276" s="47"/>
      <c r="M276" s="47"/>
      <c r="N276" s="10"/>
      <c r="O276" s="47"/>
      <c r="P276" s="47"/>
      <c r="Q276" s="47"/>
      <c r="R276" s="48" t="str">
        <f aca="false">IF(Q276="","",IF(Q276=0,"below 5:00",IF(Q276&gt;=66,"16:00 or above",INT((60+2*Q276)/12)&amp;":"&amp;TEXT(MOD(60+2*Q276,12),"00"))))</f>
        <v/>
      </c>
      <c r="S276" s="47"/>
      <c r="T276" s="47"/>
      <c r="U276" s="47"/>
      <c r="V276" s="47"/>
      <c r="W276" s="47"/>
      <c r="X276" s="47"/>
      <c r="Y276" s="47"/>
      <c r="Z276" s="47"/>
      <c r="AA276" s="47"/>
      <c r="AB276" s="47"/>
      <c r="AC276" s="47"/>
      <c r="AD276" s="47"/>
      <c r="AE276" s="47"/>
      <c r="AF276" s="47"/>
      <c r="AG276" s="47"/>
      <c r="AH276" s="47"/>
      <c r="AI276" s="46"/>
      <c r="AJ276" s="46"/>
      <c r="AK276" s="46"/>
      <c r="AL276" s="7"/>
      <c r="AM276" s="49" t="str">
        <f aca="false">IF(OR(C276="",G276=""),"",IFERROR(DATEDIF(C276,G276,"m"),""))</f>
        <v/>
      </c>
      <c r="AN276" s="49" t="str">
        <f aca="false">IF(OR(Q276="",AM276=""),"",60+2*Q276-AM276)</f>
        <v/>
      </c>
      <c r="AO276" s="49" t="str">
        <f aca="false">IF(OR(G276="",AJ276=""),"",AJ276-G276)</f>
        <v/>
      </c>
      <c r="AP276" s="50" t="str">
        <f aca="false">IF(AND(A276="",B276=""),"",IF(J276="","Status needed",IF(OR(J276="Applied",J276="Visit booked",J276="Withdrawn"),"OK",IF(G276="","Date assessed needed",IF(C276="","Date of birth needed",IF(COUNTA(L276,M276,P276,U276,V276,X276,AB276)&lt;7,"Band missing",IF(AND(OR(J276="Decision confirmed",J276="Family told",J276="Enrolled"),AG276=""),"Recommendation needed",IF(AND(OR(J276="Family told",J276="Enrolled"),AJ276=""),"Date family told needed","OK"))))))))</f>
        <v/>
      </c>
    </row>
    <row r="277" customFormat="false" ht="15" hidden="false" customHeight="false" outlineLevel="0" collapsed="false">
      <c r="A277" s="7"/>
      <c r="B277" s="7"/>
      <c r="C277" s="46"/>
      <c r="D277" s="7"/>
      <c r="E277" s="47"/>
      <c r="F277" s="46"/>
      <c r="G277" s="46"/>
      <c r="H277" s="7"/>
      <c r="I277" s="7"/>
      <c r="J277" s="47"/>
      <c r="K277" s="47"/>
      <c r="L277" s="47"/>
      <c r="M277" s="47"/>
      <c r="N277" s="10"/>
      <c r="O277" s="47"/>
      <c r="P277" s="47"/>
      <c r="Q277" s="47"/>
      <c r="R277" s="48" t="str">
        <f aca="false">IF(Q277="","",IF(Q277=0,"below 5:00",IF(Q277&gt;=66,"16:00 or above",INT((60+2*Q277)/12)&amp;":"&amp;TEXT(MOD(60+2*Q277,12),"00"))))</f>
        <v/>
      </c>
      <c r="S277" s="47"/>
      <c r="T277" s="47"/>
      <c r="U277" s="47"/>
      <c r="V277" s="47"/>
      <c r="W277" s="47"/>
      <c r="X277" s="47"/>
      <c r="Y277" s="47"/>
      <c r="Z277" s="47"/>
      <c r="AA277" s="47"/>
      <c r="AB277" s="47"/>
      <c r="AC277" s="47"/>
      <c r="AD277" s="47"/>
      <c r="AE277" s="47"/>
      <c r="AF277" s="47"/>
      <c r="AG277" s="47"/>
      <c r="AH277" s="47"/>
      <c r="AI277" s="46"/>
      <c r="AJ277" s="46"/>
      <c r="AK277" s="46"/>
      <c r="AL277" s="7"/>
      <c r="AM277" s="49" t="str">
        <f aca="false">IF(OR(C277="",G277=""),"",IFERROR(DATEDIF(C277,G277,"m"),""))</f>
        <v/>
      </c>
      <c r="AN277" s="49" t="str">
        <f aca="false">IF(OR(Q277="",AM277=""),"",60+2*Q277-AM277)</f>
        <v/>
      </c>
      <c r="AO277" s="49" t="str">
        <f aca="false">IF(OR(G277="",AJ277=""),"",AJ277-G277)</f>
        <v/>
      </c>
      <c r="AP277" s="50" t="str">
        <f aca="false">IF(AND(A277="",B277=""),"",IF(J277="","Status needed",IF(OR(J277="Applied",J277="Visit booked",J277="Withdrawn"),"OK",IF(G277="","Date assessed needed",IF(C277="","Date of birth needed",IF(COUNTA(L277,M277,P277,U277,V277,X277,AB277)&lt;7,"Band missing",IF(AND(OR(J277="Decision confirmed",J277="Family told",J277="Enrolled"),AG277=""),"Recommendation needed",IF(AND(OR(J277="Family told",J277="Enrolled"),AJ277=""),"Date family told needed","OK"))))))))</f>
        <v/>
      </c>
    </row>
    <row r="278" customFormat="false" ht="15" hidden="false" customHeight="false" outlineLevel="0" collapsed="false">
      <c r="A278" s="7"/>
      <c r="B278" s="7"/>
      <c r="C278" s="46"/>
      <c r="D278" s="7"/>
      <c r="E278" s="47"/>
      <c r="F278" s="46"/>
      <c r="G278" s="46"/>
      <c r="H278" s="7"/>
      <c r="I278" s="7"/>
      <c r="J278" s="47"/>
      <c r="K278" s="47"/>
      <c r="L278" s="47"/>
      <c r="M278" s="47"/>
      <c r="N278" s="10"/>
      <c r="O278" s="47"/>
      <c r="P278" s="47"/>
      <c r="Q278" s="47"/>
      <c r="R278" s="48" t="str">
        <f aca="false">IF(Q278="","",IF(Q278=0,"below 5:00",IF(Q278&gt;=66,"16:00 or above",INT((60+2*Q278)/12)&amp;":"&amp;TEXT(MOD(60+2*Q278,12),"00"))))</f>
        <v/>
      </c>
      <c r="S278" s="47"/>
      <c r="T278" s="47"/>
      <c r="U278" s="47"/>
      <c r="V278" s="47"/>
      <c r="W278" s="47"/>
      <c r="X278" s="47"/>
      <c r="Y278" s="47"/>
      <c r="Z278" s="47"/>
      <c r="AA278" s="47"/>
      <c r="AB278" s="47"/>
      <c r="AC278" s="47"/>
      <c r="AD278" s="47"/>
      <c r="AE278" s="47"/>
      <c r="AF278" s="47"/>
      <c r="AG278" s="47"/>
      <c r="AH278" s="47"/>
      <c r="AI278" s="46"/>
      <c r="AJ278" s="46"/>
      <c r="AK278" s="46"/>
      <c r="AL278" s="7"/>
      <c r="AM278" s="49" t="str">
        <f aca="false">IF(OR(C278="",G278=""),"",IFERROR(DATEDIF(C278,G278,"m"),""))</f>
        <v/>
      </c>
      <c r="AN278" s="49" t="str">
        <f aca="false">IF(OR(Q278="",AM278=""),"",60+2*Q278-AM278)</f>
        <v/>
      </c>
      <c r="AO278" s="49" t="str">
        <f aca="false">IF(OR(G278="",AJ278=""),"",AJ278-G278)</f>
        <v/>
      </c>
      <c r="AP278" s="50" t="str">
        <f aca="false">IF(AND(A278="",B278=""),"",IF(J278="","Status needed",IF(OR(J278="Applied",J278="Visit booked",J278="Withdrawn"),"OK",IF(G278="","Date assessed needed",IF(C278="","Date of birth needed",IF(COUNTA(L278,M278,P278,U278,V278,X278,AB278)&lt;7,"Band missing",IF(AND(OR(J278="Decision confirmed",J278="Family told",J278="Enrolled"),AG278=""),"Recommendation needed",IF(AND(OR(J278="Family told",J278="Enrolled"),AJ278=""),"Date family told needed","OK"))))))))</f>
        <v/>
      </c>
    </row>
    <row r="279" customFormat="false" ht="15" hidden="false" customHeight="false" outlineLevel="0" collapsed="false">
      <c r="A279" s="7"/>
      <c r="B279" s="7"/>
      <c r="C279" s="46"/>
      <c r="D279" s="7"/>
      <c r="E279" s="47"/>
      <c r="F279" s="46"/>
      <c r="G279" s="46"/>
      <c r="H279" s="7"/>
      <c r="I279" s="7"/>
      <c r="J279" s="47"/>
      <c r="K279" s="47"/>
      <c r="L279" s="47"/>
      <c r="M279" s="47"/>
      <c r="N279" s="10"/>
      <c r="O279" s="47"/>
      <c r="P279" s="47"/>
      <c r="Q279" s="47"/>
      <c r="R279" s="48" t="str">
        <f aca="false">IF(Q279="","",IF(Q279=0,"below 5:00",IF(Q279&gt;=66,"16:00 or above",INT((60+2*Q279)/12)&amp;":"&amp;TEXT(MOD(60+2*Q279,12),"00"))))</f>
        <v/>
      </c>
      <c r="S279" s="47"/>
      <c r="T279" s="47"/>
      <c r="U279" s="47"/>
      <c r="V279" s="47"/>
      <c r="W279" s="47"/>
      <c r="X279" s="47"/>
      <c r="Y279" s="47"/>
      <c r="Z279" s="47"/>
      <c r="AA279" s="47"/>
      <c r="AB279" s="47"/>
      <c r="AC279" s="47"/>
      <c r="AD279" s="47"/>
      <c r="AE279" s="47"/>
      <c r="AF279" s="47"/>
      <c r="AG279" s="47"/>
      <c r="AH279" s="47"/>
      <c r="AI279" s="46"/>
      <c r="AJ279" s="46"/>
      <c r="AK279" s="46"/>
      <c r="AL279" s="7"/>
      <c r="AM279" s="49" t="str">
        <f aca="false">IF(OR(C279="",G279=""),"",IFERROR(DATEDIF(C279,G279,"m"),""))</f>
        <v/>
      </c>
      <c r="AN279" s="49" t="str">
        <f aca="false">IF(OR(Q279="",AM279=""),"",60+2*Q279-AM279)</f>
        <v/>
      </c>
      <c r="AO279" s="49" t="str">
        <f aca="false">IF(OR(G279="",AJ279=""),"",AJ279-G279)</f>
        <v/>
      </c>
      <c r="AP279" s="50" t="str">
        <f aca="false">IF(AND(A279="",B279=""),"",IF(J279="","Status needed",IF(OR(J279="Applied",J279="Visit booked",J279="Withdrawn"),"OK",IF(G279="","Date assessed needed",IF(C279="","Date of birth needed",IF(COUNTA(L279,M279,P279,U279,V279,X279,AB279)&lt;7,"Band missing",IF(AND(OR(J279="Decision confirmed",J279="Family told",J279="Enrolled"),AG279=""),"Recommendation needed",IF(AND(OR(J279="Family told",J279="Enrolled"),AJ279=""),"Date family told needed","OK"))))))))</f>
        <v/>
      </c>
    </row>
    <row r="280" customFormat="false" ht="15" hidden="false" customHeight="false" outlineLevel="0" collapsed="false">
      <c r="A280" s="7"/>
      <c r="B280" s="7"/>
      <c r="C280" s="46"/>
      <c r="D280" s="7"/>
      <c r="E280" s="47"/>
      <c r="F280" s="46"/>
      <c r="G280" s="46"/>
      <c r="H280" s="7"/>
      <c r="I280" s="7"/>
      <c r="J280" s="47"/>
      <c r="K280" s="47"/>
      <c r="L280" s="47"/>
      <c r="M280" s="47"/>
      <c r="N280" s="10"/>
      <c r="O280" s="47"/>
      <c r="P280" s="47"/>
      <c r="Q280" s="47"/>
      <c r="R280" s="48" t="str">
        <f aca="false">IF(Q280="","",IF(Q280=0,"below 5:00",IF(Q280&gt;=66,"16:00 or above",INT((60+2*Q280)/12)&amp;":"&amp;TEXT(MOD(60+2*Q280,12),"00"))))</f>
        <v/>
      </c>
      <c r="S280" s="47"/>
      <c r="T280" s="47"/>
      <c r="U280" s="47"/>
      <c r="V280" s="47"/>
      <c r="W280" s="47"/>
      <c r="X280" s="47"/>
      <c r="Y280" s="47"/>
      <c r="Z280" s="47"/>
      <c r="AA280" s="47"/>
      <c r="AB280" s="47"/>
      <c r="AC280" s="47"/>
      <c r="AD280" s="47"/>
      <c r="AE280" s="47"/>
      <c r="AF280" s="47"/>
      <c r="AG280" s="47"/>
      <c r="AH280" s="47"/>
      <c r="AI280" s="46"/>
      <c r="AJ280" s="46"/>
      <c r="AK280" s="46"/>
      <c r="AL280" s="7"/>
      <c r="AM280" s="49" t="str">
        <f aca="false">IF(OR(C280="",G280=""),"",IFERROR(DATEDIF(C280,G280,"m"),""))</f>
        <v/>
      </c>
      <c r="AN280" s="49" t="str">
        <f aca="false">IF(OR(Q280="",AM280=""),"",60+2*Q280-AM280)</f>
        <v/>
      </c>
      <c r="AO280" s="49" t="str">
        <f aca="false">IF(OR(G280="",AJ280=""),"",AJ280-G280)</f>
        <v/>
      </c>
      <c r="AP280" s="50" t="str">
        <f aca="false">IF(AND(A280="",B280=""),"",IF(J280="","Status needed",IF(OR(J280="Applied",J280="Visit booked",J280="Withdrawn"),"OK",IF(G280="","Date assessed needed",IF(C280="","Date of birth needed",IF(COUNTA(L280,M280,P280,U280,V280,X280,AB280)&lt;7,"Band missing",IF(AND(OR(J280="Decision confirmed",J280="Family told",J280="Enrolled"),AG280=""),"Recommendation needed",IF(AND(OR(J280="Family told",J280="Enrolled"),AJ280=""),"Date family told needed","OK"))))))))</f>
        <v/>
      </c>
    </row>
    <row r="281" customFormat="false" ht="15" hidden="false" customHeight="false" outlineLevel="0" collapsed="false">
      <c r="A281" s="7"/>
      <c r="B281" s="7"/>
      <c r="C281" s="46"/>
      <c r="D281" s="7"/>
      <c r="E281" s="47"/>
      <c r="F281" s="46"/>
      <c r="G281" s="46"/>
      <c r="H281" s="7"/>
      <c r="I281" s="7"/>
      <c r="J281" s="47"/>
      <c r="K281" s="47"/>
      <c r="L281" s="47"/>
      <c r="M281" s="47"/>
      <c r="N281" s="10"/>
      <c r="O281" s="47"/>
      <c r="P281" s="47"/>
      <c r="Q281" s="47"/>
      <c r="R281" s="48" t="str">
        <f aca="false">IF(Q281="","",IF(Q281=0,"below 5:00",IF(Q281&gt;=66,"16:00 or above",INT((60+2*Q281)/12)&amp;":"&amp;TEXT(MOD(60+2*Q281,12),"00"))))</f>
        <v/>
      </c>
      <c r="S281" s="47"/>
      <c r="T281" s="47"/>
      <c r="U281" s="47"/>
      <c r="V281" s="47"/>
      <c r="W281" s="47"/>
      <c r="X281" s="47"/>
      <c r="Y281" s="47"/>
      <c r="Z281" s="47"/>
      <c r="AA281" s="47"/>
      <c r="AB281" s="47"/>
      <c r="AC281" s="47"/>
      <c r="AD281" s="47"/>
      <c r="AE281" s="47"/>
      <c r="AF281" s="47"/>
      <c r="AG281" s="47"/>
      <c r="AH281" s="47"/>
      <c r="AI281" s="46"/>
      <c r="AJ281" s="46"/>
      <c r="AK281" s="46"/>
      <c r="AL281" s="7"/>
      <c r="AM281" s="49" t="str">
        <f aca="false">IF(OR(C281="",G281=""),"",IFERROR(DATEDIF(C281,G281,"m"),""))</f>
        <v/>
      </c>
      <c r="AN281" s="49" t="str">
        <f aca="false">IF(OR(Q281="",AM281=""),"",60+2*Q281-AM281)</f>
        <v/>
      </c>
      <c r="AO281" s="49" t="str">
        <f aca="false">IF(OR(G281="",AJ281=""),"",AJ281-G281)</f>
        <v/>
      </c>
      <c r="AP281" s="50" t="str">
        <f aca="false">IF(AND(A281="",B281=""),"",IF(J281="","Status needed",IF(OR(J281="Applied",J281="Visit booked",J281="Withdrawn"),"OK",IF(G281="","Date assessed needed",IF(C281="","Date of birth needed",IF(COUNTA(L281,M281,P281,U281,V281,X281,AB281)&lt;7,"Band missing",IF(AND(OR(J281="Decision confirmed",J281="Family told",J281="Enrolled"),AG281=""),"Recommendation needed",IF(AND(OR(J281="Family told",J281="Enrolled"),AJ281=""),"Date family told needed","OK"))))))))</f>
        <v/>
      </c>
    </row>
    <row r="282" customFormat="false" ht="15" hidden="false" customHeight="false" outlineLevel="0" collapsed="false">
      <c r="A282" s="7"/>
      <c r="B282" s="7"/>
      <c r="C282" s="46"/>
      <c r="D282" s="7"/>
      <c r="E282" s="47"/>
      <c r="F282" s="46"/>
      <c r="G282" s="46"/>
      <c r="H282" s="7"/>
      <c r="I282" s="7"/>
      <c r="J282" s="47"/>
      <c r="K282" s="47"/>
      <c r="L282" s="47"/>
      <c r="M282" s="47"/>
      <c r="N282" s="10"/>
      <c r="O282" s="47"/>
      <c r="P282" s="47"/>
      <c r="Q282" s="47"/>
      <c r="R282" s="48" t="str">
        <f aca="false">IF(Q282="","",IF(Q282=0,"below 5:00",IF(Q282&gt;=66,"16:00 or above",INT((60+2*Q282)/12)&amp;":"&amp;TEXT(MOD(60+2*Q282,12),"00"))))</f>
        <v/>
      </c>
      <c r="S282" s="47"/>
      <c r="T282" s="47"/>
      <c r="U282" s="47"/>
      <c r="V282" s="47"/>
      <c r="W282" s="47"/>
      <c r="X282" s="47"/>
      <c r="Y282" s="47"/>
      <c r="Z282" s="47"/>
      <c r="AA282" s="47"/>
      <c r="AB282" s="47"/>
      <c r="AC282" s="47"/>
      <c r="AD282" s="47"/>
      <c r="AE282" s="47"/>
      <c r="AF282" s="47"/>
      <c r="AG282" s="47"/>
      <c r="AH282" s="47"/>
      <c r="AI282" s="46"/>
      <c r="AJ282" s="46"/>
      <c r="AK282" s="46"/>
      <c r="AL282" s="7"/>
      <c r="AM282" s="49" t="str">
        <f aca="false">IF(OR(C282="",G282=""),"",IFERROR(DATEDIF(C282,G282,"m"),""))</f>
        <v/>
      </c>
      <c r="AN282" s="49" t="str">
        <f aca="false">IF(OR(Q282="",AM282=""),"",60+2*Q282-AM282)</f>
        <v/>
      </c>
      <c r="AO282" s="49" t="str">
        <f aca="false">IF(OR(G282="",AJ282=""),"",AJ282-G282)</f>
        <v/>
      </c>
      <c r="AP282" s="50" t="str">
        <f aca="false">IF(AND(A282="",B282=""),"",IF(J282="","Status needed",IF(OR(J282="Applied",J282="Visit booked",J282="Withdrawn"),"OK",IF(G282="","Date assessed needed",IF(C282="","Date of birth needed",IF(COUNTA(L282,M282,P282,U282,V282,X282,AB282)&lt;7,"Band missing",IF(AND(OR(J282="Decision confirmed",J282="Family told",J282="Enrolled"),AG282=""),"Recommendation needed",IF(AND(OR(J282="Family told",J282="Enrolled"),AJ282=""),"Date family told needed","OK"))))))))</f>
        <v/>
      </c>
    </row>
    <row r="283" customFormat="false" ht="15" hidden="false" customHeight="false" outlineLevel="0" collapsed="false">
      <c r="A283" s="7"/>
      <c r="B283" s="7"/>
      <c r="C283" s="46"/>
      <c r="D283" s="7"/>
      <c r="E283" s="47"/>
      <c r="F283" s="46"/>
      <c r="G283" s="46"/>
      <c r="H283" s="7"/>
      <c r="I283" s="7"/>
      <c r="J283" s="47"/>
      <c r="K283" s="47"/>
      <c r="L283" s="47"/>
      <c r="M283" s="47"/>
      <c r="N283" s="10"/>
      <c r="O283" s="47"/>
      <c r="P283" s="47"/>
      <c r="Q283" s="47"/>
      <c r="R283" s="48" t="str">
        <f aca="false">IF(Q283="","",IF(Q283=0,"below 5:00",IF(Q283&gt;=66,"16:00 or above",INT((60+2*Q283)/12)&amp;":"&amp;TEXT(MOD(60+2*Q283,12),"00"))))</f>
        <v/>
      </c>
      <c r="S283" s="47"/>
      <c r="T283" s="47"/>
      <c r="U283" s="47"/>
      <c r="V283" s="47"/>
      <c r="W283" s="47"/>
      <c r="X283" s="47"/>
      <c r="Y283" s="47"/>
      <c r="Z283" s="47"/>
      <c r="AA283" s="47"/>
      <c r="AB283" s="47"/>
      <c r="AC283" s="47"/>
      <c r="AD283" s="47"/>
      <c r="AE283" s="47"/>
      <c r="AF283" s="47"/>
      <c r="AG283" s="47"/>
      <c r="AH283" s="47"/>
      <c r="AI283" s="46"/>
      <c r="AJ283" s="46"/>
      <c r="AK283" s="46"/>
      <c r="AL283" s="7"/>
      <c r="AM283" s="49" t="str">
        <f aca="false">IF(OR(C283="",G283=""),"",IFERROR(DATEDIF(C283,G283,"m"),""))</f>
        <v/>
      </c>
      <c r="AN283" s="49" t="str">
        <f aca="false">IF(OR(Q283="",AM283=""),"",60+2*Q283-AM283)</f>
        <v/>
      </c>
      <c r="AO283" s="49" t="str">
        <f aca="false">IF(OR(G283="",AJ283=""),"",AJ283-G283)</f>
        <v/>
      </c>
      <c r="AP283" s="50" t="str">
        <f aca="false">IF(AND(A283="",B283=""),"",IF(J283="","Status needed",IF(OR(J283="Applied",J283="Visit booked",J283="Withdrawn"),"OK",IF(G283="","Date assessed needed",IF(C283="","Date of birth needed",IF(COUNTA(L283,M283,P283,U283,V283,X283,AB283)&lt;7,"Band missing",IF(AND(OR(J283="Decision confirmed",J283="Family told",J283="Enrolled"),AG283=""),"Recommendation needed",IF(AND(OR(J283="Family told",J283="Enrolled"),AJ283=""),"Date family told needed","OK"))))))))</f>
        <v/>
      </c>
    </row>
    <row r="284" customFormat="false" ht="15" hidden="false" customHeight="false" outlineLevel="0" collapsed="false">
      <c r="A284" s="7"/>
      <c r="B284" s="7"/>
      <c r="C284" s="46"/>
      <c r="D284" s="7"/>
      <c r="E284" s="47"/>
      <c r="F284" s="46"/>
      <c r="G284" s="46"/>
      <c r="H284" s="7"/>
      <c r="I284" s="7"/>
      <c r="J284" s="47"/>
      <c r="K284" s="47"/>
      <c r="L284" s="47"/>
      <c r="M284" s="47"/>
      <c r="N284" s="10"/>
      <c r="O284" s="47"/>
      <c r="P284" s="47"/>
      <c r="Q284" s="47"/>
      <c r="R284" s="48" t="str">
        <f aca="false">IF(Q284="","",IF(Q284=0,"below 5:00",IF(Q284&gt;=66,"16:00 or above",INT((60+2*Q284)/12)&amp;":"&amp;TEXT(MOD(60+2*Q284,12),"00"))))</f>
        <v/>
      </c>
      <c r="S284" s="47"/>
      <c r="T284" s="47"/>
      <c r="U284" s="47"/>
      <c r="V284" s="47"/>
      <c r="W284" s="47"/>
      <c r="X284" s="47"/>
      <c r="Y284" s="47"/>
      <c r="Z284" s="47"/>
      <c r="AA284" s="47"/>
      <c r="AB284" s="47"/>
      <c r="AC284" s="47"/>
      <c r="AD284" s="47"/>
      <c r="AE284" s="47"/>
      <c r="AF284" s="47"/>
      <c r="AG284" s="47"/>
      <c r="AH284" s="47"/>
      <c r="AI284" s="46"/>
      <c r="AJ284" s="46"/>
      <c r="AK284" s="46"/>
      <c r="AL284" s="7"/>
      <c r="AM284" s="49" t="str">
        <f aca="false">IF(OR(C284="",G284=""),"",IFERROR(DATEDIF(C284,G284,"m"),""))</f>
        <v/>
      </c>
      <c r="AN284" s="49" t="str">
        <f aca="false">IF(OR(Q284="",AM284=""),"",60+2*Q284-AM284)</f>
        <v/>
      </c>
      <c r="AO284" s="49" t="str">
        <f aca="false">IF(OR(G284="",AJ284=""),"",AJ284-G284)</f>
        <v/>
      </c>
      <c r="AP284" s="50" t="str">
        <f aca="false">IF(AND(A284="",B284=""),"",IF(J284="","Status needed",IF(OR(J284="Applied",J284="Visit booked",J284="Withdrawn"),"OK",IF(G284="","Date assessed needed",IF(C284="","Date of birth needed",IF(COUNTA(L284,M284,P284,U284,V284,X284,AB284)&lt;7,"Band missing",IF(AND(OR(J284="Decision confirmed",J284="Family told",J284="Enrolled"),AG284=""),"Recommendation needed",IF(AND(OR(J284="Family told",J284="Enrolled"),AJ284=""),"Date family told needed","OK"))))))))</f>
        <v/>
      </c>
    </row>
    <row r="285" customFormat="false" ht="15" hidden="false" customHeight="false" outlineLevel="0" collapsed="false">
      <c r="A285" s="7"/>
      <c r="B285" s="7"/>
      <c r="C285" s="46"/>
      <c r="D285" s="7"/>
      <c r="E285" s="47"/>
      <c r="F285" s="46"/>
      <c r="G285" s="46"/>
      <c r="H285" s="7"/>
      <c r="I285" s="7"/>
      <c r="J285" s="47"/>
      <c r="K285" s="47"/>
      <c r="L285" s="47"/>
      <c r="M285" s="47"/>
      <c r="N285" s="10"/>
      <c r="O285" s="47"/>
      <c r="P285" s="47"/>
      <c r="Q285" s="47"/>
      <c r="R285" s="48" t="str">
        <f aca="false">IF(Q285="","",IF(Q285=0,"below 5:00",IF(Q285&gt;=66,"16:00 or above",INT((60+2*Q285)/12)&amp;":"&amp;TEXT(MOD(60+2*Q285,12),"00"))))</f>
        <v/>
      </c>
      <c r="S285" s="47"/>
      <c r="T285" s="47"/>
      <c r="U285" s="47"/>
      <c r="V285" s="47"/>
      <c r="W285" s="47"/>
      <c r="X285" s="47"/>
      <c r="Y285" s="47"/>
      <c r="Z285" s="47"/>
      <c r="AA285" s="47"/>
      <c r="AB285" s="47"/>
      <c r="AC285" s="47"/>
      <c r="AD285" s="47"/>
      <c r="AE285" s="47"/>
      <c r="AF285" s="47"/>
      <c r="AG285" s="47"/>
      <c r="AH285" s="47"/>
      <c r="AI285" s="46"/>
      <c r="AJ285" s="46"/>
      <c r="AK285" s="46"/>
      <c r="AL285" s="7"/>
      <c r="AM285" s="49" t="str">
        <f aca="false">IF(OR(C285="",G285=""),"",IFERROR(DATEDIF(C285,G285,"m"),""))</f>
        <v/>
      </c>
      <c r="AN285" s="49" t="str">
        <f aca="false">IF(OR(Q285="",AM285=""),"",60+2*Q285-AM285)</f>
        <v/>
      </c>
      <c r="AO285" s="49" t="str">
        <f aca="false">IF(OR(G285="",AJ285=""),"",AJ285-G285)</f>
        <v/>
      </c>
      <c r="AP285" s="50" t="str">
        <f aca="false">IF(AND(A285="",B285=""),"",IF(J285="","Status needed",IF(OR(J285="Applied",J285="Visit booked",J285="Withdrawn"),"OK",IF(G285="","Date assessed needed",IF(C285="","Date of birth needed",IF(COUNTA(L285,M285,P285,U285,V285,X285,AB285)&lt;7,"Band missing",IF(AND(OR(J285="Decision confirmed",J285="Family told",J285="Enrolled"),AG285=""),"Recommendation needed",IF(AND(OR(J285="Family told",J285="Enrolled"),AJ285=""),"Date family told needed","OK"))))))))</f>
        <v/>
      </c>
    </row>
    <row r="286" customFormat="false" ht="15" hidden="false" customHeight="false" outlineLevel="0" collapsed="false">
      <c r="A286" s="7"/>
      <c r="B286" s="7"/>
      <c r="C286" s="46"/>
      <c r="D286" s="7"/>
      <c r="E286" s="47"/>
      <c r="F286" s="46"/>
      <c r="G286" s="46"/>
      <c r="H286" s="7"/>
      <c r="I286" s="7"/>
      <c r="J286" s="47"/>
      <c r="K286" s="47"/>
      <c r="L286" s="47"/>
      <c r="M286" s="47"/>
      <c r="N286" s="10"/>
      <c r="O286" s="47"/>
      <c r="P286" s="47"/>
      <c r="Q286" s="47"/>
      <c r="R286" s="48" t="str">
        <f aca="false">IF(Q286="","",IF(Q286=0,"below 5:00",IF(Q286&gt;=66,"16:00 or above",INT((60+2*Q286)/12)&amp;":"&amp;TEXT(MOD(60+2*Q286,12),"00"))))</f>
        <v/>
      </c>
      <c r="S286" s="47"/>
      <c r="T286" s="47"/>
      <c r="U286" s="47"/>
      <c r="V286" s="47"/>
      <c r="W286" s="47"/>
      <c r="X286" s="47"/>
      <c r="Y286" s="47"/>
      <c r="Z286" s="47"/>
      <c r="AA286" s="47"/>
      <c r="AB286" s="47"/>
      <c r="AC286" s="47"/>
      <c r="AD286" s="47"/>
      <c r="AE286" s="47"/>
      <c r="AF286" s="47"/>
      <c r="AG286" s="47"/>
      <c r="AH286" s="47"/>
      <c r="AI286" s="46"/>
      <c r="AJ286" s="46"/>
      <c r="AK286" s="46"/>
      <c r="AL286" s="7"/>
      <c r="AM286" s="49" t="str">
        <f aca="false">IF(OR(C286="",G286=""),"",IFERROR(DATEDIF(C286,G286,"m"),""))</f>
        <v/>
      </c>
      <c r="AN286" s="49" t="str">
        <f aca="false">IF(OR(Q286="",AM286=""),"",60+2*Q286-AM286)</f>
        <v/>
      </c>
      <c r="AO286" s="49" t="str">
        <f aca="false">IF(OR(G286="",AJ286=""),"",AJ286-G286)</f>
        <v/>
      </c>
      <c r="AP286" s="50" t="str">
        <f aca="false">IF(AND(A286="",B286=""),"",IF(J286="","Status needed",IF(OR(J286="Applied",J286="Visit booked",J286="Withdrawn"),"OK",IF(G286="","Date assessed needed",IF(C286="","Date of birth needed",IF(COUNTA(L286,M286,P286,U286,V286,X286,AB286)&lt;7,"Band missing",IF(AND(OR(J286="Decision confirmed",J286="Family told",J286="Enrolled"),AG286=""),"Recommendation needed",IF(AND(OR(J286="Family told",J286="Enrolled"),AJ286=""),"Date family told needed","OK"))))))))</f>
        <v/>
      </c>
    </row>
    <row r="287" customFormat="false" ht="15" hidden="false" customHeight="false" outlineLevel="0" collapsed="false">
      <c r="A287" s="7"/>
      <c r="B287" s="7"/>
      <c r="C287" s="46"/>
      <c r="D287" s="7"/>
      <c r="E287" s="47"/>
      <c r="F287" s="46"/>
      <c r="G287" s="46"/>
      <c r="H287" s="7"/>
      <c r="I287" s="7"/>
      <c r="J287" s="47"/>
      <c r="K287" s="47"/>
      <c r="L287" s="47"/>
      <c r="M287" s="47"/>
      <c r="N287" s="10"/>
      <c r="O287" s="47"/>
      <c r="P287" s="47"/>
      <c r="Q287" s="47"/>
      <c r="R287" s="48" t="str">
        <f aca="false">IF(Q287="","",IF(Q287=0,"below 5:00",IF(Q287&gt;=66,"16:00 or above",INT((60+2*Q287)/12)&amp;":"&amp;TEXT(MOD(60+2*Q287,12),"00"))))</f>
        <v/>
      </c>
      <c r="S287" s="47"/>
      <c r="T287" s="47"/>
      <c r="U287" s="47"/>
      <c r="V287" s="47"/>
      <c r="W287" s="47"/>
      <c r="X287" s="47"/>
      <c r="Y287" s="47"/>
      <c r="Z287" s="47"/>
      <c r="AA287" s="47"/>
      <c r="AB287" s="47"/>
      <c r="AC287" s="47"/>
      <c r="AD287" s="47"/>
      <c r="AE287" s="47"/>
      <c r="AF287" s="47"/>
      <c r="AG287" s="47"/>
      <c r="AH287" s="47"/>
      <c r="AI287" s="46"/>
      <c r="AJ287" s="46"/>
      <c r="AK287" s="46"/>
      <c r="AL287" s="7"/>
      <c r="AM287" s="49" t="str">
        <f aca="false">IF(OR(C287="",G287=""),"",IFERROR(DATEDIF(C287,G287,"m"),""))</f>
        <v/>
      </c>
      <c r="AN287" s="49" t="str">
        <f aca="false">IF(OR(Q287="",AM287=""),"",60+2*Q287-AM287)</f>
        <v/>
      </c>
      <c r="AO287" s="49" t="str">
        <f aca="false">IF(OR(G287="",AJ287=""),"",AJ287-G287)</f>
        <v/>
      </c>
      <c r="AP287" s="50" t="str">
        <f aca="false">IF(AND(A287="",B287=""),"",IF(J287="","Status needed",IF(OR(J287="Applied",J287="Visit booked",J287="Withdrawn"),"OK",IF(G287="","Date assessed needed",IF(C287="","Date of birth needed",IF(COUNTA(L287,M287,P287,U287,V287,X287,AB287)&lt;7,"Band missing",IF(AND(OR(J287="Decision confirmed",J287="Family told",J287="Enrolled"),AG287=""),"Recommendation needed",IF(AND(OR(J287="Family told",J287="Enrolled"),AJ287=""),"Date family told needed","OK"))))))))</f>
        <v/>
      </c>
    </row>
    <row r="288" customFormat="false" ht="15" hidden="false" customHeight="false" outlineLevel="0" collapsed="false">
      <c r="A288" s="7"/>
      <c r="B288" s="7"/>
      <c r="C288" s="46"/>
      <c r="D288" s="7"/>
      <c r="E288" s="47"/>
      <c r="F288" s="46"/>
      <c r="G288" s="46"/>
      <c r="H288" s="7"/>
      <c r="I288" s="7"/>
      <c r="J288" s="47"/>
      <c r="K288" s="47"/>
      <c r="L288" s="47"/>
      <c r="M288" s="47"/>
      <c r="N288" s="10"/>
      <c r="O288" s="47"/>
      <c r="P288" s="47"/>
      <c r="Q288" s="47"/>
      <c r="R288" s="48" t="str">
        <f aca="false">IF(Q288="","",IF(Q288=0,"below 5:00",IF(Q288&gt;=66,"16:00 or above",INT((60+2*Q288)/12)&amp;":"&amp;TEXT(MOD(60+2*Q288,12),"00"))))</f>
        <v/>
      </c>
      <c r="S288" s="47"/>
      <c r="T288" s="47"/>
      <c r="U288" s="47"/>
      <c r="V288" s="47"/>
      <c r="W288" s="47"/>
      <c r="X288" s="47"/>
      <c r="Y288" s="47"/>
      <c r="Z288" s="47"/>
      <c r="AA288" s="47"/>
      <c r="AB288" s="47"/>
      <c r="AC288" s="47"/>
      <c r="AD288" s="47"/>
      <c r="AE288" s="47"/>
      <c r="AF288" s="47"/>
      <c r="AG288" s="47"/>
      <c r="AH288" s="47"/>
      <c r="AI288" s="46"/>
      <c r="AJ288" s="46"/>
      <c r="AK288" s="46"/>
      <c r="AL288" s="7"/>
      <c r="AM288" s="49" t="str">
        <f aca="false">IF(OR(C288="",G288=""),"",IFERROR(DATEDIF(C288,G288,"m"),""))</f>
        <v/>
      </c>
      <c r="AN288" s="49" t="str">
        <f aca="false">IF(OR(Q288="",AM288=""),"",60+2*Q288-AM288)</f>
        <v/>
      </c>
      <c r="AO288" s="49" t="str">
        <f aca="false">IF(OR(G288="",AJ288=""),"",AJ288-G288)</f>
        <v/>
      </c>
      <c r="AP288" s="50" t="str">
        <f aca="false">IF(AND(A288="",B288=""),"",IF(J288="","Status needed",IF(OR(J288="Applied",J288="Visit booked",J288="Withdrawn"),"OK",IF(G288="","Date assessed needed",IF(C288="","Date of birth needed",IF(COUNTA(L288,M288,P288,U288,V288,X288,AB288)&lt;7,"Band missing",IF(AND(OR(J288="Decision confirmed",J288="Family told",J288="Enrolled"),AG288=""),"Recommendation needed",IF(AND(OR(J288="Family told",J288="Enrolled"),AJ288=""),"Date family told needed","OK"))))))))</f>
        <v/>
      </c>
    </row>
    <row r="289" customFormat="false" ht="15" hidden="false" customHeight="false" outlineLevel="0" collapsed="false">
      <c r="A289" s="7"/>
      <c r="B289" s="7"/>
      <c r="C289" s="46"/>
      <c r="D289" s="7"/>
      <c r="E289" s="47"/>
      <c r="F289" s="46"/>
      <c r="G289" s="46"/>
      <c r="H289" s="7"/>
      <c r="I289" s="7"/>
      <c r="J289" s="47"/>
      <c r="K289" s="47"/>
      <c r="L289" s="47"/>
      <c r="M289" s="47"/>
      <c r="N289" s="10"/>
      <c r="O289" s="47"/>
      <c r="P289" s="47"/>
      <c r="Q289" s="47"/>
      <c r="R289" s="48" t="str">
        <f aca="false">IF(Q289="","",IF(Q289=0,"below 5:00",IF(Q289&gt;=66,"16:00 or above",INT((60+2*Q289)/12)&amp;":"&amp;TEXT(MOD(60+2*Q289,12),"00"))))</f>
        <v/>
      </c>
      <c r="S289" s="47"/>
      <c r="T289" s="47"/>
      <c r="U289" s="47"/>
      <c r="V289" s="47"/>
      <c r="W289" s="47"/>
      <c r="X289" s="47"/>
      <c r="Y289" s="47"/>
      <c r="Z289" s="47"/>
      <c r="AA289" s="47"/>
      <c r="AB289" s="47"/>
      <c r="AC289" s="47"/>
      <c r="AD289" s="47"/>
      <c r="AE289" s="47"/>
      <c r="AF289" s="47"/>
      <c r="AG289" s="47"/>
      <c r="AH289" s="47"/>
      <c r="AI289" s="46"/>
      <c r="AJ289" s="46"/>
      <c r="AK289" s="46"/>
      <c r="AL289" s="7"/>
      <c r="AM289" s="49" t="str">
        <f aca="false">IF(OR(C289="",G289=""),"",IFERROR(DATEDIF(C289,G289,"m"),""))</f>
        <v/>
      </c>
      <c r="AN289" s="49" t="str">
        <f aca="false">IF(OR(Q289="",AM289=""),"",60+2*Q289-AM289)</f>
        <v/>
      </c>
      <c r="AO289" s="49" t="str">
        <f aca="false">IF(OR(G289="",AJ289=""),"",AJ289-G289)</f>
        <v/>
      </c>
      <c r="AP289" s="50" t="str">
        <f aca="false">IF(AND(A289="",B289=""),"",IF(J289="","Status needed",IF(OR(J289="Applied",J289="Visit booked",J289="Withdrawn"),"OK",IF(G289="","Date assessed needed",IF(C289="","Date of birth needed",IF(COUNTA(L289,M289,P289,U289,V289,X289,AB289)&lt;7,"Band missing",IF(AND(OR(J289="Decision confirmed",J289="Family told",J289="Enrolled"),AG289=""),"Recommendation needed",IF(AND(OR(J289="Family told",J289="Enrolled"),AJ289=""),"Date family told needed","OK"))))))))</f>
        <v/>
      </c>
    </row>
    <row r="290" customFormat="false" ht="15" hidden="false" customHeight="false" outlineLevel="0" collapsed="false">
      <c r="A290" s="7"/>
      <c r="B290" s="7"/>
      <c r="C290" s="46"/>
      <c r="D290" s="7"/>
      <c r="E290" s="47"/>
      <c r="F290" s="46"/>
      <c r="G290" s="46"/>
      <c r="H290" s="7"/>
      <c r="I290" s="7"/>
      <c r="J290" s="47"/>
      <c r="K290" s="47"/>
      <c r="L290" s="47"/>
      <c r="M290" s="47"/>
      <c r="N290" s="10"/>
      <c r="O290" s="47"/>
      <c r="P290" s="47"/>
      <c r="Q290" s="47"/>
      <c r="R290" s="48" t="str">
        <f aca="false">IF(Q290="","",IF(Q290=0,"below 5:00",IF(Q290&gt;=66,"16:00 or above",INT((60+2*Q290)/12)&amp;":"&amp;TEXT(MOD(60+2*Q290,12),"00"))))</f>
        <v/>
      </c>
      <c r="S290" s="47"/>
      <c r="T290" s="47"/>
      <c r="U290" s="47"/>
      <c r="V290" s="47"/>
      <c r="W290" s="47"/>
      <c r="X290" s="47"/>
      <c r="Y290" s="47"/>
      <c r="Z290" s="47"/>
      <c r="AA290" s="47"/>
      <c r="AB290" s="47"/>
      <c r="AC290" s="47"/>
      <c r="AD290" s="47"/>
      <c r="AE290" s="47"/>
      <c r="AF290" s="47"/>
      <c r="AG290" s="47"/>
      <c r="AH290" s="47"/>
      <c r="AI290" s="46"/>
      <c r="AJ290" s="46"/>
      <c r="AK290" s="46"/>
      <c r="AL290" s="7"/>
      <c r="AM290" s="49" t="str">
        <f aca="false">IF(OR(C290="",G290=""),"",IFERROR(DATEDIF(C290,G290,"m"),""))</f>
        <v/>
      </c>
      <c r="AN290" s="49" t="str">
        <f aca="false">IF(OR(Q290="",AM290=""),"",60+2*Q290-AM290)</f>
        <v/>
      </c>
      <c r="AO290" s="49" t="str">
        <f aca="false">IF(OR(G290="",AJ290=""),"",AJ290-G290)</f>
        <v/>
      </c>
      <c r="AP290" s="50" t="str">
        <f aca="false">IF(AND(A290="",B290=""),"",IF(J290="","Status needed",IF(OR(J290="Applied",J290="Visit booked",J290="Withdrawn"),"OK",IF(G290="","Date assessed needed",IF(C290="","Date of birth needed",IF(COUNTA(L290,M290,P290,U290,V290,X290,AB290)&lt;7,"Band missing",IF(AND(OR(J290="Decision confirmed",J290="Family told",J290="Enrolled"),AG290=""),"Recommendation needed",IF(AND(OR(J290="Family told",J290="Enrolled"),AJ290=""),"Date family told needed","OK"))))))))</f>
        <v/>
      </c>
    </row>
    <row r="291" customFormat="false" ht="15" hidden="false" customHeight="false" outlineLevel="0" collapsed="false">
      <c r="A291" s="7"/>
      <c r="B291" s="7"/>
      <c r="C291" s="46"/>
      <c r="D291" s="7"/>
      <c r="E291" s="47"/>
      <c r="F291" s="46"/>
      <c r="G291" s="46"/>
      <c r="H291" s="7"/>
      <c r="I291" s="7"/>
      <c r="J291" s="47"/>
      <c r="K291" s="47"/>
      <c r="L291" s="47"/>
      <c r="M291" s="47"/>
      <c r="N291" s="10"/>
      <c r="O291" s="47"/>
      <c r="P291" s="47"/>
      <c r="Q291" s="47"/>
      <c r="R291" s="48" t="str">
        <f aca="false">IF(Q291="","",IF(Q291=0,"below 5:00",IF(Q291&gt;=66,"16:00 or above",INT((60+2*Q291)/12)&amp;":"&amp;TEXT(MOD(60+2*Q291,12),"00"))))</f>
        <v/>
      </c>
      <c r="S291" s="47"/>
      <c r="T291" s="47"/>
      <c r="U291" s="47"/>
      <c r="V291" s="47"/>
      <c r="W291" s="47"/>
      <c r="X291" s="47"/>
      <c r="Y291" s="47"/>
      <c r="Z291" s="47"/>
      <c r="AA291" s="47"/>
      <c r="AB291" s="47"/>
      <c r="AC291" s="47"/>
      <c r="AD291" s="47"/>
      <c r="AE291" s="47"/>
      <c r="AF291" s="47"/>
      <c r="AG291" s="47"/>
      <c r="AH291" s="47"/>
      <c r="AI291" s="46"/>
      <c r="AJ291" s="46"/>
      <c r="AK291" s="46"/>
      <c r="AL291" s="7"/>
      <c r="AM291" s="49" t="str">
        <f aca="false">IF(OR(C291="",G291=""),"",IFERROR(DATEDIF(C291,G291,"m"),""))</f>
        <v/>
      </c>
      <c r="AN291" s="49" t="str">
        <f aca="false">IF(OR(Q291="",AM291=""),"",60+2*Q291-AM291)</f>
        <v/>
      </c>
      <c r="AO291" s="49" t="str">
        <f aca="false">IF(OR(G291="",AJ291=""),"",AJ291-G291)</f>
        <v/>
      </c>
      <c r="AP291" s="50" t="str">
        <f aca="false">IF(AND(A291="",B291=""),"",IF(J291="","Status needed",IF(OR(J291="Applied",J291="Visit booked",J291="Withdrawn"),"OK",IF(G291="","Date assessed needed",IF(C291="","Date of birth needed",IF(COUNTA(L291,M291,P291,U291,V291,X291,AB291)&lt;7,"Band missing",IF(AND(OR(J291="Decision confirmed",J291="Family told",J291="Enrolled"),AG291=""),"Recommendation needed",IF(AND(OR(J291="Family told",J291="Enrolled"),AJ291=""),"Date family told needed","OK"))))))))</f>
        <v/>
      </c>
    </row>
    <row r="292" customFormat="false" ht="15" hidden="false" customHeight="false" outlineLevel="0" collapsed="false">
      <c r="A292" s="7"/>
      <c r="B292" s="7"/>
      <c r="C292" s="46"/>
      <c r="D292" s="7"/>
      <c r="E292" s="47"/>
      <c r="F292" s="46"/>
      <c r="G292" s="46"/>
      <c r="H292" s="7"/>
      <c r="I292" s="7"/>
      <c r="J292" s="47"/>
      <c r="K292" s="47"/>
      <c r="L292" s="47"/>
      <c r="M292" s="47"/>
      <c r="N292" s="10"/>
      <c r="O292" s="47"/>
      <c r="P292" s="47"/>
      <c r="Q292" s="47"/>
      <c r="R292" s="48" t="str">
        <f aca="false">IF(Q292="","",IF(Q292=0,"below 5:00",IF(Q292&gt;=66,"16:00 or above",INT((60+2*Q292)/12)&amp;":"&amp;TEXT(MOD(60+2*Q292,12),"00"))))</f>
        <v/>
      </c>
      <c r="S292" s="47"/>
      <c r="T292" s="47"/>
      <c r="U292" s="47"/>
      <c r="V292" s="47"/>
      <c r="W292" s="47"/>
      <c r="X292" s="47"/>
      <c r="Y292" s="47"/>
      <c r="Z292" s="47"/>
      <c r="AA292" s="47"/>
      <c r="AB292" s="47"/>
      <c r="AC292" s="47"/>
      <c r="AD292" s="47"/>
      <c r="AE292" s="47"/>
      <c r="AF292" s="47"/>
      <c r="AG292" s="47"/>
      <c r="AH292" s="47"/>
      <c r="AI292" s="46"/>
      <c r="AJ292" s="46"/>
      <c r="AK292" s="46"/>
      <c r="AL292" s="7"/>
      <c r="AM292" s="49" t="str">
        <f aca="false">IF(OR(C292="",G292=""),"",IFERROR(DATEDIF(C292,G292,"m"),""))</f>
        <v/>
      </c>
      <c r="AN292" s="49" t="str">
        <f aca="false">IF(OR(Q292="",AM292=""),"",60+2*Q292-AM292)</f>
        <v/>
      </c>
      <c r="AO292" s="49" t="str">
        <f aca="false">IF(OR(G292="",AJ292=""),"",AJ292-G292)</f>
        <v/>
      </c>
      <c r="AP292" s="50" t="str">
        <f aca="false">IF(AND(A292="",B292=""),"",IF(J292="","Status needed",IF(OR(J292="Applied",J292="Visit booked",J292="Withdrawn"),"OK",IF(G292="","Date assessed needed",IF(C292="","Date of birth needed",IF(COUNTA(L292,M292,P292,U292,V292,X292,AB292)&lt;7,"Band missing",IF(AND(OR(J292="Decision confirmed",J292="Family told",J292="Enrolled"),AG292=""),"Recommendation needed",IF(AND(OR(J292="Family told",J292="Enrolled"),AJ292=""),"Date family told needed","OK"))))))))</f>
        <v/>
      </c>
    </row>
    <row r="293" customFormat="false" ht="15" hidden="false" customHeight="false" outlineLevel="0" collapsed="false">
      <c r="A293" s="7"/>
      <c r="B293" s="7"/>
      <c r="C293" s="46"/>
      <c r="D293" s="7"/>
      <c r="E293" s="47"/>
      <c r="F293" s="46"/>
      <c r="G293" s="46"/>
      <c r="H293" s="7"/>
      <c r="I293" s="7"/>
      <c r="J293" s="47"/>
      <c r="K293" s="47"/>
      <c r="L293" s="47"/>
      <c r="M293" s="47"/>
      <c r="N293" s="10"/>
      <c r="O293" s="47"/>
      <c r="P293" s="47"/>
      <c r="Q293" s="47"/>
      <c r="R293" s="48" t="str">
        <f aca="false">IF(Q293="","",IF(Q293=0,"below 5:00",IF(Q293&gt;=66,"16:00 or above",INT((60+2*Q293)/12)&amp;":"&amp;TEXT(MOD(60+2*Q293,12),"00"))))</f>
        <v/>
      </c>
      <c r="S293" s="47"/>
      <c r="T293" s="47"/>
      <c r="U293" s="47"/>
      <c r="V293" s="47"/>
      <c r="W293" s="47"/>
      <c r="X293" s="47"/>
      <c r="Y293" s="47"/>
      <c r="Z293" s="47"/>
      <c r="AA293" s="47"/>
      <c r="AB293" s="47"/>
      <c r="AC293" s="47"/>
      <c r="AD293" s="47"/>
      <c r="AE293" s="47"/>
      <c r="AF293" s="47"/>
      <c r="AG293" s="47"/>
      <c r="AH293" s="47"/>
      <c r="AI293" s="46"/>
      <c r="AJ293" s="46"/>
      <c r="AK293" s="46"/>
      <c r="AL293" s="7"/>
      <c r="AM293" s="49" t="str">
        <f aca="false">IF(OR(C293="",G293=""),"",IFERROR(DATEDIF(C293,G293,"m"),""))</f>
        <v/>
      </c>
      <c r="AN293" s="49" t="str">
        <f aca="false">IF(OR(Q293="",AM293=""),"",60+2*Q293-AM293)</f>
        <v/>
      </c>
      <c r="AO293" s="49" t="str">
        <f aca="false">IF(OR(G293="",AJ293=""),"",AJ293-G293)</f>
        <v/>
      </c>
      <c r="AP293" s="50" t="str">
        <f aca="false">IF(AND(A293="",B293=""),"",IF(J293="","Status needed",IF(OR(J293="Applied",J293="Visit booked",J293="Withdrawn"),"OK",IF(G293="","Date assessed needed",IF(C293="","Date of birth needed",IF(COUNTA(L293,M293,P293,U293,V293,X293,AB293)&lt;7,"Band missing",IF(AND(OR(J293="Decision confirmed",J293="Family told",J293="Enrolled"),AG293=""),"Recommendation needed",IF(AND(OR(J293="Family told",J293="Enrolled"),AJ293=""),"Date family told needed","OK"))))))))</f>
        <v/>
      </c>
    </row>
    <row r="294" customFormat="false" ht="15" hidden="false" customHeight="false" outlineLevel="0" collapsed="false">
      <c r="A294" s="7"/>
      <c r="B294" s="7"/>
      <c r="C294" s="46"/>
      <c r="D294" s="7"/>
      <c r="E294" s="47"/>
      <c r="F294" s="46"/>
      <c r="G294" s="46"/>
      <c r="H294" s="7"/>
      <c r="I294" s="7"/>
      <c r="J294" s="47"/>
      <c r="K294" s="47"/>
      <c r="L294" s="47"/>
      <c r="M294" s="47"/>
      <c r="N294" s="10"/>
      <c r="O294" s="47"/>
      <c r="P294" s="47"/>
      <c r="Q294" s="47"/>
      <c r="R294" s="48" t="str">
        <f aca="false">IF(Q294="","",IF(Q294=0,"below 5:00",IF(Q294&gt;=66,"16:00 or above",INT((60+2*Q294)/12)&amp;":"&amp;TEXT(MOD(60+2*Q294,12),"00"))))</f>
        <v/>
      </c>
      <c r="S294" s="47"/>
      <c r="T294" s="47"/>
      <c r="U294" s="47"/>
      <c r="V294" s="47"/>
      <c r="W294" s="47"/>
      <c r="X294" s="47"/>
      <c r="Y294" s="47"/>
      <c r="Z294" s="47"/>
      <c r="AA294" s="47"/>
      <c r="AB294" s="47"/>
      <c r="AC294" s="47"/>
      <c r="AD294" s="47"/>
      <c r="AE294" s="47"/>
      <c r="AF294" s="47"/>
      <c r="AG294" s="47"/>
      <c r="AH294" s="47"/>
      <c r="AI294" s="46"/>
      <c r="AJ294" s="46"/>
      <c r="AK294" s="46"/>
      <c r="AL294" s="7"/>
      <c r="AM294" s="49" t="str">
        <f aca="false">IF(OR(C294="",G294=""),"",IFERROR(DATEDIF(C294,G294,"m"),""))</f>
        <v/>
      </c>
      <c r="AN294" s="49" t="str">
        <f aca="false">IF(OR(Q294="",AM294=""),"",60+2*Q294-AM294)</f>
        <v/>
      </c>
      <c r="AO294" s="49" t="str">
        <f aca="false">IF(OR(G294="",AJ294=""),"",AJ294-G294)</f>
        <v/>
      </c>
      <c r="AP294" s="50" t="str">
        <f aca="false">IF(AND(A294="",B294=""),"",IF(J294="","Status needed",IF(OR(J294="Applied",J294="Visit booked",J294="Withdrawn"),"OK",IF(G294="","Date assessed needed",IF(C294="","Date of birth needed",IF(COUNTA(L294,M294,P294,U294,V294,X294,AB294)&lt;7,"Band missing",IF(AND(OR(J294="Decision confirmed",J294="Family told",J294="Enrolled"),AG294=""),"Recommendation needed",IF(AND(OR(J294="Family told",J294="Enrolled"),AJ294=""),"Date family told needed","OK"))))))))</f>
        <v/>
      </c>
    </row>
    <row r="295" customFormat="false" ht="15" hidden="false" customHeight="false" outlineLevel="0" collapsed="false">
      <c r="A295" s="7"/>
      <c r="B295" s="7"/>
      <c r="C295" s="46"/>
      <c r="D295" s="7"/>
      <c r="E295" s="47"/>
      <c r="F295" s="46"/>
      <c r="G295" s="46"/>
      <c r="H295" s="7"/>
      <c r="I295" s="7"/>
      <c r="J295" s="47"/>
      <c r="K295" s="47"/>
      <c r="L295" s="47"/>
      <c r="M295" s="47"/>
      <c r="N295" s="10"/>
      <c r="O295" s="47"/>
      <c r="P295" s="47"/>
      <c r="Q295" s="47"/>
      <c r="R295" s="48" t="str">
        <f aca="false">IF(Q295="","",IF(Q295=0,"below 5:00",IF(Q295&gt;=66,"16:00 or above",INT((60+2*Q295)/12)&amp;":"&amp;TEXT(MOD(60+2*Q295,12),"00"))))</f>
        <v/>
      </c>
      <c r="S295" s="47"/>
      <c r="T295" s="47"/>
      <c r="U295" s="47"/>
      <c r="V295" s="47"/>
      <c r="W295" s="47"/>
      <c r="X295" s="47"/>
      <c r="Y295" s="47"/>
      <c r="Z295" s="47"/>
      <c r="AA295" s="47"/>
      <c r="AB295" s="47"/>
      <c r="AC295" s="47"/>
      <c r="AD295" s="47"/>
      <c r="AE295" s="47"/>
      <c r="AF295" s="47"/>
      <c r="AG295" s="47"/>
      <c r="AH295" s="47"/>
      <c r="AI295" s="46"/>
      <c r="AJ295" s="46"/>
      <c r="AK295" s="46"/>
      <c r="AL295" s="7"/>
      <c r="AM295" s="49" t="str">
        <f aca="false">IF(OR(C295="",G295=""),"",IFERROR(DATEDIF(C295,G295,"m"),""))</f>
        <v/>
      </c>
      <c r="AN295" s="49" t="str">
        <f aca="false">IF(OR(Q295="",AM295=""),"",60+2*Q295-AM295)</f>
        <v/>
      </c>
      <c r="AO295" s="49" t="str">
        <f aca="false">IF(OR(G295="",AJ295=""),"",AJ295-G295)</f>
        <v/>
      </c>
      <c r="AP295" s="50" t="str">
        <f aca="false">IF(AND(A295="",B295=""),"",IF(J295="","Status needed",IF(OR(J295="Applied",J295="Visit booked",J295="Withdrawn"),"OK",IF(G295="","Date assessed needed",IF(C295="","Date of birth needed",IF(COUNTA(L295,M295,P295,U295,V295,X295,AB295)&lt;7,"Band missing",IF(AND(OR(J295="Decision confirmed",J295="Family told",J295="Enrolled"),AG295=""),"Recommendation needed",IF(AND(OR(J295="Family told",J295="Enrolled"),AJ295=""),"Date family told needed","OK"))))))))</f>
        <v/>
      </c>
    </row>
    <row r="296" customFormat="false" ht="15" hidden="false" customHeight="false" outlineLevel="0" collapsed="false">
      <c r="A296" s="7"/>
      <c r="B296" s="7"/>
      <c r="C296" s="46"/>
      <c r="D296" s="7"/>
      <c r="E296" s="47"/>
      <c r="F296" s="46"/>
      <c r="G296" s="46"/>
      <c r="H296" s="7"/>
      <c r="I296" s="7"/>
      <c r="J296" s="47"/>
      <c r="K296" s="47"/>
      <c r="L296" s="47"/>
      <c r="M296" s="47"/>
      <c r="N296" s="10"/>
      <c r="O296" s="47"/>
      <c r="P296" s="47"/>
      <c r="Q296" s="47"/>
      <c r="R296" s="48" t="str">
        <f aca="false">IF(Q296="","",IF(Q296=0,"below 5:00",IF(Q296&gt;=66,"16:00 or above",INT((60+2*Q296)/12)&amp;":"&amp;TEXT(MOD(60+2*Q296,12),"00"))))</f>
        <v/>
      </c>
      <c r="S296" s="47"/>
      <c r="T296" s="47"/>
      <c r="U296" s="47"/>
      <c r="V296" s="47"/>
      <c r="W296" s="47"/>
      <c r="X296" s="47"/>
      <c r="Y296" s="47"/>
      <c r="Z296" s="47"/>
      <c r="AA296" s="47"/>
      <c r="AB296" s="47"/>
      <c r="AC296" s="47"/>
      <c r="AD296" s="47"/>
      <c r="AE296" s="47"/>
      <c r="AF296" s="47"/>
      <c r="AG296" s="47"/>
      <c r="AH296" s="47"/>
      <c r="AI296" s="46"/>
      <c r="AJ296" s="46"/>
      <c r="AK296" s="46"/>
      <c r="AL296" s="7"/>
      <c r="AM296" s="49" t="str">
        <f aca="false">IF(OR(C296="",G296=""),"",IFERROR(DATEDIF(C296,G296,"m"),""))</f>
        <v/>
      </c>
      <c r="AN296" s="49" t="str">
        <f aca="false">IF(OR(Q296="",AM296=""),"",60+2*Q296-AM296)</f>
        <v/>
      </c>
      <c r="AO296" s="49" t="str">
        <f aca="false">IF(OR(G296="",AJ296=""),"",AJ296-G296)</f>
        <v/>
      </c>
      <c r="AP296" s="50" t="str">
        <f aca="false">IF(AND(A296="",B296=""),"",IF(J296="","Status needed",IF(OR(J296="Applied",J296="Visit booked",J296="Withdrawn"),"OK",IF(G296="","Date assessed needed",IF(C296="","Date of birth needed",IF(COUNTA(L296,M296,P296,U296,V296,X296,AB296)&lt;7,"Band missing",IF(AND(OR(J296="Decision confirmed",J296="Family told",J296="Enrolled"),AG296=""),"Recommendation needed",IF(AND(OR(J296="Family told",J296="Enrolled"),AJ296=""),"Date family told needed","OK"))))))))</f>
        <v/>
      </c>
    </row>
    <row r="297" customFormat="false" ht="15" hidden="false" customHeight="false" outlineLevel="0" collapsed="false">
      <c r="A297" s="7"/>
      <c r="B297" s="7"/>
      <c r="C297" s="46"/>
      <c r="D297" s="7"/>
      <c r="E297" s="47"/>
      <c r="F297" s="46"/>
      <c r="G297" s="46"/>
      <c r="H297" s="7"/>
      <c r="I297" s="7"/>
      <c r="J297" s="47"/>
      <c r="K297" s="47"/>
      <c r="L297" s="47"/>
      <c r="M297" s="47"/>
      <c r="N297" s="10"/>
      <c r="O297" s="47"/>
      <c r="P297" s="47"/>
      <c r="Q297" s="47"/>
      <c r="R297" s="48" t="str">
        <f aca="false">IF(Q297="","",IF(Q297=0,"below 5:00",IF(Q297&gt;=66,"16:00 or above",INT((60+2*Q297)/12)&amp;":"&amp;TEXT(MOD(60+2*Q297,12),"00"))))</f>
        <v/>
      </c>
      <c r="S297" s="47"/>
      <c r="T297" s="47"/>
      <c r="U297" s="47"/>
      <c r="V297" s="47"/>
      <c r="W297" s="47"/>
      <c r="X297" s="47"/>
      <c r="Y297" s="47"/>
      <c r="Z297" s="47"/>
      <c r="AA297" s="47"/>
      <c r="AB297" s="47"/>
      <c r="AC297" s="47"/>
      <c r="AD297" s="47"/>
      <c r="AE297" s="47"/>
      <c r="AF297" s="47"/>
      <c r="AG297" s="47"/>
      <c r="AH297" s="47"/>
      <c r="AI297" s="46"/>
      <c r="AJ297" s="46"/>
      <c r="AK297" s="46"/>
      <c r="AL297" s="7"/>
      <c r="AM297" s="49" t="str">
        <f aca="false">IF(OR(C297="",G297=""),"",IFERROR(DATEDIF(C297,G297,"m"),""))</f>
        <v/>
      </c>
      <c r="AN297" s="49" t="str">
        <f aca="false">IF(OR(Q297="",AM297=""),"",60+2*Q297-AM297)</f>
        <v/>
      </c>
      <c r="AO297" s="49" t="str">
        <f aca="false">IF(OR(G297="",AJ297=""),"",AJ297-G297)</f>
        <v/>
      </c>
      <c r="AP297" s="50" t="str">
        <f aca="false">IF(AND(A297="",B297=""),"",IF(J297="","Status needed",IF(OR(J297="Applied",J297="Visit booked",J297="Withdrawn"),"OK",IF(G297="","Date assessed needed",IF(C297="","Date of birth needed",IF(COUNTA(L297,M297,P297,U297,V297,X297,AB297)&lt;7,"Band missing",IF(AND(OR(J297="Decision confirmed",J297="Family told",J297="Enrolled"),AG297=""),"Recommendation needed",IF(AND(OR(J297="Family told",J297="Enrolled"),AJ297=""),"Date family told needed","OK"))))))))</f>
        <v/>
      </c>
    </row>
    <row r="298" customFormat="false" ht="15" hidden="false" customHeight="false" outlineLevel="0" collapsed="false">
      <c r="A298" s="7"/>
      <c r="B298" s="7"/>
      <c r="C298" s="46"/>
      <c r="D298" s="7"/>
      <c r="E298" s="47"/>
      <c r="F298" s="46"/>
      <c r="G298" s="46"/>
      <c r="H298" s="7"/>
      <c r="I298" s="7"/>
      <c r="J298" s="47"/>
      <c r="K298" s="47"/>
      <c r="L298" s="47"/>
      <c r="M298" s="47"/>
      <c r="N298" s="10"/>
      <c r="O298" s="47"/>
      <c r="P298" s="47"/>
      <c r="Q298" s="47"/>
      <c r="R298" s="48" t="str">
        <f aca="false">IF(Q298="","",IF(Q298=0,"below 5:00",IF(Q298&gt;=66,"16:00 or above",INT((60+2*Q298)/12)&amp;":"&amp;TEXT(MOD(60+2*Q298,12),"00"))))</f>
        <v/>
      </c>
      <c r="S298" s="47"/>
      <c r="T298" s="47"/>
      <c r="U298" s="47"/>
      <c r="V298" s="47"/>
      <c r="W298" s="47"/>
      <c r="X298" s="47"/>
      <c r="Y298" s="47"/>
      <c r="Z298" s="47"/>
      <c r="AA298" s="47"/>
      <c r="AB298" s="47"/>
      <c r="AC298" s="47"/>
      <c r="AD298" s="47"/>
      <c r="AE298" s="47"/>
      <c r="AF298" s="47"/>
      <c r="AG298" s="47"/>
      <c r="AH298" s="47"/>
      <c r="AI298" s="46"/>
      <c r="AJ298" s="46"/>
      <c r="AK298" s="46"/>
      <c r="AL298" s="7"/>
      <c r="AM298" s="49" t="str">
        <f aca="false">IF(OR(C298="",G298=""),"",IFERROR(DATEDIF(C298,G298,"m"),""))</f>
        <v/>
      </c>
      <c r="AN298" s="49" t="str">
        <f aca="false">IF(OR(Q298="",AM298=""),"",60+2*Q298-AM298)</f>
        <v/>
      </c>
      <c r="AO298" s="49" t="str">
        <f aca="false">IF(OR(G298="",AJ298=""),"",AJ298-G298)</f>
        <v/>
      </c>
      <c r="AP298" s="50" t="str">
        <f aca="false">IF(AND(A298="",B298=""),"",IF(J298="","Status needed",IF(OR(J298="Applied",J298="Visit booked",J298="Withdrawn"),"OK",IF(G298="","Date assessed needed",IF(C298="","Date of birth needed",IF(COUNTA(L298,M298,P298,U298,V298,X298,AB298)&lt;7,"Band missing",IF(AND(OR(J298="Decision confirmed",J298="Family told",J298="Enrolled"),AG298=""),"Recommendation needed",IF(AND(OR(J298="Family told",J298="Enrolled"),AJ298=""),"Date family told needed","OK"))))))))</f>
        <v/>
      </c>
    </row>
    <row r="299" customFormat="false" ht="15" hidden="false" customHeight="false" outlineLevel="0" collapsed="false">
      <c r="A299" s="7"/>
      <c r="B299" s="7"/>
      <c r="C299" s="46"/>
      <c r="D299" s="7"/>
      <c r="E299" s="47"/>
      <c r="F299" s="46"/>
      <c r="G299" s="46"/>
      <c r="H299" s="7"/>
      <c r="I299" s="7"/>
      <c r="J299" s="47"/>
      <c r="K299" s="47"/>
      <c r="L299" s="47"/>
      <c r="M299" s="47"/>
      <c r="N299" s="10"/>
      <c r="O299" s="47"/>
      <c r="P299" s="47"/>
      <c r="Q299" s="47"/>
      <c r="R299" s="48" t="str">
        <f aca="false">IF(Q299="","",IF(Q299=0,"below 5:00",IF(Q299&gt;=66,"16:00 or above",INT((60+2*Q299)/12)&amp;":"&amp;TEXT(MOD(60+2*Q299,12),"00"))))</f>
        <v/>
      </c>
      <c r="S299" s="47"/>
      <c r="T299" s="47"/>
      <c r="U299" s="47"/>
      <c r="V299" s="47"/>
      <c r="W299" s="47"/>
      <c r="X299" s="47"/>
      <c r="Y299" s="47"/>
      <c r="Z299" s="47"/>
      <c r="AA299" s="47"/>
      <c r="AB299" s="47"/>
      <c r="AC299" s="47"/>
      <c r="AD299" s="47"/>
      <c r="AE299" s="47"/>
      <c r="AF299" s="47"/>
      <c r="AG299" s="47"/>
      <c r="AH299" s="47"/>
      <c r="AI299" s="46"/>
      <c r="AJ299" s="46"/>
      <c r="AK299" s="46"/>
      <c r="AL299" s="7"/>
      <c r="AM299" s="49" t="str">
        <f aca="false">IF(OR(C299="",G299=""),"",IFERROR(DATEDIF(C299,G299,"m"),""))</f>
        <v/>
      </c>
      <c r="AN299" s="49" t="str">
        <f aca="false">IF(OR(Q299="",AM299=""),"",60+2*Q299-AM299)</f>
        <v/>
      </c>
      <c r="AO299" s="49" t="str">
        <f aca="false">IF(OR(G299="",AJ299=""),"",AJ299-G299)</f>
        <v/>
      </c>
      <c r="AP299" s="50" t="str">
        <f aca="false">IF(AND(A299="",B299=""),"",IF(J299="","Status needed",IF(OR(J299="Applied",J299="Visit booked",J299="Withdrawn"),"OK",IF(G299="","Date assessed needed",IF(C299="","Date of birth needed",IF(COUNTA(L299,M299,P299,U299,V299,X299,AB299)&lt;7,"Band missing",IF(AND(OR(J299="Decision confirmed",J299="Family told",J299="Enrolled"),AG299=""),"Recommendation needed",IF(AND(OR(J299="Family told",J299="Enrolled"),AJ299=""),"Date family told needed","OK"))))))))</f>
        <v/>
      </c>
    </row>
    <row r="300" customFormat="false" ht="15" hidden="false" customHeight="false" outlineLevel="0" collapsed="false">
      <c r="A300" s="7"/>
      <c r="B300" s="7"/>
      <c r="C300" s="46"/>
      <c r="D300" s="7"/>
      <c r="E300" s="47"/>
      <c r="F300" s="46"/>
      <c r="G300" s="46"/>
      <c r="H300" s="7"/>
      <c r="I300" s="7"/>
      <c r="J300" s="47"/>
      <c r="K300" s="47"/>
      <c r="L300" s="47"/>
      <c r="M300" s="47"/>
      <c r="N300" s="10"/>
      <c r="O300" s="47"/>
      <c r="P300" s="47"/>
      <c r="Q300" s="47"/>
      <c r="R300" s="48" t="str">
        <f aca="false">IF(Q300="","",IF(Q300=0,"below 5:00",IF(Q300&gt;=66,"16:00 or above",INT((60+2*Q300)/12)&amp;":"&amp;TEXT(MOD(60+2*Q300,12),"00"))))</f>
        <v/>
      </c>
      <c r="S300" s="47"/>
      <c r="T300" s="47"/>
      <c r="U300" s="47"/>
      <c r="V300" s="47"/>
      <c r="W300" s="47"/>
      <c r="X300" s="47"/>
      <c r="Y300" s="47"/>
      <c r="Z300" s="47"/>
      <c r="AA300" s="47"/>
      <c r="AB300" s="47"/>
      <c r="AC300" s="47"/>
      <c r="AD300" s="47"/>
      <c r="AE300" s="47"/>
      <c r="AF300" s="47"/>
      <c r="AG300" s="47"/>
      <c r="AH300" s="47"/>
      <c r="AI300" s="46"/>
      <c r="AJ300" s="46"/>
      <c r="AK300" s="46"/>
      <c r="AL300" s="7"/>
      <c r="AM300" s="49" t="str">
        <f aca="false">IF(OR(C300="",G300=""),"",IFERROR(DATEDIF(C300,G300,"m"),""))</f>
        <v/>
      </c>
      <c r="AN300" s="49" t="str">
        <f aca="false">IF(OR(Q300="",AM300=""),"",60+2*Q300-AM300)</f>
        <v/>
      </c>
      <c r="AO300" s="49" t="str">
        <f aca="false">IF(OR(G300="",AJ300=""),"",AJ300-G300)</f>
        <v/>
      </c>
      <c r="AP300" s="50" t="str">
        <f aca="false">IF(AND(A300="",B300=""),"",IF(J300="","Status needed",IF(OR(J300="Applied",J300="Visit booked",J300="Withdrawn"),"OK",IF(G300="","Date assessed needed",IF(C300="","Date of birth needed",IF(COUNTA(L300,M300,P300,U300,V300,X300,AB300)&lt;7,"Band missing",IF(AND(OR(J300="Decision confirmed",J300="Family told",J300="Enrolled"),AG300=""),"Recommendation needed",IF(AND(OR(J300="Family told",J300="Enrolled"),AJ300=""),"Date family told needed","OK"))))))))</f>
        <v/>
      </c>
    </row>
    <row r="301" customFormat="false" ht="15" hidden="false" customHeight="false" outlineLevel="0" collapsed="false">
      <c r="A301" s="7"/>
      <c r="B301" s="7"/>
      <c r="C301" s="46"/>
      <c r="D301" s="7"/>
      <c r="E301" s="47"/>
      <c r="F301" s="46"/>
      <c r="G301" s="46"/>
      <c r="H301" s="7"/>
      <c r="I301" s="7"/>
      <c r="J301" s="47"/>
      <c r="K301" s="47"/>
      <c r="L301" s="47"/>
      <c r="M301" s="47"/>
      <c r="N301" s="10"/>
      <c r="O301" s="47"/>
      <c r="P301" s="47"/>
      <c r="Q301" s="47"/>
      <c r="R301" s="48" t="str">
        <f aca="false">IF(Q301="","",IF(Q301=0,"below 5:00",IF(Q301&gt;=66,"16:00 or above",INT((60+2*Q301)/12)&amp;":"&amp;TEXT(MOD(60+2*Q301,12),"00"))))</f>
        <v/>
      </c>
      <c r="S301" s="47"/>
      <c r="T301" s="47"/>
      <c r="U301" s="47"/>
      <c r="V301" s="47"/>
      <c r="W301" s="47"/>
      <c r="X301" s="47"/>
      <c r="Y301" s="47"/>
      <c r="Z301" s="47"/>
      <c r="AA301" s="47"/>
      <c r="AB301" s="47"/>
      <c r="AC301" s="47"/>
      <c r="AD301" s="47"/>
      <c r="AE301" s="47"/>
      <c r="AF301" s="47"/>
      <c r="AG301" s="47"/>
      <c r="AH301" s="47"/>
      <c r="AI301" s="46"/>
      <c r="AJ301" s="46"/>
      <c r="AK301" s="46"/>
      <c r="AL301" s="7"/>
      <c r="AM301" s="49" t="str">
        <f aca="false">IF(OR(C301="",G301=""),"",IFERROR(DATEDIF(C301,G301,"m"),""))</f>
        <v/>
      </c>
      <c r="AN301" s="49" t="str">
        <f aca="false">IF(OR(Q301="",AM301=""),"",60+2*Q301-AM301)</f>
        <v/>
      </c>
      <c r="AO301" s="49" t="str">
        <f aca="false">IF(OR(G301="",AJ301=""),"",AJ301-G301)</f>
        <v/>
      </c>
      <c r="AP301" s="50" t="str">
        <f aca="false">IF(AND(A301="",B301=""),"",IF(J301="","Status needed",IF(OR(J301="Applied",J301="Visit booked",J301="Withdrawn"),"OK",IF(G301="","Date assessed needed",IF(C301="","Date of birth needed",IF(COUNTA(L301,M301,P301,U301,V301,X301,AB301)&lt;7,"Band missing",IF(AND(OR(J301="Decision confirmed",J301="Family told",J301="Enrolled"),AG301=""),"Recommendation needed",IF(AND(OR(J301="Family told",J301="Enrolled"),AJ301=""),"Date family told needed","OK"))))))))</f>
        <v/>
      </c>
    </row>
    <row r="302" customFormat="false" ht="15" hidden="false" customHeight="false" outlineLevel="0" collapsed="false">
      <c r="A302" s="7"/>
      <c r="B302" s="7"/>
      <c r="C302" s="46"/>
      <c r="D302" s="7"/>
      <c r="E302" s="47"/>
      <c r="F302" s="46"/>
      <c r="G302" s="46"/>
      <c r="H302" s="7"/>
      <c r="I302" s="7"/>
      <c r="J302" s="47"/>
      <c r="K302" s="47"/>
      <c r="L302" s="47"/>
      <c r="M302" s="47"/>
      <c r="N302" s="10"/>
      <c r="O302" s="47"/>
      <c r="P302" s="47"/>
      <c r="Q302" s="47"/>
      <c r="R302" s="48" t="str">
        <f aca="false">IF(Q302="","",IF(Q302=0,"below 5:00",IF(Q302&gt;=66,"16:00 or above",INT((60+2*Q302)/12)&amp;":"&amp;TEXT(MOD(60+2*Q302,12),"00"))))</f>
        <v/>
      </c>
      <c r="S302" s="47"/>
      <c r="T302" s="47"/>
      <c r="U302" s="47"/>
      <c r="V302" s="47"/>
      <c r="W302" s="47"/>
      <c r="X302" s="47"/>
      <c r="Y302" s="47"/>
      <c r="Z302" s="47"/>
      <c r="AA302" s="47"/>
      <c r="AB302" s="47"/>
      <c r="AC302" s="47"/>
      <c r="AD302" s="47"/>
      <c r="AE302" s="47"/>
      <c r="AF302" s="47"/>
      <c r="AG302" s="47"/>
      <c r="AH302" s="47"/>
      <c r="AI302" s="46"/>
      <c r="AJ302" s="46"/>
      <c r="AK302" s="46"/>
      <c r="AL302" s="7"/>
      <c r="AM302" s="49" t="str">
        <f aca="false">IF(OR(C302="",G302=""),"",IFERROR(DATEDIF(C302,G302,"m"),""))</f>
        <v/>
      </c>
      <c r="AN302" s="49" t="str">
        <f aca="false">IF(OR(Q302="",AM302=""),"",60+2*Q302-AM302)</f>
        <v/>
      </c>
      <c r="AO302" s="49" t="str">
        <f aca="false">IF(OR(G302="",AJ302=""),"",AJ302-G302)</f>
        <v/>
      </c>
      <c r="AP302" s="50" t="str">
        <f aca="false">IF(AND(A302="",B302=""),"",IF(J302="","Status needed",IF(OR(J302="Applied",J302="Visit booked",J302="Withdrawn"),"OK",IF(G302="","Date assessed needed",IF(C302="","Date of birth needed",IF(COUNTA(L302,M302,P302,U302,V302,X302,AB302)&lt;7,"Band missing",IF(AND(OR(J302="Decision confirmed",J302="Family told",J302="Enrolled"),AG302=""),"Recommendation needed",IF(AND(OR(J302="Family told",J302="Enrolled"),AJ302=""),"Date family told needed","OK"))))))))</f>
        <v/>
      </c>
    </row>
    <row r="303" customFormat="false" ht="15" hidden="false" customHeight="false" outlineLevel="0" collapsed="false">
      <c r="A303" s="7"/>
      <c r="B303" s="7"/>
      <c r="C303" s="46"/>
      <c r="D303" s="7"/>
      <c r="E303" s="47"/>
      <c r="F303" s="46"/>
      <c r="G303" s="46"/>
      <c r="H303" s="7"/>
      <c r="I303" s="7"/>
      <c r="J303" s="47"/>
      <c r="K303" s="47"/>
      <c r="L303" s="47"/>
      <c r="M303" s="47"/>
      <c r="N303" s="10"/>
      <c r="O303" s="47"/>
      <c r="P303" s="47"/>
      <c r="Q303" s="47"/>
      <c r="R303" s="48" t="str">
        <f aca="false">IF(Q303="","",IF(Q303=0,"below 5:00",IF(Q303&gt;=66,"16:00 or above",INT((60+2*Q303)/12)&amp;":"&amp;TEXT(MOD(60+2*Q303,12),"00"))))</f>
        <v/>
      </c>
      <c r="S303" s="47"/>
      <c r="T303" s="47"/>
      <c r="U303" s="47"/>
      <c r="V303" s="47"/>
      <c r="W303" s="47"/>
      <c r="X303" s="47"/>
      <c r="Y303" s="47"/>
      <c r="Z303" s="47"/>
      <c r="AA303" s="47"/>
      <c r="AB303" s="47"/>
      <c r="AC303" s="47"/>
      <c r="AD303" s="47"/>
      <c r="AE303" s="47"/>
      <c r="AF303" s="47"/>
      <c r="AG303" s="47"/>
      <c r="AH303" s="47"/>
      <c r="AI303" s="46"/>
      <c r="AJ303" s="46"/>
      <c r="AK303" s="46"/>
      <c r="AL303" s="7"/>
      <c r="AM303" s="49" t="str">
        <f aca="false">IF(OR(C303="",G303=""),"",IFERROR(DATEDIF(C303,G303,"m"),""))</f>
        <v/>
      </c>
      <c r="AN303" s="49" t="str">
        <f aca="false">IF(OR(Q303="",AM303=""),"",60+2*Q303-AM303)</f>
        <v/>
      </c>
      <c r="AO303" s="49" t="str">
        <f aca="false">IF(OR(G303="",AJ303=""),"",AJ303-G303)</f>
        <v/>
      </c>
      <c r="AP303" s="50" t="str">
        <f aca="false">IF(AND(A303="",B303=""),"",IF(J303="","Status needed",IF(OR(J303="Applied",J303="Visit booked",J303="Withdrawn"),"OK",IF(G303="","Date assessed needed",IF(C303="","Date of birth needed",IF(COUNTA(L303,M303,P303,U303,V303,X303,AB303)&lt;7,"Band missing",IF(AND(OR(J303="Decision confirmed",J303="Family told",J303="Enrolled"),AG303=""),"Recommendation needed",IF(AND(OR(J303="Family told",J303="Enrolled"),AJ303=""),"Date family told needed","OK"))))))))</f>
        <v/>
      </c>
    </row>
    <row r="304" customFormat="false" ht="15" hidden="false" customHeight="false" outlineLevel="0" collapsed="false">
      <c r="A304" s="7"/>
      <c r="B304" s="7"/>
      <c r="C304" s="46"/>
      <c r="D304" s="7"/>
      <c r="E304" s="47"/>
      <c r="F304" s="46"/>
      <c r="G304" s="46"/>
      <c r="H304" s="7"/>
      <c r="I304" s="7"/>
      <c r="J304" s="47"/>
      <c r="K304" s="47"/>
      <c r="L304" s="47"/>
      <c r="M304" s="47"/>
      <c r="N304" s="10"/>
      <c r="O304" s="47"/>
      <c r="P304" s="47"/>
      <c r="Q304" s="47"/>
      <c r="R304" s="48" t="str">
        <f aca="false">IF(Q304="","",IF(Q304=0,"below 5:00",IF(Q304&gt;=66,"16:00 or above",INT((60+2*Q304)/12)&amp;":"&amp;TEXT(MOD(60+2*Q304,12),"00"))))</f>
        <v/>
      </c>
      <c r="S304" s="47"/>
      <c r="T304" s="47"/>
      <c r="U304" s="47"/>
      <c r="V304" s="47"/>
      <c r="W304" s="47"/>
      <c r="X304" s="47"/>
      <c r="Y304" s="47"/>
      <c r="Z304" s="47"/>
      <c r="AA304" s="47"/>
      <c r="AB304" s="47"/>
      <c r="AC304" s="47"/>
      <c r="AD304" s="47"/>
      <c r="AE304" s="47"/>
      <c r="AF304" s="47"/>
      <c r="AG304" s="47"/>
      <c r="AH304" s="47"/>
      <c r="AI304" s="46"/>
      <c r="AJ304" s="46"/>
      <c r="AK304" s="46"/>
      <c r="AL304" s="7"/>
      <c r="AM304" s="49" t="str">
        <f aca="false">IF(OR(C304="",G304=""),"",IFERROR(DATEDIF(C304,G304,"m"),""))</f>
        <v/>
      </c>
      <c r="AN304" s="49" t="str">
        <f aca="false">IF(OR(Q304="",AM304=""),"",60+2*Q304-AM304)</f>
        <v/>
      </c>
      <c r="AO304" s="49" t="str">
        <f aca="false">IF(OR(G304="",AJ304=""),"",AJ304-G304)</f>
        <v/>
      </c>
      <c r="AP304" s="50" t="str">
        <f aca="false">IF(AND(A304="",B304=""),"",IF(J304="","Status needed",IF(OR(J304="Applied",J304="Visit booked",J304="Withdrawn"),"OK",IF(G304="","Date assessed needed",IF(C304="","Date of birth needed",IF(COUNTA(L304,M304,P304,U304,V304,X304,AB304)&lt;7,"Band missing",IF(AND(OR(J304="Decision confirmed",J304="Family told",J304="Enrolled"),AG304=""),"Recommendation needed",IF(AND(OR(J304="Family told",J304="Enrolled"),AJ304=""),"Date family told needed","OK"))))))))</f>
        <v/>
      </c>
    </row>
    <row r="305" customFormat="false" ht="15" hidden="false" customHeight="false" outlineLevel="0" collapsed="false">
      <c r="A305" s="7"/>
      <c r="B305" s="7"/>
      <c r="C305" s="46"/>
      <c r="D305" s="7"/>
      <c r="E305" s="47"/>
      <c r="F305" s="46"/>
      <c r="G305" s="46"/>
      <c r="H305" s="7"/>
      <c r="I305" s="7"/>
      <c r="J305" s="47"/>
      <c r="K305" s="47"/>
      <c r="L305" s="47"/>
      <c r="M305" s="47"/>
      <c r="N305" s="10"/>
      <c r="O305" s="47"/>
      <c r="P305" s="47"/>
      <c r="Q305" s="47"/>
      <c r="R305" s="48" t="str">
        <f aca="false">IF(Q305="","",IF(Q305=0,"below 5:00",IF(Q305&gt;=66,"16:00 or above",INT((60+2*Q305)/12)&amp;":"&amp;TEXT(MOD(60+2*Q305,12),"00"))))</f>
        <v/>
      </c>
      <c r="S305" s="47"/>
      <c r="T305" s="47"/>
      <c r="U305" s="47"/>
      <c r="V305" s="47"/>
      <c r="W305" s="47"/>
      <c r="X305" s="47"/>
      <c r="Y305" s="47"/>
      <c r="Z305" s="47"/>
      <c r="AA305" s="47"/>
      <c r="AB305" s="47"/>
      <c r="AC305" s="47"/>
      <c r="AD305" s="47"/>
      <c r="AE305" s="47"/>
      <c r="AF305" s="47"/>
      <c r="AG305" s="47"/>
      <c r="AH305" s="47"/>
      <c r="AI305" s="46"/>
      <c r="AJ305" s="46"/>
      <c r="AK305" s="46"/>
      <c r="AL305" s="7"/>
      <c r="AM305" s="49" t="str">
        <f aca="false">IF(OR(C305="",G305=""),"",IFERROR(DATEDIF(C305,G305,"m"),""))</f>
        <v/>
      </c>
      <c r="AN305" s="49" t="str">
        <f aca="false">IF(OR(Q305="",AM305=""),"",60+2*Q305-AM305)</f>
        <v/>
      </c>
      <c r="AO305" s="49" t="str">
        <f aca="false">IF(OR(G305="",AJ305=""),"",AJ305-G305)</f>
        <v/>
      </c>
      <c r="AP305" s="50" t="str">
        <f aca="false">IF(AND(A305="",B305=""),"",IF(J305="","Status needed",IF(OR(J305="Applied",J305="Visit booked",J305="Withdrawn"),"OK",IF(G305="","Date assessed needed",IF(C305="","Date of birth needed",IF(COUNTA(L305,M305,P305,U305,V305,X305,AB305)&lt;7,"Band missing",IF(AND(OR(J305="Decision confirmed",J305="Family told",J305="Enrolled"),AG305=""),"Recommendation needed",IF(AND(OR(J305="Family told",J305="Enrolled"),AJ305=""),"Date family told needed","OK"))))))))</f>
        <v/>
      </c>
    </row>
  </sheetData>
  <autoFilter ref="A5:AP305"/>
  <mergeCells count="7">
    <mergeCell ref="A4:E4"/>
    <mergeCell ref="F4:J4"/>
    <mergeCell ref="K4:V4"/>
    <mergeCell ref="W4:AB4"/>
    <mergeCell ref="AC4:AF4"/>
    <mergeCell ref="AG4:AL4"/>
    <mergeCell ref="AM4:AP4"/>
  </mergeCells>
  <conditionalFormatting sqref="L6:L305">
    <cfRule type="cellIs" priority="2" operator="equal" aboveAverage="0" equalAverage="0" bottom="0" percent="0" rank="0" text="" dxfId="13">
      <formula>"A"</formula>
    </cfRule>
    <cfRule type="cellIs" priority="3" operator="equal" aboveAverage="0" equalAverage="0" bottom="0" percent="0" rank="0" text="" dxfId="14">
      <formula>"B"</formula>
    </cfRule>
    <cfRule type="cellIs" priority="4" operator="equal" aboveAverage="0" equalAverage="0" bottom="0" percent="0" rank="0" text="" dxfId="15">
      <formula>"C"</formula>
    </cfRule>
    <cfRule type="cellIs" priority="5" operator="equal" aboveAverage="0" equalAverage="0" bottom="0" percent="0" rank="0" text="" dxfId="16">
      <formula>"D"</formula>
    </cfRule>
    <cfRule type="cellIs" priority="6" operator="equal" aboveAverage="0" equalAverage="0" bottom="0" percent="0" rank="0" text="" dxfId="17">
      <formula>"E"</formula>
    </cfRule>
  </conditionalFormatting>
  <conditionalFormatting sqref="M6:M305">
    <cfRule type="cellIs" priority="7" operator="equal" aboveAverage="0" equalAverage="0" bottom="0" percent="0" rank="0" text="" dxfId="13">
      <formula>"A"</formula>
    </cfRule>
    <cfRule type="cellIs" priority="8" operator="equal" aboveAverage="0" equalAverage="0" bottom="0" percent="0" rank="0" text="" dxfId="14">
      <formula>"B"</formula>
    </cfRule>
    <cfRule type="cellIs" priority="9" operator="equal" aboveAverage="0" equalAverage="0" bottom="0" percent="0" rank="0" text="" dxfId="15">
      <formula>"C"</formula>
    </cfRule>
    <cfRule type="cellIs" priority="10" operator="equal" aboveAverage="0" equalAverage="0" bottom="0" percent="0" rank="0" text="" dxfId="16">
      <formula>"D"</formula>
    </cfRule>
    <cfRule type="cellIs" priority="11" operator="equal" aboveAverage="0" equalAverage="0" bottom="0" percent="0" rank="0" text="" dxfId="17">
      <formula>"E"</formula>
    </cfRule>
  </conditionalFormatting>
  <conditionalFormatting sqref="P6:P305">
    <cfRule type="cellIs" priority="12" operator="equal" aboveAverage="0" equalAverage="0" bottom="0" percent="0" rank="0" text="" dxfId="13">
      <formula>"A"</formula>
    </cfRule>
    <cfRule type="cellIs" priority="13" operator="equal" aboveAverage="0" equalAverage="0" bottom="0" percent="0" rank="0" text="" dxfId="14">
      <formula>"B"</formula>
    </cfRule>
    <cfRule type="cellIs" priority="14" operator="equal" aboveAverage="0" equalAverage="0" bottom="0" percent="0" rank="0" text="" dxfId="15">
      <formula>"C"</formula>
    </cfRule>
    <cfRule type="cellIs" priority="15" operator="equal" aboveAverage="0" equalAverage="0" bottom="0" percent="0" rank="0" text="" dxfId="16">
      <formula>"D"</formula>
    </cfRule>
    <cfRule type="cellIs" priority="16" operator="equal" aboveAverage="0" equalAverage="0" bottom="0" percent="0" rank="0" text="" dxfId="17">
      <formula>"E"</formula>
    </cfRule>
  </conditionalFormatting>
  <conditionalFormatting sqref="S6:S305">
    <cfRule type="cellIs" priority="17" operator="equal" aboveAverage="0" equalAverage="0" bottom="0" percent="0" rank="0" text="" dxfId="13">
      <formula>"A"</formula>
    </cfRule>
    <cfRule type="cellIs" priority="18" operator="equal" aboveAverage="0" equalAverage="0" bottom="0" percent="0" rank="0" text="" dxfId="14">
      <formula>"B"</formula>
    </cfRule>
    <cfRule type="cellIs" priority="19" operator="equal" aboveAverage="0" equalAverage="0" bottom="0" percent="0" rank="0" text="" dxfId="15">
      <formula>"C"</formula>
    </cfRule>
    <cfRule type="cellIs" priority="20" operator="equal" aboveAverage="0" equalAverage="0" bottom="0" percent="0" rank="0" text="" dxfId="16">
      <formula>"D"</formula>
    </cfRule>
    <cfRule type="cellIs" priority="21" operator="equal" aboveAverage="0" equalAverage="0" bottom="0" percent="0" rank="0" text="" dxfId="17">
      <formula>"E"</formula>
    </cfRule>
  </conditionalFormatting>
  <conditionalFormatting sqref="U6:U305">
    <cfRule type="cellIs" priority="22" operator="equal" aboveAverage="0" equalAverage="0" bottom="0" percent="0" rank="0" text="" dxfId="13">
      <formula>"A"</formula>
    </cfRule>
    <cfRule type="cellIs" priority="23" operator="equal" aboveAverage="0" equalAverage="0" bottom="0" percent="0" rank="0" text="" dxfId="14">
      <formula>"B"</formula>
    </cfRule>
    <cfRule type="cellIs" priority="24" operator="equal" aboveAverage="0" equalAverage="0" bottom="0" percent="0" rank="0" text="" dxfId="15">
      <formula>"C"</formula>
    </cfRule>
    <cfRule type="cellIs" priority="25" operator="equal" aboveAverage="0" equalAverage="0" bottom="0" percent="0" rank="0" text="" dxfId="16">
      <formula>"D"</formula>
    </cfRule>
    <cfRule type="cellIs" priority="26" operator="equal" aboveAverage="0" equalAverage="0" bottom="0" percent="0" rank="0" text="" dxfId="17">
      <formula>"E"</formula>
    </cfRule>
  </conditionalFormatting>
  <conditionalFormatting sqref="V6:V305">
    <cfRule type="cellIs" priority="27" operator="equal" aboveAverage="0" equalAverage="0" bottom="0" percent="0" rank="0" text="" dxfId="13">
      <formula>"A"</formula>
    </cfRule>
    <cfRule type="cellIs" priority="28" operator="equal" aboveAverage="0" equalAverage="0" bottom="0" percent="0" rank="0" text="" dxfId="14">
      <formula>"B"</formula>
    </cfRule>
    <cfRule type="cellIs" priority="29" operator="equal" aboveAverage="0" equalAverage="0" bottom="0" percent="0" rank="0" text="" dxfId="15">
      <formula>"C"</formula>
    </cfRule>
    <cfRule type="cellIs" priority="30" operator="equal" aboveAverage="0" equalAverage="0" bottom="0" percent="0" rank="0" text="" dxfId="16">
      <formula>"D"</formula>
    </cfRule>
    <cfRule type="cellIs" priority="31" operator="equal" aboveAverage="0" equalAverage="0" bottom="0" percent="0" rank="0" text="" dxfId="17">
      <formula>"E"</formula>
    </cfRule>
  </conditionalFormatting>
  <conditionalFormatting sqref="X6:X305">
    <cfRule type="cellIs" priority="32" operator="equal" aboveAverage="0" equalAverage="0" bottom="0" percent="0" rank="0" text="" dxfId="13">
      <formula>1</formula>
    </cfRule>
    <cfRule type="cellIs" priority="33" operator="equal" aboveAverage="0" equalAverage="0" bottom="0" percent="0" rank="0" text="" dxfId="14">
      <formula>2</formula>
    </cfRule>
    <cfRule type="cellIs" priority="34" operator="equal" aboveAverage="0" equalAverage="0" bottom="0" percent="0" rank="0" text="" dxfId="16">
      <formula>3</formula>
    </cfRule>
    <cfRule type="cellIs" priority="35" operator="equal" aboveAverage="0" equalAverage="0" bottom="0" percent="0" rank="0" text="" dxfId="17">
      <formula>4</formula>
    </cfRule>
  </conditionalFormatting>
  <conditionalFormatting sqref="AB6:AB305">
    <cfRule type="cellIs" priority="36" operator="equal" aboveAverage="0" equalAverage="0" bottom="0" percent="0" rank="0" text="" dxfId="13">
      <formula>1</formula>
    </cfRule>
    <cfRule type="cellIs" priority="37" operator="equal" aboveAverage="0" equalAverage="0" bottom="0" percent="0" rank="0" text="" dxfId="14">
      <formula>2</formula>
    </cfRule>
    <cfRule type="cellIs" priority="38" operator="equal" aboveAverage="0" equalAverage="0" bottom="0" percent="0" rank="0" text="" dxfId="16">
      <formula>3</formula>
    </cfRule>
    <cfRule type="cellIs" priority="39" operator="equal" aboveAverage="0" equalAverage="0" bottom="0" percent="0" rank="0" text="" dxfId="17">
      <formula>4</formula>
    </cfRule>
  </conditionalFormatting>
  <conditionalFormatting sqref="AC6:AC305">
    <cfRule type="cellIs" priority="40" operator="equal" aboveAverage="0" equalAverage="0" bottom="0" percent="0" rank="0" text="" dxfId="13">
      <formula>1</formula>
    </cfRule>
    <cfRule type="cellIs" priority="41" operator="equal" aboveAverage="0" equalAverage="0" bottom="0" percent="0" rank="0" text="" dxfId="14">
      <formula>2</formula>
    </cfRule>
  </conditionalFormatting>
  <conditionalFormatting sqref="AD6:AD305">
    <cfRule type="cellIs" priority="42" operator="equal" aboveAverage="0" equalAverage="0" bottom="0" percent="0" rank="0" text="" dxfId="14">
      <formula>"Y"</formula>
    </cfRule>
  </conditionalFormatting>
  <conditionalFormatting sqref="AE6:AE305">
    <cfRule type="cellIs" priority="43" operator="equal" aboveAverage="0" equalAverage="0" bottom="0" percent="0" rank="0" text="" dxfId="14">
      <formula>"Y"</formula>
    </cfRule>
  </conditionalFormatting>
  <conditionalFormatting sqref="AF6:AF305">
    <cfRule type="cellIs" priority="44" operator="equal" aboveAverage="0" equalAverage="0" bottom="0" percent="0" rank="0" text="" dxfId="14">
      <formula>"Y"</formula>
    </cfRule>
  </conditionalFormatting>
  <conditionalFormatting sqref="Z6:Z305">
    <cfRule type="cellIs" priority="45" operator="equal" aboveAverage="0" equalAverage="0" bottom="0" percent="0" rank="0" text="" dxfId="14">
      <formula>"Yes"</formula>
    </cfRule>
  </conditionalFormatting>
  <conditionalFormatting sqref="AN6:AN305">
    <cfRule type="cellIs" priority="46" operator="lessThanOrEqual" aboveAverage="0" equalAverage="0" bottom="0" percent="0" rank="0" text="" dxfId="14">
      <formula>-12</formula>
    </cfRule>
  </conditionalFormatting>
  <conditionalFormatting sqref="J6:J305">
    <cfRule type="cellIs" priority="47" operator="equal" aboveAverage="0" equalAverage="0" bottom="0" percent="0" rank="0" text="" dxfId="18">
      <formula>"Withdrawn"</formula>
    </cfRule>
  </conditionalFormatting>
  <conditionalFormatting sqref="AP6:AP305">
    <cfRule type="expression" priority="48" aboveAverage="0" equalAverage="0" bottom="0" percent="0" rank="0" text="" dxfId="19">
      <formula>AND(AP6&lt;&gt;"",AP6&lt;&gt;"OK")</formula>
    </cfRule>
    <cfRule type="expression" priority="49" aboveAverage="0" equalAverage="0" bottom="0" percent="0" rank="0" text="" dxfId="20">
      <formula>AP6="OK"</formula>
    </cfRule>
  </conditionalFormatting>
  <dataValidations count="25">
    <dataValidation allowBlank="true" error="Enter a date, day first, for example 14/10/2026." errorStyle="stop" errorTitle="Date" operator="between" showDropDown="false" showErrorMessage="true" showInputMessage="false" sqref="C6:C305 F6:G305 AI6:AK305" type="date">
      <formula1>36526</formula1>
      <formula2>73050</formula2>
    </dataValidation>
    <dataValidation allowBlank="true" error="Enter the lowest strand rating on the Interview sheet: 1, 2, 3 or 4." errorStyle="stop" errorTitle="Rating" operator="between" showDropDown="false" showErrorMessage="true" showInputMessage="false" sqref="AC6:AC305" type="whole">
      <formula1>1</formula1>
      <formula2>4</formula2>
    </dataValidation>
    <dataValidation allowBlank="true" error="Enter Y or N, or leave blank." errorStyle="stop" errorTitle="Y or N" operator="between" showDropDown="false" showErrorMessage="true" showInputMessage="false" sqref="E6:E305" type="list">
      <formula1>"Y,N"</formula1>
      <formula2>0</formula2>
    </dataValidation>
    <dataValidation allowBlank="true" error="Choose a status from the list." errorStyle="stop" errorTitle="Status" operator="between" showDropDown="false" showErrorMessage="true" showInputMessage="false" sqref="J6:J305" type="list">
      <formula1>Lists!$A$2:$A$8</formula1>
      <formula2>0</formula2>
    </dataValidation>
    <dataValidation allowBlank="true" error="Enter a whole number from 0 to the maximum shown in row 3 of this column." errorStyle="stop" errorTitle="Score" operator="between" showDropDown="false" showErrorMessage="true" showInputMessage="false" sqref="K6:K305" type="whole">
      <formula1>0</formula1>
      <formula2>$K$3</formula2>
    </dataValidation>
    <dataValidation allowBlank="true" error="Enter a band from the list: A, B, C, D or E." errorStyle="stop" errorTitle="Band" operator="between" showDropDown="false" showErrorMessage="true" showInputMessage="false" sqref="L6:L305" type="list">
      <formula1>"A,B,C,D,E"</formula1>
      <formula2>0</formula2>
    </dataValidation>
    <dataValidation allowBlank="true" error="Enter a band from the list: A, B, C, D or E." errorStyle="stop" errorTitle="Band" operator="between" showDropDown="false" showErrorMessage="true" showInputMessage="false" sqref="M6:M305" type="list">
      <formula1>"A,B,C,D,E"</formula1>
      <formula2>0</formula2>
    </dataValidation>
    <dataValidation allowBlank="true" error="Enter a whole number from 0 to the maximum shown in row 3 of this column." errorStyle="stop" errorTitle="Score" operator="between" showDropDown="false" showErrorMessage="true" showInputMessage="false" sqref="O6:O305" type="whole">
      <formula1>0</formula1>
      <formula2>$O$3</formula2>
    </dataValidation>
    <dataValidation allowBlank="true" error="Enter a band from the list: A, B, C, D or E." errorStyle="stop" errorTitle="Band" operator="between" showDropDown="false" showErrorMessage="true" showInputMessage="false" sqref="P6:P305" type="list">
      <formula1>"A,B,C,D,E"</formula1>
      <formula2>0</formula2>
    </dataValidation>
    <dataValidation allowBlank="true" error="Enter a whole number from 0 to the maximum shown in row 3 of this column." errorStyle="stop" errorTitle="Score" operator="between" showDropDown="false" showErrorMessage="true" showInputMessage="false" sqref="Q6:Q305" type="whole">
      <formula1>0</formula1>
      <formula2>$Q$3</formula2>
    </dataValidation>
    <dataValidation allowBlank="true" error="Enter a band from the list: A, B, C, D or E." errorStyle="stop" errorTitle="Band" operator="between" showDropDown="false" showErrorMessage="true" showInputMessage="false" sqref="S6:S305" type="list">
      <formula1>"A,B,C,D,E"</formula1>
      <formula2>0</formula2>
    </dataValidation>
    <dataValidation allowBlank="true" error="Enter a whole number from 0 to the maximum shown in row 3 of this column." errorStyle="stop" errorTitle="Score" operator="between" showDropDown="false" showErrorMessage="true" showInputMessage="false" sqref="T6:T305" type="whole">
      <formula1>0</formula1>
      <formula2>$T$3</formula2>
    </dataValidation>
    <dataValidation allowBlank="true" error="Enter a band from the list: A, B, C, D or E." errorStyle="stop" errorTitle="Band" operator="between" showDropDown="false" showErrorMessage="true" showInputMessage="false" sqref="U6:U305" type="list">
      <formula1>"A,B,C,D,E"</formula1>
      <formula2>0</formula2>
    </dataValidation>
    <dataValidation allowBlank="true" error="Enter a band from the list: A, B, C, D or E." errorStyle="stop" errorTitle="Band" operator="between" showDropDown="false" showErrorMessage="true" showInputMessage="false" sqref="V6:V305" type="list">
      <formula1>"A,B,C,D,E"</formula1>
      <formula2>0</formula2>
    </dataValidation>
    <dataValidation allowBlank="true" error="Enter a whole number from 0 to the maximum shown in row 3 of this column." errorStyle="stop" errorTitle="Score" operator="between" showDropDown="false" showErrorMessage="true" showInputMessage="false" sqref="W6:W305" type="whole">
      <formula1>0</formula1>
      <formula2>$W$3</formula2>
    </dataValidation>
    <dataValidation allowBlank="true" error="Enter a band from the list: 1, 2, 3 or 4." errorStyle="stop" errorTitle="Band" operator="between" showDropDown="false" showErrorMessage="true" showInputMessage="false" sqref="X6:X305" type="list">
      <formula1>"1,2,3,4"</formula1>
      <formula2>0</formula2>
    </dataValidation>
    <dataValidation allowBlank="true" error="Enter a whole number from 0 to the maximum shown in row 3 of this column." errorStyle="stop" errorTitle="Score" operator="between" showDropDown="false" showErrorMessage="true" showInputMessage="false" sqref="Y6:Y305" type="whole">
      <formula1>0</formula1>
      <formula2>$Y$3</formula2>
    </dataValidation>
    <dataValidation allowBlank="true" error="Choose Yes, No or Unsure." errorStyle="stop" errorTitle="English barrier in maths" operator="between" showDropDown="false" showErrorMessage="true" showInputMessage="false" sqref="Z6:Z305" type="list">
      <formula1>Lists!$E$2:$E$4</formula1>
      <formula2>0</formula2>
    </dataValidation>
    <dataValidation allowBlank="true" error="Enter a whole number from 0 to the maximum shown in row 3 of this column." errorStyle="stop" errorTitle="Score" operator="between" showDropDown="false" showErrorMessage="true" showInputMessage="false" sqref="AA6:AA305" type="whole">
      <formula1>0</formula1>
      <formula2>$AA$3</formula2>
    </dataValidation>
    <dataValidation allowBlank="true" error="Enter a band from the list: 1, 2, 3 or 4." errorStyle="stop" errorTitle="Band" operator="between" showDropDown="false" showErrorMessage="true" showInputMessage="false" sqref="AB6:AB305" type="list">
      <formula1>"1,2,3,4"</formula1>
      <formula2>0</formula2>
    </dataValidation>
    <dataValidation allowBlank="true" error="Enter Y or N, or leave blank." errorStyle="stop" errorTitle="Y or N" operator="between" showDropDown="false" showErrorMessage="true" showInputMessage="false" sqref="AD6:AD305" type="list">
      <formula1>"Y,N"</formula1>
      <formula2>0</formula2>
    </dataValidation>
    <dataValidation allowBlank="true" error="Enter Y or N, or leave blank." errorStyle="stop" errorTitle="Y or N" operator="between" showDropDown="false" showErrorMessage="true" showInputMessage="false" sqref="AE6:AE305" type="list">
      <formula1>"Y,N"</formula1>
      <formula2>0</formula2>
    </dataValidation>
    <dataValidation allowBlank="true" error="Enter Y or N, or leave blank." errorStyle="stop" errorTitle="Y or N" operator="between" showDropDown="false" showErrorMessage="true" showInputMessage="false" sqref="AF6:AF305" type="list">
      <formula1>"Y,N"</formula1>
      <formula2>0</formula2>
    </dataValidation>
    <dataValidation allowBlank="true" error="Choose a recommendation from the list." errorStyle="stop" errorTitle="Recommendation" operator="between" showDropDown="false" showErrorMessage="true" showInputMessage="false" sqref="AG6:AG305" type="list">
      <formula1>Lists!$B$2:$B$6</formula1>
      <formula2>0</formula2>
    </dataValidation>
    <dataValidation allowBlank="true" error="Choose a support level from the list." errorStyle="stop" errorTitle="English support level" operator="between" showDropDown="false" showErrorMessage="true" showInputMessage="false" sqref="AH6:AH305" type="list">
      <formula1>Lists!$C$2:$C$5</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78D6"/>
    <pageSetUpPr fitToPage="true"/>
  </sheetPr>
  <dimension ref="A1:AP3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4"/>
    <col collapsed="false" customWidth="true" hidden="false" outlineLevel="0" max="3" min="3" style="0" width="12"/>
    <col collapsed="false" customWidth="true" hidden="false" outlineLevel="0" max="4" min="4" style="0" width="24"/>
    <col collapsed="false" customWidth="true" hidden="false" outlineLevel="0" max="5" min="5" style="0" width="9"/>
    <col collapsed="false" customWidth="true" hidden="false" outlineLevel="0" max="7" min="6" style="0" width="12"/>
    <col collapsed="false" customWidth="true" hidden="false" outlineLevel="0" max="8" min="8" style="0" width="10"/>
    <col collapsed="false" customWidth="true" hidden="false" outlineLevel="0" max="9" min="9" style="0" width="9"/>
    <col collapsed="false" customWidth="true" hidden="false" outlineLevel="0" max="10" min="10" style="0" width="18"/>
    <col collapsed="false" customWidth="true" hidden="false" outlineLevel="0" max="13" min="11" style="0" width="9"/>
    <col collapsed="false" customWidth="true" hidden="false" outlineLevel="0" max="14" min="14" style="0" width="17"/>
    <col collapsed="false" customWidth="true" hidden="false" outlineLevel="0" max="15" min="15" style="0" width="10"/>
    <col collapsed="false" customWidth="true" hidden="false" outlineLevel="0" max="16" min="16" style="0" width="9"/>
    <col collapsed="false" customWidth="true" hidden="false" outlineLevel="0" max="17" min="17" style="0" width="10"/>
    <col collapsed="false" customWidth="true" hidden="false" outlineLevel="0" max="18" min="18" style="0" width="11"/>
    <col collapsed="false" customWidth="true" hidden="false" outlineLevel="0" max="19" min="19" style="0" width="10"/>
    <col collapsed="false" customWidth="true" hidden="false" outlineLevel="0" max="24" min="20" style="0" width="9"/>
    <col collapsed="false" customWidth="true" hidden="false" outlineLevel="0" max="25" min="25" style="0" width="10"/>
    <col collapsed="false" customWidth="true" hidden="false" outlineLevel="0" max="26" min="26" style="0" width="11"/>
    <col collapsed="false" customWidth="true" hidden="false" outlineLevel="0" max="28" min="27" style="0" width="9"/>
    <col collapsed="false" customWidth="true" hidden="false" outlineLevel="0" max="29" min="29" style="0" width="11"/>
    <col collapsed="false" customWidth="true" hidden="false" outlineLevel="0" max="31" min="30" style="0" width="10"/>
    <col collapsed="false" customWidth="true" hidden="false" outlineLevel="0" max="32" min="32" style="0" width="11"/>
    <col collapsed="false" customWidth="true" hidden="false" outlineLevel="0" max="33" min="33" style="0" width="32"/>
    <col collapsed="false" customWidth="true" hidden="false" outlineLevel="0" max="34" min="34" style="0" width="28"/>
    <col collapsed="false" customWidth="true" hidden="false" outlineLevel="0" max="37" min="35" style="0" width="12"/>
    <col collapsed="false" customWidth="true" hidden="false" outlineLevel="0" max="38" min="38" style="0" width="36"/>
    <col collapsed="false" customWidth="true" hidden="false" outlineLevel="0" max="39" min="39" style="0" width="11"/>
    <col collapsed="false" customWidth="true" hidden="false" outlineLevel="0" max="41" min="40" style="0" width="12"/>
    <col collapsed="false" customWidth="true" hidden="false" outlineLevel="0" max="42" min="42" style="0" width="26"/>
  </cols>
  <sheetData>
    <row r="1" customFormat="false" ht="17.35" hidden="false" customHeight="false" outlineLevel="0" collapsed="false">
      <c r="A1" s="38" t="s">
        <v>415</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row>
    <row r="2" customFormat="false" ht="15" hidden="false" customHeight="false" outlineLevel="0" collapsed="false">
      <c r="A2" s="18" t="s">
        <v>286</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row>
    <row r="3" customFormat="false" ht="15" hidden="false" customHeight="false" outlineLevel="0" collapsed="false">
      <c r="A3" s="1"/>
      <c r="B3" s="39" t="s">
        <v>416</v>
      </c>
      <c r="C3" s="1"/>
      <c r="D3" s="1"/>
      <c r="E3" s="1"/>
      <c r="F3" s="1"/>
      <c r="G3" s="1"/>
      <c r="H3" s="1"/>
      <c r="I3" s="1"/>
      <c r="J3" s="1"/>
      <c r="K3" s="40" t="n">
        <v>16</v>
      </c>
      <c r="L3" s="1"/>
      <c r="M3" s="1"/>
      <c r="N3" s="41" t="s">
        <v>288</v>
      </c>
      <c r="O3" s="40" t="n">
        <v>16</v>
      </c>
      <c r="P3" s="1"/>
      <c r="Q3" s="40" t="n">
        <v>72</v>
      </c>
      <c r="R3" s="1"/>
      <c r="S3" s="1"/>
      <c r="T3" s="40" t="n">
        <v>16</v>
      </c>
      <c r="U3" s="1"/>
      <c r="V3" s="1"/>
      <c r="W3" s="40" t="n">
        <v>30</v>
      </c>
      <c r="X3" s="1"/>
      <c r="Y3" s="40" t="n">
        <v>8</v>
      </c>
      <c r="Z3" s="1"/>
      <c r="AA3" s="40" t="n">
        <v>10</v>
      </c>
      <c r="AB3" s="1"/>
      <c r="AC3" s="1"/>
      <c r="AD3" s="1"/>
      <c r="AE3" s="1"/>
      <c r="AF3" s="1"/>
      <c r="AG3" s="1"/>
      <c r="AH3" s="1"/>
      <c r="AI3" s="1"/>
      <c r="AJ3" s="1"/>
      <c r="AK3" s="1"/>
      <c r="AL3" s="1"/>
      <c r="AM3" s="1"/>
      <c r="AN3" s="1"/>
      <c r="AO3" s="1"/>
      <c r="AP3" s="1"/>
    </row>
    <row r="4" customFormat="false" ht="19.5" hidden="false" customHeight="true" outlineLevel="0" collapsed="false">
      <c r="A4" s="42" t="s">
        <v>289</v>
      </c>
      <c r="B4" s="42"/>
      <c r="C4" s="42"/>
      <c r="D4" s="42"/>
      <c r="E4" s="42"/>
      <c r="F4" s="42" t="s">
        <v>290</v>
      </c>
      <c r="G4" s="42"/>
      <c r="H4" s="42"/>
      <c r="I4" s="42"/>
      <c r="J4" s="42"/>
      <c r="K4" s="42" t="s">
        <v>291</v>
      </c>
      <c r="L4" s="42"/>
      <c r="M4" s="42"/>
      <c r="N4" s="42"/>
      <c r="O4" s="42"/>
      <c r="P4" s="42"/>
      <c r="Q4" s="42"/>
      <c r="R4" s="42"/>
      <c r="S4" s="42"/>
      <c r="T4" s="42"/>
      <c r="U4" s="42"/>
      <c r="V4" s="42"/>
      <c r="W4" s="42" t="s">
        <v>292</v>
      </c>
      <c r="X4" s="42"/>
      <c r="Y4" s="42"/>
      <c r="Z4" s="42"/>
      <c r="AA4" s="42"/>
      <c r="AB4" s="42"/>
      <c r="AC4" s="42" t="s">
        <v>293</v>
      </c>
      <c r="AD4" s="42"/>
      <c r="AE4" s="42"/>
      <c r="AF4" s="42"/>
      <c r="AG4" s="42" t="s">
        <v>294</v>
      </c>
      <c r="AH4" s="42"/>
      <c r="AI4" s="42"/>
      <c r="AJ4" s="42"/>
      <c r="AK4" s="42"/>
      <c r="AL4" s="42"/>
      <c r="AM4" s="43" t="s">
        <v>295</v>
      </c>
      <c r="AN4" s="43"/>
      <c r="AO4" s="43"/>
      <c r="AP4" s="43"/>
    </row>
    <row r="5" customFormat="false" ht="61.5" hidden="false" customHeight="true" outlineLevel="0" collapsed="false">
      <c r="A5" s="44" t="s">
        <v>55</v>
      </c>
      <c r="B5" s="44" t="s">
        <v>59</v>
      </c>
      <c r="C5" s="44" t="s">
        <v>62</v>
      </c>
      <c r="D5" s="44" t="s">
        <v>65</v>
      </c>
      <c r="E5" s="44" t="s">
        <v>68</v>
      </c>
      <c r="F5" s="44" t="s">
        <v>72</v>
      </c>
      <c r="G5" s="44" t="s">
        <v>76</v>
      </c>
      <c r="H5" s="44" t="s">
        <v>79</v>
      </c>
      <c r="I5" s="44" t="s">
        <v>83</v>
      </c>
      <c r="J5" s="44" t="s">
        <v>86</v>
      </c>
      <c r="K5" s="44" t="s">
        <v>88</v>
      </c>
      <c r="L5" s="44" t="s">
        <v>91</v>
      </c>
      <c r="M5" s="44" t="s">
        <v>95</v>
      </c>
      <c r="N5" s="45" t="s">
        <v>98</v>
      </c>
      <c r="O5" s="44" t="s">
        <v>102</v>
      </c>
      <c r="P5" s="44" t="s">
        <v>106</v>
      </c>
      <c r="Q5" s="44" t="s">
        <v>109</v>
      </c>
      <c r="R5" s="44" t="s">
        <v>113</v>
      </c>
      <c r="S5" s="44" t="s">
        <v>117</v>
      </c>
      <c r="T5" s="44" t="s">
        <v>120</v>
      </c>
      <c r="U5" s="44" t="s">
        <v>123</v>
      </c>
      <c r="V5" s="44" t="s">
        <v>125</v>
      </c>
      <c r="W5" s="44" t="s">
        <v>127</v>
      </c>
      <c r="X5" s="44" t="s">
        <v>130</v>
      </c>
      <c r="Y5" s="44" t="s">
        <v>134</v>
      </c>
      <c r="Z5" s="44" t="s">
        <v>136</v>
      </c>
      <c r="AA5" s="44" t="s">
        <v>139</v>
      </c>
      <c r="AB5" s="44" t="s">
        <v>141</v>
      </c>
      <c r="AC5" s="44" t="s">
        <v>143</v>
      </c>
      <c r="AD5" s="44" t="s">
        <v>146</v>
      </c>
      <c r="AE5" s="44" t="s">
        <v>149</v>
      </c>
      <c r="AF5" s="44" t="s">
        <v>151</v>
      </c>
      <c r="AG5" s="44" t="s">
        <v>48</v>
      </c>
      <c r="AH5" s="44" t="s">
        <v>156</v>
      </c>
      <c r="AI5" s="44" t="s">
        <v>160</v>
      </c>
      <c r="AJ5" s="44" t="s">
        <v>164</v>
      </c>
      <c r="AK5" s="44" t="s">
        <v>167</v>
      </c>
      <c r="AL5" s="44" t="s">
        <v>170</v>
      </c>
      <c r="AM5" s="44" t="s">
        <v>173</v>
      </c>
      <c r="AN5" s="44" t="s">
        <v>176</v>
      </c>
      <c r="AO5" s="44" t="s">
        <v>179</v>
      </c>
      <c r="AP5" s="44" t="s">
        <v>181</v>
      </c>
    </row>
    <row r="6" customFormat="false" ht="15" hidden="false" customHeight="false" outlineLevel="0" collapsed="false">
      <c r="A6" s="7" t="s">
        <v>417</v>
      </c>
      <c r="B6" s="7" t="s">
        <v>418</v>
      </c>
      <c r="C6" s="46" t="n">
        <v>42057</v>
      </c>
      <c r="D6" s="7" t="s">
        <v>361</v>
      </c>
      <c r="E6" s="47" t="s">
        <v>69</v>
      </c>
      <c r="F6" s="46" t="n">
        <v>46245</v>
      </c>
      <c r="G6" s="46" t="n">
        <v>46311</v>
      </c>
      <c r="H6" s="7" t="s">
        <v>299</v>
      </c>
      <c r="I6" s="7" t="s">
        <v>84</v>
      </c>
      <c r="J6" s="47" t="s">
        <v>33</v>
      </c>
      <c r="K6" s="47" t="n">
        <v>7</v>
      </c>
      <c r="L6" s="47" t="s">
        <v>92</v>
      </c>
      <c r="M6" s="47" t="s">
        <v>221</v>
      </c>
      <c r="N6" s="10"/>
      <c r="O6" s="47" t="n">
        <v>7</v>
      </c>
      <c r="P6" s="47" t="s">
        <v>221</v>
      </c>
      <c r="Q6" s="47" t="n">
        <v>43</v>
      </c>
      <c r="R6" s="48" t="str">
        <f aca="false">IF(Q6="","",IF(Q6=0,"below 5:00",IF(Q6&gt;=66,"16:00 or above",INT((60+2*Q6)/12)&amp;":"&amp;TEXT(MOD(60+2*Q6,12),"00"))))</f>
        <v>12:02</v>
      </c>
      <c r="S6" s="47" t="s">
        <v>222</v>
      </c>
      <c r="T6" s="47" t="n">
        <v>7</v>
      </c>
      <c r="U6" s="47" t="s">
        <v>221</v>
      </c>
      <c r="V6" s="47" t="s">
        <v>221</v>
      </c>
      <c r="W6" s="47" t="n">
        <v>15</v>
      </c>
      <c r="X6" s="47" t="n">
        <v>2</v>
      </c>
      <c r="Y6" s="47" t="n">
        <v>3</v>
      </c>
      <c r="Z6" s="47" t="s">
        <v>137</v>
      </c>
      <c r="AA6" s="47" t="n">
        <v>5</v>
      </c>
      <c r="AB6" s="47" t="n">
        <v>2</v>
      </c>
      <c r="AC6" s="47" t="n">
        <v>3</v>
      </c>
      <c r="AD6" s="47"/>
      <c r="AE6" s="47"/>
      <c r="AF6" s="47"/>
      <c r="AG6" s="47" t="s">
        <v>153</v>
      </c>
      <c r="AH6" s="47" t="s">
        <v>252</v>
      </c>
      <c r="AI6" s="46" t="n">
        <v>46316</v>
      </c>
      <c r="AJ6" s="46"/>
      <c r="AK6" s="46"/>
      <c r="AL6" s="7"/>
      <c r="AM6" s="49" t="n">
        <f aca="false">IF(OR(C6="",G6=""),"",IFERROR(DATEDIF(C6,G6,"m"),""))</f>
        <v>139</v>
      </c>
      <c r="AN6" s="49" t="n">
        <f aca="false">IF(OR(Q6="",AM6=""),"",60+2*Q6-AM6)</f>
        <v>7</v>
      </c>
      <c r="AO6" s="49" t="str">
        <f aca="false">IF(OR(G6="",AJ6=""),"",AJ6-G6)</f>
        <v/>
      </c>
      <c r="AP6" s="50" t="str">
        <f aca="false">IF(AND(A6="",B6=""),"",IF(J6="","Status needed",IF(OR(J6="Applied",J6="Visit booked",J6="Withdrawn"),"OK",IF(G6="","Date assessed needed",IF(C6="","Date of birth needed",IF(COUNTA(L6,M6,P6,U6,V6,X6,AB6)&lt;7,"Band missing",IF(AND(OR(J6="Decision confirmed",J6="Family told",J6="Enrolled"),AG6=""),"Recommendation needed",IF(AND(OR(J6="Family told",J6="Enrolled"),AJ6=""),"Date family told needed","OK"))))))))</f>
        <v>OK</v>
      </c>
    </row>
    <row r="7" customFormat="false" ht="15" hidden="false" customHeight="false" outlineLevel="0" collapsed="false">
      <c r="A7" s="7" t="s">
        <v>419</v>
      </c>
      <c r="B7" s="7" t="s">
        <v>420</v>
      </c>
      <c r="C7" s="46" t="n">
        <v>41934</v>
      </c>
      <c r="D7" s="7" t="s">
        <v>361</v>
      </c>
      <c r="E7" s="47" t="s">
        <v>311</v>
      </c>
      <c r="F7" s="46" t="n">
        <v>46271</v>
      </c>
      <c r="G7" s="46" t="n">
        <v>46293</v>
      </c>
      <c r="H7" s="7" t="s">
        <v>299</v>
      </c>
      <c r="I7" s="7" t="s">
        <v>84</v>
      </c>
      <c r="J7" s="47" t="s">
        <v>35</v>
      </c>
      <c r="K7" s="47" t="n">
        <v>1</v>
      </c>
      <c r="L7" s="47" t="s">
        <v>220</v>
      </c>
      <c r="M7" s="47" t="s">
        <v>220</v>
      </c>
      <c r="N7" s="10"/>
      <c r="O7" s="47" t="n">
        <v>1</v>
      </c>
      <c r="P7" s="47" t="s">
        <v>220</v>
      </c>
      <c r="Q7" s="47" t="n">
        <v>1</v>
      </c>
      <c r="R7" s="48" t="str">
        <f aca="false">IF(Q7="","",IF(Q7=0,"below 5:00",IF(Q7&gt;=66,"16:00 or above",INT((60+2*Q7)/12)&amp;":"&amp;TEXT(MOD(60+2*Q7,12),"00"))))</f>
        <v>5:02</v>
      </c>
      <c r="S7" s="47" t="s">
        <v>220</v>
      </c>
      <c r="T7" s="47" t="n">
        <v>4</v>
      </c>
      <c r="U7" s="47" t="s">
        <v>220</v>
      </c>
      <c r="V7" s="47" t="s">
        <v>220</v>
      </c>
      <c r="W7" s="47" t="n">
        <v>5</v>
      </c>
      <c r="X7" s="47" t="n">
        <v>1</v>
      </c>
      <c r="Y7" s="47" t="n">
        <v>1</v>
      </c>
      <c r="Z7" s="47" t="s">
        <v>137</v>
      </c>
      <c r="AA7" s="47" t="n">
        <v>0</v>
      </c>
      <c r="AB7" s="47" t="n">
        <v>1</v>
      </c>
      <c r="AC7" s="47" t="n">
        <v>3</v>
      </c>
      <c r="AD7" s="47"/>
      <c r="AE7" s="47"/>
      <c r="AF7" s="47"/>
      <c r="AG7" s="47" t="s">
        <v>232</v>
      </c>
      <c r="AH7" s="47"/>
      <c r="AI7" s="46" t="n">
        <v>46298</v>
      </c>
      <c r="AJ7" s="46" t="n">
        <v>46302</v>
      </c>
      <c r="AK7" s="46" t="n">
        <v>46302</v>
      </c>
      <c r="AL7" s="7"/>
      <c r="AM7" s="49" t="n">
        <f aca="false">IF(OR(C7="",G7=""),"",IFERROR(DATEDIF(C7,G7,"m"),""))</f>
        <v>143</v>
      </c>
      <c r="AN7" s="49" t="n">
        <f aca="false">IF(OR(Q7="",AM7=""),"",60+2*Q7-AM7)</f>
        <v>-81</v>
      </c>
      <c r="AO7" s="49" t="n">
        <f aca="false">IF(OR(G7="",AJ7=""),"",AJ7-G7)</f>
        <v>9</v>
      </c>
      <c r="AP7" s="50" t="str">
        <f aca="false">IF(AND(A7="",B7=""),"",IF(J7="","Status needed",IF(OR(J7="Applied",J7="Visit booked",J7="Withdrawn"),"OK",IF(G7="","Date assessed needed",IF(C7="","Date of birth needed",IF(COUNTA(L7,M7,P7,U7,V7,X7,AB7)&lt;7,"Band missing",IF(AND(OR(J7="Decision confirmed",J7="Family told",J7="Enrolled"),AG7=""),"Recommendation needed",IF(AND(OR(J7="Family told",J7="Enrolled"),AJ7=""),"Date family told needed","OK"))))))))</f>
        <v>OK</v>
      </c>
    </row>
    <row r="8" customFormat="false" ht="15" hidden="false" customHeight="false" outlineLevel="0" collapsed="false">
      <c r="A8" s="7" t="s">
        <v>421</v>
      </c>
      <c r="B8" s="7" t="s">
        <v>422</v>
      </c>
      <c r="C8" s="46" t="n">
        <v>42180</v>
      </c>
      <c r="D8" s="7" t="s">
        <v>423</v>
      </c>
      <c r="E8" s="47" t="s">
        <v>69</v>
      </c>
      <c r="F8" s="46" t="n">
        <v>46252</v>
      </c>
      <c r="G8" s="46" t="n">
        <v>46273</v>
      </c>
      <c r="H8" s="7" t="s">
        <v>80</v>
      </c>
      <c r="I8" s="7" t="s">
        <v>84</v>
      </c>
      <c r="J8" s="47" t="s">
        <v>35</v>
      </c>
      <c r="K8" s="47" t="n">
        <v>5</v>
      </c>
      <c r="L8" s="47" t="s">
        <v>221</v>
      </c>
      <c r="M8" s="47" t="s">
        <v>221</v>
      </c>
      <c r="N8" s="10"/>
      <c r="O8" s="47" t="n">
        <v>7</v>
      </c>
      <c r="P8" s="47" t="s">
        <v>221</v>
      </c>
      <c r="Q8" s="47" t="n">
        <v>31</v>
      </c>
      <c r="R8" s="48" t="str">
        <f aca="false">IF(Q8="","",IF(Q8=0,"below 5:00",IF(Q8&gt;=66,"16:00 or above",INT((60+2*Q8)/12)&amp;":"&amp;TEXT(MOD(60+2*Q8,12),"00"))))</f>
        <v>10:02</v>
      </c>
      <c r="S8" s="47" t="s">
        <v>222</v>
      </c>
      <c r="T8" s="47" t="n">
        <v>8</v>
      </c>
      <c r="U8" s="47" t="s">
        <v>92</v>
      </c>
      <c r="V8" s="47" t="s">
        <v>221</v>
      </c>
      <c r="W8" s="47" t="n">
        <v>20</v>
      </c>
      <c r="X8" s="47" t="n">
        <v>3</v>
      </c>
      <c r="Y8" s="47" t="n">
        <v>4</v>
      </c>
      <c r="Z8" s="47" t="s">
        <v>137</v>
      </c>
      <c r="AA8" s="47" t="n">
        <v>7</v>
      </c>
      <c r="AB8" s="47" t="n">
        <v>3</v>
      </c>
      <c r="AC8" s="47" t="n">
        <v>3</v>
      </c>
      <c r="AD8" s="47"/>
      <c r="AE8" s="47"/>
      <c r="AF8" s="47"/>
      <c r="AG8" s="47" t="s">
        <v>153</v>
      </c>
      <c r="AH8" s="47" t="s">
        <v>252</v>
      </c>
      <c r="AI8" s="46" t="n">
        <v>46275</v>
      </c>
      <c r="AJ8" s="46" t="n">
        <v>46279</v>
      </c>
      <c r="AK8" s="46" t="n">
        <v>46279</v>
      </c>
      <c r="AL8" s="7"/>
      <c r="AM8" s="49" t="n">
        <f aca="false">IF(OR(C8="",G8=""),"",IFERROR(DATEDIF(C8,G8,"m"),""))</f>
        <v>134</v>
      </c>
      <c r="AN8" s="49" t="n">
        <f aca="false">IF(OR(Q8="",AM8=""),"",60+2*Q8-AM8)</f>
        <v>-12</v>
      </c>
      <c r="AO8" s="49" t="n">
        <f aca="false">IF(OR(G8="",AJ8=""),"",AJ8-G8)</f>
        <v>6</v>
      </c>
      <c r="AP8" s="50" t="str">
        <f aca="false">IF(AND(A8="",B8=""),"",IF(J8="","Status needed",IF(OR(J8="Applied",J8="Visit booked",J8="Withdrawn"),"OK",IF(G8="","Date assessed needed",IF(C8="","Date of birth needed",IF(COUNTA(L8,M8,P8,U8,V8,X8,AB8)&lt;7,"Band missing",IF(AND(OR(J8="Decision confirmed",J8="Family told",J8="Enrolled"),AG8=""),"Recommendation needed",IF(AND(OR(J8="Family told",J8="Enrolled"),AJ8=""),"Date family told needed","OK"))))))))</f>
        <v>OK</v>
      </c>
    </row>
    <row r="9" customFormat="false" ht="15" hidden="false" customHeight="false" outlineLevel="0" collapsed="false">
      <c r="A9" s="7" t="s">
        <v>424</v>
      </c>
      <c r="B9" s="7" t="s">
        <v>425</v>
      </c>
      <c r="C9" s="46" t="n">
        <v>42109</v>
      </c>
      <c r="D9" s="7" t="s">
        <v>361</v>
      </c>
      <c r="E9" s="47" t="s">
        <v>311</v>
      </c>
      <c r="F9" s="46" t="n">
        <v>46265</v>
      </c>
      <c r="G9" s="46" t="n">
        <v>46314</v>
      </c>
      <c r="H9" s="7" t="s">
        <v>80</v>
      </c>
      <c r="I9" s="7" t="s">
        <v>84</v>
      </c>
      <c r="J9" s="47" t="s">
        <v>31</v>
      </c>
      <c r="K9" s="47" t="n">
        <v>9</v>
      </c>
      <c r="L9" s="47" t="s">
        <v>92</v>
      </c>
      <c r="M9" s="47" t="s">
        <v>92</v>
      </c>
      <c r="N9" s="10"/>
      <c r="O9" s="47" t="n">
        <v>8</v>
      </c>
      <c r="P9" s="47" t="s">
        <v>92</v>
      </c>
      <c r="Q9" s="47" t="n">
        <v>34</v>
      </c>
      <c r="R9" s="48" t="str">
        <f aca="false">IF(Q9="","",IF(Q9=0,"below 5:00",IF(Q9&gt;=66,"16:00 or above",INT((60+2*Q9)/12)&amp;":"&amp;TEXT(MOD(60+2*Q9,12),"00"))))</f>
        <v>10:08</v>
      </c>
      <c r="S9" s="47" t="s">
        <v>222</v>
      </c>
      <c r="T9" s="47" t="n">
        <v>10</v>
      </c>
      <c r="U9" s="47" t="s">
        <v>92</v>
      </c>
      <c r="V9" s="47" t="s">
        <v>92</v>
      </c>
      <c r="W9" s="47" t="n">
        <v>28</v>
      </c>
      <c r="X9" s="47" t="n">
        <v>4</v>
      </c>
      <c r="Y9" s="47" t="n">
        <v>8</v>
      </c>
      <c r="Z9" s="47" t="s">
        <v>426</v>
      </c>
      <c r="AA9" s="47" t="n">
        <v>8</v>
      </c>
      <c r="AB9" s="47" t="n">
        <v>4</v>
      </c>
      <c r="AC9" s="47" t="n">
        <v>1</v>
      </c>
      <c r="AD9" s="47"/>
      <c r="AE9" s="47"/>
      <c r="AF9" s="47"/>
      <c r="AG9" s="47"/>
      <c r="AH9" s="47"/>
      <c r="AI9" s="46"/>
      <c r="AJ9" s="46"/>
      <c r="AK9" s="46"/>
      <c r="AL9" s="7"/>
      <c r="AM9" s="49" t="n">
        <f aca="false">IF(OR(C9="",G9=""),"",IFERROR(DATEDIF(C9,G9,"m"),""))</f>
        <v>138</v>
      </c>
      <c r="AN9" s="49" t="n">
        <f aca="false">IF(OR(Q9="",AM9=""),"",60+2*Q9-AM9)</f>
        <v>-10</v>
      </c>
      <c r="AO9" s="49" t="str">
        <f aca="false">IF(OR(G9="",AJ9=""),"",AJ9-G9)</f>
        <v/>
      </c>
      <c r="AP9" s="50" t="str">
        <f aca="false">IF(AND(A9="",B9=""),"",IF(J9="","Status needed",IF(OR(J9="Applied",J9="Visit booked",J9="Withdrawn"),"OK",IF(G9="","Date assessed needed",IF(C9="","Date of birth needed",IF(COUNTA(L9,M9,P9,U9,V9,X9,AB9)&lt;7,"Band missing",IF(AND(OR(J9="Decision confirmed",J9="Family told",J9="Enrolled"),AG9=""),"Recommendation needed",IF(AND(OR(J9="Family told",J9="Enrolled"),AJ9=""),"Date family told needed","OK"))))))))</f>
        <v>OK</v>
      </c>
    </row>
    <row r="10" customFormat="false" ht="15" hidden="false" customHeight="false" outlineLevel="0" collapsed="false">
      <c r="A10" s="7" t="s">
        <v>427</v>
      </c>
      <c r="B10" s="7" t="s">
        <v>428</v>
      </c>
      <c r="C10" s="46" t="n">
        <v>42061</v>
      </c>
      <c r="D10" s="7" t="s">
        <v>423</v>
      </c>
      <c r="E10" s="47" t="s">
        <v>69</v>
      </c>
      <c r="F10" s="46" t="n">
        <v>46265</v>
      </c>
      <c r="G10" s="46"/>
      <c r="H10" s="7"/>
      <c r="I10" s="7" t="s">
        <v>84</v>
      </c>
      <c r="J10" s="47" t="s">
        <v>27</v>
      </c>
      <c r="K10" s="47"/>
      <c r="L10" s="47"/>
      <c r="M10" s="47"/>
      <c r="N10" s="10"/>
      <c r="O10" s="47"/>
      <c r="P10" s="47"/>
      <c r="Q10" s="47"/>
      <c r="R10" s="48" t="str">
        <f aca="false">IF(Q10="","",IF(Q10=0,"below 5:00",IF(Q10&gt;=66,"16:00 or above",INT((60+2*Q10)/12)&amp;":"&amp;TEXT(MOD(60+2*Q10,12),"00"))))</f>
        <v/>
      </c>
      <c r="S10" s="47"/>
      <c r="T10" s="47"/>
      <c r="U10" s="47"/>
      <c r="V10" s="47"/>
      <c r="W10" s="47"/>
      <c r="X10" s="47"/>
      <c r="Y10" s="47"/>
      <c r="Z10" s="47"/>
      <c r="AA10" s="47"/>
      <c r="AB10" s="47"/>
      <c r="AC10" s="47"/>
      <c r="AD10" s="47"/>
      <c r="AE10" s="47"/>
      <c r="AF10" s="47"/>
      <c r="AG10" s="47"/>
      <c r="AH10" s="47"/>
      <c r="AI10" s="46"/>
      <c r="AJ10" s="46"/>
      <c r="AK10" s="46"/>
      <c r="AL10" s="7"/>
      <c r="AM10" s="49" t="str">
        <f aca="false">IF(OR(C10="",G10=""),"",IFERROR(DATEDIF(C10,G10,"m"),""))</f>
        <v/>
      </c>
      <c r="AN10" s="49" t="str">
        <f aca="false">IF(OR(Q10="",AM10=""),"",60+2*Q10-AM10)</f>
        <v/>
      </c>
      <c r="AO10" s="49" t="str">
        <f aca="false">IF(OR(G10="",AJ10=""),"",AJ10-G10)</f>
        <v/>
      </c>
      <c r="AP10" s="50" t="str">
        <f aca="false">IF(AND(A10="",B10=""),"",IF(J10="","Status needed",IF(OR(J10="Applied",J10="Visit booked",J10="Withdrawn"),"OK",IF(G10="","Date assessed needed",IF(C10="","Date of birth needed",IF(COUNTA(L10,M10,P10,U10,V10,X10,AB10)&lt;7,"Band missing",IF(AND(OR(J10="Decision confirmed",J10="Family told",J10="Enrolled"),AG10=""),"Recommendation needed",IF(AND(OR(J10="Family told",J10="Enrolled"),AJ10=""),"Date family told needed","OK"))))))))</f>
        <v>OK</v>
      </c>
    </row>
    <row r="11" customFormat="false" ht="15" hidden="false" customHeight="false" outlineLevel="0" collapsed="false">
      <c r="A11" s="7" t="s">
        <v>429</v>
      </c>
      <c r="B11" s="7" t="s">
        <v>430</v>
      </c>
      <c r="C11" s="46" t="n">
        <v>42129</v>
      </c>
      <c r="D11" s="7" t="s">
        <v>298</v>
      </c>
      <c r="E11" s="47" t="s">
        <v>69</v>
      </c>
      <c r="F11" s="46" t="n">
        <v>46234</v>
      </c>
      <c r="G11" s="46"/>
      <c r="H11" s="7"/>
      <c r="I11" s="7" t="s">
        <v>84</v>
      </c>
      <c r="J11" s="47" t="s">
        <v>27</v>
      </c>
      <c r="K11" s="47"/>
      <c r="L11" s="47"/>
      <c r="M11" s="47"/>
      <c r="N11" s="10"/>
      <c r="O11" s="47"/>
      <c r="P11" s="47"/>
      <c r="Q11" s="47"/>
      <c r="R11" s="48" t="str">
        <f aca="false">IF(Q11="","",IF(Q11=0,"below 5:00",IF(Q11&gt;=66,"16:00 or above",INT((60+2*Q11)/12)&amp;":"&amp;TEXT(MOD(60+2*Q11,12),"00"))))</f>
        <v/>
      </c>
      <c r="S11" s="47"/>
      <c r="T11" s="47"/>
      <c r="U11" s="47"/>
      <c r="V11" s="47"/>
      <c r="W11" s="47"/>
      <c r="X11" s="47"/>
      <c r="Y11" s="47"/>
      <c r="Z11" s="47"/>
      <c r="AA11" s="47"/>
      <c r="AB11" s="47"/>
      <c r="AC11" s="47"/>
      <c r="AD11" s="47"/>
      <c r="AE11" s="47"/>
      <c r="AF11" s="47"/>
      <c r="AG11" s="47"/>
      <c r="AH11" s="47"/>
      <c r="AI11" s="46"/>
      <c r="AJ11" s="46"/>
      <c r="AK11" s="46"/>
      <c r="AL11" s="7"/>
      <c r="AM11" s="49" t="str">
        <f aca="false">IF(OR(C11="",G11=""),"",IFERROR(DATEDIF(C11,G11,"m"),""))</f>
        <v/>
      </c>
      <c r="AN11" s="49" t="str">
        <f aca="false">IF(OR(Q11="",AM11=""),"",60+2*Q11-AM11)</f>
        <v/>
      </c>
      <c r="AO11" s="49" t="str">
        <f aca="false">IF(OR(G11="",AJ11=""),"",AJ11-G11)</f>
        <v/>
      </c>
      <c r="AP11" s="50" t="str">
        <f aca="false">IF(AND(A11="",B11=""),"",IF(J11="","Status needed",IF(OR(J11="Applied",J11="Visit booked",J11="Withdrawn"),"OK",IF(G11="","Date assessed needed",IF(C11="","Date of birth needed",IF(COUNTA(L11,M11,P11,U11,V11,X11,AB11)&lt;7,"Band missing",IF(AND(OR(J11="Decision confirmed",J11="Family told",J11="Enrolled"),AG11=""),"Recommendation needed",IF(AND(OR(J11="Family told",J11="Enrolled"),AJ11=""),"Date family told needed","OK"))))))))</f>
        <v>OK</v>
      </c>
    </row>
    <row r="12" customFormat="false" ht="15" hidden="false" customHeight="false" outlineLevel="0" collapsed="false">
      <c r="A12" s="7" t="s">
        <v>431</v>
      </c>
      <c r="B12" s="7" t="s">
        <v>432</v>
      </c>
      <c r="C12" s="46" t="n">
        <v>42145</v>
      </c>
      <c r="D12" s="7" t="s">
        <v>298</v>
      </c>
      <c r="E12" s="47" t="s">
        <v>69</v>
      </c>
      <c r="F12" s="46" t="n">
        <v>46234</v>
      </c>
      <c r="G12" s="46" t="n">
        <v>46293</v>
      </c>
      <c r="H12" s="7" t="s">
        <v>314</v>
      </c>
      <c r="I12" s="7" t="s">
        <v>84</v>
      </c>
      <c r="J12" s="47" t="s">
        <v>31</v>
      </c>
      <c r="K12" s="47" t="n">
        <v>8</v>
      </c>
      <c r="L12" s="47" t="s">
        <v>92</v>
      </c>
      <c r="M12" s="47" t="s">
        <v>92</v>
      </c>
      <c r="N12" s="10"/>
      <c r="O12" s="47" t="n">
        <v>6</v>
      </c>
      <c r="P12" s="47" t="s">
        <v>221</v>
      </c>
      <c r="Q12" s="47" t="n">
        <v>44</v>
      </c>
      <c r="R12" s="48" t="str">
        <f aca="false">IF(Q12="","",IF(Q12=0,"below 5:00",IF(Q12&gt;=66,"16:00 or above",INT((60+2*Q12)/12)&amp;":"&amp;TEXT(MOD(60+2*Q12,12),"00"))))</f>
        <v>12:04</v>
      </c>
      <c r="S12" s="47" t="s">
        <v>222</v>
      </c>
      <c r="T12" s="47" t="n">
        <v>7</v>
      </c>
      <c r="U12" s="47" t="s">
        <v>221</v>
      </c>
      <c r="V12" s="47" t="s">
        <v>92</v>
      </c>
      <c r="W12" s="47" t="n">
        <v>10</v>
      </c>
      <c r="X12" s="47" t="n">
        <v>2</v>
      </c>
      <c r="Y12" s="47" t="n">
        <v>3</v>
      </c>
      <c r="Z12" s="47" t="s">
        <v>137</v>
      </c>
      <c r="AA12" s="47" t="n">
        <v>3</v>
      </c>
      <c r="AB12" s="47" t="n">
        <v>2</v>
      </c>
      <c r="AC12" s="47" t="n">
        <v>2</v>
      </c>
      <c r="AD12" s="47"/>
      <c r="AE12" s="47"/>
      <c r="AF12" s="47"/>
      <c r="AG12" s="47"/>
      <c r="AH12" s="47"/>
      <c r="AI12" s="46"/>
      <c r="AJ12" s="46"/>
      <c r="AK12" s="46"/>
      <c r="AL12" s="7"/>
      <c r="AM12" s="49" t="n">
        <f aca="false">IF(OR(C12="",G12=""),"",IFERROR(DATEDIF(C12,G12,"m"),""))</f>
        <v>136</v>
      </c>
      <c r="AN12" s="49" t="n">
        <f aca="false">IF(OR(Q12="",AM12=""),"",60+2*Q12-AM12)</f>
        <v>12</v>
      </c>
      <c r="AO12" s="49" t="str">
        <f aca="false">IF(OR(G12="",AJ12=""),"",AJ12-G12)</f>
        <v/>
      </c>
      <c r="AP12" s="50" t="str">
        <f aca="false">IF(AND(A12="",B12=""),"",IF(J12="","Status needed",IF(OR(J12="Applied",J12="Visit booked",J12="Withdrawn"),"OK",IF(G12="","Date assessed needed",IF(C12="","Date of birth needed",IF(COUNTA(L12,M12,P12,U12,V12,X12,AB12)&lt;7,"Band missing",IF(AND(OR(J12="Decision confirmed",J12="Family told",J12="Enrolled"),AG12=""),"Recommendation needed",IF(AND(OR(J12="Family told",J12="Enrolled"),AJ12=""),"Date family told needed","OK"))))))))</f>
        <v>OK</v>
      </c>
    </row>
    <row r="13" customFormat="false" ht="15" hidden="false" customHeight="false" outlineLevel="0" collapsed="false">
      <c r="A13" s="7" t="s">
        <v>433</v>
      </c>
      <c r="B13" s="7" t="s">
        <v>434</v>
      </c>
      <c r="C13" s="46" t="n">
        <v>42141</v>
      </c>
      <c r="D13" s="7" t="s">
        <v>361</v>
      </c>
      <c r="E13" s="47" t="s">
        <v>311</v>
      </c>
      <c r="F13" s="46" t="n">
        <v>46246</v>
      </c>
      <c r="G13" s="46"/>
      <c r="H13" s="7"/>
      <c r="I13" s="7" t="s">
        <v>84</v>
      </c>
      <c r="J13" s="47" t="s">
        <v>27</v>
      </c>
      <c r="K13" s="47"/>
      <c r="L13" s="47"/>
      <c r="M13" s="47"/>
      <c r="N13" s="10"/>
      <c r="O13" s="47"/>
      <c r="P13" s="47"/>
      <c r="Q13" s="47"/>
      <c r="R13" s="48" t="str">
        <f aca="false">IF(Q13="","",IF(Q13=0,"below 5:00",IF(Q13&gt;=66,"16:00 or above",INT((60+2*Q13)/12)&amp;":"&amp;TEXT(MOD(60+2*Q13,12),"00"))))</f>
        <v/>
      </c>
      <c r="S13" s="47"/>
      <c r="T13" s="47"/>
      <c r="U13" s="47"/>
      <c r="V13" s="47"/>
      <c r="W13" s="47"/>
      <c r="X13" s="47"/>
      <c r="Y13" s="47"/>
      <c r="Z13" s="47"/>
      <c r="AA13" s="47"/>
      <c r="AB13" s="47"/>
      <c r="AC13" s="47"/>
      <c r="AD13" s="47"/>
      <c r="AE13" s="47"/>
      <c r="AF13" s="47"/>
      <c r="AG13" s="47"/>
      <c r="AH13" s="47"/>
      <c r="AI13" s="46"/>
      <c r="AJ13" s="46"/>
      <c r="AK13" s="46"/>
      <c r="AL13" s="7"/>
      <c r="AM13" s="49" t="str">
        <f aca="false">IF(OR(C13="",G13=""),"",IFERROR(DATEDIF(C13,G13,"m"),""))</f>
        <v/>
      </c>
      <c r="AN13" s="49" t="str">
        <f aca="false">IF(OR(Q13="",AM13=""),"",60+2*Q13-AM13)</f>
        <v/>
      </c>
      <c r="AO13" s="49" t="str">
        <f aca="false">IF(OR(G13="",AJ13=""),"",AJ13-G13)</f>
        <v/>
      </c>
      <c r="AP13" s="50" t="str">
        <f aca="false">IF(AND(A13="",B13=""),"",IF(J13="","Status needed",IF(OR(J13="Applied",J13="Visit booked",J13="Withdrawn"),"OK",IF(G13="","Date assessed needed",IF(C13="","Date of birth needed",IF(COUNTA(L13,M13,P13,U13,V13,X13,AB13)&lt;7,"Band missing",IF(AND(OR(J13="Decision confirmed",J13="Family told",J13="Enrolled"),AG13=""),"Recommendation needed",IF(AND(OR(J13="Family told",J13="Enrolled"),AJ13=""),"Date family told needed","OK"))))))))</f>
        <v>OK</v>
      </c>
    </row>
    <row r="14" customFormat="false" ht="15" hidden="false" customHeight="false" outlineLevel="0" collapsed="false">
      <c r="A14" s="7" t="s">
        <v>435</v>
      </c>
      <c r="B14" s="7" t="s">
        <v>436</v>
      </c>
      <c r="C14" s="46" t="n">
        <v>41943</v>
      </c>
      <c r="D14" s="7" t="s">
        <v>361</v>
      </c>
      <c r="E14" s="47" t="s">
        <v>69</v>
      </c>
      <c r="F14" s="46" t="n">
        <v>46267</v>
      </c>
      <c r="G14" s="46" t="n">
        <v>46294</v>
      </c>
      <c r="H14" s="7" t="s">
        <v>314</v>
      </c>
      <c r="I14" s="7" t="s">
        <v>84</v>
      </c>
      <c r="J14" s="47" t="s">
        <v>35</v>
      </c>
      <c r="K14" s="47" t="n">
        <v>11</v>
      </c>
      <c r="L14" s="47" t="s">
        <v>118</v>
      </c>
      <c r="M14" s="47" t="s">
        <v>92</v>
      </c>
      <c r="N14" s="10"/>
      <c r="O14" s="47" t="n">
        <v>12</v>
      </c>
      <c r="P14" s="47" t="s">
        <v>118</v>
      </c>
      <c r="Q14" s="47" t="n">
        <v>60</v>
      </c>
      <c r="R14" s="48" t="str">
        <f aca="false">IF(Q14="","",IF(Q14=0,"below 5:00",IF(Q14&gt;=66,"16:00 or above",INT((60+2*Q14)/12)&amp;":"&amp;TEXT(MOD(60+2*Q14,12),"00"))))</f>
        <v>15:00</v>
      </c>
      <c r="S14" s="47" t="s">
        <v>222</v>
      </c>
      <c r="T14" s="47" t="n">
        <v>9</v>
      </c>
      <c r="U14" s="47" t="s">
        <v>92</v>
      </c>
      <c r="V14" s="47" t="s">
        <v>92</v>
      </c>
      <c r="W14" s="47" t="n">
        <v>16</v>
      </c>
      <c r="X14" s="47" t="n">
        <v>2</v>
      </c>
      <c r="Y14" s="47" t="n">
        <v>4</v>
      </c>
      <c r="Z14" s="47" t="s">
        <v>137</v>
      </c>
      <c r="AA14" s="47" t="n">
        <v>6</v>
      </c>
      <c r="AB14" s="47" t="n">
        <v>3</v>
      </c>
      <c r="AC14" s="47" t="n">
        <v>3</v>
      </c>
      <c r="AD14" s="47"/>
      <c r="AE14" s="47"/>
      <c r="AF14" s="47"/>
      <c r="AG14" s="47" t="s">
        <v>153</v>
      </c>
      <c r="AH14" s="47" t="s">
        <v>157</v>
      </c>
      <c r="AI14" s="46" t="n">
        <v>46299</v>
      </c>
      <c r="AJ14" s="46" t="n">
        <v>46300</v>
      </c>
      <c r="AK14" s="46" t="n">
        <v>46300</v>
      </c>
      <c r="AL14" s="7"/>
      <c r="AM14" s="49" t="n">
        <f aca="false">IF(OR(C14="",G14=""),"",IFERROR(DATEDIF(C14,G14,"m"),""))</f>
        <v>142</v>
      </c>
      <c r="AN14" s="49" t="n">
        <f aca="false">IF(OR(Q14="",AM14=""),"",60+2*Q14-AM14)</f>
        <v>38</v>
      </c>
      <c r="AO14" s="49" t="n">
        <f aca="false">IF(OR(G14="",AJ14=""),"",AJ14-G14)</f>
        <v>6</v>
      </c>
      <c r="AP14" s="50" t="str">
        <f aca="false">IF(AND(A14="",B14=""),"",IF(J14="","Status needed",IF(OR(J14="Applied",J14="Visit booked",J14="Withdrawn"),"OK",IF(G14="","Date assessed needed",IF(C14="","Date of birth needed",IF(COUNTA(L14,M14,P14,U14,V14,X14,AB14)&lt;7,"Band missing",IF(AND(OR(J14="Decision confirmed",J14="Family told",J14="Enrolled"),AG14=""),"Recommendation needed",IF(AND(OR(J14="Family told",J14="Enrolled"),AJ14=""),"Date family told needed","OK"))))))))</f>
        <v>OK</v>
      </c>
    </row>
    <row r="15" customFormat="false" ht="15" hidden="false" customHeight="false" outlineLevel="0" collapsed="false">
      <c r="A15" s="7"/>
      <c r="B15" s="7"/>
      <c r="C15" s="46"/>
      <c r="D15" s="7"/>
      <c r="E15" s="47"/>
      <c r="F15" s="46"/>
      <c r="G15" s="46"/>
      <c r="H15" s="7"/>
      <c r="I15" s="7"/>
      <c r="J15" s="47"/>
      <c r="K15" s="47"/>
      <c r="L15" s="47"/>
      <c r="M15" s="47"/>
      <c r="N15" s="10"/>
      <c r="O15" s="47"/>
      <c r="P15" s="47"/>
      <c r="Q15" s="47"/>
      <c r="R15" s="48" t="str">
        <f aca="false">IF(Q15="","",IF(Q15=0,"below 5:00",IF(Q15&gt;=66,"16:00 or above",INT((60+2*Q15)/12)&amp;":"&amp;TEXT(MOD(60+2*Q15,12),"00"))))</f>
        <v/>
      </c>
      <c r="S15" s="47"/>
      <c r="T15" s="47"/>
      <c r="U15" s="47"/>
      <c r="V15" s="47"/>
      <c r="W15" s="47"/>
      <c r="X15" s="47"/>
      <c r="Y15" s="47"/>
      <c r="Z15" s="47"/>
      <c r="AA15" s="47"/>
      <c r="AB15" s="47"/>
      <c r="AC15" s="47"/>
      <c r="AD15" s="47"/>
      <c r="AE15" s="47"/>
      <c r="AF15" s="47"/>
      <c r="AG15" s="47"/>
      <c r="AH15" s="47"/>
      <c r="AI15" s="46"/>
      <c r="AJ15" s="46"/>
      <c r="AK15" s="46"/>
      <c r="AL15" s="7"/>
      <c r="AM15" s="49" t="str">
        <f aca="false">IF(OR(C15="",G15=""),"",IFERROR(DATEDIF(C15,G15,"m"),""))</f>
        <v/>
      </c>
      <c r="AN15" s="49" t="str">
        <f aca="false">IF(OR(Q15="",AM15=""),"",60+2*Q15-AM15)</f>
        <v/>
      </c>
      <c r="AO15" s="49" t="str">
        <f aca="false">IF(OR(G15="",AJ15=""),"",AJ15-G15)</f>
        <v/>
      </c>
      <c r="AP15" s="50" t="str">
        <f aca="false">IF(AND(A15="",B15=""),"",IF(J15="","Status needed",IF(OR(J15="Applied",J15="Visit booked",J15="Withdrawn"),"OK",IF(G15="","Date assessed needed",IF(C15="","Date of birth needed",IF(COUNTA(L15,M15,P15,U15,V15,X15,AB15)&lt;7,"Band missing",IF(AND(OR(J15="Decision confirmed",J15="Family told",J15="Enrolled"),AG15=""),"Recommendation needed",IF(AND(OR(J15="Family told",J15="Enrolled"),AJ15=""),"Date family told needed","OK"))))))))</f>
        <v/>
      </c>
    </row>
    <row r="16" customFormat="false" ht="15" hidden="false" customHeight="false" outlineLevel="0" collapsed="false">
      <c r="A16" s="7"/>
      <c r="B16" s="7"/>
      <c r="C16" s="46"/>
      <c r="D16" s="7"/>
      <c r="E16" s="47"/>
      <c r="F16" s="46"/>
      <c r="G16" s="46"/>
      <c r="H16" s="7"/>
      <c r="I16" s="7"/>
      <c r="J16" s="47"/>
      <c r="K16" s="47"/>
      <c r="L16" s="47"/>
      <c r="M16" s="47"/>
      <c r="N16" s="10"/>
      <c r="O16" s="47"/>
      <c r="P16" s="47"/>
      <c r="Q16" s="47"/>
      <c r="R16" s="48" t="str">
        <f aca="false">IF(Q16="","",IF(Q16=0,"below 5:00",IF(Q16&gt;=66,"16:00 or above",INT((60+2*Q16)/12)&amp;":"&amp;TEXT(MOD(60+2*Q16,12),"00"))))</f>
        <v/>
      </c>
      <c r="S16" s="47"/>
      <c r="T16" s="47"/>
      <c r="U16" s="47"/>
      <c r="V16" s="47"/>
      <c r="W16" s="47"/>
      <c r="X16" s="47"/>
      <c r="Y16" s="47"/>
      <c r="Z16" s="47"/>
      <c r="AA16" s="47"/>
      <c r="AB16" s="47"/>
      <c r="AC16" s="47"/>
      <c r="AD16" s="47"/>
      <c r="AE16" s="47"/>
      <c r="AF16" s="47"/>
      <c r="AG16" s="47"/>
      <c r="AH16" s="47"/>
      <c r="AI16" s="46"/>
      <c r="AJ16" s="46"/>
      <c r="AK16" s="46"/>
      <c r="AL16" s="7"/>
      <c r="AM16" s="49" t="str">
        <f aca="false">IF(OR(C16="",G16=""),"",IFERROR(DATEDIF(C16,G16,"m"),""))</f>
        <v/>
      </c>
      <c r="AN16" s="49" t="str">
        <f aca="false">IF(OR(Q16="",AM16=""),"",60+2*Q16-AM16)</f>
        <v/>
      </c>
      <c r="AO16" s="49" t="str">
        <f aca="false">IF(OR(G16="",AJ16=""),"",AJ16-G16)</f>
        <v/>
      </c>
      <c r="AP16" s="50" t="str">
        <f aca="false">IF(AND(A16="",B16=""),"",IF(J16="","Status needed",IF(OR(J16="Applied",J16="Visit booked",J16="Withdrawn"),"OK",IF(G16="","Date assessed needed",IF(C16="","Date of birth needed",IF(COUNTA(L16,M16,P16,U16,V16,X16,AB16)&lt;7,"Band missing",IF(AND(OR(J16="Decision confirmed",J16="Family told",J16="Enrolled"),AG16=""),"Recommendation needed",IF(AND(OR(J16="Family told",J16="Enrolled"),AJ16=""),"Date family told needed","OK"))))))))</f>
        <v/>
      </c>
    </row>
    <row r="17" customFormat="false" ht="15" hidden="false" customHeight="false" outlineLevel="0" collapsed="false">
      <c r="A17" s="7"/>
      <c r="B17" s="7"/>
      <c r="C17" s="46"/>
      <c r="D17" s="7"/>
      <c r="E17" s="47"/>
      <c r="F17" s="46"/>
      <c r="G17" s="46"/>
      <c r="H17" s="7"/>
      <c r="I17" s="7"/>
      <c r="J17" s="47"/>
      <c r="K17" s="47"/>
      <c r="L17" s="47"/>
      <c r="M17" s="47"/>
      <c r="N17" s="10"/>
      <c r="O17" s="47"/>
      <c r="P17" s="47"/>
      <c r="Q17" s="47"/>
      <c r="R17" s="48" t="str">
        <f aca="false">IF(Q17="","",IF(Q17=0,"below 5:00",IF(Q17&gt;=66,"16:00 or above",INT((60+2*Q17)/12)&amp;":"&amp;TEXT(MOD(60+2*Q17,12),"00"))))</f>
        <v/>
      </c>
      <c r="S17" s="47"/>
      <c r="T17" s="47"/>
      <c r="U17" s="47"/>
      <c r="V17" s="47"/>
      <c r="W17" s="47"/>
      <c r="X17" s="47"/>
      <c r="Y17" s="47"/>
      <c r="Z17" s="47"/>
      <c r="AA17" s="47"/>
      <c r="AB17" s="47"/>
      <c r="AC17" s="47"/>
      <c r="AD17" s="47"/>
      <c r="AE17" s="47"/>
      <c r="AF17" s="47"/>
      <c r="AG17" s="47"/>
      <c r="AH17" s="47"/>
      <c r="AI17" s="46"/>
      <c r="AJ17" s="46"/>
      <c r="AK17" s="46"/>
      <c r="AL17" s="7"/>
      <c r="AM17" s="49" t="str">
        <f aca="false">IF(OR(C17="",G17=""),"",IFERROR(DATEDIF(C17,G17,"m"),""))</f>
        <v/>
      </c>
      <c r="AN17" s="49" t="str">
        <f aca="false">IF(OR(Q17="",AM17=""),"",60+2*Q17-AM17)</f>
        <v/>
      </c>
      <c r="AO17" s="49" t="str">
        <f aca="false">IF(OR(G17="",AJ17=""),"",AJ17-G17)</f>
        <v/>
      </c>
      <c r="AP17" s="50" t="str">
        <f aca="false">IF(AND(A17="",B17=""),"",IF(J17="","Status needed",IF(OR(J17="Applied",J17="Visit booked",J17="Withdrawn"),"OK",IF(G17="","Date assessed needed",IF(C17="","Date of birth needed",IF(COUNTA(L17,M17,P17,U17,V17,X17,AB17)&lt;7,"Band missing",IF(AND(OR(J17="Decision confirmed",J17="Family told",J17="Enrolled"),AG17=""),"Recommendation needed",IF(AND(OR(J17="Family told",J17="Enrolled"),AJ17=""),"Date family told needed","OK"))))))))</f>
        <v/>
      </c>
    </row>
    <row r="18" customFormat="false" ht="15" hidden="false" customHeight="false" outlineLevel="0" collapsed="false">
      <c r="A18" s="7"/>
      <c r="B18" s="7"/>
      <c r="C18" s="46"/>
      <c r="D18" s="7"/>
      <c r="E18" s="47"/>
      <c r="F18" s="46"/>
      <c r="G18" s="46"/>
      <c r="H18" s="7"/>
      <c r="I18" s="7"/>
      <c r="J18" s="47"/>
      <c r="K18" s="47"/>
      <c r="L18" s="47"/>
      <c r="M18" s="47"/>
      <c r="N18" s="10"/>
      <c r="O18" s="47"/>
      <c r="P18" s="47"/>
      <c r="Q18" s="47"/>
      <c r="R18" s="48" t="str">
        <f aca="false">IF(Q18="","",IF(Q18=0,"below 5:00",IF(Q18&gt;=66,"16:00 or above",INT((60+2*Q18)/12)&amp;":"&amp;TEXT(MOD(60+2*Q18,12),"00"))))</f>
        <v/>
      </c>
      <c r="S18" s="47"/>
      <c r="T18" s="47"/>
      <c r="U18" s="47"/>
      <c r="V18" s="47"/>
      <c r="W18" s="47"/>
      <c r="X18" s="47"/>
      <c r="Y18" s="47"/>
      <c r="Z18" s="47"/>
      <c r="AA18" s="47"/>
      <c r="AB18" s="47"/>
      <c r="AC18" s="47"/>
      <c r="AD18" s="47"/>
      <c r="AE18" s="47"/>
      <c r="AF18" s="47"/>
      <c r="AG18" s="47"/>
      <c r="AH18" s="47"/>
      <c r="AI18" s="46"/>
      <c r="AJ18" s="46"/>
      <c r="AK18" s="46"/>
      <c r="AL18" s="7"/>
      <c r="AM18" s="49" t="str">
        <f aca="false">IF(OR(C18="",G18=""),"",IFERROR(DATEDIF(C18,G18,"m"),""))</f>
        <v/>
      </c>
      <c r="AN18" s="49" t="str">
        <f aca="false">IF(OR(Q18="",AM18=""),"",60+2*Q18-AM18)</f>
        <v/>
      </c>
      <c r="AO18" s="49" t="str">
        <f aca="false">IF(OR(G18="",AJ18=""),"",AJ18-G18)</f>
        <v/>
      </c>
      <c r="AP18" s="50" t="str">
        <f aca="false">IF(AND(A18="",B18=""),"",IF(J18="","Status needed",IF(OR(J18="Applied",J18="Visit booked",J18="Withdrawn"),"OK",IF(G18="","Date assessed needed",IF(C18="","Date of birth needed",IF(COUNTA(L18,M18,P18,U18,V18,X18,AB18)&lt;7,"Band missing",IF(AND(OR(J18="Decision confirmed",J18="Family told",J18="Enrolled"),AG18=""),"Recommendation needed",IF(AND(OR(J18="Family told",J18="Enrolled"),AJ18=""),"Date family told needed","OK"))))))))</f>
        <v/>
      </c>
    </row>
    <row r="19" customFormat="false" ht="15" hidden="false" customHeight="false" outlineLevel="0" collapsed="false">
      <c r="A19" s="7"/>
      <c r="B19" s="7"/>
      <c r="C19" s="46"/>
      <c r="D19" s="7"/>
      <c r="E19" s="47"/>
      <c r="F19" s="46"/>
      <c r="G19" s="46"/>
      <c r="H19" s="7"/>
      <c r="I19" s="7"/>
      <c r="J19" s="47"/>
      <c r="K19" s="47"/>
      <c r="L19" s="47"/>
      <c r="M19" s="47"/>
      <c r="N19" s="10"/>
      <c r="O19" s="47"/>
      <c r="P19" s="47"/>
      <c r="Q19" s="47"/>
      <c r="R19" s="48" t="str">
        <f aca="false">IF(Q19="","",IF(Q19=0,"below 5:00",IF(Q19&gt;=66,"16:00 or above",INT((60+2*Q19)/12)&amp;":"&amp;TEXT(MOD(60+2*Q19,12),"00"))))</f>
        <v/>
      </c>
      <c r="S19" s="47"/>
      <c r="T19" s="47"/>
      <c r="U19" s="47"/>
      <c r="V19" s="47"/>
      <c r="W19" s="47"/>
      <c r="X19" s="47"/>
      <c r="Y19" s="47"/>
      <c r="Z19" s="47"/>
      <c r="AA19" s="47"/>
      <c r="AB19" s="47"/>
      <c r="AC19" s="47"/>
      <c r="AD19" s="47"/>
      <c r="AE19" s="47"/>
      <c r="AF19" s="47"/>
      <c r="AG19" s="47"/>
      <c r="AH19" s="47"/>
      <c r="AI19" s="46"/>
      <c r="AJ19" s="46"/>
      <c r="AK19" s="46"/>
      <c r="AL19" s="7"/>
      <c r="AM19" s="49" t="str">
        <f aca="false">IF(OR(C19="",G19=""),"",IFERROR(DATEDIF(C19,G19,"m"),""))</f>
        <v/>
      </c>
      <c r="AN19" s="49" t="str">
        <f aca="false">IF(OR(Q19="",AM19=""),"",60+2*Q19-AM19)</f>
        <v/>
      </c>
      <c r="AO19" s="49" t="str">
        <f aca="false">IF(OR(G19="",AJ19=""),"",AJ19-G19)</f>
        <v/>
      </c>
      <c r="AP19" s="50" t="str">
        <f aca="false">IF(AND(A19="",B19=""),"",IF(J19="","Status needed",IF(OR(J19="Applied",J19="Visit booked",J19="Withdrawn"),"OK",IF(G19="","Date assessed needed",IF(C19="","Date of birth needed",IF(COUNTA(L19,M19,P19,U19,V19,X19,AB19)&lt;7,"Band missing",IF(AND(OR(J19="Decision confirmed",J19="Family told",J19="Enrolled"),AG19=""),"Recommendation needed",IF(AND(OR(J19="Family told",J19="Enrolled"),AJ19=""),"Date family told needed","OK"))))))))</f>
        <v/>
      </c>
    </row>
    <row r="20" customFormat="false" ht="15" hidden="false" customHeight="false" outlineLevel="0" collapsed="false">
      <c r="A20" s="7"/>
      <c r="B20" s="7"/>
      <c r="C20" s="46"/>
      <c r="D20" s="7"/>
      <c r="E20" s="47"/>
      <c r="F20" s="46"/>
      <c r="G20" s="46"/>
      <c r="H20" s="7"/>
      <c r="I20" s="7"/>
      <c r="J20" s="47"/>
      <c r="K20" s="47"/>
      <c r="L20" s="47"/>
      <c r="M20" s="47"/>
      <c r="N20" s="10"/>
      <c r="O20" s="47"/>
      <c r="P20" s="47"/>
      <c r="Q20" s="47"/>
      <c r="R20" s="48" t="str">
        <f aca="false">IF(Q20="","",IF(Q20=0,"below 5:00",IF(Q20&gt;=66,"16:00 or above",INT((60+2*Q20)/12)&amp;":"&amp;TEXT(MOD(60+2*Q20,12),"00"))))</f>
        <v/>
      </c>
      <c r="S20" s="47"/>
      <c r="T20" s="47"/>
      <c r="U20" s="47"/>
      <c r="V20" s="47"/>
      <c r="W20" s="47"/>
      <c r="X20" s="47"/>
      <c r="Y20" s="47"/>
      <c r="Z20" s="47"/>
      <c r="AA20" s="47"/>
      <c r="AB20" s="47"/>
      <c r="AC20" s="47"/>
      <c r="AD20" s="47"/>
      <c r="AE20" s="47"/>
      <c r="AF20" s="47"/>
      <c r="AG20" s="47"/>
      <c r="AH20" s="47"/>
      <c r="AI20" s="46"/>
      <c r="AJ20" s="46"/>
      <c r="AK20" s="46"/>
      <c r="AL20" s="7"/>
      <c r="AM20" s="49" t="str">
        <f aca="false">IF(OR(C20="",G20=""),"",IFERROR(DATEDIF(C20,G20,"m"),""))</f>
        <v/>
      </c>
      <c r="AN20" s="49" t="str">
        <f aca="false">IF(OR(Q20="",AM20=""),"",60+2*Q20-AM20)</f>
        <v/>
      </c>
      <c r="AO20" s="49" t="str">
        <f aca="false">IF(OR(G20="",AJ20=""),"",AJ20-G20)</f>
        <v/>
      </c>
      <c r="AP20" s="50" t="str">
        <f aca="false">IF(AND(A20="",B20=""),"",IF(J20="","Status needed",IF(OR(J20="Applied",J20="Visit booked",J20="Withdrawn"),"OK",IF(G20="","Date assessed needed",IF(C20="","Date of birth needed",IF(COUNTA(L20,M20,P20,U20,V20,X20,AB20)&lt;7,"Band missing",IF(AND(OR(J20="Decision confirmed",J20="Family told",J20="Enrolled"),AG20=""),"Recommendation needed",IF(AND(OR(J20="Family told",J20="Enrolled"),AJ20=""),"Date family told needed","OK"))))))))</f>
        <v/>
      </c>
    </row>
    <row r="21" customFormat="false" ht="15" hidden="false" customHeight="false" outlineLevel="0" collapsed="false">
      <c r="A21" s="7"/>
      <c r="B21" s="7"/>
      <c r="C21" s="46"/>
      <c r="D21" s="7"/>
      <c r="E21" s="47"/>
      <c r="F21" s="46"/>
      <c r="G21" s="46"/>
      <c r="H21" s="7"/>
      <c r="I21" s="7"/>
      <c r="J21" s="47"/>
      <c r="K21" s="47"/>
      <c r="L21" s="47"/>
      <c r="M21" s="47"/>
      <c r="N21" s="10"/>
      <c r="O21" s="47"/>
      <c r="P21" s="47"/>
      <c r="Q21" s="47"/>
      <c r="R21" s="48" t="str">
        <f aca="false">IF(Q21="","",IF(Q21=0,"below 5:00",IF(Q21&gt;=66,"16:00 or above",INT((60+2*Q21)/12)&amp;":"&amp;TEXT(MOD(60+2*Q21,12),"00"))))</f>
        <v/>
      </c>
      <c r="S21" s="47"/>
      <c r="T21" s="47"/>
      <c r="U21" s="47"/>
      <c r="V21" s="47"/>
      <c r="W21" s="47"/>
      <c r="X21" s="47"/>
      <c r="Y21" s="47"/>
      <c r="Z21" s="47"/>
      <c r="AA21" s="47"/>
      <c r="AB21" s="47"/>
      <c r="AC21" s="47"/>
      <c r="AD21" s="47"/>
      <c r="AE21" s="47"/>
      <c r="AF21" s="47"/>
      <c r="AG21" s="47"/>
      <c r="AH21" s="47"/>
      <c r="AI21" s="46"/>
      <c r="AJ21" s="46"/>
      <c r="AK21" s="46"/>
      <c r="AL21" s="7"/>
      <c r="AM21" s="49" t="str">
        <f aca="false">IF(OR(C21="",G21=""),"",IFERROR(DATEDIF(C21,G21,"m"),""))</f>
        <v/>
      </c>
      <c r="AN21" s="49" t="str">
        <f aca="false">IF(OR(Q21="",AM21=""),"",60+2*Q21-AM21)</f>
        <v/>
      </c>
      <c r="AO21" s="49" t="str">
        <f aca="false">IF(OR(G21="",AJ21=""),"",AJ21-G21)</f>
        <v/>
      </c>
      <c r="AP21" s="50" t="str">
        <f aca="false">IF(AND(A21="",B21=""),"",IF(J21="","Status needed",IF(OR(J21="Applied",J21="Visit booked",J21="Withdrawn"),"OK",IF(G21="","Date assessed needed",IF(C21="","Date of birth needed",IF(COUNTA(L21,M21,P21,U21,V21,X21,AB21)&lt;7,"Band missing",IF(AND(OR(J21="Decision confirmed",J21="Family told",J21="Enrolled"),AG21=""),"Recommendation needed",IF(AND(OR(J21="Family told",J21="Enrolled"),AJ21=""),"Date family told needed","OK"))))))))</f>
        <v/>
      </c>
    </row>
    <row r="22" customFormat="false" ht="15" hidden="false" customHeight="false" outlineLevel="0" collapsed="false">
      <c r="A22" s="7"/>
      <c r="B22" s="7"/>
      <c r="C22" s="46"/>
      <c r="D22" s="7"/>
      <c r="E22" s="47"/>
      <c r="F22" s="46"/>
      <c r="G22" s="46"/>
      <c r="H22" s="7"/>
      <c r="I22" s="7"/>
      <c r="J22" s="47"/>
      <c r="K22" s="47"/>
      <c r="L22" s="47"/>
      <c r="M22" s="47"/>
      <c r="N22" s="10"/>
      <c r="O22" s="47"/>
      <c r="P22" s="47"/>
      <c r="Q22" s="47"/>
      <c r="R22" s="48" t="str">
        <f aca="false">IF(Q22="","",IF(Q22=0,"below 5:00",IF(Q22&gt;=66,"16:00 or above",INT((60+2*Q22)/12)&amp;":"&amp;TEXT(MOD(60+2*Q22,12),"00"))))</f>
        <v/>
      </c>
      <c r="S22" s="47"/>
      <c r="T22" s="47"/>
      <c r="U22" s="47"/>
      <c r="V22" s="47"/>
      <c r="W22" s="47"/>
      <c r="X22" s="47"/>
      <c r="Y22" s="47"/>
      <c r="Z22" s="47"/>
      <c r="AA22" s="47"/>
      <c r="AB22" s="47"/>
      <c r="AC22" s="47"/>
      <c r="AD22" s="47"/>
      <c r="AE22" s="47"/>
      <c r="AF22" s="47"/>
      <c r="AG22" s="47"/>
      <c r="AH22" s="47"/>
      <c r="AI22" s="46"/>
      <c r="AJ22" s="46"/>
      <c r="AK22" s="46"/>
      <c r="AL22" s="7"/>
      <c r="AM22" s="49" t="str">
        <f aca="false">IF(OR(C22="",G22=""),"",IFERROR(DATEDIF(C22,G22,"m"),""))</f>
        <v/>
      </c>
      <c r="AN22" s="49" t="str">
        <f aca="false">IF(OR(Q22="",AM22=""),"",60+2*Q22-AM22)</f>
        <v/>
      </c>
      <c r="AO22" s="49" t="str">
        <f aca="false">IF(OR(G22="",AJ22=""),"",AJ22-G22)</f>
        <v/>
      </c>
      <c r="AP22" s="50" t="str">
        <f aca="false">IF(AND(A22="",B22=""),"",IF(J22="","Status needed",IF(OR(J22="Applied",J22="Visit booked",J22="Withdrawn"),"OK",IF(G22="","Date assessed needed",IF(C22="","Date of birth needed",IF(COUNTA(L22,M22,P22,U22,V22,X22,AB22)&lt;7,"Band missing",IF(AND(OR(J22="Decision confirmed",J22="Family told",J22="Enrolled"),AG22=""),"Recommendation needed",IF(AND(OR(J22="Family told",J22="Enrolled"),AJ22=""),"Date family told needed","OK"))))))))</f>
        <v/>
      </c>
    </row>
    <row r="23" customFormat="false" ht="15" hidden="false" customHeight="false" outlineLevel="0" collapsed="false">
      <c r="A23" s="7"/>
      <c r="B23" s="7"/>
      <c r="C23" s="46"/>
      <c r="D23" s="7"/>
      <c r="E23" s="47"/>
      <c r="F23" s="46"/>
      <c r="G23" s="46"/>
      <c r="H23" s="7"/>
      <c r="I23" s="7"/>
      <c r="J23" s="47"/>
      <c r="K23" s="47"/>
      <c r="L23" s="47"/>
      <c r="M23" s="47"/>
      <c r="N23" s="10"/>
      <c r="O23" s="47"/>
      <c r="P23" s="47"/>
      <c r="Q23" s="47"/>
      <c r="R23" s="48" t="str">
        <f aca="false">IF(Q23="","",IF(Q23=0,"below 5:00",IF(Q23&gt;=66,"16:00 or above",INT((60+2*Q23)/12)&amp;":"&amp;TEXT(MOD(60+2*Q23,12),"00"))))</f>
        <v/>
      </c>
      <c r="S23" s="47"/>
      <c r="T23" s="47"/>
      <c r="U23" s="47"/>
      <c r="V23" s="47"/>
      <c r="W23" s="47"/>
      <c r="X23" s="47"/>
      <c r="Y23" s="47"/>
      <c r="Z23" s="47"/>
      <c r="AA23" s="47"/>
      <c r="AB23" s="47"/>
      <c r="AC23" s="47"/>
      <c r="AD23" s="47"/>
      <c r="AE23" s="47"/>
      <c r="AF23" s="47"/>
      <c r="AG23" s="47"/>
      <c r="AH23" s="47"/>
      <c r="AI23" s="46"/>
      <c r="AJ23" s="46"/>
      <c r="AK23" s="46"/>
      <c r="AL23" s="7"/>
      <c r="AM23" s="49" t="str">
        <f aca="false">IF(OR(C23="",G23=""),"",IFERROR(DATEDIF(C23,G23,"m"),""))</f>
        <v/>
      </c>
      <c r="AN23" s="49" t="str">
        <f aca="false">IF(OR(Q23="",AM23=""),"",60+2*Q23-AM23)</f>
        <v/>
      </c>
      <c r="AO23" s="49" t="str">
        <f aca="false">IF(OR(G23="",AJ23=""),"",AJ23-G23)</f>
        <v/>
      </c>
      <c r="AP23" s="50" t="str">
        <f aca="false">IF(AND(A23="",B23=""),"",IF(J23="","Status needed",IF(OR(J23="Applied",J23="Visit booked",J23="Withdrawn"),"OK",IF(G23="","Date assessed needed",IF(C23="","Date of birth needed",IF(COUNTA(L23,M23,P23,U23,V23,X23,AB23)&lt;7,"Band missing",IF(AND(OR(J23="Decision confirmed",J23="Family told",J23="Enrolled"),AG23=""),"Recommendation needed",IF(AND(OR(J23="Family told",J23="Enrolled"),AJ23=""),"Date family told needed","OK"))))))))</f>
        <v/>
      </c>
    </row>
    <row r="24" customFormat="false" ht="15" hidden="false" customHeight="false" outlineLevel="0" collapsed="false">
      <c r="A24" s="7"/>
      <c r="B24" s="7"/>
      <c r="C24" s="46"/>
      <c r="D24" s="7"/>
      <c r="E24" s="47"/>
      <c r="F24" s="46"/>
      <c r="G24" s="46"/>
      <c r="H24" s="7"/>
      <c r="I24" s="7"/>
      <c r="J24" s="47"/>
      <c r="K24" s="47"/>
      <c r="L24" s="47"/>
      <c r="M24" s="47"/>
      <c r="N24" s="10"/>
      <c r="O24" s="47"/>
      <c r="P24" s="47"/>
      <c r="Q24" s="47"/>
      <c r="R24" s="48" t="str">
        <f aca="false">IF(Q24="","",IF(Q24=0,"below 5:00",IF(Q24&gt;=66,"16:00 or above",INT((60+2*Q24)/12)&amp;":"&amp;TEXT(MOD(60+2*Q24,12),"00"))))</f>
        <v/>
      </c>
      <c r="S24" s="47"/>
      <c r="T24" s="47"/>
      <c r="U24" s="47"/>
      <c r="V24" s="47"/>
      <c r="W24" s="47"/>
      <c r="X24" s="47"/>
      <c r="Y24" s="47"/>
      <c r="Z24" s="47"/>
      <c r="AA24" s="47"/>
      <c r="AB24" s="47"/>
      <c r="AC24" s="47"/>
      <c r="AD24" s="47"/>
      <c r="AE24" s="47"/>
      <c r="AF24" s="47"/>
      <c r="AG24" s="47"/>
      <c r="AH24" s="47"/>
      <c r="AI24" s="46"/>
      <c r="AJ24" s="46"/>
      <c r="AK24" s="46"/>
      <c r="AL24" s="7"/>
      <c r="AM24" s="49" t="str">
        <f aca="false">IF(OR(C24="",G24=""),"",IFERROR(DATEDIF(C24,G24,"m"),""))</f>
        <v/>
      </c>
      <c r="AN24" s="49" t="str">
        <f aca="false">IF(OR(Q24="",AM24=""),"",60+2*Q24-AM24)</f>
        <v/>
      </c>
      <c r="AO24" s="49" t="str">
        <f aca="false">IF(OR(G24="",AJ24=""),"",AJ24-G24)</f>
        <v/>
      </c>
      <c r="AP24" s="50" t="str">
        <f aca="false">IF(AND(A24="",B24=""),"",IF(J24="","Status needed",IF(OR(J24="Applied",J24="Visit booked",J24="Withdrawn"),"OK",IF(G24="","Date assessed needed",IF(C24="","Date of birth needed",IF(COUNTA(L24,M24,P24,U24,V24,X24,AB24)&lt;7,"Band missing",IF(AND(OR(J24="Decision confirmed",J24="Family told",J24="Enrolled"),AG24=""),"Recommendation needed",IF(AND(OR(J24="Family told",J24="Enrolled"),AJ24=""),"Date family told needed","OK"))))))))</f>
        <v/>
      </c>
    </row>
    <row r="25" customFormat="false" ht="15" hidden="false" customHeight="false" outlineLevel="0" collapsed="false">
      <c r="A25" s="7"/>
      <c r="B25" s="7"/>
      <c r="C25" s="46"/>
      <c r="D25" s="7"/>
      <c r="E25" s="47"/>
      <c r="F25" s="46"/>
      <c r="G25" s="46"/>
      <c r="H25" s="7"/>
      <c r="I25" s="7"/>
      <c r="J25" s="47"/>
      <c r="K25" s="47"/>
      <c r="L25" s="47"/>
      <c r="M25" s="47"/>
      <c r="N25" s="10"/>
      <c r="O25" s="47"/>
      <c r="P25" s="47"/>
      <c r="Q25" s="47"/>
      <c r="R25" s="48" t="str">
        <f aca="false">IF(Q25="","",IF(Q25=0,"below 5:00",IF(Q25&gt;=66,"16:00 or above",INT((60+2*Q25)/12)&amp;":"&amp;TEXT(MOD(60+2*Q25,12),"00"))))</f>
        <v/>
      </c>
      <c r="S25" s="47"/>
      <c r="T25" s="47"/>
      <c r="U25" s="47"/>
      <c r="V25" s="47"/>
      <c r="W25" s="47"/>
      <c r="X25" s="47"/>
      <c r="Y25" s="47"/>
      <c r="Z25" s="47"/>
      <c r="AA25" s="47"/>
      <c r="AB25" s="47"/>
      <c r="AC25" s="47"/>
      <c r="AD25" s="47"/>
      <c r="AE25" s="47"/>
      <c r="AF25" s="47"/>
      <c r="AG25" s="47"/>
      <c r="AH25" s="47"/>
      <c r="AI25" s="46"/>
      <c r="AJ25" s="46"/>
      <c r="AK25" s="46"/>
      <c r="AL25" s="7"/>
      <c r="AM25" s="49" t="str">
        <f aca="false">IF(OR(C25="",G25=""),"",IFERROR(DATEDIF(C25,G25,"m"),""))</f>
        <v/>
      </c>
      <c r="AN25" s="49" t="str">
        <f aca="false">IF(OR(Q25="",AM25=""),"",60+2*Q25-AM25)</f>
        <v/>
      </c>
      <c r="AO25" s="49" t="str">
        <f aca="false">IF(OR(G25="",AJ25=""),"",AJ25-G25)</f>
        <v/>
      </c>
      <c r="AP25" s="50" t="str">
        <f aca="false">IF(AND(A25="",B25=""),"",IF(J25="","Status needed",IF(OR(J25="Applied",J25="Visit booked",J25="Withdrawn"),"OK",IF(G25="","Date assessed needed",IF(C25="","Date of birth needed",IF(COUNTA(L25,M25,P25,U25,V25,X25,AB25)&lt;7,"Band missing",IF(AND(OR(J25="Decision confirmed",J25="Family told",J25="Enrolled"),AG25=""),"Recommendation needed",IF(AND(OR(J25="Family told",J25="Enrolled"),AJ25=""),"Date family told needed","OK"))))))))</f>
        <v/>
      </c>
    </row>
    <row r="26" customFormat="false" ht="15" hidden="false" customHeight="false" outlineLevel="0" collapsed="false">
      <c r="A26" s="7"/>
      <c r="B26" s="7"/>
      <c r="C26" s="46"/>
      <c r="D26" s="7"/>
      <c r="E26" s="47"/>
      <c r="F26" s="46"/>
      <c r="G26" s="46"/>
      <c r="H26" s="7"/>
      <c r="I26" s="7"/>
      <c r="J26" s="47"/>
      <c r="K26" s="47"/>
      <c r="L26" s="47"/>
      <c r="M26" s="47"/>
      <c r="N26" s="10"/>
      <c r="O26" s="47"/>
      <c r="P26" s="47"/>
      <c r="Q26" s="47"/>
      <c r="R26" s="48" t="str">
        <f aca="false">IF(Q26="","",IF(Q26=0,"below 5:00",IF(Q26&gt;=66,"16:00 or above",INT((60+2*Q26)/12)&amp;":"&amp;TEXT(MOD(60+2*Q26,12),"00"))))</f>
        <v/>
      </c>
      <c r="S26" s="47"/>
      <c r="T26" s="47"/>
      <c r="U26" s="47"/>
      <c r="V26" s="47"/>
      <c r="W26" s="47"/>
      <c r="X26" s="47"/>
      <c r="Y26" s="47"/>
      <c r="Z26" s="47"/>
      <c r="AA26" s="47"/>
      <c r="AB26" s="47"/>
      <c r="AC26" s="47"/>
      <c r="AD26" s="47"/>
      <c r="AE26" s="47"/>
      <c r="AF26" s="47"/>
      <c r="AG26" s="47"/>
      <c r="AH26" s="47"/>
      <c r="AI26" s="46"/>
      <c r="AJ26" s="46"/>
      <c r="AK26" s="46"/>
      <c r="AL26" s="7"/>
      <c r="AM26" s="49" t="str">
        <f aca="false">IF(OR(C26="",G26=""),"",IFERROR(DATEDIF(C26,G26,"m"),""))</f>
        <v/>
      </c>
      <c r="AN26" s="49" t="str">
        <f aca="false">IF(OR(Q26="",AM26=""),"",60+2*Q26-AM26)</f>
        <v/>
      </c>
      <c r="AO26" s="49" t="str">
        <f aca="false">IF(OR(G26="",AJ26=""),"",AJ26-G26)</f>
        <v/>
      </c>
      <c r="AP26" s="50" t="str">
        <f aca="false">IF(AND(A26="",B26=""),"",IF(J26="","Status needed",IF(OR(J26="Applied",J26="Visit booked",J26="Withdrawn"),"OK",IF(G26="","Date assessed needed",IF(C26="","Date of birth needed",IF(COUNTA(L26,M26,P26,U26,V26,X26,AB26)&lt;7,"Band missing",IF(AND(OR(J26="Decision confirmed",J26="Family told",J26="Enrolled"),AG26=""),"Recommendation needed",IF(AND(OR(J26="Family told",J26="Enrolled"),AJ26=""),"Date family told needed","OK"))))))))</f>
        <v/>
      </c>
    </row>
    <row r="27" customFormat="false" ht="15" hidden="false" customHeight="false" outlineLevel="0" collapsed="false">
      <c r="A27" s="7"/>
      <c r="B27" s="7"/>
      <c r="C27" s="46"/>
      <c r="D27" s="7"/>
      <c r="E27" s="47"/>
      <c r="F27" s="46"/>
      <c r="G27" s="46"/>
      <c r="H27" s="7"/>
      <c r="I27" s="7"/>
      <c r="J27" s="47"/>
      <c r="K27" s="47"/>
      <c r="L27" s="47"/>
      <c r="M27" s="47"/>
      <c r="N27" s="10"/>
      <c r="O27" s="47"/>
      <c r="P27" s="47"/>
      <c r="Q27" s="47"/>
      <c r="R27" s="48" t="str">
        <f aca="false">IF(Q27="","",IF(Q27=0,"below 5:00",IF(Q27&gt;=66,"16:00 or above",INT((60+2*Q27)/12)&amp;":"&amp;TEXT(MOD(60+2*Q27,12),"00"))))</f>
        <v/>
      </c>
      <c r="S27" s="47"/>
      <c r="T27" s="47"/>
      <c r="U27" s="47"/>
      <c r="V27" s="47"/>
      <c r="W27" s="47"/>
      <c r="X27" s="47"/>
      <c r="Y27" s="47"/>
      <c r="Z27" s="47"/>
      <c r="AA27" s="47"/>
      <c r="AB27" s="47"/>
      <c r="AC27" s="47"/>
      <c r="AD27" s="47"/>
      <c r="AE27" s="47"/>
      <c r="AF27" s="47"/>
      <c r="AG27" s="47"/>
      <c r="AH27" s="47"/>
      <c r="AI27" s="46"/>
      <c r="AJ27" s="46"/>
      <c r="AK27" s="46"/>
      <c r="AL27" s="7"/>
      <c r="AM27" s="49" t="str">
        <f aca="false">IF(OR(C27="",G27=""),"",IFERROR(DATEDIF(C27,G27,"m"),""))</f>
        <v/>
      </c>
      <c r="AN27" s="49" t="str">
        <f aca="false">IF(OR(Q27="",AM27=""),"",60+2*Q27-AM27)</f>
        <v/>
      </c>
      <c r="AO27" s="49" t="str">
        <f aca="false">IF(OR(G27="",AJ27=""),"",AJ27-G27)</f>
        <v/>
      </c>
      <c r="AP27" s="50" t="str">
        <f aca="false">IF(AND(A27="",B27=""),"",IF(J27="","Status needed",IF(OR(J27="Applied",J27="Visit booked",J27="Withdrawn"),"OK",IF(G27="","Date assessed needed",IF(C27="","Date of birth needed",IF(COUNTA(L27,M27,P27,U27,V27,X27,AB27)&lt;7,"Band missing",IF(AND(OR(J27="Decision confirmed",J27="Family told",J27="Enrolled"),AG27=""),"Recommendation needed",IF(AND(OR(J27="Family told",J27="Enrolled"),AJ27=""),"Date family told needed","OK"))))))))</f>
        <v/>
      </c>
    </row>
    <row r="28" customFormat="false" ht="15" hidden="false" customHeight="false" outlineLevel="0" collapsed="false">
      <c r="A28" s="7"/>
      <c r="B28" s="7"/>
      <c r="C28" s="46"/>
      <c r="D28" s="7"/>
      <c r="E28" s="47"/>
      <c r="F28" s="46"/>
      <c r="G28" s="46"/>
      <c r="H28" s="7"/>
      <c r="I28" s="7"/>
      <c r="J28" s="47"/>
      <c r="K28" s="47"/>
      <c r="L28" s="47"/>
      <c r="M28" s="47"/>
      <c r="N28" s="10"/>
      <c r="O28" s="47"/>
      <c r="P28" s="47"/>
      <c r="Q28" s="47"/>
      <c r="R28" s="48" t="str">
        <f aca="false">IF(Q28="","",IF(Q28=0,"below 5:00",IF(Q28&gt;=66,"16:00 or above",INT((60+2*Q28)/12)&amp;":"&amp;TEXT(MOD(60+2*Q28,12),"00"))))</f>
        <v/>
      </c>
      <c r="S28" s="47"/>
      <c r="T28" s="47"/>
      <c r="U28" s="47"/>
      <c r="V28" s="47"/>
      <c r="W28" s="47"/>
      <c r="X28" s="47"/>
      <c r="Y28" s="47"/>
      <c r="Z28" s="47"/>
      <c r="AA28" s="47"/>
      <c r="AB28" s="47"/>
      <c r="AC28" s="47"/>
      <c r="AD28" s="47"/>
      <c r="AE28" s="47"/>
      <c r="AF28" s="47"/>
      <c r="AG28" s="47"/>
      <c r="AH28" s="47"/>
      <c r="AI28" s="46"/>
      <c r="AJ28" s="46"/>
      <c r="AK28" s="46"/>
      <c r="AL28" s="7"/>
      <c r="AM28" s="49" t="str">
        <f aca="false">IF(OR(C28="",G28=""),"",IFERROR(DATEDIF(C28,G28,"m"),""))</f>
        <v/>
      </c>
      <c r="AN28" s="49" t="str">
        <f aca="false">IF(OR(Q28="",AM28=""),"",60+2*Q28-AM28)</f>
        <v/>
      </c>
      <c r="AO28" s="49" t="str">
        <f aca="false">IF(OR(G28="",AJ28=""),"",AJ28-G28)</f>
        <v/>
      </c>
      <c r="AP28" s="50" t="str">
        <f aca="false">IF(AND(A28="",B28=""),"",IF(J28="","Status needed",IF(OR(J28="Applied",J28="Visit booked",J28="Withdrawn"),"OK",IF(G28="","Date assessed needed",IF(C28="","Date of birth needed",IF(COUNTA(L28,M28,P28,U28,V28,X28,AB28)&lt;7,"Band missing",IF(AND(OR(J28="Decision confirmed",J28="Family told",J28="Enrolled"),AG28=""),"Recommendation needed",IF(AND(OR(J28="Family told",J28="Enrolled"),AJ28=""),"Date family told needed","OK"))))))))</f>
        <v/>
      </c>
    </row>
    <row r="29" customFormat="false" ht="15" hidden="false" customHeight="false" outlineLevel="0" collapsed="false">
      <c r="A29" s="7"/>
      <c r="B29" s="7"/>
      <c r="C29" s="46"/>
      <c r="D29" s="7"/>
      <c r="E29" s="47"/>
      <c r="F29" s="46"/>
      <c r="G29" s="46"/>
      <c r="H29" s="7"/>
      <c r="I29" s="7"/>
      <c r="J29" s="47"/>
      <c r="K29" s="47"/>
      <c r="L29" s="47"/>
      <c r="M29" s="47"/>
      <c r="N29" s="10"/>
      <c r="O29" s="47"/>
      <c r="P29" s="47"/>
      <c r="Q29" s="47"/>
      <c r="R29" s="48" t="str">
        <f aca="false">IF(Q29="","",IF(Q29=0,"below 5:00",IF(Q29&gt;=66,"16:00 or above",INT((60+2*Q29)/12)&amp;":"&amp;TEXT(MOD(60+2*Q29,12),"00"))))</f>
        <v/>
      </c>
      <c r="S29" s="47"/>
      <c r="T29" s="47"/>
      <c r="U29" s="47"/>
      <c r="V29" s="47"/>
      <c r="W29" s="47"/>
      <c r="X29" s="47"/>
      <c r="Y29" s="47"/>
      <c r="Z29" s="47"/>
      <c r="AA29" s="47"/>
      <c r="AB29" s="47"/>
      <c r="AC29" s="47"/>
      <c r="AD29" s="47"/>
      <c r="AE29" s="47"/>
      <c r="AF29" s="47"/>
      <c r="AG29" s="47"/>
      <c r="AH29" s="47"/>
      <c r="AI29" s="46"/>
      <c r="AJ29" s="46"/>
      <c r="AK29" s="46"/>
      <c r="AL29" s="7"/>
      <c r="AM29" s="49" t="str">
        <f aca="false">IF(OR(C29="",G29=""),"",IFERROR(DATEDIF(C29,G29,"m"),""))</f>
        <v/>
      </c>
      <c r="AN29" s="49" t="str">
        <f aca="false">IF(OR(Q29="",AM29=""),"",60+2*Q29-AM29)</f>
        <v/>
      </c>
      <c r="AO29" s="49" t="str">
        <f aca="false">IF(OR(G29="",AJ29=""),"",AJ29-G29)</f>
        <v/>
      </c>
      <c r="AP29" s="50" t="str">
        <f aca="false">IF(AND(A29="",B29=""),"",IF(J29="","Status needed",IF(OR(J29="Applied",J29="Visit booked",J29="Withdrawn"),"OK",IF(G29="","Date assessed needed",IF(C29="","Date of birth needed",IF(COUNTA(L29,M29,P29,U29,V29,X29,AB29)&lt;7,"Band missing",IF(AND(OR(J29="Decision confirmed",J29="Family told",J29="Enrolled"),AG29=""),"Recommendation needed",IF(AND(OR(J29="Family told",J29="Enrolled"),AJ29=""),"Date family told needed","OK"))))))))</f>
        <v/>
      </c>
    </row>
    <row r="30" customFormat="false" ht="15" hidden="false" customHeight="false" outlineLevel="0" collapsed="false">
      <c r="A30" s="7"/>
      <c r="B30" s="7"/>
      <c r="C30" s="46"/>
      <c r="D30" s="7"/>
      <c r="E30" s="47"/>
      <c r="F30" s="46"/>
      <c r="G30" s="46"/>
      <c r="H30" s="7"/>
      <c r="I30" s="7"/>
      <c r="J30" s="47"/>
      <c r="K30" s="47"/>
      <c r="L30" s="47"/>
      <c r="M30" s="47"/>
      <c r="N30" s="10"/>
      <c r="O30" s="47"/>
      <c r="P30" s="47"/>
      <c r="Q30" s="47"/>
      <c r="R30" s="48" t="str">
        <f aca="false">IF(Q30="","",IF(Q30=0,"below 5:00",IF(Q30&gt;=66,"16:00 or above",INT((60+2*Q30)/12)&amp;":"&amp;TEXT(MOD(60+2*Q30,12),"00"))))</f>
        <v/>
      </c>
      <c r="S30" s="47"/>
      <c r="T30" s="47"/>
      <c r="U30" s="47"/>
      <c r="V30" s="47"/>
      <c r="W30" s="47"/>
      <c r="X30" s="47"/>
      <c r="Y30" s="47"/>
      <c r="Z30" s="47"/>
      <c r="AA30" s="47"/>
      <c r="AB30" s="47"/>
      <c r="AC30" s="47"/>
      <c r="AD30" s="47"/>
      <c r="AE30" s="47"/>
      <c r="AF30" s="47"/>
      <c r="AG30" s="47"/>
      <c r="AH30" s="47"/>
      <c r="AI30" s="46"/>
      <c r="AJ30" s="46"/>
      <c r="AK30" s="46"/>
      <c r="AL30" s="7"/>
      <c r="AM30" s="49" t="str">
        <f aca="false">IF(OR(C30="",G30=""),"",IFERROR(DATEDIF(C30,G30,"m"),""))</f>
        <v/>
      </c>
      <c r="AN30" s="49" t="str">
        <f aca="false">IF(OR(Q30="",AM30=""),"",60+2*Q30-AM30)</f>
        <v/>
      </c>
      <c r="AO30" s="49" t="str">
        <f aca="false">IF(OR(G30="",AJ30=""),"",AJ30-G30)</f>
        <v/>
      </c>
      <c r="AP30" s="50" t="str">
        <f aca="false">IF(AND(A30="",B30=""),"",IF(J30="","Status needed",IF(OR(J30="Applied",J30="Visit booked",J30="Withdrawn"),"OK",IF(G30="","Date assessed needed",IF(C30="","Date of birth needed",IF(COUNTA(L30,M30,P30,U30,V30,X30,AB30)&lt;7,"Band missing",IF(AND(OR(J30="Decision confirmed",J30="Family told",J30="Enrolled"),AG30=""),"Recommendation needed",IF(AND(OR(J30="Family told",J30="Enrolled"),AJ30=""),"Date family told needed","OK"))))))))</f>
        <v/>
      </c>
    </row>
    <row r="31" customFormat="false" ht="15" hidden="false" customHeight="false" outlineLevel="0" collapsed="false">
      <c r="A31" s="7"/>
      <c r="B31" s="7"/>
      <c r="C31" s="46"/>
      <c r="D31" s="7"/>
      <c r="E31" s="47"/>
      <c r="F31" s="46"/>
      <c r="G31" s="46"/>
      <c r="H31" s="7"/>
      <c r="I31" s="7"/>
      <c r="J31" s="47"/>
      <c r="K31" s="47"/>
      <c r="L31" s="47"/>
      <c r="M31" s="47"/>
      <c r="N31" s="10"/>
      <c r="O31" s="47"/>
      <c r="P31" s="47"/>
      <c r="Q31" s="47"/>
      <c r="R31" s="48" t="str">
        <f aca="false">IF(Q31="","",IF(Q31=0,"below 5:00",IF(Q31&gt;=66,"16:00 or above",INT((60+2*Q31)/12)&amp;":"&amp;TEXT(MOD(60+2*Q31,12),"00"))))</f>
        <v/>
      </c>
      <c r="S31" s="47"/>
      <c r="T31" s="47"/>
      <c r="U31" s="47"/>
      <c r="V31" s="47"/>
      <c r="W31" s="47"/>
      <c r="X31" s="47"/>
      <c r="Y31" s="47"/>
      <c r="Z31" s="47"/>
      <c r="AA31" s="47"/>
      <c r="AB31" s="47"/>
      <c r="AC31" s="47"/>
      <c r="AD31" s="47"/>
      <c r="AE31" s="47"/>
      <c r="AF31" s="47"/>
      <c r="AG31" s="47"/>
      <c r="AH31" s="47"/>
      <c r="AI31" s="46"/>
      <c r="AJ31" s="46"/>
      <c r="AK31" s="46"/>
      <c r="AL31" s="7"/>
      <c r="AM31" s="49" t="str">
        <f aca="false">IF(OR(C31="",G31=""),"",IFERROR(DATEDIF(C31,G31,"m"),""))</f>
        <v/>
      </c>
      <c r="AN31" s="49" t="str">
        <f aca="false">IF(OR(Q31="",AM31=""),"",60+2*Q31-AM31)</f>
        <v/>
      </c>
      <c r="AO31" s="49" t="str">
        <f aca="false">IF(OR(G31="",AJ31=""),"",AJ31-G31)</f>
        <v/>
      </c>
      <c r="AP31" s="50" t="str">
        <f aca="false">IF(AND(A31="",B31=""),"",IF(J31="","Status needed",IF(OR(J31="Applied",J31="Visit booked",J31="Withdrawn"),"OK",IF(G31="","Date assessed needed",IF(C31="","Date of birth needed",IF(COUNTA(L31,M31,P31,U31,V31,X31,AB31)&lt;7,"Band missing",IF(AND(OR(J31="Decision confirmed",J31="Family told",J31="Enrolled"),AG31=""),"Recommendation needed",IF(AND(OR(J31="Family told",J31="Enrolled"),AJ31=""),"Date family told needed","OK"))))))))</f>
        <v/>
      </c>
    </row>
    <row r="32" customFormat="false" ht="15" hidden="false" customHeight="false" outlineLevel="0" collapsed="false">
      <c r="A32" s="7"/>
      <c r="B32" s="7"/>
      <c r="C32" s="46"/>
      <c r="D32" s="7"/>
      <c r="E32" s="47"/>
      <c r="F32" s="46"/>
      <c r="G32" s="46"/>
      <c r="H32" s="7"/>
      <c r="I32" s="7"/>
      <c r="J32" s="47"/>
      <c r="K32" s="47"/>
      <c r="L32" s="47"/>
      <c r="M32" s="47"/>
      <c r="N32" s="10"/>
      <c r="O32" s="47"/>
      <c r="P32" s="47"/>
      <c r="Q32" s="47"/>
      <c r="R32" s="48" t="str">
        <f aca="false">IF(Q32="","",IF(Q32=0,"below 5:00",IF(Q32&gt;=66,"16:00 or above",INT((60+2*Q32)/12)&amp;":"&amp;TEXT(MOD(60+2*Q32,12),"00"))))</f>
        <v/>
      </c>
      <c r="S32" s="47"/>
      <c r="T32" s="47"/>
      <c r="U32" s="47"/>
      <c r="V32" s="47"/>
      <c r="W32" s="47"/>
      <c r="X32" s="47"/>
      <c r="Y32" s="47"/>
      <c r="Z32" s="47"/>
      <c r="AA32" s="47"/>
      <c r="AB32" s="47"/>
      <c r="AC32" s="47"/>
      <c r="AD32" s="47"/>
      <c r="AE32" s="47"/>
      <c r="AF32" s="47"/>
      <c r="AG32" s="47"/>
      <c r="AH32" s="47"/>
      <c r="AI32" s="46"/>
      <c r="AJ32" s="46"/>
      <c r="AK32" s="46"/>
      <c r="AL32" s="7"/>
      <c r="AM32" s="49" t="str">
        <f aca="false">IF(OR(C32="",G32=""),"",IFERROR(DATEDIF(C32,G32,"m"),""))</f>
        <v/>
      </c>
      <c r="AN32" s="49" t="str">
        <f aca="false">IF(OR(Q32="",AM32=""),"",60+2*Q32-AM32)</f>
        <v/>
      </c>
      <c r="AO32" s="49" t="str">
        <f aca="false">IF(OR(G32="",AJ32=""),"",AJ32-G32)</f>
        <v/>
      </c>
      <c r="AP32" s="50" t="str">
        <f aca="false">IF(AND(A32="",B32=""),"",IF(J32="","Status needed",IF(OR(J32="Applied",J32="Visit booked",J32="Withdrawn"),"OK",IF(G32="","Date assessed needed",IF(C32="","Date of birth needed",IF(COUNTA(L32,M32,P32,U32,V32,X32,AB32)&lt;7,"Band missing",IF(AND(OR(J32="Decision confirmed",J32="Family told",J32="Enrolled"),AG32=""),"Recommendation needed",IF(AND(OR(J32="Family told",J32="Enrolled"),AJ32=""),"Date family told needed","OK"))))))))</f>
        <v/>
      </c>
    </row>
    <row r="33" customFormat="false" ht="15" hidden="false" customHeight="false" outlineLevel="0" collapsed="false">
      <c r="A33" s="7"/>
      <c r="B33" s="7"/>
      <c r="C33" s="46"/>
      <c r="D33" s="7"/>
      <c r="E33" s="47"/>
      <c r="F33" s="46"/>
      <c r="G33" s="46"/>
      <c r="H33" s="7"/>
      <c r="I33" s="7"/>
      <c r="J33" s="47"/>
      <c r="K33" s="47"/>
      <c r="L33" s="47"/>
      <c r="M33" s="47"/>
      <c r="N33" s="10"/>
      <c r="O33" s="47"/>
      <c r="P33" s="47"/>
      <c r="Q33" s="47"/>
      <c r="R33" s="48" t="str">
        <f aca="false">IF(Q33="","",IF(Q33=0,"below 5:00",IF(Q33&gt;=66,"16:00 or above",INT((60+2*Q33)/12)&amp;":"&amp;TEXT(MOD(60+2*Q33,12),"00"))))</f>
        <v/>
      </c>
      <c r="S33" s="47"/>
      <c r="T33" s="47"/>
      <c r="U33" s="47"/>
      <c r="V33" s="47"/>
      <c r="W33" s="47"/>
      <c r="X33" s="47"/>
      <c r="Y33" s="47"/>
      <c r="Z33" s="47"/>
      <c r="AA33" s="47"/>
      <c r="AB33" s="47"/>
      <c r="AC33" s="47"/>
      <c r="AD33" s="47"/>
      <c r="AE33" s="47"/>
      <c r="AF33" s="47"/>
      <c r="AG33" s="47"/>
      <c r="AH33" s="47"/>
      <c r="AI33" s="46"/>
      <c r="AJ33" s="46"/>
      <c r="AK33" s="46"/>
      <c r="AL33" s="7"/>
      <c r="AM33" s="49" t="str">
        <f aca="false">IF(OR(C33="",G33=""),"",IFERROR(DATEDIF(C33,G33,"m"),""))</f>
        <v/>
      </c>
      <c r="AN33" s="49" t="str">
        <f aca="false">IF(OR(Q33="",AM33=""),"",60+2*Q33-AM33)</f>
        <v/>
      </c>
      <c r="AO33" s="49" t="str">
        <f aca="false">IF(OR(G33="",AJ33=""),"",AJ33-G33)</f>
        <v/>
      </c>
      <c r="AP33" s="50" t="str">
        <f aca="false">IF(AND(A33="",B33=""),"",IF(J33="","Status needed",IF(OR(J33="Applied",J33="Visit booked",J33="Withdrawn"),"OK",IF(G33="","Date assessed needed",IF(C33="","Date of birth needed",IF(COUNTA(L33,M33,P33,U33,V33,X33,AB33)&lt;7,"Band missing",IF(AND(OR(J33="Decision confirmed",J33="Family told",J33="Enrolled"),AG33=""),"Recommendation needed",IF(AND(OR(J33="Family told",J33="Enrolled"),AJ33=""),"Date family told needed","OK"))))))))</f>
        <v/>
      </c>
    </row>
    <row r="34" customFormat="false" ht="15" hidden="false" customHeight="false" outlineLevel="0" collapsed="false">
      <c r="A34" s="7"/>
      <c r="B34" s="7"/>
      <c r="C34" s="46"/>
      <c r="D34" s="7"/>
      <c r="E34" s="47"/>
      <c r="F34" s="46"/>
      <c r="G34" s="46"/>
      <c r="H34" s="7"/>
      <c r="I34" s="7"/>
      <c r="J34" s="47"/>
      <c r="K34" s="47"/>
      <c r="L34" s="47"/>
      <c r="M34" s="47"/>
      <c r="N34" s="10"/>
      <c r="O34" s="47"/>
      <c r="P34" s="47"/>
      <c r="Q34" s="47"/>
      <c r="R34" s="48" t="str">
        <f aca="false">IF(Q34="","",IF(Q34=0,"below 5:00",IF(Q34&gt;=66,"16:00 or above",INT((60+2*Q34)/12)&amp;":"&amp;TEXT(MOD(60+2*Q34,12),"00"))))</f>
        <v/>
      </c>
      <c r="S34" s="47"/>
      <c r="T34" s="47"/>
      <c r="U34" s="47"/>
      <c r="V34" s="47"/>
      <c r="W34" s="47"/>
      <c r="X34" s="47"/>
      <c r="Y34" s="47"/>
      <c r="Z34" s="47"/>
      <c r="AA34" s="47"/>
      <c r="AB34" s="47"/>
      <c r="AC34" s="47"/>
      <c r="AD34" s="47"/>
      <c r="AE34" s="47"/>
      <c r="AF34" s="47"/>
      <c r="AG34" s="47"/>
      <c r="AH34" s="47"/>
      <c r="AI34" s="46"/>
      <c r="AJ34" s="46"/>
      <c r="AK34" s="46"/>
      <c r="AL34" s="7"/>
      <c r="AM34" s="49" t="str">
        <f aca="false">IF(OR(C34="",G34=""),"",IFERROR(DATEDIF(C34,G34,"m"),""))</f>
        <v/>
      </c>
      <c r="AN34" s="49" t="str">
        <f aca="false">IF(OR(Q34="",AM34=""),"",60+2*Q34-AM34)</f>
        <v/>
      </c>
      <c r="AO34" s="49" t="str">
        <f aca="false">IF(OR(G34="",AJ34=""),"",AJ34-G34)</f>
        <v/>
      </c>
      <c r="AP34" s="50" t="str">
        <f aca="false">IF(AND(A34="",B34=""),"",IF(J34="","Status needed",IF(OR(J34="Applied",J34="Visit booked",J34="Withdrawn"),"OK",IF(G34="","Date assessed needed",IF(C34="","Date of birth needed",IF(COUNTA(L34,M34,P34,U34,V34,X34,AB34)&lt;7,"Band missing",IF(AND(OR(J34="Decision confirmed",J34="Family told",J34="Enrolled"),AG34=""),"Recommendation needed",IF(AND(OR(J34="Family told",J34="Enrolled"),AJ34=""),"Date family told needed","OK"))))))))</f>
        <v/>
      </c>
    </row>
    <row r="35" customFormat="false" ht="15" hidden="false" customHeight="false" outlineLevel="0" collapsed="false">
      <c r="A35" s="7"/>
      <c r="B35" s="7"/>
      <c r="C35" s="46"/>
      <c r="D35" s="7"/>
      <c r="E35" s="47"/>
      <c r="F35" s="46"/>
      <c r="G35" s="46"/>
      <c r="H35" s="7"/>
      <c r="I35" s="7"/>
      <c r="J35" s="47"/>
      <c r="K35" s="47"/>
      <c r="L35" s="47"/>
      <c r="M35" s="47"/>
      <c r="N35" s="10"/>
      <c r="O35" s="47"/>
      <c r="P35" s="47"/>
      <c r="Q35" s="47"/>
      <c r="R35" s="48" t="str">
        <f aca="false">IF(Q35="","",IF(Q35=0,"below 5:00",IF(Q35&gt;=66,"16:00 or above",INT((60+2*Q35)/12)&amp;":"&amp;TEXT(MOD(60+2*Q35,12),"00"))))</f>
        <v/>
      </c>
      <c r="S35" s="47"/>
      <c r="T35" s="47"/>
      <c r="U35" s="47"/>
      <c r="V35" s="47"/>
      <c r="W35" s="47"/>
      <c r="X35" s="47"/>
      <c r="Y35" s="47"/>
      <c r="Z35" s="47"/>
      <c r="AA35" s="47"/>
      <c r="AB35" s="47"/>
      <c r="AC35" s="47"/>
      <c r="AD35" s="47"/>
      <c r="AE35" s="47"/>
      <c r="AF35" s="47"/>
      <c r="AG35" s="47"/>
      <c r="AH35" s="47"/>
      <c r="AI35" s="46"/>
      <c r="AJ35" s="46"/>
      <c r="AK35" s="46"/>
      <c r="AL35" s="7"/>
      <c r="AM35" s="49" t="str">
        <f aca="false">IF(OR(C35="",G35=""),"",IFERROR(DATEDIF(C35,G35,"m"),""))</f>
        <v/>
      </c>
      <c r="AN35" s="49" t="str">
        <f aca="false">IF(OR(Q35="",AM35=""),"",60+2*Q35-AM35)</f>
        <v/>
      </c>
      <c r="AO35" s="49" t="str">
        <f aca="false">IF(OR(G35="",AJ35=""),"",AJ35-G35)</f>
        <v/>
      </c>
      <c r="AP35" s="50" t="str">
        <f aca="false">IF(AND(A35="",B35=""),"",IF(J35="","Status needed",IF(OR(J35="Applied",J35="Visit booked",J35="Withdrawn"),"OK",IF(G35="","Date assessed needed",IF(C35="","Date of birth needed",IF(COUNTA(L35,M35,P35,U35,V35,X35,AB35)&lt;7,"Band missing",IF(AND(OR(J35="Decision confirmed",J35="Family told",J35="Enrolled"),AG35=""),"Recommendation needed",IF(AND(OR(J35="Family told",J35="Enrolled"),AJ35=""),"Date family told needed","OK"))))))))</f>
        <v/>
      </c>
    </row>
    <row r="36" customFormat="false" ht="15" hidden="false" customHeight="false" outlineLevel="0" collapsed="false">
      <c r="A36" s="7"/>
      <c r="B36" s="7"/>
      <c r="C36" s="46"/>
      <c r="D36" s="7"/>
      <c r="E36" s="47"/>
      <c r="F36" s="46"/>
      <c r="G36" s="46"/>
      <c r="H36" s="7"/>
      <c r="I36" s="7"/>
      <c r="J36" s="47"/>
      <c r="K36" s="47"/>
      <c r="L36" s="47"/>
      <c r="M36" s="47"/>
      <c r="N36" s="10"/>
      <c r="O36" s="47"/>
      <c r="P36" s="47"/>
      <c r="Q36" s="47"/>
      <c r="R36" s="48" t="str">
        <f aca="false">IF(Q36="","",IF(Q36=0,"below 5:00",IF(Q36&gt;=66,"16:00 or above",INT((60+2*Q36)/12)&amp;":"&amp;TEXT(MOD(60+2*Q36,12),"00"))))</f>
        <v/>
      </c>
      <c r="S36" s="47"/>
      <c r="T36" s="47"/>
      <c r="U36" s="47"/>
      <c r="V36" s="47"/>
      <c r="W36" s="47"/>
      <c r="X36" s="47"/>
      <c r="Y36" s="47"/>
      <c r="Z36" s="47"/>
      <c r="AA36" s="47"/>
      <c r="AB36" s="47"/>
      <c r="AC36" s="47"/>
      <c r="AD36" s="47"/>
      <c r="AE36" s="47"/>
      <c r="AF36" s="47"/>
      <c r="AG36" s="47"/>
      <c r="AH36" s="47"/>
      <c r="AI36" s="46"/>
      <c r="AJ36" s="46"/>
      <c r="AK36" s="46"/>
      <c r="AL36" s="7"/>
      <c r="AM36" s="49" t="str">
        <f aca="false">IF(OR(C36="",G36=""),"",IFERROR(DATEDIF(C36,G36,"m"),""))</f>
        <v/>
      </c>
      <c r="AN36" s="49" t="str">
        <f aca="false">IF(OR(Q36="",AM36=""),"",60+2*Q36-AM36)</f>
        <v/>
      </c>
      <c r="AO36" s="49" t="str">
        <f aca="false">IF(OR(G36="",AJ36=""),"",AJ36-G36)</f>
        <v/>
      </c>
      <c r="AP36" s="50" t="str">
        <f aca="false">IF(AND(A36="",B36=""),"",IF(J36="","Status needed",IF(OR(J36="Applied",J36="Visit booked",J36="Withdrawn"),"OK",IF(G36="","Date assessed needed",IF(C36="","Date of birth needed",IF(COUNTA(L36,M36,P36,U36,V36,X36,AB36)&lt;7,"Band missing",IF(AND(OR(J36="Decision confirmed",J36="Family told",J36="Enrolled"),AG36=""),"Recommendation needed",IF(AND(OR(J36="Family told",J36="Enrolled"),AJ36=""),"Date family told needed","OK"))))))))</f>
        <v/>
      </c>
    </row>
    <row r="37" customFormat="false" ht="15" hidden="false" customHeight="false" outlineLevel="0" collapsed="false">
      <c r="A37" s="7"/>
      <c r="B37" s="7"/>
      <c r="C37" s="46"/>
      <c r="D37" s="7"/>
      <c r="E37" s="47"/>
      <c r="F37" s="46"/>
      <c r="G37" s="46"/>
      <c r="H37" s="7"/>
      <c r="I37" s="7"/>
      <c r="J37" s="47"/>
      <c r="K37" s="47"/>
      <c r="L37" s="47"/>
      <c r="M37" s="47"/>
      <c r="N37" s="10"/>
      <c r="O37" s="47"/>
      <c r="P37" s="47"/>
      <c r="Q37" s="47"/>
      <c r="R37" s="48" t="str">
        <f aca="false">IF(Q37="","",IF(Q37=0,"below 5:00",IF(Q37&gt;=66,"16:00 or above",INT((60+2*Q37)/12)&amp;":"&amp;TEXT(MOD(60+2*Q37,12),"00"))))</f>
        <v/>
      </c>
      <c r="S37" s="47"/>
      <c r="T37" s="47"/>
      <c r="U37" s="47"/>
      <c r="V37" s="47"/>
      <c r="W37" s="47"/>
      <c r="X37" s="47"/>
      <c r="Y37" s="47"/>
      <c r="Z37" s="47"/>
      <c r="AA37" s="47"/>
      <c r="AB37" s="47"/>
      <c r="AC37" s="47"/>
      <c r="AD37" s="47"/>
      <c r="AE37" s="47"/>
      <c r="AF37" s="47"/>
      <c r="AG37" s="47"/>
      <c r="AH37" s="47"/>
      <c r="AI37" s="46"/>
      <c r="AJ37" s="46"/>
      <c r="AK37" s="46"/>
      <c r="AL37" s="7"/>
      <c r="AM37" s="49" t="str">
        <f aca="false">IF(OR(C37="",G37=""),"",IFERROR(DATEDIF(C37,G37,"m"),""))</f>
        <v/>
      </c>
      <c r="AN37" s="49" t="str">
        <f aca="false">IF(OR(Q37="",AM37=""),"",60+2*Q37-AM37)</f>
        <v/>
      </c>
      <c r="AO37" s="49" t="str">
        <f aca="false">IF(OR(G37="",AJ37=""),"",AJ37-G37)</f>
        <v/>
      </c>
      <c r="AP37" s="50" t="str">
        <f aca="false">IF(AND(A37="",B37=""),"",IF(J37="","Status needed",IF(OR(J37="Applied",J37="Visit booked",J37="Withdrawn"),"OK",IF(G37="","Date assessed needed",IF(C37="","Date of birth needed",IF(COUNTA(L37,M37,P37,U37,V37,X37,AB37)&lt;7,"Band missing",IF(AND(OR(J37="Decision confirmed",J37="Family told",J37="Enrolled"),AG37=""),"Recommendation needed",IF(AND(OR(J37="Family told",J37="Enrolled"),AJ37=""),"Date family told needed","OK"))))))))</f>
        <v/>
      </c>
    </row>
    <row r="38" customFormat="false" ht="15" hidden="false" customHeight="false" outlineLevel="0" collapsed="false">
      <c r="A38" s="7"/>
      <c r="B38" s="7"/>
      <c r="C38" s="46"/>
      <c r="D38" s="7"/>
      <c r="E38" s="47"/>
      <c r="F38" s="46"/>
      <c r="G38" s="46"/>
      <c r="H38" s="7"/>
      <c r="I38" s="7"/>
      <c r="J38" s="47"/>
      <c r="K38" s="47"/>
      <c r="L38" s="47"/>
      <c r="M38" s="47"/>
      <c r="N38" s="10"/>
      <c r="O38" s="47"/>
      <c r="P38" s="47"/>
      <c r="Q38" s="47"/>
      <c r="R38" s="48" t="str">
        <f aca="false">IF(Q38="","",IF(Q38=0,"below 5:00",IF(Q38&gt;=66,"16:00 or above",INT((60+2*Q38)/12)&amp;":"&amp;TEXT(MOD(60+2*Q38,12),"00"))))</f>
        <v/>
      </c>
      <c r="S38" s="47"/>
      <c r="T38" s="47"/>
      <c r="U38" s="47"/>
      <c r="V38" s="47"/>
      <c r="W38" s="47"/>
      <c r="X38" s="47"/>
      <c r="Y38" s="47"/>
      <c r="Z38" s="47"/>
      <c r="AA38" s="47"/>
      <c r="AB38" s="47"/>
      <c r="AC38" s="47"/>
      <c r="AD38" s="47"/>
      <c r="AE38" s="47"/>
      <c r="AF38" s="47"/>
      <c r="AG38" s="47"/>
      <c r="AH38" s="47"/>
      <c r="AI38" s="46"/>
      <c r="AJ38" s="46"/>
      <c r="AK38" s="46"/>
      <c r="AL38" s="7"/>
      <c r="AM38" s="49" t="str">
        <f aca="false">IF(OR(C38="",G38=""),"",IFERROR(DATEDIF(C38,G38,"m"),""))</f>
        <v/>
      </c>
      <c r="AN38" s="49" t="str">
        <f aca="false">IF(OR(Q38="",AM38=""),"",60+2*Q38-AM38)</f>
        <v/>
      </c>
      <c r="AO38" s="49" t="str">
        <f aca="false">IF(OR(G38="",AJ38=""),"",AJ38-G38)</f>
        <v/>
      </c>
      <c r="AP38" s="50" t="str">
        <f aca="false">IF(AND(A38="",B38=""),"",IF(J38="","Status needed",IF(OR(J38="Applied",J38="Visit booked",J38="Withdrawn"),"OK",IF(G38="","Date assessed needed",IF(C38="","Date of birth needed",IF(COUNTA(L38,M38,P38,U38,V38,X38,AB38)&lt;7,"Band missing",IF(AND(OR(J38="Decision confirmed",J38="Family told",J38="Enrolled"),AG38=""),"Recommendation needed",IF(AND(OR(J38="Family told",J38="Enrolled"),AJ38=""),"Date family told needed","OK"))))))))</f>
        <v/>
      </c>
    </row>
    <row r="39" customFormat="false" ht="15" hidden="false" customHeight="false" outlineLevel="0" collapsed="false">
      <c r="A39" s="7"/>
      <c r="B39" s="7"/>
      <c r="C39" s="46"/>
      <c r="D39" s="7"/>
      <c r="E39" s="47"/>
      <c r="F39" s="46"/>
      <c r="G39" s="46"/>
      <c r="H39" s="7"/>
      <c r="I39" s="7"/>
      <c r="J39" s="47"/>
      <c r="K39" s="47"/>
      <c r="L39" s="47"/>
      <c r="M39" s="47"/>
      <c r="N39" s="10"/>
      <c r="O39" s="47"/>
      <c r="P39" s="47"/>
      <c r="Q39" s="47"/>
      <c r="R39" s="48" t="str">
        <f aca="false">IF(Q39="","",IF(Q39=0,"below 5:00",IF(Q39&gt;=66,"16:00 or above",INT((60+2*Q39)/12)&amp;":"&amp;TEXT(MOD(60+2*Q39,12),"00"))))</f>
        <v/>
      </c>
      <c r="S39" s="47"/>
      <c r="T39" s="47"/>
      <c r="U39" s="47"/>
      <c r="V39" s="47"/>
      <c r="W39" s="47"/>
      <c r="X39" s="47"/>
      <c r="Y39" s="47"/>
      <c r="Z39" s="47"/>
      <c r="AA39" s="47"/>
      <c r="AB39" s="47"/>
      <c r="AC39" s="47"/>
      <c r="AD39" s="47"/>
      <c r="AE39" s="47"/>
      <c r="AF39" s="47"/>
      <c r="AG39" s="47"/>
      <c r="AH39" s="47"/>
      <c r="AI39" s="46"/>
      <c r="AJ39" s="46"/>
      <c r="AK39" s="46"/>
      <c r="AL39" s="7"/>
      <c r="AM39" s="49" t="str">
        <f aca="false">IF(OR(C39="",G39=""),"",IFERROR(DATEDIF(C39,G39,"m"),""))</f>
        <v/>
      </c>
      <c r="AN39" s="49" t="str">
        <f aca="false">IF(OR(Q39="",AM39=""),"",60+2*Q39-AM39)</f>
        <v/>
      </c>
      <c r="AO39" s="49" t="str">
        <f aca="false">IF(OR(G39="",AJ39=""),"",AJ39-G39)</f>
        <v/>
      </c>
      <c r="AP39" s="50" t="str">
        <f aca="false">IF(AND(A39="",B39=""),"",IF(J39="","Status needed",IF(OR(J39="Applied",J39="Visit booked",J39="Withdrawn"),"OK",IF(G39="","Date assessed needed",IF(C39="","Date of birth needed",IF(COUNTA(L39,M39,P39,U39,V39,X39,AB39)&lt;7,"Band missing",IF(AND(OR(J39="Decision confirmed",J39="Family told",J39="Enrolled"),AG39=""),"Recommendation needed",IF(AND(OR(J39="Family told",J39="Enrolled"),AJ39=""),"Date family told needed","OK"))))))))</f>
        <v/>
      </c>
    </row>
    <row r="40" customFormat="false" ht="15" hidden="false" customHeight="false" outlineLevel="0" collapsed="false">
      <c r="A40" s="7"/>
      <c r="B40" s="7"/>
      <c r="C40" s="46"/>
      <c r="D40" s="7"/>
      <c r="E40" s="47"/>
      <c r="F40" s="46"/>
      <c r="G40" s="46"/>
      <c r="H40" s="7"/>
      <c r="I40" s="7"/>
      <c r="J40" s="47"/>
      <c r="K40" s="47"/>
      <c r="L40" s="47"/>
      <c r="M40" s="47"/>
      <c r="N40" s="10"/>
      <c r="O40" s="47"/>
      <c r="P40" s="47"/>
      <c r="Q40" s="47"/>
      <c r="R40" s="48" t="str">
        <f aca="false">IF(Q40="","",IF(Q40=0,"below 5:00",IF(Q40&gt;=66,"16:00 or above",INT((60+2*Q40)/12)&amp;":"&amp;TEXT(MOD(60+2*Q40,12),"00"))))</f>
        <v/>
      </c>
      <c r="S40" s="47"/>
      <c r="T40" s="47"/>
      <c r="U40" s="47"/>
      <c r="V40" s="47"/>
      <c r="W40" s="47"/>
      <c r="X40" s="47"/>
      <c r="Y40" s="47"/>
      <c r="Z40" s="47"/>
      <c r="AA40" s="47"/>
      <c r="AB40" s="47"/>
      <c r="AC40" s="47"/>
      <c r="AD40" s="47"/>
      <c r="AE40" s="47"/>
      <c r="AF40" s="47"/>
      <c r="AG40" s="47"/>
      <c r="AH40" s="47"/>
      <c r="AI40" s="46"/>
      <c r="AJ40" s="46"/>
      <c r="AK40" s="46"/>
      <c r="AL40" s="7"/>
      <c r="AM40" s="49" t="str">
        <f aca="false">IF(OR(C40="",G40=""),"",IFERROR(DATEDIF(C40,G40,"m"),""))</f>
        <v/>
      </c>
      <c r="AN40" s="49" t="str">
        <f aca="false">IF(OR(Q40="",AM40=""),"",60+2*Q40-AM40)</f>
        <v/>
      </c>
      <c r="AO40" s="49" t="str">
        <f aca="false">IF(OR(G40="",AJ40=""),"",AJ40-G40)</f>
        <v/>
      </c>
      <c r="AP40" s="50" t="str">
        <f aca="false">IF(AND(A40="",B40=""),"",IF(J40="","Status needed",IF(OR(J40="Applied",J40="Visit booked",J40="Withdrawn"),"OK",IF(G40="","Date assessed needed",IF(C40="","Date of birth needed",IF(COUNTA(L40,M40,P40,U40,V40,X40,AB40)&lt;7,"Band missing",IF(AND(OR(J40="Decision confirmed",J40="Family told",J40="Enrolled"),AG40=""),"Recommendation needed",IF(AND(OR(J40="Family told",J40="Enrolled"),AJ40=""),"Date family told needed","OK"))))))))</f>
        <v/>
      </c>
    </row>
    <row r="41" customFormat="false" ht="15" hidden="false" customHeight="false" outlineLevel="0" collapsed="false">
      <c r="A41" s="7"/>
      <c r="B41" s="7"/>
      <c r="C41" s="46"/>
      <c r="D41" s="7"/>
      <c r="E41" s="47"/>
      <c r="F41" s="46"/>
      <c r="G41" s="46"/>
      <c r="H41" s="7"/>
      <c r="I41" s="7"/>
      <c r="J41" s="47"/>
      <c r="K41" s="47"/>
      <c r="L41" s="47"/>
      <c r="M41" s="47"/>
      <c r="N41" s="10"/>
      <c r="O41" s="47"/>
      <c r="P41" s="47"/>
      <c r="Q41" s="47"/>
      <c r="R41" s="48" t="str">
        <f aca="false">IF(Q41="","",IF(Q41=0,"below 5:00",IF(Q41&gt;=66,"16:00 or above",INT((60+2*Q41)/12)&amp;":"&amp;TEXT(MOD(60+2*Q41,12),"00"))))</f>
        <v/>
      </c>
      <c r="S41" s="47"/>
      <c r="T41" s="47"/>
      <c r="U41" s="47"/>
      <c r="V41" s="47"/>
      <c r="W41" s="47"/>
      <c r="X41" s="47"/>
      <c r="Y41" s="47"/>
      <c r="Z41" s="47"/>
      <c r="AA41" s="47"/>
      <c r="AB41" s="47"/>
      <c r="AC41" s="47"/>
      <c r="AD41" s="47"/>
      <c r="AE41" s="47"/>
      <c r="AF41" s="47"/>
      <c r="AG41" s="47"/>
      <c r="AH41" s="47"/>
      <c r="AI41" s="46"/>
      <c r="AJ41" s="46"/>
      <c r="AK41" s="46"/>
      <c r="AL41" s="7"/>
      <c r="AM41" s="49" t="str">
        <f aca="false">IF(OR(C41="",G41=""),"",IFERROR(DATEDIF(C41,G41,"m"),""))</f>
        <v/>
      </c>
      <c r="AN41" s="49" t="str">
        <f aca="false">IF(OR(Q41="",AM41=""),"",60+2*Q41-AM41)</f>
        <v/>
      </c>
      <c r="AO41" s="49" t="str">
        <f aca="false">IF(OR(G41="",AJ41=""),"",AJ41-G41)</f>
        <v/>
      </c>
      <c r="AP41" s="50" t="str">
        <f aca="false">IF(AND(A41="",B41=""),"",IF(J41="","Status needed",IF(OR(J41="Applied",J41="Visit booked",J41="Withdrawn"),"OK",IF(G41="","Date assessed needed",IF(C41="","Date of birth needed",IF(COUNTA(L41,M41,P41,U41,V41,X41,AB41)&lt;7,"Band missing",IF(AND(OR(J41="Decision confirmed",J41="Family told",J41="Enrolled"),AG41=""),"Recommendation needed",IF(AND(OR(J41="Family told",J41="Enrolled"),AJ41=""),"Date family told needed","OK"))))))))</f>
        <v/>
      </c>
    </row>
    <row r="42" customFormat="false" ht="15" hidden="false" customHeight="false" outlineLevel="0" collapsed="false">
      <c r="A42" s="7"/>
      <c r="B42" s="7"/>
      <c r="C42" s="46"/>
      <c r="D42" s="7"/>
      <c r="E42" s="47"/>
      <c r="F42" s="46"/>
      <c r="G42" s="46"/>
      <c r="H42" s="7"/>
      <c r="I42" s="7"/>
      <c r="J42" s="47"/>
      <c r="K42" s="47"/>
      <c r="L42" s="47"/>
      <c r="M42" s="47"/>
      <c r="N42" s="10"/>
      <c r="O42" s="47"/>
      <c r="P42" s="47"/>
      <c r="Q42" s="47"/>
      <c r="R42" s="48" t="str">
        <f aca="false">IF(Q42="","",IF(Q42=0,"below 5:00",IF(Q42&gt;=66,"16:00 or above",INT((60+2*Q42)/12)&amp;":"&amp;TEXT(MOD(60+2*Q42,12),"00"))))</f>
        <v/>
      </c>
      <c r="S42" s="47"/>
      <c r="T42" s="47"/>
      <c r="U42" s="47"/>
      <c r="V42" s="47"/>
      <c r="W42" s="47"/>
      <c r="X42" s="47"/>
      <c r="Y42" s="47"/>
      <c r="Z42" s="47"/>
      <c r="AA42" s="47"/>
      <c r="AB42" s="47"/>
      <c r="AC42" s="47"/>
      <c r="AD42" s="47"/>
      <c r="AE42" s="47"/>
      <c r="AF42" s="47"/>
      <c r="AG42" s="47"/>
      <c r="AH42" s="47"/>
      <c r="AI42" s="46"/>
      <c r="AJ42" s="46"/>
      <c r="AK42" s="46"/>
      <c r="AL42" s="7"/>
      <c r="AM42" s="49" t="str">
        <f aca="false">IF(OR(C42="",G42=""),"",IFERROR(DATEDIF(C42,G42,"m"),""))</f>
        <v/>
      </c>
      <c r="AN42" s="49" t="str">
        <f aca="false">IF(OR(Q42="",AM42=""),"",60+2*Q42-AM42)</f>
        <v/>
      </c>
      <c r="AO42" s="49" t="str">
        <f aca="false">IF(OR(G42="",AJ42=""),"",AJ42-G42)</f>
        <v/>
      </c>
      <c r="AP42" s="50" t="str">
        <f aca="false">IF(AND(A42="",B42=""),"",IF(J42="","Status needed",IF(OR(J42="Applied",J42="Visit booked",J42="Withdrawn"),"OK",IF(G42="","Date assessed needed",IF(C42="","Date of birth needed",IF(COUNTA(L42,M42,P42,U42,V42,X42,AB42)&lt;7,"Band missing",IF(AND(OR(J42="Decision confirmed",J42="Family told",J42="Enrolled"),AG42=""),"Recommendation needed",IF(AND(OR(J42="Family told",J42="Enrolled"),AJ42=""),"Date family told needed","OK"))))))))</f>
        <v/>
      </c>
    </row>
    <row r="43" customFormat="false" ht="15" hidden="false" customHeight="false" outlineLevel="0" collapsed="false">
      <c r="A43" s="7"/>
      <c r="B43" s="7"/>
      <c r="C43" s="46"/>
      <c r="D43" s="7"/>
      <c r="E43" s="47"/>
      <c r="F43" s="46"/>
      <c r="G43" s="46"/>
      <c r="H43" s="7"/>
      <c r="I43" s="7"/>
      <c r="J43" s="47"/>
      <c r="K43" s="47"/>
      <c r="L43" s="47"/>
      <c r="M43" s="47"/>
      <c r="N43" s="10"/>
      <c r="O43" s="47"/>
      <c r="P43" s="47"/>
      <c r="Q43" s="47"/>
      <c r="R43" s="48" t="str">
        <f aca="false">IF(Q43="","",IF(Q43=0,"below 5:00",IF(Q43&gt;=66,"16:00 or above",INT((60+2*Q43)/12)&amp;":"&amp;TEXT(MOD(60+2*Q43,12),"00"))))</f>
        <v/>
      </c>
      <c r="S43" s="47"/>
      <c r="T43" s="47"/>
      <c r="U43" s="47"/>
      <c r="V43" s="47"/>
      <c r="W43" s="47"/>
      <c r="X43" s="47"/>
      <c r="Y43" s="47"/>
      <c r="Z43" s="47"/>
      <c r="AA43" s="47"/>
      <c r="AB43" s="47"/>
      <c r="AC43" s="47"/>
      <c r="AD43" s="47"/>
      <c r="AE43" s="47"/>
      <c r="AF43" s="47"/>
      <c r="AG43" s="47"/>
      <c r="AH43" s="47"/>
      <c r="AI43" s="46"/>
      <c r="AJ43" s="46"/>
      <c r="AK43" s="46"/>
      <c r="AL43" s="7"/>
      <c r="AM43" s="49" t="str">
        <f aca="false">IF(OR(C43="",G43=""),"",IFERROR(DATEDIF(C43,G43,"m"),""))</f>
        <v/>
      </c>
      <c r="AN43" s="49" t="str">
        <f aca="false">IF(OR(Q43="",AM43=""),"",60+2*Q43-AM43)</f>
        <v/>
      </c>
      <c r="AO43" s="49" t="str">
        <f aca="false">IF(OR(G43="",AJ43=""),"",AJ43-G43)</f>
        <v/>
      </c>
      <c r="AP43" s="50" t="str">
        <f aca="false">IF(AND(A43="",B43=""),"",IF(J43="","Status needed",IF(OR(J43="Applied",J43="Visit booked",J43="Withdrawn"),"OK",IF(G43="","Date assessed needed",IF(C43="","Date of birth needed",IF(COUNTA(L43,M43,P43,U43,V43,X43,AB43)&lt;7,"Band missing",IF(AND(OR(J43="Decision confirmed",J43="Family told",J43="Enrolled"),AG43=""),"Recommendation needed",IF(AND(OR(J43="Family told",J43="Enrolled"),AJ43=""),"Date family told needed","OK"))))))))</f>
        <v/>
      </c>
    </row>
    <row r="44" customFormat="false" ht="15" hidden="false" customHeight="false" outlineLevel="0" collapsed="false">
      <c r="A44" s="7"/>
      <c r="B44" s="7"/>
      <c r="C44" s="46"/>
      <c r="D44" s="7"/>
      <c r="E44" s="47"/>
      <c r="F44" s="46"/>
      <c r="G44" s="46"/>
      <c r="H44" s="7"/>
      <c r="I44" s="7"/>
      <c r="J44" s="47"/>
      <c r="K44" s="47"/>
      <c r="L44" s="47"/>
      <c r="M44" s="47"/>
      <c r="N44" s="10"/>
      <c r="O44" s="47"/>
      <c r="P44" s="47"/>
      <c r="Q44" s="47"/>
      <c r="R44" s="48" t="str">
        <f aca="false">IF(Q44="","",IF(Q44=0,"below 5:00",IF(Q44&gt;=66,"16:00 or above",INT((60+2*Q44)/12)&amp;":"&amp;TEXT(MOD(60+2*Q44,12),"00"))))</f>
        <v/>
      </c>
      <c r="S44" s="47"/>
      <c r="T44" s="47"/>
      <c r="U44" s="47"/>
      <c r="V44" s="47"/>
      <c r="W44" s="47"/>
      <c r="X44" s="47"/>
      <c r="Y44" s="47"/>
      <c r="Z44" s="47"/>
      <c r="AA44" s="47"/>
      <c r="AB44" s="47"/>
      <c r="AC44" s="47"/>
      <c r="AD44" s="47"/>
      <c r="AE44" s="47"/>
      <c r="AF44" s="47"/>
      <c r="AG44" s="47"/>
      <c r="AH44" s="47"/>
      <c r="AI44" s="46"/>
      <c r="AJ44" s="46"/>
      <c r="AK44" s="46"/>
      <c r="AL44" s="7"/>
      <c r="AM44" s="49" t="str">
        <f aca="false">IF(OR(C44="",G44=""),"",IFERROR(DATEDIF(C44,G44,"m"),""))</f>
        <v/>
      </c>
      <c r="AN44" s="49" t="str">
        <f aca="false">IF(OR(Q44="",AM44=""),"",60+2*Q44-AM44)</f>
        <v/>
      </c>
      <c r="AO44" s="49" t="str">
        <f aca="false">IF(OR(G44="",AJ44=""),"",AJ44-G44)</f>
        <v/>
      </c>
      <c r="AP44" s="50" t="str">
        <f aca="false">IF(AND(A44="",B44=""),"",IF(J44="","Status needed",IF(OR(J44="Applied",J44="Visit booked",J44="Withdrawn"),"OK",IF(G44="","Date assessed needed",IF(C44="","Date of birth needed",IF(COUNTA(L44,M44,P44,U44,V44,X44,AB44)&lt;7,"Band missing",IF(AND(OR(J44="Decision confirmed",J44="Family told",J44="Enrolled"),AG44=""),"Recommendation needed",IF(AND(OR(J44="Family told",J44="Enrolled"),AJ44=""),"Date family told needed","OK"))))))))</f>
        <v/>
      </c>
    </row>
    <row r="45" customFormat="false" ht="15" hidden="false" customHeight="false" outlineLevel="0" collapsed="false">
      <c r="A45" s="7"/>
      <c r="B45" s="7"/>
      <c r="C45" s="46"/>
      <c r="D45" s="7"/>
      <c r="E45" s="47"/>
      <c r="F45" s="46"/>
      <c r="G45" s="46"/>
      <c r="H45" s="7"/>
      <c r="I45" s="7"/>
      <c r="J45" s="47"/>
      <c r="K45" s="47"/>
      <c r="L45" s="47"/>
      <c r="M45" s="47"/>
      <c r="N45" s="10"/>
      <c r="O45" s="47"/>
      <c r="P45" s="47"/>
      <c r="Q45" s="47"/>
      <c r="R45" s="48" t="str">
        <f aca="false">IF(Q45="","",IF(Q45=0,"below 5:00",IF(Q45&gt;=66,"16:00 or above",INT((60+2*Q45)/12)&amp;":"&amp;TEXT(MOD(60+2*Q45,12),"00"))))</f>
        <v/>
      </c>
      <c r="S45" s="47"/>
      <c r="T45" s="47"/>
      <c r="U45" s="47"/>
      <c r="V45" s="47"/>
      <c r="W45" s="47"/>
      <c r="X45" s="47"/>
      <c r="Y45" s="47"/>
      <c r="Z45" s="47"/>
      <c r="AA45" s="47"/>
      <c r="AB45" s="47"/>
      <c r="AC45" s="47"/>
      <c r="AD45" s="47"/>
      <c r="AE45" s="47"/>
      <c r="AF45" s="47"/>
      <c r="AG45" s="47"/>
      <c r="AH45" s="47"/>
      <c r="AI45" s="46"/>
      <c r="AJ45" s="46"/>
      <c r="AK45" s="46"/>
      <c r="AL45" s="7"/>
      <c r="AM45" s="49" t="str">
        <f aca="false">IF(OR(C45="",G45=""),"",IFERROR(DATEDIF(C45,G45,"m"),""))</f>
        <v/>
      </c>
      <c r="AN45" s="49" t="str">
        <f aca="false">IF(OR(Q45="",AM45=""),"",60+2*Q45-AM45)</f>
        <v/>
      </c>
      <c r="AO45" s="49" t="str">
        <f aca="false">IF(OR(G45="",AJ45=""),"",AJ45-G45)</f>
        <v/>
      </c>
      <c r="AP45" s="50" t="str">
        <f aca="false">IF(AND(A45="",B45=""),"",IF(J45="","Status needed",IF(OR(J45="Applied",J45="Visit booked",J45="Withdrawn"),"OK",IF(G45="","Date assessed needed",IF(C45="","Date of birth needed",IF(COUNTA(L45,M45,P45,U45,V45,X45,AB45)&lt;7,"Band missing",IF(AND(OR(J45="Decision confirmed",J45="Family told",J45="Enrolled"),AG45=""),"Recommendation needed",IF(AND(OR(J45="Family told",J45="Enrolled"),AJ45=""),"Date family told needed","OK"))))))))</f>
        <v/>
      </c>
    </row>
    <row r="46" customFormat="false" ht="15" hidden="false" customHeight="false" outlineLevel="0" collapsed="false">
      <c r="A46" s="7"/>
      <c r="B46" s="7"/>
      <c r="C46" s="46"/>
      <c r="D46" s="7"/>
      <c r="E46" s="47"/>
      <c r="F46" s="46"/>
      <c r="G46" s="46"/>
      <c r="H46" s="7"/>
      <c r="I46" s="7"/>
      <c r="J46" s="47"/>
      <c r="K46" s="47"/>
      <c r="L46" s="47"/>
      <c r="M46" s="47"/>
      <c r="N46" s="10"/>
      <c r="O46" s="47"/>
      <c r="P46" s="47"/>
      <c r="Q46" s="47"/>
      <c r="R46" s="48" t="str">
        <f aca="false">IF(Q46="","",IF(Q46=0,"below 5:00",IF(Q46&gt;=66,"16:00 or above",INT((60+2*Q46)/12)&amp;":"&amp;TEXT(MOD(60+2*Q46,12),"00"))))</f>
        <v/>
      </c>
      <c r="S46" s="47"/>
      <c r="T46" s="47"/>
      <c r="U46" s="47"/>
      <c r="V46" s="47"/>
      <c r="W46" s="47"/>
      <c r="X46" s="47"/>
      <c r="Y46" s="47"/>
      <c r="Z46" s="47"/>
      <c r="AA46" s="47"/>
      <c r="AB46" s="47"/>
      <c r="AC46" s="47"/>
      <c r="AD46" s="47"/>
      <c r="AE46" s="47"/>
      <c r="AF46" s="47"/>
      <c r="AG46" s="47"/>
      <c r="AH46" s="47"/>
      <c r="AI46" s="46"/>
      <c r="AJ46" s="46"/>
      <c r="AK46" s="46"/>
      <c r="AL46" s="7"/>
      <c r="AM46" s="49" t="str">
        <f aca="false">IF(OR(C46="",G46=""),"",IFERROR(DATEDIF(C46,G46,"m"),""))</f>
        <v/>
      </c>
      <c r="AN46" s="49" t="str">
        <f aca="false">IF(OR(Q46="",AM46=""),"",60+2*Q46-AM46)</f>
        <v/>
      </c>
      <c r="AO46" s="49" t="str">
        <f aca="false">IF(OR(G46="",AJ46=""),"",AJ46-G46)</f>
        <v/>
      </c>
      <c r="AP46" s="50" t="str">
        <f aca="false">IF(AND(A46="",B46=""),"",IF(J46="","Status needed",IF(OR(J46="Applied",J46="Visit booked",J46="Withdrawn"),"OK",IF(G46="","Date assessed needed",IF(C46="","Date of birth needed",IF(COUNTA(L46,M46,P46,U46,V46,X46,AB46)&lt;7,"Band missing",IF(AND(OR(J46="Decision confirmed",J46="Family told",J46="Enrolled"),AG46=""),"Recommendation needed",IF(AND(OR(J46="Family told",J46="Enrolled"),AJ46=""),"Date family told needed","OK"))))))))</f>
        <v/>
      </c>
    </row>
    <row r="47" customFormat="false" ht="15" hidden="false" customHeight="false" outlineLevel="0" collapsed="false">
      <c r="A47" s="7"/>
      <c r="B47" s="7"/>
      <c r="C47" s="46"/>
      <c r="D47" s="7"/>
      <c r="E47" s="47"/>
      <c r="F47" s="46"/>
      <c r="G47" s="46"/>
      <c r="H47" s="7"/>
      <c r="I47" s="7"/>
      <c r="J47" s="47"/>
      <c r="K47" s="47"/>
      <c r="L47" s="47"/>
      <c r="M47" s="47"/>
      <c r="N47" s="10"/>
      <c r="O47" s="47"/>
      <c r="P47" s="47"/>
      <c r="Q47" s="47"/>
      <c r="R47" s="48" t="str">
        <f aca="false">IF(Q47="","",IF(Q47=0,"below 5:00",IF(Q47&gt;=66,"16:00 or above",INT((60+2*Q47)/12)&amp;":"&amp;TEXT(MOD(60+2*Q47,12),"00"))))</f>
        <v/>
      </c>
      <c r="S47" s="47"/>
      <c r="T47" s="47"/>
      <c r="U47" s="47"/>
      <c r="V47" s="47"/>
      <c r="W47" s="47"/>
      <c r="X47" s="47"/>
      <c r="Y47" s="47"/>
      <c r="Z47" s="47"/>
      <c r="AA47" s="47"/>
      <c r="AB47" s="47"/>
      <c r="AC47" s="47"/>
      <c r="AD47" s="47"/>
      <c r="AE47" s="47"/>
      <c r="AF47" s="47"/>
      <c r="AG47" s="47"/>
      <c r="AH47" s="47"/>
      <c r="AI47" s="46"/>
      <c r="AJ47" s="46"/>
      <c r="AK47" s="46"/>
      <c r="AL47" s="7"/>
      <c r="AM47" s="49" t="str">
        <f aca="false">IF(OR(C47="",G47=""),"",IFERROR(DATEDIF(C47,G47,"m"),""))</f>
        <v/>
      </c>
      <c r="AN47" s="49" t="str">
        <f aca="false">IF(OR(Q47="",AM47=""),"",60+2*Q47-AM47)</f>
        <v/>
      </c>
      <c r="AO47" s="49" t="str">
        <f aca="false">IF(OR(G47="",AJ47=""),"",AJ47-G47)</f>
        <v/>
      </c>
      <c r="AP47" s="50" t="str">
        <f aca="false">IF(AND(A47="",B47=""),"",IF(J47="","Status needed",IF(OR(J47="Applied",J47="Visit booked",J47="Withdrawn"),"OK",IF(G47="","Date assessed needed",IF(C47="","Date of birth needed",IF(COUNTA(L47,M47,P47,U47,V47,X47,AB47)&lt;7,"Band missing",IF(AND(OR(J47="Decision confirmed",J47="Family told",J47="Enrolled"),AG47=""),"Recommendation needed",IF(AND(OR(J47="Family told",J47="Enrolled"),AJ47=""),"Date family told needed","OK"))))))))</f>
        <v/>
      </c>
    </row>
    <row r="48" customFormat="false" ht="15" hidden="false" customHeight="false" outlineLevel="0" collapsed="false">
      <c r="A48" s="7"/>
      <c r="B48" s="7"/>
      <c r="C48" s="46"/>
      <c r="D48" s="7"/>
      <c r="E48" s="47"/>
      <c r="F48" s="46"/>
      <c r="G48" s="46"/>
      <c r="H48" s="7"/>
      <c r="I48" s="7"/>
      <c r="J48" s="47"/>
      <c r="K48" s="47"/>
      <c r="L48" s="47"/>
      <c r="M48" s="47"/>
      <c r="N48" s="10"/>
      <c r="O48" s="47"/>
      <c r="P48" s="47"/>
      <c r="Q48" s="47"/>
      <c r="R48" s="48" t="str">
        <f aca="false">IF(Q48="","",IF(Q48=0,"below 5:00",IF(Q48&gt;=66,"16:00 or above",INT((60+2*Q48)/12)&amp;":"&amp;TEXT(MOD(60+2*Q48,12),"00"))))</f>
        <v/>
      </c>
      <c r="S48" s="47"/>
      <c r="T48" s="47"/>
      <c r="U48" s="47"/>
      <c r="V48" s="47"/>
      <c r="W48" s="47"/>
      <c r="X48" s="47"/>
      <c r="Y48" s="47"/>
      <c r="Z48" s="47"/>
      <c r="AA48" s="47"/>
      <c r="AB48" s="47"/>
      <c r="AC48" s="47"/>
      <c r="AD48" s="47"/>
      <c r="AE48" s="47"/>
      <c r="AF48" s="47"/>
      <c r="AG48" s="47"/>
      <c r="AH48" s="47"/>
      <c r="AI48" s="46"/>
      <c r="AJ48" s="46"/>
      <c r="AK48" s="46"/>
      <c r="AL48" s="7"/>
      <c r="AM48" s="49" t="str">
        <f aca="false">IF(OR(C48="",G48=""),"",IFERROR(DATEDIF(C48,G48,"m"),""))</f>
        <v/>
      </c>
      <c r="AN48" s="49" t="str">
        <f aca="false">IF(OR(Q48="",AM48=""),"",60+2*Q48-AM48)</f>
        <v/>
      </c>
      <c r="AO48" s="49" t="str">
        <f aca="false">IF(OR(G48="",AJ48=""),"",AJ48-G48)</f>
        <v/>
      </c>
      <c r="AP48" s="50" t="str">
        <f aca="false">IF(AND(A48="",B48=""),"",IF(J48="","Status needed",IF(OR(J48="Applied",J48="Visit booked",J48="Withdrawn"),"OK",IF(G48="","Date assessed needed",IF(C48="","Date of birth needed",IF(COUNTA(L48,M48,P48,U48,V48,X48,AB48)&lt;7,"Band missing",IF(AND(OR(J48="Decision confirmed",J48="Family told",J48="Enrolled"),AG48=""),"Recommendation needed",IF(AND(OR(J48="Family told",J48="Enrolled"),AJ48=""),"Date family told needed","OK"))))))))</f>
        <v/>
      </c>
    </row>
    <row r="49" customFormat="false" ht="15" hidden="false" customHeight="false" outlineLevel="0" collapsed="false">
      <c r="A49" s="7"/>
      <c r="B49" s="7"/>
      <c r="C49" s="46"/>
      <c r="D49" s="7"/>
      <c r="E49" s="47"/>
      <c r="F49" s="46"/>
      <c r="G49" s="46"/>
      <c r="H49" s="7"/>
      <c r="I49" s="7"/>
      <c r="J49" s="47"/>
      <c r="K49" s="47"/>
      <c r="L49" s="47"/>
      <c r="M49" s="47"/>
      <c r="N49" s="10"/>
      <c r="O49" s="47"/>
      <c r="P49" s="47"/>
      <c r="Q49" s="47"/>
      <c r="R49" s="48" t="str">
        <f aca="false">IF(Q49="","",IF(Q49=0,"below 5:00",IF(Q49&gt;=66,"16:00 or above",INT((60+2*Q49)/12)&amp;":"&amp;TEXT(MOD(60+2*Q49,12),"00"))))</f>
        <v/>
      </c>
      <c r="S49" s="47"/>
      <c r="T49" s="47"/>
      <c r="U49" s="47"/>
      <c r="V49" s="47"/>
      <c r="W49" s="47"/>
      <c r="X49" s="47"/>
      <c r="Y49" s="47"/>
      <c r="Z49" s="47"/>
      <c r="AA49" s="47"/>
      <c r="AB49" s="47"/>
      <c r="AC49" s="47"/>
      <c r="AD49" s="47"/>
      <c r="AE49" s="47"/>
      <c r="AF49" s="47"/>
      <c r="AG49" s="47"/>
      <c r="AH49" s="47"/>
      <c r="AI49" s="46"/>
      <c r="AJ49" s="46"/>
      <c r="AK49" s="46"/>
      <c r="AL49" s="7"/>
      <c r="AM49" s="49" t="str">
        <f aca="false">IF(OR(C49="",G49=""),"",IFERROR(DATEDIF(C49,G49,"m"),""))</f>
        <v/>
      </c>
      <c r="AN49" s="49" t="str">
        <f aca="false">IF(OR(Q49="",AM49=""),"",60+2*Q49-AM49)</f>
        <v/>
      </c>
      <c r="AO49" s="49" t="str">
        <f aca="false">IF(OR(G49="",AJ49=""),"",AJ49-G49)</f>
        <v/>
      </c>
      <c r="AP49" s="50" t="str">
        <f aca="false">IF(AND(A49="",B49=""),"",IF(J49="","Status needed",IF(OR(J49="Applied",J49="Visit booked",J49="Withdrawn"),"OK",IF(G49="","Date assessed needed",IF(C49="","Date of birth needed",IF(COUNTA(L49,M49,P49,U49,V49,X49,AB49)&lt;7,"Band missing",IF(AND(OR(J49="Decision confirmed",J49="Family told",J49="Enrolled"),AG49=""),"Recommendation needed",IF(AND(OR(J49="Family told",J49="Enrolled"),AJ49=""),"Date family told needed","OK"))))))))</f>
        <v/>
      </c>
    </row>
    <row r="50" customFormat="false" ht="15" hidden="false" customHeight="false" outlineLevel="0" collapsed="false">
      <c r="A50" s="7"/>
      <c r="B50" s="7"/>
      <c r="C50" s="46"/>
      <c r="D50" s="7"/>
      <c r="E50" s="47"/>
      <c r="F50" s="46"/>
      <c r="G50" s="46"/>
      <c r="H50" s="7"/>
      <c r="I50" s="7"/>
      <c r="J50" s="47"/>
      <c r="K50" s="47"/>
      <c r="L50" s="47"/>
      <c r="M50" s="47"/>
      <c r="N50" s="10"/>
      <c r="O50" s="47"/>
      <c r="P50" s="47"/>
      <c r="Q50" s="47"/>
      <c r="R50" s="48" t="str">
        <f aca="false">IF(Q50="","",IF(Q50=0,"below 5:00",IF(Q50&gt;=66,"16:00 or above",INT((60+2*Q50)/12)&amp;":"&amp;TEXT(MOD(60+2*Q50,12),"00"))))</f>
        <v/>
      </c>
      <c r="S50" s="47"/>
      <c r="T50" s="47"/>
      <c r="U50" s="47"/>
      <c r="V50" s="47"/>
      <c r="W50" s="47"/>
      <c r="X50" s="47"/>
      <c r="Y50" s="47"/>
      <c r="Z50" s="47"/>
      <c r="AA50" s="47"/>
      <c r="AB50" s="47"/>
      <c r="AC50" s="47"/>
      <c r="AD50" s="47"/>
      <c r="AE50" s="47"/>
      <c r="AF50" s="47"/>
      <c r="AG50" s="47"/>
      <c r="AH50" s="47"/>
      <c r="AI50" s="46"/>
      <c r="AJ50" s="46"/>
      <c r="AK50" s="46"/>
      <c r="AL50" s="7"/>
      <c r="AM50" s="49" t="str">
        <f aca="false">IF(OR(C50="",G50=""),"",IFERROR(DATEDIF(C50,G50,"m"),""))</f>
        <v/>
      </c>
      <c r="AN50" s="49" t="str">
        <f aca="false">IF(OR(Q50="",AM50=""),"",60+2*Q50-AM50)</f>
        <v/>
      </c>
      <c r="AO50" s="49" t="str">
        <f aca="false">IF(OR(G50="",AJ50=""),"",AJ50-G50)</f>
        <v/>
      </c>
      <c r="AP50" s="50" t="str">
        <f aca="false">IF(AND(A50="",B50=""),"",IF(J50="","Status needed",IF(OR(J50="Applied",J50="Visit booked",J50="Withdrawn"),"OK",IF(G50="","Date assessed needed",IF(C50="","Date of birth needed",IF(COUNTA(L50,M50,P50,U50,V50,X50,AB50)&lt;7,"Band missing",IF(AND(OR(J50="Decision confirmed",J50="Family told",J50="Enrolled"),AG50=""),"Recommendation needed",IF(AND(OR(J50="Family told",J50="Enrolled"),AJ50=""),"Date family told needed","OK"))))))))</f>
        <v/>
      </c>
    </row>
    <row r="51" customFormat="false" ht="15" hidden="false" customHeight="false" outlineLevel="0" collapsed="false">
      <c r="A51" s="7"/>
      <c r="B51" s="7"/>
      <c r="C51" s="46"/>
      <c r="D51" s="7"/>
      <c r="E51" s="47"/>
      <c r="F51" s="46"/>
      <c r="G51" s="46"/>
      <c r="H51" s="7"/>
      <c r="I51" s="7"/>
      <c r="J51" s="47"/>
      <c r="K51" s="47"/>
      <c r="L51" s="47"/>
      <c r="M51" s="47"/>
      <c r="N51" s="10"/>
      <c r="O51" s="47"/>
      <c r="P51" s="47"/>
      <c r="Q51" s="47"/>
      <c r="R51" s="48" t="str">
        <f aca="false">IF(Q51="","",IF(Q51=0,"below 5:00",IF(Q51&gt;=66,"16:00 or above",INT((60+2*Q51)/12)&amp;":"&amp;TEXT(MOD(60+2*Q51,12),"00"))))</f>
        <v/>
      </c>
      <c r="S51" s="47"/>
      <c r="T51" s="47"/>
      <c r="U51" s="47"/>
      <c r="V51" s="47"/>
      <c r="W51" s="47"/>
      <c r="X51" s="47"/>
      <c r="Y51" s="47"/>
      <c r="Z51" s="47"/>
      <c r="AA51" s="47"/>
      <c r="AB51" s="47"/>
      <c r="AC51" s="47"/>
      <c r="AD51" s="47"/>
      <c r="AE51" s="47"/>
      <c r="AF51" s="47"/>
      <c r="AG51" s="47"/>
      <c r="AH51" s="47"/>
      <c r="AI51" s="46"/>
      <c r="AJ51" s="46"/>
      <c r="AK51" s="46"/>
      <c r="AL51" s="7"/>
      <c r="AM51" s="49" t="str">
        <f aca="false">IF(OR(C51="",G51=""),"",IFERROR(DATEDIF(C51,G51,"m"),""))</f>
        <v/>
      </c>
      <c r="AN51" s="49" t="str">
        <f aca="false">IF(OR(Q51="",AM51=""),"",60+2*Q51-AM51)</f>
        <v/>
      </c>
      <c r="AO51" s="49" t="str">
        <f aca="false">IF(OR(G51="",AJ51=""),"",AJ51-G51)</f>
        <v/>
      </c>
      <c r="AP51" s="50" t="str">
        <f aca="false">IF(AND(A51="",B51=""),"",IF(J51="","Status needed",IF(OR(J51="Applied",J51="Visit booked",J51="Withdrawn"),"OK",IF(G51="","Date assessed needed",IF(C51="","Date of birth needed",IF(COUNTA(L51,M51,P51,U51,V51,X51,AB51)&lt;7,"Band missing",IF(AND(OR(J51="Decision confirmed",J51="Family told",J51="Enrolled"),AG51=""),"Recommendation needed",IF(AND(OR(J51="Family told",J51="Enrolled"),AJ51=""),"Date family told needed","OK"))))))))</f>
        <v/>
      </c>
    </row>
    <row r="52" customFormat="false" ht="15" hidden="false" customHeight="false" outlineLevel="0" collapsed="false">
      <c r="A52" s="7"/>
      <c r="B52" s="7"/>
      <c r="C52" s="46"/>
      <c r="D52" s="7"/>
      <c r="E52" s="47"/>
      <c r="F52" s="46"/>
      <c r="G52" s="46"/>
      <c r="H52" s="7"/>
      <c r="I52" s="7"/>
      <c r="J52" s="47"/>
      <c r="K52" s="47"/>
      <c r="L52" s="47"/>
      <c r="M52" s="47"/>
      <c r="N52" s="10"/>
      <c r="O52" s="47"/>
      <c r="P52" s="47"/>
      <c r="Q52" s="47"/>
      <c r="R52" s="48" t="str">
        <f aca="false">IF(Q52="","",IF(Q52=0,"below 5:00",IF(Q52&gt;=66,"16:00 or above",INT((60+2*Q52)/12)&amp;":"&amp;TEXT(MOD(60+2*Q52,12),"00"))))</f>
        <v/>
      </c>
      <c r="S52" s="47"/>
      <c r="T52" s="47"/>
      <c r="U52" s="47"/>
      <c r="V52" s="47"/>
      <c r="W52" s="47"/>
      <c r="X52" s="47"/>
      <c r="Y52" s="47"/>
      <c r="Z52" s="47"/>
      <c r="AA52" s="47"/>
      <c r="AB52" s="47"/>
      <c r="AC52" s="47"/>
      <c r="AD52" s="47"/>
      <c r="AE52" s="47"/>
      <c r="AF52" s="47"/>
      <c r="AG52" s="47"/>
      <c r="AH52" s="47"/>
      <c r="AI52" s="46"/>
      <c r="AJ52" s="46"/>
      <c r="AK52" s="46"/>
      <c r="AL52" s="7"/>
      <c r="AM52" s="49" t="str">
        <f aca="false">IF(OR(C52="",G52=""),"",IFERROR(DATEDIF(C52,G52,"m"),""))</f>
        <v/>
      </c>
      <c r="AN52" s="49" t="str">
        <f aca="false">IF(OR(Q52="",AM52=""),"",60+2*Q52-AM52)</f>
        <v/>
      </c>
      <c r="AO52" s="49" t="str">
        <f aca="false">IF(OR(G52="",AJ52=""),"",AJ52-G52)</f>
        <v/>
      </c>
      <c r="AP52" s="50" t="str">
        <f aca="false">IF(AND(A52="",B52=""),"",IF(J52="","Status needed",IF(OR(J52="Applied",J52="Visit booked",J52="Withdrawn"),"OK",IF(G52="","Date assessed needed",IF(C52="","Date of birth needed",IF(COUNTA(L52,M52,P52,U52,V52,X52,AB52)&lt;7,"Band missing",IF(AND(OR(J52="Decision confirmed",J52="Family told",J52="Enrolled"),AG52=""),"Recommendation needed",IF(AND(OR(J52="Family told",J52="Enrolled"),AJ52=""),"Date family told needed","OK"))))))))</f>
        <v/>
      </c>
    </row>
    <row r="53" customFormat="false" ht="15" hidden="false" customHeight="false" outlineLevel="0" collapsed="false">
      <c r="A53" s="7"/>
      <c r="B53" s="7"/>
      <c r="C53" s="46"/>
      <c r="D53" s="7"/>
      <c r="E53" s="47"/>
      <c r="F53" s="46"/>
      <c r="G53" s="46"/>
      <c r="H53" s="7"/>
      <c r="I53" s="7"/>
      <c r="J53" s="47"/>
      <c r="K53" s="47"/>
      <c r="L53" s="47"/>
      <c r="M53" s="47"/>
      <c r="N53" s="10"/>
      <c r="O53" s="47"/>
      <c r="P53" s="47"/>
      <c r="Q53" s="47"/>
      <c r="R53" s="48" t="str">
        <f aca="false">IF(Q53="","",IF(Q53=0,"below 5:00",IF(Q53&gt;=66,"16:00 or above",INT((60+2*Q53)/12)&amp;":"&amp;TEXT(MOD(60+2*Q53,12),"00"))))</f>
        <v/>
      </c>
      <c r="S53" s="47"/>
      <c r="T53" s="47"/>
      <c r="U53" s="47"/>
      <c r="V53" s="47"/>
      <c r="W53" s="47"/>
      <c r="X53" s="47"/>
      <c r="Y53" s="47"/>
      <c r="Z53" s="47"/>
      <c r="AA53" s="47"/>
      <c r="AB53" s="47"/>
      <c r="AC53" s="47"/>
      <c r="AD53" s="47"/>
      <c r="AE53" s="47"/>
      <c r="AF53" s="47"/>
      <c r="AG53" s="47"/>
      <c r="AH53" s="47"/>
      <c r="AI53" s="46"/>
      <c r="AJ53" s="46"/>
      <c r="AK53" s="46"/>
      <c r="AL53" s="7"/>
      <c r="AM53" s="49" t="str">
        <f aca="false">IF(OR(C53="",G53=""),"",IFERROR(DATEDIF(C53,G53,"m"),""))</f>
        <v/>
      </c>
      <c r="AN53" s="49" t="str">
        <f aca="false">IF(OR(Q53="",AM53=""),"",60+2*Q53-AM53)</f>
        <v/>
      </c>
      <c r="AO53" s="49" t="str">
        <f aca="false">IF(OR(G53="",AJ53=""),"",AJ53-G53)</f>
        <v/>
      </c>
      <c r="AP53" s="50" t="str">
        <f aca="false">IF(AND(A53="",B53=""),"",IF(J53="","Status needed",IF(OR(J53="Applied",J53="Visit booked",J53="Withdrawn"),"OK",IF(G53="","Date assessed needed",IF(C53="","Date of birth needed",IF(COUNTA(L53,M53,P53,U53,V53,X53,AB53)&lt;7,"Band missing",IF(AND(OR(J53="Decision confirmed",J53="Family told",J53="Enrolled"),AG53=""),"Recommendation needed",IF(AND(OR(J53="Family told",J53="Enrolled"),AJ53=""),"Date family told needed","OK"))))))))</f>
        <v/>
      </c>
    </row>
    <row r="54" customFormat="false" ht="15" hidden="false" customHeight="false" outlineLevel="0" collapsed="false">
      <c r="A54" s="7"/>
      <c r="B54" s="7"/>
      <c r="C54" s="46"/>
      <c r="D54" s="7"/>
      <c r="E54" s="47"/>
      <c r="F54" s="46"/>
      <c r="G54" s="46"/>
      <c r="H54" s="7"/>
      <c r="I54" s="7"/>
      <c r="J54" s="47"/>
      <c r="K54" s="47"/>
      <c r="L54" s="47"/>
      <c r="M54" s="47"/>
      <c r="N54" s="10"/>
      <c r="O54" s="47"/>
      <c r="P54" s="47"/>
      <c r="Q54" s="47"/>
      <c r="R54" s="48" t="str">
        <f aca="false">IF(Q54="","",IF(Q54=0,"below 5:00",IF(Q54&gt;=66,"16:00 or above",INT((60+2*Q54)/12)&amp;":"&amp;TEXT(MOD(60+2*Q54,12),"00"))))</f>
        <v/>
      </c>
      <c r="S54" s="47"/>
      <c r="T54" s="47"/>
      <c r="U54" s="47"/>
      <c r="V54" s="47"/>
      <c r="W54" s="47"/>
      <c r="X54" s="47"/>
      <c r="Y54" s="47"/>
      <c r="Z54" s="47"/>
      <c r="AA54" s="47"/>
      <c r="AB54" s="47"/>
      <c r="AC54" s="47"/>
      <c r="AD54" s="47"/>
      <c r="AE54" s="47"/>
      <c r="AF54" s="47"/>
      <c r="AG54" s="47"/>
      <c r="AH54" s="47"/>
      <c r="AI54" s="46"/>
      <c r="AJ54" s="46"/>
      <c r="AK54" s="46"/>
      <c r="AL54" s="7"/>
      <c r="AM54" s="49" t="str">
        <f aca="false">IF(OR(C54="",G54=""),"",IFERROR(DATEDIF(C54,G54,"m"),""))</f>
        <v/>
      </c>
      <c r="AN54" s="49" t="str">
        <f aca="false">IF(OR(Q54="",AM54=""),"",60+2*Q54-AM54)</f>
        <v/>
      </c>
      <c r="AO54" s="49" t="str">
        <f aca="false">IF(OR(G54="",AJ54=""),"",AJ54-G54)</f>
        <v/>
      </c>
      <c r="AP54" s="50" t="str">
        <f aca="false">IF(AND(A54="",B54=""),"",IF(J54="","Status needed",IF(OR(J54="Applied",J54="Visit booked",J54="Withdrawn"),"OK",IF(G54="","Date assessed needed",IF(C54="","Date of birth needed",IF(COUNTA(L54,M54,P54,U54,V54,X54,AB54)&lt;7,"Band missing",IF(AND(OR(J54="Decision confirmed",J54="Family told",J54="Enrolled"),AG54=""),"Recommendation needed",IF(AND(OR(J54="Family told",J54="Enrolled"),AJ54=""),"Date family told needed","OK"))))))))</f>
        <v/>
      </c>
    </row>
    <row r="55" customFormat="false" ht="15" hidden="false" customHeight="false" outlineLevel="0" collapsed="false">
      <c r="A55" s="7"/>
      <c r="B55" s="7"/>
      <c r="C55" s="46"/>
      <c r="D55" s="7"/>
      <c r="E55" s="47"/>
      <c r="F55" s="46"/>
      <c r="G55" s="46"/>
      <c r="H55" s="7"/>
      <c r="I55" s="7"/>
      <c r="J55" s="47"/>
      <c r="K55" s="47"/>
      <c r="L55" s="47"/>
      <c r="M55" s="47"/>
      <c r="N55" s="10"/>
      <c r="O55" s="47"/>
      <c r="P55" s="47"/>
      <c r="Q55" s="47"/>
      <c r="R55" s="48" t="str">
        <f aca="false">IF(Q55="","",IF(Q55=0,"below 5:00",IF(Q55&gt;=66,"16:00 or above",INT((60+2*Q55)/12)&amp;":"&amp;TEXT(MOD(60+2*Q55,12),"00"))))</f>
        <v/>
      </c>
      <c r="S55" s="47"/>
      <c r="T55" s="47"/>
      <c r="U55" s="47"/>
      <c r="V55" s="47"/>
      <c r="W55" s="47"/>
      <c r="X55" s="47"/>
      <c r="Y55" s="47"/>
      <c r="Z55" s="47"/>
      <c r="AA55" s="47"/>
      <c r="AB55" s="47"/>
      <c r="AC55" s="47"/>
      <c r="AD55" s="47"/>
      <c r="AE55" s="47"/>
      <c r="AF55" s="47"/>
      <c r="AG55" s="47"/>
      <c r="AH55" s="47"/>
      <c r="AI55" s="46"/>
      <c r="AJ55" s="46"/>
      <c r="AK55" s="46"/>
      <c r="AL55" s="7"/>
      <c r="AM55" s="49" t="str">
        <f aca="false">IF(OR(C55="",G55=""),"",IFERROR(DATEDIF(C55,G55,"m"),""))</f>
        <v/>
      </c>
      <c r="AN55" s="49" t="str">
        <f aca="false">IF(OR(Q55="",AM55=""),"",60+2*Q55-AM55)</f>
        <v/>
      </c>
      <c r="AO55" s="49" t="str">
        <f aca="false">IF(OR(G55="",AJ55=""),"",AJ55-G55)</f>
        <v/>
      </c>
      <c r="AP55" s="50" t="str">
        <f aca="false">IF(AND(A55="",B55=""),"",IF(J55="","Status needed",IF(OR(J55="Applied",J55="Visit booked",J55="Withdrawn"),"OK",IF(G55="","Date assessed needed",IF(C55="","Date of birth needed",IF(COUNTA(L55,M55,P55,U55,V55,X55,AB55)&lt;7,"Band missing",IF(AND(OR(J55="Decision confirmed",J55="Family told",J55="Enrolled"),AG55=""),"Recommendation needed",IF(AND(OR(J55="Family told",J55="Enrolled"),AJ55=""),"Date family told needed","OK"))))))))</f>
        <v/>
      </c>
    </row>
    <row r="56" customFormat="false" ht="15" hidden="false" customHeight="false" outlineLevel="0" collapsed="false">
      <c r="A56" s="7"/>
      <c r="B56" s="7"/>
      <c r="C56" s="46"/>
      <c r="D56" s="7"/>
      <c r="E56" s="47"/>
      <c r="F56" s="46"/>
      <c r="G56" s="46"/>
      <c r="H56" s="7"/>
      <c r="I56" s="7"/>
      <c r="J56" s="47"/>
      <c r="K56" s="47"/>
      <c r="L56" s="47"/>
      <c r="M56" s="47"/>
      <c r="N56" s="10"/>
      <c r="O56" s="47"/>
      <c r="P56" s="47"/>
      <c r="Q56" s="47"/>
      <c r="R56" s="48" t="str">
        <f aca="false">IF(Q56="","",IF(Q56=0,"below 5:00",IF(Q56&gt;=66,"16:00 or above",INT((60+2*Q56)/12)&amp;":"&amp;TEXT(MOD(60+2*Q56,12),"00"))))</f>
        <v/>
      </c>
      <c r="S56" s="47"/>
      <c r="T56" s="47"/>
      <c r="U56" s="47"/>
      <c r="V56" s="47"/>
      <c r="W56" s="47"/>
      <c r="X56" s="47"/>
      <c r="Y56" s="47"/>
      <c r="Z56" s="47"/>
      <c r="AA56" s="47"/>
      <c r="AB56" s="47"/>
      <c r="AC56" s="47"/>
      <c r="AD56" s="47"/>
      <c r="AE56" s="47"/>
      <c r="AF56" s="47"/>
      <c r="AG56" s="47"/>
      <c r="AH56" s="47"/>
      <c r="AI56" s="46"/>
      <c r="AJ56" s="46"/>
      <c r="AK56" s="46"/>
      <c r="AL56" s="7"/>
      <c r="AM56" s="49" t="str">
        <f aca="false">IF(OR(C56="",G56=""),"",IFERROR(DATEDIF(C56,G56,"m"),""))</f>
        <v/>
      </c>
      <c r="AN56" s="49" t="str">
        <f aca="false">IF(OR(Q56="",AM56=""),"",60+2*Q56-AM56)</f>
        <v/>
      </c>
      <c r="AO56" s="49" t="str">
        <f aca="false">IF(OR(G56="",AJ56=""),"",AJ56-G56)</f>
        <v/>
      </c>
      <c r="AP56" s="50" t="str">
        <f aca="false">IF(AND(A56="",B56=""),"",IF(J56="","Status needed",IF(OR(J56="Applied",J56="Visit booked",J56="Withdrawn"),"OK",IF(G56="","Date assessed needed",IF(C56="","Date of birth needed",IF(COUNTA(L56,M56,P56,U56,V56,X56,AB56)&lt;7,"Band missing",IF(AND(OR(J56="Decision confirmed",J56="Family told",J56="Enrolled"),AG56=""),"Recommendation needed",IF(AND(OR(J56="Family told",J56="Enrolled"),AJ56=""),"Date family told needed","OK"))))))))</f>
        <v/>
      </c>
    </row>
    <row r="57" customFormat="false" ht="15" hidden="false" customHeight="false" outlineLevel="0" collapsed="false">
      <c r="A57" s="7"/>
      <c r="B57" s="7"/>
      <c r="C57" s="46"/>
      <c r="D57" s="7"/>
      <c r="E57" s="47"/>
      <c r="F57" s="46"/>
      <c r="G57" s="46"/>
      <c r="H57" s="7"/>
      <c r="I57" s="7"/>
      <c r="J57" s="47"/>
      <c r="K57" s="47"/>
      <c r="L57" s="47"/>
      <c r="M57" s="47"/>
      <c r="N57" s="10"/>
      <c r="O57" s="47"/>
      <c r="P57" s="47"/>
      <c r="Q57" s="47"/>
      <c r="R57" s="48" t="str">
        <f aca="false">IF(Q57="","",IF(Q57=0,"below 5:00",IF(Q57&gt;=66,"16:00 or above",INT((60+2*Q57)/12)&amp;":"&amp;TEXT(MOD(60+2*Q57,12),"00"))))</f>
        <v/>
      </c>
      <c r="S57" s="47"/>
      <c r="T57" s="47"/>
      <c r="U57" s="47"/>
      <c r="V57" s="47"/>
      <c r="W57" s="47"/>
      <c r="X57" s="47"/>
      <c r="Y57" s="47"/>
      <c r="Z57" s="47"/>
      <c r="AA57" s="47"/>
      <c r="AB57" s="47"/>
      <c r="AC57" s="47"/>
      <c r="AD57" s="47"/>
      <c r="AE57" s="47"/>
      <c r="AF57" s="47"/>
      <c r="AG57" s="47"/>
      <c r="AH57" s="47"/>
      <c r="AI57" s="46"/>
      <c r="AJ57" s="46"/>
      <c r="AK57" s="46"/>
      <c r="AL57" s="7"/>
      <c r="AM57" s="49" t="str">
        <f aca="false">IF(OR(C57="",G57=""),"",IFERROR(DATEDIF(C57,G57,"m"),""))</f>
        <v/>
      </c>
      <c r="AN57" s="49" t="str">
        <f aca="false">IF(OR(Q57="",AM57=""),"",60+2*Q57-AM57)</f>
        <v/>
      </c>
      <c r="AO57" s="49" t="str">
        <f aca="false">IF(OR(G57="",AJ57=""),"",AJ57-G57)</f>
        <v/>
      </c>
      <c r="AP57" s="50" t="str">
        <f aca="false">IF(AND(A57="",B57=""),"",IF(J57="","Status needed",IF(OR(J57="Applied",J57="Visit booked",J57="Withdrawn"),"OK",IF(G57="","Date assessed needed",IF(C57="","Date of birth needed",IF(COUNTA(L57,M57,P57,U57,V57,X57,AB57)&lt;7,"Band missing",IF(AND(OR(J57="Decision confirmed",J57="Family told",J57="Enrolled"),AG57=""),"Recommendation needed",IF(AND(OR(J57="Family told",J57="Enrolled"),AJ57=""),"Date family told needed","OK"))))))))</f>
        <v/>
      </c>
    </row>
    <row r="58" customFormat="false" ht="15" hidden="false" customHeight="false" outlineLevel="0" collapsed="false">
      <c r="A58" s="7"/>
      <c r="B58" s="7"/>
      <c r="C58" s="46"/>
      <c r="D58" s="7"/>
      <c r="E58" s="47"/>
      <c r="F58" s="46"/>
      <c r="G58" s="46"/>
      <c r="H58" s="7"/>
      <c r="I58" s="7"/>
      <c r="J58" s="47"/>
      <c r="K58" s="47"/>
      <c r="L58" s="47"/>
      <c r="M58" s="47"/>
      <c r="N58" s="10"/>
      <c r="O58" s="47"/>
      <c r="P58" s="47"/>
      <c r="Q58" s="47"/>
      <c r="R58" s="48" t="str">
        <f aca="false">IF(Q58="","",IF(Q58=0,"below 5:00",IF(Q58&gt;=66,"16:00 or above",INT((60+2*Q58)/12)&amp;":"&amp;TEXT(MOD(60+2*Q58,12),"00"))))</f>
        <v/>
      </c>
      <c r="S58" s="47"/>
      <c r="T58" s="47"/>
      <c r="U58" s="47"/>
      <c r="V58" s="47"/>
      <c r="W58" s="47"/>
      <c r="X58" s="47"/>
      <c r="Y58" s="47"/>
      <c r="Z58" s="47"/>
      <c r="AA58" s="47"/>
      <c r="AB58" s="47"/>
      <c r="AC58" s="47"/>
      <c r="AD58" s="47"/>
      <c r="AE58" s="47"/>
      <c r="AF58" s="47"/>
      <c r="AG58" s="47"/>
      <c r="AH58" s="47"/>
      <c r="AI58" s="46"/>
      <c r="AJ58" s="46"/>
      <c r="AK58" s="46"/>
      <c r="AL58" s="7"/>
      <c r="AM58" s="49" t="str">
        <f aca="false">IF(OR(C58="",G58=""),"",IFERROR(DATEDIF(C58,G58,"m"),""))</f>
        <v/>
      </c>
      <c r="AN58" s="49" t="str">
        <f aca="false">IF(OR(Q58="",AM58=""),"",60+2*Q58-AM58)</f>
        <v/>
      </c>
      <c r="AO58" s="49" t="str">
        <f aca="false">IF(OR(G58="",AJ58=""),"",AJ58-G58)</f>
        <v/>
      </c>
      <c r="AP58" s="50" t="str">
        <f aca="false">IF(AND(A58="",B58=""),"",IF(J58="","Status needed",IF(OR(J58="Applied",J58="Visit booked",J58="Withdrawn"),"OK",IF(G58="","Date assessed needed",IF(C58="","Date of birth needed",IF(COUNTA(L58,M58,P58,U58,V58,X58,AB58)&lt;7,"Band missing",IF(AND(OR(J58="Decision confirmed",J58="Family told",J58="Enrolled"),AG58=""),"Recommendation needed",IF(AND(OR(J58="Family told",J58="Enrolled"),AJ58=""),"Date family told needed","OK"))))))))</f>
        <v/>
      </c>
    </row>
    <row r="59" customFormat="false" ht="15" hidden="false" customHeight="false" outlineLevel="0" collapsed="false">
      <c r="A59" s="7"/>
      <c r="B59" s="7"/>
      <c r="C59" s="46"/>
      <c r="D59" s="7"/>
      <c r="E59" s="47"/>
      <c r="F59" s="46"/>
      <c r="G59" s="46"/>
      <c r="H59" s="7"/>
      <c r="I59" s="7"/>
      <c r="J59" s="47"/>
      <c r="K59" s="47"/>
      <c r="L59" s="47"/>
      <c r="M59" s="47"/>
      <c r="N59" s="10"/>
      <c r="O59" s="47"/>
      <c r="P59" s="47"/>
      <c r="Q59" s="47"/>
      <c r="R59" s="48" t="str">
        <f aca="false">IF(Q59="","",IF(Q59=0,"below 5:00",IF(Q59&gt;=66,"16:00 or above",INT((60+2*Q59)/12)&amp;":"&amp;TEXT(MOD(60+2*Q59,12),"00"))))</f>
        <v/>
      </c>
      <c r="S59" s="47"/>
      <c r="T59" s="47"/>
      <c r="U59" s="47"/>
      <c r="V59" s="47"/>
      <c r="W59" s="47"/>
      <c r="X59" s="47"/>
      <c r="Y59" s="47"/>
      <c r="Z59" s="47"/>
      <c r="AA59" s="47"/>
      <c r="AB59" s="47"/>
      <c r="AC59" s="47"/>
      <c r="AD59" s="47"/>
      <c r="AE59" s="47"/>
      <c r="AF59" s="47"/>
      <c r="AG59" s="47"/>
      <c r="AH59" s="47"/>
      <c r="AI59" s="46"/>
      <c r="AJ59" s="46"/>
      <c r="AK59" s="46"/>
      <c r="AL59" s="7"/>
      <c r="AM59" s="49" t="str">
        <f aca="false">IF(OR(C59="",G59=""),"",IFERROR(DATEDIF(C59,G59,"m"),""))</f>
        <v/>
      </c>
      <c r="AN59" s="49" t="str">
        <f aca="false">IF(OR(Q59="",AM59=""),"",60+2*Q59-AM59)</f>
        <v/>
      </c>
      <c r="AO59" s="49" t="str">
        <f aca="false">IF(OR(G59="",AJ59=""),"",AJ59-G59)</f>
        <v/>
      </c>
      <c r="AP59" s="50" t="str">
        <f aca="false">IF(AND(A59="",B59=""),"",IF(J59="","Status needed",IF(OR(J59="Applied",J59="Visit booked",J59="Withdrawn"),"OK",IF(G59="","Date assessed needed",IF(C59="","Date of birth needed",IF(COUNTA(L59,M59,P59,U59,V59,X59,AB59)&lt;7,"Band missing",IF(AND(OR(J59="Decision confirmed",J59="Family told",J59="Enrolled"),AG59=""),"Recommendation needed",IF(AND(OR(J59="Family told",J59="Enrolled"),AJ59=""),"Date family told needed","OK"))))))))</f>
        <v/>
      </c>
    </row>
    <row r="60" customFormat="false" ht="15" hidden="false" customHeight="false" outlineLevel="0" collapsed="false">
      <c r="A60" s="7"/>
      <c r="B60" s="7"/>
      <c r="C60" s="46"/>
      <c r="D60" s="7"/>
      <c r="E60" s="47"/>
      <c r="F60" s="46"/>
      <c r="G60" s="46"/>
      <c r="H60" s="7"/>
      <c r="I60" s="7"/>
      <c r="J60" s="47"/>
      <c r="K60" s="47"/>
      <c r="L60" s="47"/>
      <c r="M60" s="47"/>
      <c r="N60" s="10"/>
      <c r="O60" s="47"/>
      <c r="P60" s="47"/>
      <c r="Q60" s="47"/>
      <c r="R60" s="48" t="str">
        <f aca="false">IF(Q60="","",IF(Q60=0,"below 5:00",IF(Q60&gt;=66,"16:00 or above",INT((60+2*Q60)/12)&amp;":"&amp;TEXT(MOD(60+2*Q60,12),"00"))))</f>
        <v/>
      </c>
      <c r="S60" s="47"/>
      <c r="T60" s="47"/>
      <c r="U60" s="47"/>
      <c r="V60" s="47"/>
      <c r="W60" s="47"/>
      <c r="X60" s="47"/>
      <c r="Y60" s="47"/>
      <c r="Z60" s="47"/>
      <c r="AA60" s="47"/>
      <c r="AB60" s="47"/>
      <c r="AC60" s="47"/>
      <c r="AD60" s="47"/>
      <c r="AE60" s="47"/>
      <c r="AF60" s="47"/>
      <c r="AG60" s="47"/>
      <c r="AH60" s="47"/>
      <c r="AI60" s="46"/>
      <c r="AJ60" s="46"/>
      <c r="AK60" s="46"/>
      <c r="AL60" s="7"/>
      <c r="AM60" s="49" t="str">
        <f aca="false">IF(OR(C60="",G60=""),"",IFERROR(DATEDIF(C60,G60,"m"),""))</f>
        <v/>
      </c>
      <c r="AN60" s="49" t="str">
        <f aca="false">IF(OR(Q60="",AM60=""),"",60+2*Q60-AM60)</f>
        <v/>
      </c>
      <c r="AO60" s="49" t="str">
        <f aca="false">IF(OR(G60="",AJ60=""),"",AJ60-G60)</f>
        <v/>
      </c>
      <c r="AP60" s="50" t="str">
        <f aca="false">IF(AND(A60="",B60=""),"",IF(J60="","Status needed",IF(OR(J60="Applied",J60="Visit booked",J60="Withdrawn"),"OK",IF(G60="","Date assessed needed",IF(C60="","Date of birth needed",IF(COUNTA(L60,M60,P60,U60,V60,X60,AB60)&lt;7,"Band missing",IF(AND(OR(J60="Decision confirmed",J60="Family told",J60="Enrolled"),AG60=""),"Recommendation needed",IF(AND(OR(J60="Family told",J60="Enrolled"),AJ60=""),"Date family told needed","OK"))))))))</f>
        <v/>
      </c>
    </row>
    <row r="61" customFormat="false" ht="15" hidden="false" customHeight="false" outlineLevel="0" collapsed="false">
      <c r="A61" s="7"/>
      <c r="B61" s="7"/>
      <c r="C61" s="46"/>
      <c r="D61" s="7"/>
      <c r="E61" s="47"/>
      <c r="F61" s="46"/>
      <c r="G61" s="46"/>
      <c r="H61" s="7"/>
      <c r="I61" s="7"/>
      <c r="J61" s="47"/>
      <c r="K61" s="47"/>
      <c r="L61" s="47"/>
      <c r="M61" s="47"/>
      <c r="N61" s="10"/>
      <c r="O61" s="47"/>
      <c r="P61" s="47"/>
      <c r="Q61" s="47"/>
      <c r="R61" s="48" t="str">
        <f aca="false">IF(Q61="","",IF(Q61=0,"below 5:00",IF(Q61&gt;=66,"16:00 or above",INT((60+2*Q61)/12)&amp;":"&amp;TEXT(MOD(60+2*Q61,12),"00"))))</f>
        <v/>
      </c>
      <c r="S61" s="47"/>
      <c r="T61" s="47"/>
      <c r="U61" s="47"/>
      <c r="V61" s="47"/>
      <c r="W61" s="47"/>
      <c r="X61" s="47"/>
      <c r="Y61" s="47"/>
      <c r="Z61" s="47"/>
      <c r="AA61" s="47"/>
      <c r="AB61" s="47"/>
      <c r="AC61" s="47"/>
      <c r="AD61" s="47"/>
      <c r="AE61" s="47"/>
      <c r="AF61" s="47"/>
      <c r="AG61" s="47"/>
      <c r="AH61" s="47"/>
      <c r="AI61" s="46"/>
      <c r="AJ61" s="46"/>
      <c r="AK61" s="46"/>
      <c r="AL61" s="7"/>
      <c r="AM61" s="49" t="str">
        <f aca="false">IF(OR(C61="",G61=""),"",IFERROR(DATEDIF(C61,G61,"m"),""))</f>
        <v/>
      </c>
      <c r="AN61" s="49" t="str">
        <f aca="false">IF(OR(Q61="",AM61=""),"",60+2*Q61-AM61)</f>
        <v/>
      </c>
      <c r="AO61" s="49" t="str">
        <f aca="false">IF(OR(G61="",AJ61=""),"",AJ61-G61)</f>
        <v/>
      </c>
      <c r="AP61" s="50" t="str">
        <f aca="false">IF(AND(A61="",B61=""),"",IF(J61="","Status needed",IF(OR(J61="Applied",J61="Visit booked",J61="Withdrawn"),"OK",IF(G61="","Date assessed needed",IF(C61="","Date of birth needed",IF(COUNTA(L61,M61,P61,U61,V61,X61,AB61)&lt;7,"Band missing",IF(AND(OR(J61="Decision confirmed",J61="Family told",J61="Enrolled"),AG61=""),"Recommendation needed",IF(AND(OR(J61="Family told",J61="Enrolled"),AJ61=""),"Date family told needed","OK"))))))))</f>
        <v/>
      </c>
    </row>
    <row r="62" customFormat="false" ht="15" hidden="false" customHeight="false" outlineLevel="0" collapsed="false">
      <c r="A62" s="7"/>
      <c r="B62" s="7"/>
      <c r="C62" s="46"/>
      <c r="D62" s="7"/>
      <c r="E62" s="47"/>
      <c r="F62" s="46"/>
      <c r="G62" s="46"/>
      <c r="H62" s="7"/>
      <c r="I62" s="7"/>
      <c r="J62" s="47"/>
      <c r="K62" s="47"/>
      <c r="L62" s="47"/>
      <c r="M62" s="47"/>
      <c r="N62" s="10"/>
      <c r="O62" s="47"/>
      <c r="P62" s="47"/>
      <c r="Q62" s="47"/>
      <c r="R62" s="48" t="str">
        <f aca="false">IF(Q62="","",IF(Q62=0,"below 5:00",IF(Q62&gt;=66,"16:00 or above",INT((60+2*Q62)/12)&amp;":"&amp;TEXT(MOD(60+2*Q62,12),"00"))))</f>
        <v/>
      </c>
      <c r="S62" s="47"/>
      <c r="T62" s="47"/>
      <c r="U62" s="47"/>
      <c r="V62" s="47"/>
      <c r="W62" s="47"/>
      <c r="X62" s="47"/>
      <c r="Y62" s="47"/>
      <c r="Z62" s="47"/>
      <c r="AA62" s="47"/>
      <c r="AB62" s="47"/>
      <c r="AC62" s="47"/>
      <c r="AD62" s="47"/>
      <c r="AE62" s="47"/>
      <c r="AF62" s="47"/>
      <c r="AG62" s="47"/>
      <c r="AH62" s="47"/>
      <c r="AI62" s="46"/>
      <c r="AJ62" s="46"/>
      <c r="AK62" s="46"/>
      <c r="AL62" s="7"/>
      <c r="AM62" s="49" t="str">
        <f aca="false">IF(OR(C62="",G62=""),"",IFERROR(DATEDIF(C62,G62,"m"),""))</f>
        <v/>
      </c>
      <c r="AN62" s="49" t="str">
        <f aca="false">IF(OR(Q62="",AM62=""),"",60+2*Q62-AM62)</f>
        <v/>
      </c>
      <c r="AO62" s="49" t="str">
        <f aca="false">IF(OR(G62="",AJ62=""),"",AJ62-G62)</f>
        <v/>
      </c>
      <c r="AP62" s="50" t="str">
        <f aca="false">IF(AND(A62="",B62=""),"",IF(J62="","Status needed",IF(OR(J62="Applied",J62="Visit booked",J62="Withdrawn"),"OK",IF(G62="","Date assessed needed",IF(C62="","Date of birth needed",IF(COUNTA(L62,M62,P62,U62,V62,X62,AB62)&lt;7,"Band missing",IF(AND(OR(J62="Decision confirmed",J62="Family told",J62="Enrolled"),AG62=""),"Recommendation needed",IF(AND(OR(J62="Family told",J62="Enrolled"),AJ62=""),"Date family told needed","OK"))))))))</f>
        <v/>
      </c>
    </row>
    <row r="63" customFormat="false" ht="15" hidden="false" customHeight="false" outlineLevel="0" collapsed="false">
      <c r="A63" s="7"/>
      <c r="B63" s="7"/>
      <c r="C63" s="46"/>
      <c r="D63" s="7"/>
      <c r="E63" s="47"/>
      <c r="F63" s="46"/>
      <c r="G63" s="46"/>
      <c r="H63" s="7"/>
      <c r="I63" s="7"/>
      <c r="J63" s="47"/>
      <c r="K63" s="47"/>
      <c r="L63" s="47"/>
      <c r="M63" s="47"/>
      <c r="N63" s="10"/>
      <c r="O63" s="47"/>
      <c r="P63" s="47"/>
      <c r="Q63" s="47"/>
      <c r="R63" s="48" t="str">
        <f aca="false">IF(Q63="","",IF(Q63=0,"below 5:00",IF(Q63&gt;=66,"16:00 or above",INT((60+2*Q63)/12)&amp;":"&amp;TEXT(MOD(60+2*Q63,12),"00"))))</f>
        <v/>
      </c>
      <c r="S63" s="47"/>
      <c r="T63" s="47"/>
      <c r="U63" s="47"/>
      <c r="V63" s="47"/>
      <c r="W63" s="47"/>
      <c r="X63" s="47"/>
      <c r="Y63" s="47"/>
      <c r="Z63" s="47"/>
      <c r="AA63" s="47"/>
      <c r="AB63" s="47"/>
      <c r="AC63" s="47"/>
      <c r="AD63" s="47"/>
      <c r="AE63" s="47"/>
      <c r="AF63" s="47"/>
      <c r="AG63" s="47"/>
      <c r="AH63" s="47"/>
      <c r="AI63" s="46"/>
      <c r="AJ63" s="46"/>
      <c r="AK63" s="46"/>
      <c r="AL63" s="7"/>
      <c r="AM63" s="49" t="str">
        <f aca="false">IF(OR(C63="",G63=""),"",IFERROR(DATEDIF(C63,G63,"m"),""))</f>
        <v/>
      </c>
      <c r="AN63" s="49" t="str">
        <f aca="false">IF(OR(Q63="",AM63=""),"",60+2*Q63-AM63)</f>
        <v/>
      </c>
      <c r="AO63" s="49" t="str">
        <f aca="false">IF(OR(G63="",AJ63=""),"",AJ63-G63)</f>
        <v/>
      </c>
      <c r="AP63" s="50" t="str">
        <f aca="false">IF(AND(A63="",B63=""),"",IF(J63="","Status needed",IF(OR(J63="Applied",J63="Visit booked",J63="Withdrawn"),"OK",IF(G63="","Date assessed needed",IF(C63="","Date of birth needed",IF(COUNTA(L63,M63,P63,U63,V63,X63,AB63)&lt;7,"Band missing",IF(AND(OR(J63="Decision confirmed",J63="Family told",J63="Enrolled"),AG63=""),"Recommendation needed",IF(AND(OR(J63="Family told",J63="Enrolled"),AJ63=""),"Date family told needed","OK"))))))))</f>
        <v/>
      </c>
    </row>
    <row r="64" customFormat="false" ht="15" hidden="false" customHeight="false" outlineLevel="0" collapsed="false">
      <c r="A64" s="7"/>
      <c r="B64" s="7"/>
      <c r="C64" s="46"/>
      <c r="D64" s="7"/>
      <c r="E64" s="47"/>
      <c r="F64" s="46"/>
      <c r="G64" s="46"/>
      <c r="H64" s="7"/>
      <c r="I64" s="7"/>
      <c r="J64" s="47"/>
      <c r="K64" s="47"/>
      <c r="L64" s="47"/>
      <c r="M64" s="47"/>
      <c r="N64" s="10"/>
      <c r="O64" s="47"/>
      <c r="P64" s="47"/>
      <c r="Q64" s="47"/>
      <c r="R64" s="48" t="str">
        <f aca="false">IF(Q64="","",IF(Q64=0,"below 5:00",IF(Q64&gt;=66,"16:00 or above",INT((60+2*Q64)/12)&amp;":"&amp;TEXT(MOD(60+2*Q64,12),"00"))))</f>
        <v/>
      </c>
      <c r="S64" s="47"/>
      <c r="T64" s="47"/>
      <c r="U64" s="47"/>
      <c r="V64" s="47"/>
      <c r="W64" s="47"/>
      <c r="X64" s="47"/>
      <c r="Y64" s="47"/>
      <c r="Z64" s="47"/>
      <c r="AA64" s="47"/>
      <c r="AB64" s="47"/>
      <c r="AC64" s="47"/>
      <c r="AD64" s="47"/>
      <c r="AE64" s="47"/>
      <c r="AF64" s="47"/>
      <c r="AG64" s="47"/>
      <c r="AH64" s="47"/>
      <c r="AI64" s="46"/>
      <c r="AJ64" s="46"/>
      <c r="AK64" s="46"/>
      <c r="AL64" s="7"/>
      <c r="AM64" s="49" t="str">
        <f aca="false">IF(OR(C64="",G64=""),"",IFERROR(DATEDIF(C64,G64,"m"),""))</f>
        <v/>
      </c>
      <c r="AN64" s="49" t="str">
        <f aca="false">IF(OR(Q64="",AM64=""),"",60+2*Q64-AM64)</f>
        <v/>
      </c>
      <c r="AO64" s="49" t="str">
        <f aca="false">IF(OR(G64="",AJ64=""),"",AJ64-G64)</f>
        <v/>
      </c>
      <c r="AP64" s="50" t="str">
        <f aca="false">IF(AND(A64="",B64=""),"",IF(J64="","Status needed",IF(OR(J64="Applied",J64="Visit booked",J64="Withdrawn"),"OK",IF(G64="","Date assessed needed",IF(C64="","Date of birth needed",IF(COUNTA(L64,M64,P64,U64,V64,X64,AB64)&lt;7,"Band missing",IF(AND(OR(J64="Decision confirmed",J64="Family told",J64="Enrolled"),AG64=""),"Recommendation needed",IF(AND(OR(J64="Family told",J64="Enrolled"),AJ64=""),"Date family told needed","OK"))))))))</f>
        <v/>
      </c>
    </row>
    <row r="65" customFormat="false" ht="15" hidden="false" customHeight="false" outlineLevel="0" collapsed="false">
      <c r="A65" s="7"/>
      <c r="B65" s="7"/>
      <c r="C65" s="46"/>
      <c r="D65" s="7"/>
      <c r="E65" s="47"/>
      <c r="F65" s="46"/>
      <c r="G65" s="46"/>
      <c r="H65" s="7"/>
      <c r="I65" s="7"/>
      <c r="J65" s="47"/>
      <c r="K65" s="47"/>
      <c r="L65" s="47"/>
      <c r="M65" s="47"/>
      <c r="N65" s="10"/>
      <c r="O65" s="47"/>
      <c r="P65" s="47"/>
      <c r="Q65" s="47"/>
      <c r="R65" s="48" t="str">
        <f aca="false">IF(Q65="","",IF(Q65=0,"below 5:00",IF(Q65&gt;=66,"16:00 or above",INT((60+2*Q65)/12)&amp;":"&amp;TEXT(MOD(60+2*Q65,12),"00"))))</f>
        <v/>
      </c>
      <c r="S65" s="47"/>
      <c r="T65" s="47"/>
      <c r="U65" s="47"/>
      <c r="V65" s="47"/>
      <c r="W65" s="47"/>
      <c r="X65" s="47"/>
      <c r="Y65" s="47"/>
      <c r="Z65" s="47"/>
      <c r="AA65" s="47"/>
      <c r="AB65" s="47"/>
      <c r="AC65" s="47"/>
      <c r="AD65" s="47"/>
      <c r="AE65" s="47"/>
      <c r="AF65" s="47"/>
      <c r="AG65" s="47"/>
      <c r="AH65" s="47"/>
      <c r="AI65" s="46"/>
      <c r="AJ65" s="46"/>
      <c r="AK65" s="46"/>
      <c r="AL65" s="7"/>
      <c r="AM65" s="49" t="str">
        <f aca="false">IF(OR(C65="",G65=""),"",IFERROR(DATEDIF(C65,G65,"m"),""))</f>
        <v/>
      </c>
      <c r="AN65" s="49" t="str">
        <f aca="false">IF(OR(Q65="",AM65=""),"",60+2*Q65-AM65)</f>
        <v/>
      </c>
      <c r="AO65" s="49" t="str">
        <f aca="false">IF(OR(G65="",AJ65=""),"",AJ65-G65)</f>
        <v/>
      </c>
      <c r="AP65" s="50" t="str">
        <f aca="false">IF(AND(A65="",B65=""),"",IF(J65="","Status needed",IF(OR(J65="Applied",J65="Visit booked",J65="Withdrawn"),"OK",IF(G65="","Date assessed needed",IF(C65="","Date of birth needed",IF(COUNTA(L65,M65,P65,U65,V65,X65,AB65)&lt;7,"Band missing",IF(AND(OR(J65="Decision confirmed",J65="Family told",J65="Enrolled"),AG65=""),"Recommendation needed",IF(AND(OR(J65="Family told",J65="Enrolled"),AJ65=""),"Date family told needed","OK"))))))))</f>
        <v/>
      </c>
    </row>
    <row r="66" customFormat="false" ht="15" hidden="false" customHeight="false" outlineLevel="0" collapsed="false">
      <c r="A66" s="7"/>
      <c r="B66" s="7"/>
      <c r="C66" s="46"/>
      <c r="D66" s="7"/>
      <c r="E66" s="47"/>
      <c r="F66" s="46"/>
      <c r="G66" s="46"/>
      <c r="H66" s="7"/>
      <c r="I66" s="7"/>
      <c r="J66" s="47"/>
      <c r="K66" s="47"/>
      <c r="L66" s="47"/>
      <c r="M66" s="47"/>
      <c r="N66" s="10"/>
      <c r="O66" s="47"/>
      <c r="P66" s="47"/>
      <c r="Q66" s="47"/>
      <c r="R66" s="48" t="str">
        <f aca="false">IF(Q66="","",IF(Q66=0,"below 5:00",IF(Q66&gt;=66,"16:00 or above",INT((60+2*Q66)/12)&amp;":"&amp;TEXT(MOD(60+2*Q66,12),"00"))))</f>
        <v/>
      </c>
      <c r="S66" s="47"/>
      <c r="T66" s="47"/>
      <c r="U66" s="47"/>
      <c r="V66" s="47"/>
      <c r="W66" s="47"/>
      <c r="X66" s="47"/>
      <c r="Y66" s="47"/>
      <c r="Z66" s="47"/>
      <c r="AA66" s="47"/>
      <c r="AB66" s="47"/>
      <c r="AC66" s="47"/>
      <c r="AD66" s="47"/>
      <c r="AE66" s="47"/>
      <c r="AF66" s="47"/>
      <c r="AG66" s="47"/>
      <c r="AH66" s="47"/>
      <c r="AI66" s="46"/>
      <c r="AJ66" s="46"/>
      <c r="AK66" s="46"/>
      <c r="AL66" s="7"/>
      <c r="AM66" s="49" t="str">
        <f aca="false">IF(OR(C66="",G66=""),"",IFERROR(DATEDIF(C66,G66,"m"),""))</f>
        <v/>
      </c>
      <c r="AN66" s="49" t="str">
        <f aca="false">IF(OR(Q66="",AM66=""),"",60+2*Q66-AM66)</f>
        <v/>
      </c>
      <c r="AO66" s="49" t="str">
        <f aca="false">IF(OR(G66="",AJ66=""),"",AJ66-G66)</f>
        <v/>
      </c>
      <c r="AP66" s="50" t="str">
        <f aca="false">IF(AND(A66="",B66=""),"",IF(J66="","Status needed",IF(OR(J66="Applied",J66="Visit booked",J66="Withdrawn"),"OK",IF(G66="","Date assessed needed",IF(C66="","Date of birth needed",IF(COUNTA(L66,M66,P66,U66,V66,X66,AB66)&lt;7,"Band missing",IF(AND(OR(J66="Decision confirmed",J66="Family told",J66="Enrolled"),AG66=""),"Recommendation needed",IF(AND(OR(J66="Family told",J66="Enrolled"),AJ66=""),"Date family told needed","OK"))))))))</f>
        <v/>
      </c>
    </row>
    <row r="67" customFormat="false" ht="15" hidden="false" customHeight="false" outlineLevel="0" collapsed="false">
      <c r="A67" s="7"/>
      <c r="B67" s="7"/>
      <c r="C67" s="46"/>
      <c r="D67" s="7"/>
      <c r="E67" s="47"/>
      <c r="F67" s="46"/>
      <c r="G67" s="46"/>
      <c r="H67" s="7"/>
      <c r="I67" s="7"/>
      <c r="J67" s="47"/>
      <c r="K67" s="47"/>
      <c r="L67" s="47"/>
      <c r="M67" s="47"/>
      <c r="N67" s="10"/>
      <c r="O67" s="47"/>
      <c r="P67" s="47"/>
      <c r="Q67" s="47"/>
      <c r="R67" s="48" t="str">
        <f aca="false">IF(Q67="","",IF(Q67=0,"below 5:00",IF(Q67&gt;=66,"16:00 or above",INT((60+2*Q67)/12)&amp;":"&amp;TEXT(MOD(60+2*Q67,12),"00"))))</f>
        <v/>
      </c>
      <c r="S67" s="47"/>
      <c r="T67" s="47"/>
      <c r="U67" s="47"/>
      <c r="V67" s="47"/>
      <c r="W67" s="47"/>
      <c r="X67" s="47"/>
      <c r="Y67" s="47"/>
      <c r="Z67" s="47"/>
      <c r="AA67" s="47"/>
      <c r="AB67" s="47"/>
      <c r="AC67" s="47"/>
      <c r="AD67" s="47"/>
      <c r="AE67" s="47"/>
      <c r="AF67" s="47"/>
      <c r="AG67" s="47"/>
      <c r="AH67" s="47"/>
      <c r="AI67" s="46"/>
      <c r="AJ67" s="46"/>
      <c r="AK67" s="46"/>
      <c r="AL67" s="7"/>
      <c r="AM67" s="49" t="str">
        <f aca="false">IF(OR(C67="",G67=""),"",IFERROR(DATEDIF(C67,G67,"m"),""))</f>
        <v/>
      </c>
      <c r="AN67" s="49" t="str">
        <f aca="false">IF(OR(Q67="",AM67=""),"",60+2*Q67-AM67)</f>
        <v/>
      </c>
      <c r="AO67" s="49" t="str">
        <f aca="false">IF(OR(G67="",AJ67=""),"",AJ67-G67)</f>
        <v/>
      </c>
      <c r="AP67" s="50" t="str">
        <f aca="false">IF(AND(A67="",B67=""),"",IF(J67="","Status needed",IF(OR(J67="Applied",J67="Visit booked",J67="Withdrawn"),"OK",IF(G67="","Date assessed needed",IF(C67="","Date of birth needed",IF(COUNTA(L67,M67,P67,U67,V67,X67,AB67)&lt;7,"Band missing",IF(AND(OR(J67="Decision confirmed",J67="Family told",J67="Enrolled"),AG67=""),"Recommendation needed",IF(AND(OR(J67="Family told",J67="Enrolled"),AJ67=""),"Date family told needed","OK"))))))))</f>
        <v/>
      </c>
    </row>
    <row r="68" customFormat="false" ht="15" hidden="false" customHeight="false" outlineLevel="0" collapsed="false">
      <c r="A68" s="7"/>
      <c r="B68" s="7"/>
      <c r="C68" s="46"/>
      <c r="D68" s="7"/>
      <c r="E68" s="47"/>
      <c r="F68" s="46"/>
      <c r="G68" s="46"/>
      <c r="H68" s="7"/>
      <c r="I68" s="7"/>
      <c r="J68" s="47"/>
      <c r="K68" s="47"/>
      <c r="L68" s="47"/>
      <c r="M68" s="47"/>
      <c r="N68" s="10"/>
      <c r="O68" s="47"/>
      <c r="P68" s="47"/>
      <c r="Q68" s="47"/>
      <c r="R68" s="48" t="str">
        <f aca="false">IF(Q68="","",IF(Q68=0,"below 5:00",IF(Q68&gt;=66,"16:00 or above",INT((60+2*Q68)/12)&amp;":"&amp;TEXT(MOD(60+2*Q68,12),"00"))))</f>
        <v/>
      </c>
      <c r="S68" s="47"/>
      <c r="T68" s="47"/>
      <c r="U68" s="47"/>
      <c r="V68" s="47"/>
      <c r="W68" s="47"/>
      <c r="X68" s="47"/>
      <c r="Y68" s="47"/>
      <c r="Z68" s="47"/>
      <c r="AA68" s="47"/>
      <c r="AB68" s="47"/>
      <c r="AC68" s="47"/>
      <c r="AD68" s="47"/>
      <c r="AE68" s="47"/>
      <c r="AF68" s="47"/>
      <c r="AG68" s="47"/>
      <c r="AH68" s="47"/>
      <c r="AI68" s="46"/>
      <c r="AJ68" s="46"/>
      <c r="AK68" s="46"/>
      <c r="AL68" s="7"/>
      <c r="AM68" s="49" t="str">
        <f aca="false">IF(OR(C68="",G68=""),"",IFERROR(DATEDIF(C68,G68,"m"),""))</f>
        <v/>
      </c>
      <c r="AN68" s="49" t="str">
        <f aca="false">IF(OR(Q68="",AM68=""),"",60+2*Q68-AM68)</f>
        <v/>
      </c>
      <c r="AO68" s="49" t="str">
        <f aca="false">IF(OR(G68="",AJ68=""),"",AJ68-G68)</f>
        <v/>
      </c>
      <c r="AP68" s="50" t="str">
        <f aca="false">IF(AND(A68="",B68=""),"",IF(J68="","Status needed",IF(OR(J68="Applied",J68="Visit booked",J68="Withdrawn"),"OK",IF(G68="","Date assessed needed",IF(C68="","Date of birth needed",IF(COUNTA(L68,M68,P68,U68,V68,X68,AB68)&lt;7,"Band missing",IF(AND(OR(J68="Decision confirmed",J68="Family told",J68="Enrolled"),AG68=""),"Recommendation needed",IF(AND(OR(J68="Family told",J68="Enrolled"),AJ68=""),"Date family told needed","OK"))))))))</f>
        <v/>
      </c>
    </row>
    <row r="69" customFormat="false" ht="15" hidden="false" customHeight="false" outlineLevel="0" collapsed="false">
      <c r="A69" s="7"/>
      <c r="B69" s="7"/>
      <c r="C69" s="46"/>
      <c r="D69" s="7"/>
      <c r="E69" s="47"/>
      <c r="F69" s="46"/>
      <c r="G69" s="46"/>
      <c r="H69" s="7"/>
      <c r="I69" s="7"/>
      <c r="J69" s="47"/>
      <c r="K69" s="47"/>
      <c r="L69" s="47"/>
      <c r="M69" s="47"/>
      <c r="N69" s="10"/>
      <c r="O69" s="47"/>
      <c r="P69" s="47"/>
      <c r="Q69" s="47"/>
      <c r="R69" s="48" t="str">
        <f aca="false">IF(Q69="","",IF(Q69=0,"below 5:00",IF(Q69&gt;=66,"16:00 or above",INT((60+2*Q69)/12)&amp;":"&amp;TEXT(MOD(60+2*Q69,12),"00"))))</f>
        <v/>
      </c>
      <c r="S69" s="47"/>
      <c r="T69" s="47"/>
      <c r="U69" s="47"/>
      <c r="V69" s="47"/>
      <c r="W69" s="47"/>
      <c r="X69" s="47"/>
      <c r="Y69" s="47"/>
      <c r="Z69" s="47"/>
      <c r="AA69" s="47"/>
      <c r="AB69" s="47"/>
      <c r="AC69" s="47"/>
      <c r="AD69" s="47"/>
      <c r="AE69" s="47"/>
      <c r="AF69" s="47"/>
      <c r="AG69" s="47"/>
      <c r="AH69" s="47"/>
      <c r="AI69" s="46"/>
      <c r="AJ69" s="46"/>
      <c r="AK69" s="46"/>
      <c r="AL69" s="7"/>
      <c r="AM69" s="49" t="str">
        <f aca="false">IF(OR(C69="",G69=""),"",IFERROR(DATEDIF(C69,G69,"m"),""))</f>
        <v/>
      </c>
      <c r="AN69" s="49" t="str">
        <f aca="false">IF(OR(Q69="",AM69=""),"",60+2*Q69-AM69)</f>
        <v/>
      </c>
      <c r="AO69" s="49" t="str">
        <f aca="false">IF(OR(G69="",AJ69=""),"",AJ69-G69)</f>
        <v/>
      </c>
      <c r="AP69" s="50" t="str">
        <f aca="false">IF(AND(A69="",B69=""),"",IF(J69="","Status needed",IF(OR(J69="Applied",J69="Visit booked",J69="Withdrawn"),"OK",IF(G69="","Date assessed needed",IF(C69="","Date of birth needed",IF(COUNTA(L69,M69,P69,U69,V69,X69,AB69)&lt;7,"Band missing",IF(AND(OR(J69="Decision confirmed",J69="Family told",J69="Enrolled"),AG69=""),"Recommendation needed",IF(AND(OR(J69="Family told",J69="Enrolled"),AJ69=""),"Date family told needed","OK"))))))))</f>
        <v/>
      </c>
    </row>
    <row r="70" customFormat="false" ht="15" hidden="false" customHeight="false" outlineLevel="0" collapsed="false">
      <c r="A70" s="7"/>
      <c r="B70" s="7"/>
      <c r="C70" s="46"/>
      <c r="D70" s="7"/>
      <c r="E70" s="47"/>
      <c r="F70" s="46"/>
      <c r="G70" s="46"/>
      <c r="H70" s="7"/>
      <c r="I70" s="7"/>
      <c r="J70" s="47"/>
      <c r="K70" s="47"/>
      <c r="L70" s="47"/>
      <c r="M70" s="47"/>
      <c r="N70" s="10"/>
      <c r="O70" s="47"/>
      <c r="P70" s="47"/>
      <c r="Q70" s="47"/>
      <c r="R70" s="48" t="str">
        <f aca="false">IF(Q70="","",IF(Q70=0,"below 5:00",IF(Q70&gt;=66,"16:00 or above",INT((60+2*Q70)/12)&amp;":"&amp;TEXT(MOD(60+2*Q70,12),"00"))))</f>
        <v/>
      </c>
      <c r="S70" s="47"/>
      <c r="T70" s="47"/>
      <c r="U70" s="47"/>
      <c r="V70" s="47"/>
      <c r="W70" s="47"/>
      <c r="X70" s="47"/>
      <c r="Y70" s="47"/>
      <c r="Z70" s="47"/>
      <c r="AA70" s="47"/>
      <c r="AB70" s="47"/>
      <c r="AC70" s="47"/>
      <c r="AD70" s="47"/>
      <c r="AE70" s="47"/>
      <c r="AF70" s="47"/>
      <c r="AG70" s="47"/>
      <c r="AH70" s="47"/>
      <c r="AI70" s="46"/>
      <c r="AJ70" s="46"/>
      <c r="AK70" s="46"/>
      <c r="AL70" s="7"/>
      <c r="AM70" s="49" t="str">
        <f aca="false">IF(OR(C70="",G70=""),"",IFERROR(DATEDIF(C70,G70,"m"),""))</f>
        <v/>
      </c>
      <c r="AN70" s="49" t="str">
        <f aca="false">IF(OR(Q70="",AM70=""),"",60+2*Q70-AM70)</f>
        <v/>
      </c>
      <c r="AO70" s="49" t="str">
        <f aca="false">IF(OR(G70="",AJ70=""),"",AJ70-G70)</f>
        <v/>
      </c>
      <c r="AP70" s="50" t="str">
        <f aca="false">IF(AND(A70="",B70=""),"",IF(J70="","Status needed",IF(OR(J70="Applied",J70="Visit booked",J70="Withdrawn"),"OK",IF(G70="","Date assessed needed",IF(C70="","Date of birth needed",IF(COUNTA(L70,M70,P70,U70,V70,X70,AB70)&lt;7,"Band missing",IF(AND(OR(J70="Decision confirmed",J70="Family told",J70="Enrolled"),AG70=""),"Recommendation needed",IF(AND(OR(J70="Family told",J70="Enrolled"),AJ70=""),"Date family told needed","OK"))))))))</f>
        <v/>
      </c>
    </row>
    <row r="71" customFormat="false" ht="15" hidden="false" customHeight="false" outlineLevel="0" collapsed="false">
      <c r="A71" s="7"/>
      <c r="B71" s="7"/>
      <c r="C71" s="46"/>
      <c r="D71" s="7"/>
      <c r="E71" s="47"/>
      <c r="F71" s="46"/>
      <c r="G71" s="46"/>
      <c r="H71" s="7"/>
      <c r="I71" s="7"/>
      <c r="J71" s="47"/>
      <c r="K71" s="47"/>
      <c r="L71" s="47"/>
      <c r="M71" s="47"/>
      <c r="N71" s="10"/>
      <c r="O71" s="47"/>
      <c r="P71" s="47"/>
      <c r="Q71" s="47"/>
      <c r="R71" s="48" t="str">
        <f aca="false">IF(Q71="","",IF(Q71=0,"below 5:00",IF(Q71&gt;=66,"16:00 or above",INT((60+2*Q71)/12)&amp;":"&amp;TEXT(MOD(60+2*Q71,12),"00"))))</f>
        <v/>
      </c>
      <c r="S71" s="47"/>
      <c r="T71" s="47"/>
      <c r="U71" s="47"/>
      <c r="V71" s="47"/>
      <c r="W71" s="47"/>
      <c r="X71" s="47"/>
      <c r="Y71" s="47"/>
      <c r="Z71" s="47"/>
      <c r="AA71" s="47"/>
      <c r="AB71" s="47"/>
      <c r="AC71" s="47"/>
      <c r="AD71" s="47"/>
      <c r="AE71" s="47"/>
      <c r="AF71" s="47"/>
      <c r="AG71" s="47"/>
      <c r="AH71" s="47"/>
      <c r="AI71" s="46"/>
      <c r="AJ71" s="46"/>
      <c r="AK71" s="46"/>
      <c r="AL71" s="7"/>
      <c r="AM71" s="49" t="str">
        <f aca="false">IF(OR(C71="",G71=""),"",IFERROR(DATEDIF(C71,G71,"m"),""))</f>
        <v/>
      </c>
      <c r="AN71" s="49" t="str">
        <f aca="false">IF(OR(Q71="",AM71=""),"",60+2*Q71-AM71)</f>
        <v/>
      </c>
      <c r="AO71" s="49" t="str">
        <f aca="false">IF(OR(G71="",AJ71=""),"",AJ71-G71)</f>
        <v/>
      </c>
      <c r="AP71" s="50" t="str">
        <f aca="false">IF(AND(A71="",B71=""),"",IF(J71="","Status needed",IF(OR(J71="Applied",J71="Visit booked",J71="Withdrawn"),"OK",IF(G71="","Date assessed needed",IF(C71="","Date of birth needed",IF(COUNTA(L71,M71,P71,U71,V71,X71,AB71)&lt;7,"Band missing",IF(AND(OR(J71="Decision confirmed",J71="Family told",J71="Enrolled"),AG71=""),"Recommendation needed",IF(AND(OR(J71="Family told",J71="Enrolled"),AJ71=""),"Date family told needed","OK"))))))))</f>
        <v/>
      </c>
    </row>
    <row r="72" customFormat="false" ht="15" hidden="false" customHeight="false" outlineLevel="0" collapsed="false">
      <c r="A72" s="7"/>
      <c r="B72" s="7"/>
      <c r="C72" s="46"/>
      <c r="D72" s="7"/>
      <c r="E72" s="47"/>
      <c r="F72" s="46"/>
      <c r="G72" s="46"/>
      <c r="H72" s="7"/>
      <c r="I72" s="7"/>
      <c r="J72" s="47"/>
      <c r="K72" s="47"/>
      <c r="L72" s="47"/>
      <c r="M72" s="47"/>
      <c r="N72" s="10"/>
      <c r="O72" s="47"/>
      <c r="P72" s="47"/>
      <c r="Q72" s="47"/>
      <c r="R72" s="48" t="str">
        <f aca="false">IF(Q72="","",IF(Q72=0,"below 5:00",IF(Q72&gt;=66,"16:00 or above",INT((60+2*Q72)/12)&amp;":"&amp;TEXT(MOD(60+2*Q72,12),"00"))))</f>
        <v/>
      </c>
      <c r="S72" s="47"/>
      <c r="T72" s="47"/>
      <c r="U72" s="47"/>
      <c r="V72" s="47"/>
      <c r="W72" s="47"/>
      <c r="X72" s="47"/>
      <c r="Y72" s="47"/>
      <c r="Z72" s="47"/>
      <c r="AA72" s="47"/>
      <c r="AB72" s="47"/>
      <c r="AC72" s="47"/>
      <c r="AD72" s="47"/>
      <c r="AE72" s="47"/>
      <c r="AF72" s="47"/>
      <c r="AG72" s="47"/>
      <c r="AH72" s="47"/>
      <c r="AI72" s="46"/>
      <c r="AJ72" s="46"/>
      <c r="AK72" s="46"/>
      <c r="AL72" s="7"/>
      <c r="AM72" s="49" t="str">
        <f aca="false">IF(OR(C72="",G72=""),"",IFERROR(DATEDIF(C72,G72,"m"),""))</f>
        <v/>
      </c>
      <c r="AN72" s="49" t="str">
        <f aca="false">IF(OR(Q72="",AM72=""),"",60+2*Q72-AM72)</f>
        <v/>
      </c>
      <c r="AO72" s="49" t="str">
        <f aca="false">IF(OR(G72="",AJ72=""),"",AJ72-G72)</f>
        <v/>
      </c>
      <c r="AP72" s="50" t="str">
        <f aca="false">IF(AND(A72="",B72=""),"",IF(J72="","Status needed",IF(OR(J72="Applied",J72="Visit booked",J72="Withdrawn"),"OK",IF(G72="","Date assessed needed",IF(C72="","Date of birth needed",IF(COUNTA(L72,M72,P72,U72,V72,X72,AB72)&lt;7,"Band missing",IF(AND(OR(J72="Decision confirmed",J72="Family told",J72="Enrolled"),AG72=""),"Recommendation needed",IF(AND(OR(J72="Family told",J72="Enrolled"),AJ72=""),"Date family told needed","OK"))))))))</f>
        <v/>
      </c>
    </row>
    <row r="73" customFormat="false" ht="15" hidden="false" customHeight="false" outlineLevel="0" collapsed="false">
      <c r="A73" s="7"/>
      <c r="B73" s="7"/>
      <c r="C73" s="46"/>
      <c r="D73" s="7"/>
      <c r="E73" s="47"/>
      <c r="F73" s="46"/>
      <c r="G73" s="46"/>
      <c r="H73" s="7"/>
      <c r="I73" s="7"/>
      <c r="J73" s="47"/>
      <c r="K73" s="47"/>
      <c r="L73" s="47"/>
      <c r="M73" s="47"/>
      <c r="N73" s="10"/>
      <c r="O73" s="47"/>
      <c r="P73" s="47"/>
      <c r="Q73" s="47"/>
      <c r="R73" s="48" t="str">
        <f aca="false">IF(Q73="","",IF(Q73=0,"below 5:00",IF(Q73&gt;=66,"16:00 or above",INT((60+2*Q73)/12)&amp;":"&amp;TEXT(MOD(60+2*Q73,12),"00"))))</f>
        <v/>
      </c>
      <c r="S73" s="47"/>
      <c r="T73" s="47"/>
      <c r="U73" s="47"/>
      <c r="V73" s="47"/>
      <c r="W73" s="47"/>
      <c r="X73" s="47"/>
      <c r="Y73" s="47"/>
      <c r="Z73" s="47"/>
      <c r="AA73" s="47"/>
      <c r="AB73" s="47"/>
      <c r="AC73" s="47"/>
      <c r="AD73" s="47"/>
      <c r="AE73" s="47"/>
      <c r="AF73" s="47"/>
      <c r="AG73" s="47"/>
      <c r="AH73" s="47"/>
      <c r="AI73" s="46"/>
      <c r="AJ73" s="46"/>
      <c r="AK73" s="46"/>
      <c r="AL73" s="7"/>
      <c r="AM73" s="49" t="str">
        <f aca="false">IF(OR(C73="",G73=""),"",IFERROR(DATEDIF(C73,G73,"m"),""))</f>
        <v/>
      </c>
      <c r="AN73" s="49" t="str">
        <f aca="false">IF(OR(Q73="",AM73=""),"",60+2*Q73-AM73)</f>
        <v/>
      </c>
      <c r="AO73" s="49" t="str">
        <f aca="false">IF(OR(G73="",AJ73=""),"",AJ73-G73)</f>
        <v/>
      </c>
      <c r="AP73" s="50" t="str">
        <f aca="false">IF(AND(A73="",B73=""),"",IF(J73="","Status needed",IF(OR(J73="Applied",J73="Visit booked",J73="Withdrawn"),"OK",IF(G73="","Date assessed needed",IF(C73="","Date of birth needed",IF(COUNTA(L73,M73,P73,U73,V73,X73,AB73)&lt;7,"Band missing",IF(AND(OR(J73="Decision confirmed",J73="Family told",J73="Enrolled"),AG73=""),"Recommendation needed",IF(AND(OR(J73="Family told",J73="Enrolled"),AJ73=""),"Date family told needed","OK"))))))))</f>
        <v/>
      </c>
    </row>
    <row r="74" customFormat="false" ht="15" hidden="false" customHeight="false" outlineLevel="0" collapsed="false">
      <c r="A74" s="7"/>
      <c r="B74" s="7"/>
      <c r="C74" s="46"/>
      <c r="D74" s="7"/>
      <c r="E74" s="47"/>
      <c r="F74" s="46"/>
      <c r="G74" s="46"/>
      <c r="H74" s="7"/>
      <c r="I74" s="7"/>
      <c r="J74" s="47"/>
      <c r="K74" s="47"/>
      <c r="L74" s="47"/>
      <c r="M74" s="47"/>
      <c r="N74" s="10"/>
      <c r="O74" s="47"/>
      <c r="P74" s="47"/>
      <c r="Q74" s="47"/>
      <c r="R74" s="48" t="str">
        <f aca="false">IF(Q74="","",IF(Q74=0,"below 5:00",IF(Q74&gt;=66,"16:00 or above",INT((60+2*Q74)/12)&amp;":"&amp;TEXT(MOD(60+2*Q74,12),"00"))))</f>
        <v/>
      </c>
      <c r="S74" s="47"/>
      <c r="T74" s="47"/>
      <c r="U74" s="47"/>
      <c r="V74" s="47"/>
      <c r="W74" s="47"/>
      <c r="X74" s="47"/>
      <c r="Y74" s="47"/>
      <c r="Z74" s="47"/>
      <c r="AA74" s="47"/>
      <c r="AB74" s="47"/>
      <c r="AC74" s="47"/>
      <c r="AD74" s="47"/>
      <c r="AE74" s="47"/>
      <c r="AF74" s="47"/>
      <c r="AG74" s="47"/>
      <c r="AH74" s="47"/>
      <c r="AI74" s="46"/>
      <c r="AJ74" s="46"/>
      <c r="AK74" s="46"/>
      <c r="AL74" s="7"/>
      <c r="AM74" s="49" t="str">
        <f aca="false">IF(OR(C74="",G74=""),"",IFERROR(DATEDIF(C74,G74,"m"),""))</f>
        <v/>
      </c>
      <c r="AN74" s="49" t="str">
        <f aca="false">IF(OR(Q74="",AM74=""),"",60+2*Q74-AM74)</f>
        <v/>
      </c>
      <c r="AO74" s="49" t="str">
        <f aca="false">IF(OR(G74="",AJ74=""),"",AJ74-G74)</f>
        <v/>
      </c>
      <c r="AP74" s="50" t="str">
        <f aca="false">IF(AND(A74="",B74=""),"",IF(J74="","Status needed",IF(OR(J74="Applied",J74="Visit booked",J74="Withdrawn"),"OK",IF(G74="","Date assessed needed",IF(C74="","Date of birth needed",IF(COUNTA(L74,M74,P74,U74,V74,X74,AB74)&lt;7,"Band missing",IF(AND(OR(J74="Decision confirmed",J74="Family told",J74="Enrolled"),AG74=""),"Recommendation needed",IF(AND(OR(J74="Family told",J74="Enrolled"),AJ74=""),"Date family told needed","OK"))))))))</f>
        <v/>
      </c>
    </row>
    <row r="75" customFormat="false" ht="15" hidden="false" customHeight="false" outlineLevel="0" collapsed="false">
      <c r="A75" s="7"/>
      <c r="B75" s="7"/>
      <c r="C75" s="46"/>
      <c r="D75" s="7"/>
      <c r="E75" s="47"/>
      <c r="F75" s="46"/>
      <c r="G75" s="46"/>
      <c r="H75" s="7"/>
      <c r="I75" s="7"/>
      <c r="J75" s="47"/>
      <c r="K75" s="47"/>
      <c r="L75" s="47"/>
      <c r="M75" s="47"/>
      <c r="N75" s="10"/>
      <c r="O75" s="47"/>
      <c r="P75" s="47"/>
      <c r="Q75" s="47"/>
      <c r="R75" s="48" t="str">
        <f aca="false">IF(Q75="","",IF(Q75=0,"below 5:00",IF(Q75&gt;=66,"16:00 or above",INT((60+2*Q75)/12)&amp;":"&amp;TEXT(MOD(60+2*Q75,12),"00"))))</f>
        <v/>
      </c>
      <c r="S75" s="47"/>
      <c r="T75" s="47"/>
      <c r="U75" s="47"/>
      <c r="V75" s="47"/>
      <c r="W75" s="47"/>
      <c r="X75" s="47"/>
      <c r="Y75" s="47"/>
      <c r="Z75" s="47"/>
      <c r="AA75" s="47"/>
      <c r="AB75" s="47"/>
      <c r="AC75" s="47"/>
      <c r="AD75" s="47"/>
      <c r="AE75" s="47"/>
      <c r="AF75" s="47"/>
      <c r="AG75" s="47"/>
      <c r="AH75" s="47"/>
      <c r="AI75" s="46"/>
      <c r="AJ75" s="46"/>
      <c r="AK75" s="46"/>
      <c r="AL75" s="7"/>
      <c r="AM75" s="49" t="str">
        <f aca="false">IF(OR(C75="",G75=""),"",IFERROR(DATEDIF(C75,G75,"m"),""))</f>
        <v/>
      </c>
      <c r="AN75" s="49" t="str">
        <f aca="false">IF(OR(Q75="",AM75=""),"",60+2*Q75-AM75)</f>
        <v/>
      </c>
      <c r="AO75" s="49" t="str">
        <f aca="false">IF(OR(G75="",AJ75=""),"",AJ75-G75)</f>
        <v/>
      </c>
      <c r="AP75" s="50" t="str">
        <f aca="false">IF(AND(A75="",B75=""),"",IF(J75="","Status needed",IF(OR(J75="Applied",J75="Visit booked",J75="Withdrawn"),"OK",IF(G75="","Date assessed needed",IF(C75="","Date of birth needed",IF(COUNTA(L75,M75,P75,U75,V75,X75,AB75)&lt;7,"Band missing",IF(AND(OR(J75="Decision confirmed",J75="Family told",J75="Enrolled"),AG75=""),"Recommendation needed",IF(AND(OR(J75="Family told",J75="Enrolled"),AJ75=""),"Date family told needed","OK"))))))))</f>
        <v/>
      </c>
    </row>
    <row r="76" customFormat="false" ht="15" hidden="false" customHeight="false" outlineLevel="0" collapsed="false">
      <c r="A76" s="7"/>
      <c r="B76" s="7"/>
      <c r="C76" s="46"/>
      <c r="D76" s="7"/>
      <c r="E76" s="47"/>
      <c r="F76" s="46"/>
      <c r="G76" s="46"/>
      <c r="H76" s="7"/>
      <c r="I76" s="7"/>
      <c r="J76" s="47"/>
      <c r="K76" s="47"/>
      <c r="L76" s="47"/>
      <c r="M76" s="47"/>
      <c r="N76" s="10"/>
      <c r="O76" s="47"/>
      <c r="P76" s="47"/>
      <c r="Q76" s="47"/>
      <c r="R76" s="48" t="str">
        <f aca="false">IF(Q76="","",IF(Q76=0,"below 5:00",IF(Q76&gt;=66,"16:00 or above",INT((60+2*Q76)/12)&amp;":"&amp;TEXT(MOD(60+2*Q76,12),"00"))))</f>
        <v/>
      </c>
      <c r="S76" s="47"/>
      <c r="T76" s="47"/>
      <c r="U76" s="47"/>
      <c r="V76" s="47"/>
      <c r="W76" s="47"/>
      <c r="X76" s="47"/>
      <c r="Y76" s="47"/>
      <c r="Z76" s="47"/>
      <c r="AA76" s="47"/>
      <c r="AB76" s="47"/>
      <c r="AC76" s="47"/>
      <c r="AD76" s="47"/>
      <c r="AE76" s="47"/>
      <c r="AF76" s="47"/>
      <c r="AG76" s="47"/>
      <c r="AH76" s="47"/>
      <c r="AI76" s="46"/>
      <c r="AJ76" s="46"/>
      <c r="AK76" s="46"/>
      <c r="AL76" s="7"/>
      <c r="AM76" s="49" t="str">
        <f aca="false">IF(OR(C76="",G76=""),"",IFERROR(DATEDIF(C76,G76,"m"),""))</f>
        <v/>
      </c>
      <c r="AN76" s="49" t="str">
        <f aca="false">IF(OR(Q76="",AM76=""),"",60+2*Q76-AM76)</f>
        <v/>
      </c>
      <c r="AO76" s="49" t="str">
        <f aca="false">IF(OR(G76="",AJ76=""),"",AJ76-G76)</f>
        <v/>
      </c>
      <c r="AP76" s="50" t="str">
        <f aca="false">IF(AND(A76="",B76=""),"",IF(J76="","Status needed",IF(OR(J76="Applied",J76="Visit booked",J76="Withdrawn"),"OK",IF(G76="","Date assessed needed",IF(C76="","Date of birth needed",IF(COUNTA(L76,M76,P76,U76,V76,X76,AB76)&lt;7,"Band missing",IF(AND(OR(J76="Decision confirmed",J76="Family told",J76="Enrolled"),AG76=""),"Recommendation needed",IF(AND(OR(J76="Family told",J76="Enrolled"),AJ76=""),"Date family told needed","OK"))))))))</f>
        <v/>
      </c>
    </row>
    <row r="77" customFormat="false" ht="15" hidden="false" customHeight="false" outlineLevel="0" collapsed="false">
      <c r="A77" s="7"/>
      <c r="B77" s="7"/>
      <c r="C77" s="46"/>
      <c r="D77" s="7"/>
      <c r="E77" s="47"/>
      <c r="F77" s="46"/>
      <c r="G77" s="46"/>
      <c r="H77" s="7"/>
      <c r="I77" s="7"/>
      <c r="J77" s="47"/>
      <c r="K77" s="47"/>
      <c r="L77" s="47"/>
      <c r="M77" s="47"/>
      <c r="N77" s="10"/>
      <c r="O77" s="47"/>
      <c r="P77" s="47"/>
      <c r="Q77" s="47"/>
      <c r="R77" s="48" t="str">
        <f aca="false">IF(Q77="","",IF(Q77=0,"below 5:00",IF(Q77&gt;=66,"16:00 or above",INT((60+2*Q77)/12)&amp;":"&amp;TEXT(MOD(60+2*Q77,12),"00"))))</f>
        <v/>
      </c>
      <c r="S77" s="47"/>
      <c r="T77" s="47"/>
      <c r="U77" s="47"/>
      <c r="V77" s="47"/>
      <c r="W77" s="47"/>
      <c r="X77" s="47"/>
      <c r="Y77" s="47"/>
      <c r="Z77" s="47"/>
      <c r="AA77" s="47"/>
      <c r="AB77" s="47"/>
      <c r="AC77" s="47"/>
      <c r="AD77" s="47"/>
      <c r="AE77" s="47"/>
      <c r="AF77" s="47"/>
      <c r="AG77" s="47"/>
      <c r="AH77" s="47"/>
      <c r="AI77" s="46"/>
      <c r="AJ77" s="46"/>
      <c r="AK77" s="46"/>
      <c r="AL77" s="7"/>
      <c r="AM77" s="49" t="str">
        <f aca="false">IF(OR(C77="",G77=""),"",IFERROR(DATEDIF(C77,G77,"m"),""))</f>
        <v/>
      </c>
      <c r="AN77" s="49" t="str">
        <f aca="false">IF(OR(Q77="",AM77=""),"",60+2*Q77-AM77)</f>
        <v/>
      </c>
      <c r="AO77" s="49" t="str">
        <f aca="false">IF(OR(G77="",AJ77=""),"",AJ77-G77)</f>
        <v/>
      </c>
      <c r="AP77" s="50" t="str">
        <f aca="false">IF(AND(A77="",B77=""),"",IF(J77="","Status needed",IF(OR(J77="Applied",J77="Visit booked",J77="Withdrawn"),"OK",IF(G77="","Date assessed needed",IF(C77="","Date of birth needed",IF(COUNTA(L77,M77,P77,U77,V77,X77,AB77)&lt;7,"Band missing",IF(AND(OR(J77="Decision confirmed",J77="Family told",J77="Enrolled"),AG77=""),"Recommendation needed",IF(AND(OR(J77="Family told",J77="Enrolled"),AJ77=""),"Date family told needed","OK"))))))))</f>
        <v/>
      </c>
    </row>
    <row r="78" customFormat="false" ht="15" hidden="false" customHeight="false" outlineLevel="0" collapsed="false">
      <c r="A78" s="7"/>
      <c r="B78" s="7"/>
      <c r="C78" s="46"/>
      <c r="D78" s="7"/>
      <c r="E78" s="47"/>
      <c r="F78" s="46"/>
      <c r="G78" s="46"/>
      <c r="H78" s="7"/>
      <c r="I78" s="7"/>
      <c r="J78" s="47"/>
      <c r="K78" s="47"/>
      <c r="L78" s="47"/>
      <c r="M78" s="47"/>
      <c r="N78" s="10"/>
      <c r="O78" s="47"/>
      <c r="P78" s="47"/>
      <c r="Q78" s="47"/>
      <c r="R78" s="48" t="str">
        <f aca="false">IF(Q78="","",IF(Q78=0,"below 5:00",IF(Q78&gt;=66,"16:00 or above",INT((60+2*Q78)/12)&amp;":"&amp;TEXT(MOD(60+2*Q78,12),"00"))))</f>
        <v/>
      </c>
      <c r="S78" s="47"/>
      <c r="T78" s="47"/>
      <c r="U78" s="47"/>
      <c r="V78" s="47"/>
      <c r="W78" s="47"/>
      <c r="X78" s="47"/>
      <c r="Y78" s="47"/>
      <c r="Z78" s="47"/>
      <c r="AA78" s="47"/>
      <c r="AB78" s="47"/>
      <c r="AC78" s="47"/>
      <c r="AD78" s="47"/>
      <c r="AE78" s="47"/>
      <c r="AF78" s="47"/>
      <c r="AG78" s="47"/>
      <c r="AH78" s="47"/>
      <c r="AI78" s="46"/>
      <c r="AJ78" s="46"/>
      <c r="AK78" s="46"/>
      <c r="AL78" s="7"/>
      <c r="AM78" s="49" t="str">
        <f aca="false">IF(OR(C78="",G78=""),"",IFERROR(DATEDIF(C78,G78,"m"),""))</f>
        <v/>
      </c>
      <c r="AN78" s="49" t="str">
        <f aca="false">IF(OR(Q78="",AM78=""),"",60+2*Q78-AM78)</f>
        <v/>
      </c>
      <c r="AO78" s="49" t="str">
        <f aca="false">IF(OR(G78="",AJ78=""),"",AJ78-G78)</f>
        <v/>
      </c>
      <c r="AP78" s="50" t="str">
        <f aca="false">IF(AND(A78="",B78=""),"",IF(J78="","Status needed",IF(OR(J78="Applied",J78="Visit booked",J78="Withdrawn"),"OK",IF(G78="","Date assessed needed",IF(C78="","Date of birth needed",IF(COUNTA(L78,M78,P78,U78,V78,X78,AB78)&lt;7,"Band missing",IF(AND(OR(J78="Decision confirmed",J78="Family told",J78="Enrolled"),AG78=""),"Recommendation needed",IF(AND(OR(J78="Family told",J78="Enrolled"),AJ78=""),"Date family told needed","OK"))))))))</f>
        <v/>
      </c>
    </row>
    <row r="79" customFormat="false" ht="15" hidden="false" customHeight="false" outlineLevel="0" collapsed="false">
      <c r="A79" s="7"/>
      <c r="B79" s="7"/>
      <c r="C79" s="46"/>
      <c r="D79" s="7"/>
      <c r="E79" s="47"/>
      <c r="F79" s="46"/>
      <c r="G79" s="46"/>
      <c r="H79" s="7"/>
      <c r="I79" s="7"/>
      <c r="J79" s="47"/>
      <c r="K79" s="47"/>
      <c r="L79" s="47"/>
      <c r="M79" s="47"/>
      <c r="N79" s="10"/>
      <c r="O79" s="47"/>
      <c r="P79" s="47"/>
      <c r="Q79" s="47"/>
      <c r="R79" s="48" t="str">
        <f aca="false">IF(Q79="","",IF(Q79=0,"below 5:00",IF(Q79&gt;=66,"16:00 or above",INT((60+2*Q79)/12)&amp;":"&amp;TEXT(MOD(60+2*Q79,12),"00"))))</f>
        <v/>
      </c>
      <c r="S79" s="47"/>
      <c r="T79" s="47"/>
      <c r="U79" s="47"/>
      <c r="V79" s="47"/>
      <c r="W79" s="47"/>
      <c r="X79" s="47"/>
      <c r="Y79" s="47"/>
      <c r="Z79" s="47"/>
      <c r="AA79" s="47"/>
      <c r="AB79" s="47"/>
      <c r="AC79" s="47"/>
      <c r="AD79" s="47"/>
      <c r="AE79" s="47"/>
      <c r="AF79" s="47"/>
      <c r="AG79" s="47"/>
      <c r="AH79" s="47"/>
      <c r="AI79" s="46"/>
      <c r="AJ79" s="46"/>
      <c r="AK79" s="46"/>
      <c r="AL79" s="7"/>
      <c r="AM79" s="49" t="str">
        <f aca="false">IF(OR(C79="",G79=""),"",IFERROR(DATEDIF(C79,G79,"m"),""))</f>
        <v/>
      </c>
      <c r="AN79" s="49" t="str">
        <f aca="false">IF(OR(Q79="",AM79=""),"",60+2*Q79-AM79)</f>
        <v/>
      </c>
      <c r="AO79" s="49" t="str">
        <f aca="false">IF(OR(G79="",AJ79=""),"",AJ79-G79)</f>
        <v/>
      </c>
      <c r="AP79" s="50" t="str">
        <f aca="false">IF(AND(A79="",B79=""),"",IF(J79="","Status needed",IF(OR(J79="Applied",J79="Visit booked",J79="Withdrawn"),"OK",IF(G79="","Date assessed needed",IF(C79="","Date of birth needed",IF(COUNTA(L79,M79,P79,U79,V79,X79,AB79)&lt;7,"Band missing",IF(AND(OR(J79="Decision confirmed",J79="Family told",J79="Enrolled"),AG79=""),"Recommendation needed",IF(AND(OR(J79="Family told",J79="Enrolled"),AJ79=""),"Date family told needed","OK"))))))))</f>
        <v/>
      </c>
    </row>
    <row r="80" customFormat="false" ht="15" hidden="false" customHeight="false" outlineLevel="0" collapsed="false">
      <c r="A80" s="7"/>
      <c r="B80" s="7"/>
      <c r="C80" s="46"/>
      <c r="D80" s="7"/>
      <c r="E80" s="47"/>
      <c r="F80" s="46"/>
      <c r="G80" s="46"/>
      <c r="H80" s="7"/>
      <c r="I80" s="7"/>
      <c r="J80" s="47"/>
      <c r="K80" s="47"/>
      <c r="L80" s="47"/>
      <c r="M80" s="47"/>
      <c r="N80" s="10"/>
      <c r="O80" s="47"/>
      <c r="P80" s="47"/>
      <c r="Q80" s="47"/>
      <c r="R80" s="48" t="str">
        <f aca="false">IF(Q80="","",IF(Q80=0,"below 5:00",IF(Q80&gt;=66,"16:00 or above",INT((60+2*Q80)/12)&amp;":"&amp;TEXT(MOD(60+2*Q80,12),"00"))))</f>
        <v/>
      </c>
      <c r="S80" s="47"/>
      <c r="T80" s="47"/>
      <c r="U80" s="47"/>
      <c r="V80" s="47"/>
      <c r="W80" s="47"/>
      <c r="X80" s="47"/>
      <c r="Y80" s="47"/>
      <c r="Z80" s="47"/>
      <c r="AA80" s="47"/>
      <c r="AB80" s="47"/>
      <c r="AC80" s="47"/>
      <c r="AD80" s="47"/>
      <c r="AE80" s="47"/>
      <c r="AF80" s="47"/>
      <c r="AG80" s="47"/>
      <c r="AH80" s="47"/>
      <c r="AI80" s="46"/>
      <c r="AJ80" s="46"/>
      <c r="AK80" s="46"/>
      <c r="AL80" s="7"/>
      <c r="AM80" s="49" t="str">
        <f aca="false">IF(OR(C80="",G80=""),"",IFERROR(DATEDIF(C80,G80,"m"),""))</f>
        <v/>
      </c>
      <c r="AN80" s="49" t="str">
        <f aca="false">IF(OR(Q80="",AM80=""),"",60+2*Q80-AM80)</f>
        <v/>
      </c>
      <c r="AO80" s="49" t="str">
        <f aca="false">IF(OR(G80="",AJ80=""),"",AJ80-G80)</f>
        <v/>
      </c>
      <c r="AP80" s="50" t="str">
        <f aca="false">IF(AND(A80="",B80=""),"",IF(J80="","Status needed",IF(OR(J80="Applied",J80="Visit booked",J80="Withdrawn"),"OK",IF(G80="","Date assessed needed",IF(C80="","Date of birth needed",IF(COUNTA(L80,M80,P80,U80,V80,X80,AB80)&lt;7,"Band missing",IF(AND(OR(J80="Decision confirmed",J80="Family told",J80="Enrolled"),AG80=""),"Recommendation needed",IF(AND(OR(J80="Family told",J80="Enrolled"),AJ80=""),"Date family told needed","OK"))))))))</f>
        <v/>
      </c>
    </row>
    <row r="81" customFormat="false" ht="15" hidden="false" customHeight="false" outlineLevel="0" collapsed="false">
      <c r="A81" s="7"/>
      <c r="B81" s="7"/>
      <c r="C81" s="46"/>
      <c r="D81" s="7"/>
      <c r="E81" s="47"/>
      <c r="F81" s="46"/>
      <c r="G81" s="46"/>
      <c r="H81" s="7"/>
      <c r="I81" s="7"/>
      <c r="J81" s="47"/>
      <c r="K81" s="47"/>
      <c r="L81" s="47"/>
      <c r="M81" s="47"/>
      <c r="N81" s="10"/>
      <c r="O81" s="47"/>
      <c r="P81" s="47"/>
      <c r="Q81" s="47"/>
      <c r="R81" s="48" t="str">
        <f aca="false">IF(Q81="","",IF(Q81=0,"below 5:00",IF(Q81&gt;=66,"16:00 or above",INT((60+2*Q81)/12)&amp;":"&amp;TEXT(MOD(60+2*Q81,12),"00"))))</f>
        <v/>
      </c>
      <c r="S81" s="47"/>
      <c r="T81" s="47"/>
      <c r="U81" s="47"/>
      <c r="V81" s="47"/>
      <c r="W81" s="47"/>
      <c r="X81" s="47"/>
      <c r="Y81" s="47"/>
      <c r="Z81" s="47"/>
      <c r="AA81" s="47"/>
      <c r="AB81" s="47"/>
      <c r="AC81" s="47"/>
      <c r="AD81" s="47"/>
      <c r="AE81" s="47"/>
      <c r="AF81" s="47"/>
      <c r="AG81" s="47"/>
      <c r="AH81" s="47"/>
      <c r="AI81" s="46"/>
      <c r="AJ81" s="46"/>
      <c r="AK81" s="46"/>
      <c r="AL81" s="7"/>
      <c r="AM81" s="49" t="str">
        <f aca="false">IF(OR(C81="",G81=""),"",IFERROR(DATEDIF(C81,G81,"m"),""))</f>
        <v/>
      </c>
      <c r="AN81" s="49" t="str">
        <f aca="false">IF(OR(Q81="",AM81=""),"",60+2*Q81-AM81)</f>
        <v/>
      </c>
      <c r="AO81" s="49" t="str">
        <f aca="false">IF(OR(G81="",AJ81=""),"",AJ81-G81)</f>
        <v/>
      </c>
      <c r="AP81" s="50" t="str">
        <f aca="false">IF(AND(A81="",B81=""),"",IF(J81="","Status needed",IF(OR(J81="Applied",J81="Visit booked",J81="Withdrawn"),"OK",IF(G81="","Date assessed needed",IF(C81="","Date of birth needed",IF(COUNTA(L81,M81,P81,U81,V81,X81,AB81)&lt;7,"Band missing",IF(AND(OR(J81="Decision confirmed",J81="Family told",J81="Enrolled"),AG81=""),"Recommendation needed",IF(AND(OR(J81="Family told",J81="Enrolled"),AJ81=""),"Date family told needed","OK"))))))))</f>
        <v/>
      </c>
    </row>
    <row r="82" customFormat="false" ht="15" hidden="false" customHeight="false" outlineLevel="0" collapsed="false">
      <c r="A82" s="7"/>
      <c r="B82" s="7"/>
      <c r="C82" s="46"/>
      <c r="D82" s="7"/>
      <c r="E82" s="47"/>
      <c r="F82" s="46"/>
      <c r="G82" s="46"/>
      <c r="H82" s="7"/>
      <c r="I82" s="7"/>
      <c r="J82" s="47"/>
      <c r="K82" s="47"/>
      <c r="L82" s="47"/>
      <c r="M82" s="47"/>
      <c r="N82" s="10"/>
      <c r="O82" s="47"/>
      <c r="P82" s="47"/>
      <c r="Q82" s="47"/>
      <c r="R82" s="48" t="str">
        <f aca="false">IF(Q82="","",IF(Q82=0,"below 5:00",IF(Q82&gt;=66,"16:00 or above",INT((60+2*Q82)/12)&amp;":"&amp;TEXT(MOD(60+2*Q82,12),"00"))))</f>
        <v/>
      </c>
      <c r="S82" s="47"/>
      <c r="T82" s="47"/>
      <c r="U82" s="47"/>
      <c r="V82" s="47"/>
      <c r="W82" s="47"/>
      <c r="X82" s="47"/>
      <c r="Y82" s="47"/>
      <c r="Z82" s="47"/>
      <c r="AA82" s="47"/>
      <c r="AB82" s="47"/>
      <c r="AC82" s="47"/>
      <c r="AD82" s="47"/>
      <c r="AE82" s="47"/>
      <c r="AF82" s="47"/>
      <c r="AG82" s="47"/>
      <c r="AH82" s="47"/>
      <c r="AI82" s="46"/>
      <c r="AJ82" s="46"/>
      <c r="AK82" s="46"/>
      <c r="AL82" s="7"/>
      <c r="AM82" s="49" t="str">
        <f aca="false">IF(OR(C82="",G82=""),"",IFERROR(DATEDIF(C82,G82,"m"),""))</f>
        <v/>
      </c>
      <c r="AN82" s="49" t="str">
        <f aca="false">IF(OR(Q82="",AM82=""),"",60+2*Q82-AM82)</f>
        <v/>
      </c>
      <c r="AO82" s="49" t="str">
        <f aca="false">IF(OR(G82="",AJ82=""),"",AJ82-G82)</f>
        <v/>
      </c>
      <c r="AP82" s="50" t="str">
        <f aca="false">IF(AND(A82="",B82=""),"",IF(J82="","Status needed",IF(OR(J82="Applied",J82="Visit booked",J82="Withdrawn"),"OK",IF(G82="","Date assessed needed",IF(C82="","Date of birth needed",IF(COUNTA(L82,M82,P82,U82,V82,X82,AB82)&lt;7,"Band missing",IF(AND(OR(J82="Decision confirmed",J82="Family told",J82="Enrolled"),AG82=""),"Recommendation needed",IF(AND(OR(J82="Family told",J82="Enrolled"),AJ82=""),"Date family told needed","OK"))))))))</f>
        <v/>
      </c>
    </row>
    <row r="83" customFormat="false" ht="15" hidden="false" customHeight="false" outlineLevel="0" collapsed="false">
      <c r="A83" s="7"/>
      <c r="B83" s="7"/>
      <c r="C83" s="46"/>
      <c r="D83" s="7"/>
      <c r="E83" s="47"/>
      <c r="F83" s="46"/>
      <c r="G83" s="46"/>
      <c r="H83" s="7"/>
      <c r="I83" s="7"/>
      <c r="J83" s="47"/>
      <c r="K83" s="47"/>
      <c r="L83" s="47"/>
      <c r="M83" s="47"/>
      <c r="N83" s="10"/>
      <c r="O83" s="47"/>
      <c r="P83" s="47"/>
      <c r="Q83" s="47"/>
      <c r="R83" s="48" t="str">
        <f aca="false">IF(Q83="","",IF(Q83=0,"below 5:00",IF(Q83&gt;=66,"16:00 or above",INT((60+2*Q83)/12)&amp;":"&amp;TEXT(MOD(60+2*Q83,12),"00"))))</f>
        <v/>
      </c>
      <c r="S83" s="47"/>
      <c r="T83" s="47"/>
      <c r="U83" s="47"/>
      <c r="V83" s="47"/>
      <c r="W83" s="47"/>
      <c r="X83" s="47"/>
      <c r="Y83" s="47"/>
      <c r="Z83" s="47"/>
      <c r="AA83" s="47"/>
      <c r="AB83" s="47"/>
      <c r="AC83" s="47"/>
      <c r="AD83" s="47"/>
      <c r="AE83" s="47"/>
      <c r="AF83" s="47"/>
      <c r="AG83" s="47"/>
      <c r="AH83" s="47"/>
      <c r="AI83" s="46"/>
      <c r="AJ83" s="46"/>
      <c r="AK83" s="46"/>
      <c r="AL83" s="7"/>
      <c r="AM83" s="49" t="str">
        <f aca="false">IF(OR(C83="",G83=""),"",IFERROR(DATEDIF(C83,G83,"m"),""))</f>
        <v/>
      </c>
      <c r="AN83" s="49" t="str">
        <f aca="false">IF(OR(Q83="",AM83=""),"",60+2*Q83-AM83)</f>
        <v/>
      </c>
      <c r="AO83" s="49" t="str">
        <f aca="false">IF(OR(G83="",AJ83=""),"",AJ83-G83)</f>
        <v/>
      </c>
      <c r="AP83" s="50" t="str">
        <f aca="false">IF(AND(A83="",B83=""),"",IF(J83="","Status needed",IF(OR(J83="Applied",J83="Visit booked",J83="Withdrawn"),"OK",IF(G83="","Date assessed needed",IF(C83="","Date of birth needed",IF(COUNTA(L83,M83,P83,U83,V83,X83,AB83)&lt;7,"Band missing",IF(AND(OR(J83="Decision confirmed",J83="Family told",J83="Enrolled"),AG83=""),"Recommendation needed",IF(AND(OR(J83="Family told",J83="Enrolled"),AJ83=""),"Date family told needed","OK"))))))))</f>
        <v/>
      </c>
    </row>
    <row r="84" customFormat="false" ht="15" hidden="false" customHeight="false" outlineLevel="0" collapsed="false">
      <c r="A84" s="7"/>
      <c r="B84" s="7"/>
      <c r="C84" s="46"/>
      <c r="D84" s="7"/>
      <c r="E84" s="47"/>
      <c r="F84" s="46"/>
      <c r="G84" s="46"/>
      <c r="H84" s="7"/>
      <c r="I84" s="7"/>
      <c r="J84" s="47"/>
      <c r="K84" s="47"/>
      <c r="L84" s="47"/>
      <c r="M84" s="47"/>
      <c r="N84" s="10"/>
      <c r="O84" s="47"/>
      <c r="P84" s="47"/>
      <c r="Q84" s="47"/>
      <c r="R84" s="48" t="str">
        <f aca="false">IF(Q84="","",IF(Q84=0,"below 5:00",IF(Q84&gt;=66,"16:00 or above",INT((60+2*Q84)/12)&amp;":"&amp;TEXT(MOD(60+2*Q84,12),"00"))))</f>
        <v/>
      </c>
      <c r="S84" s="47"/>
      <c r="T84" s="47"/>
      <c r="U84" s="47"/>
      <c r="V84" s="47"/>
      <c r="W84" s="47"/>
      <c r="X84" s="47"/>
      <c r="Y84" s="47"/>
      <c r="Z84" s="47"/>
      <c r="AA84" s="47"/>
      <c r="AB84" s="47"/>
      <c r="AC84" s="47"/>
      <c r="AD84" s="47"/>
      <c r="AE84" s="47"/>
      <c r="AF84" s="47"/>
      <c r="AG84" s="47"/>
      <c r="AH84" s="47"/>
      <c r="AI84" s="46"/>
      <c r="AJ84" s="46"/>
      <c r="AK84" s="46"/>
      <c r="AL84" s="7"/>
      <c r="AM84" s="49" t="str">
        <f aca="false">IF(OR(C84="",G84=""),"",IFERROR(DATEDIF(C84,G84,"m"),""))</f>
        <v/>
      </c>
      <c r="AN84" s="49" t="str">
        <f aca="false">IF(OR(Q84="",AM84=""),"",60+2*Q84-AM84)</f>
        <v/>
      </c>
      <c r="AO84" s="49" t="str">
        <f aca="false">IF(OR(G84="",AJ84=""),"",AJ84-G84)</f>
        <v/>
      </c>
      <c r="AP84" s="50" t="str">
        <f aca="false">IF(AND(A84="",B84=""),"",IF(J84="","Status needed",IF(OR(J84="Applied",J84="Visit booked",J84="Withdrawn"),"OK",IF(G84="","Date assessed needed",IF(C84="","Date of birth needed",IF(COUNTA(L84,M84,P84,U84,V84,X84,AB84)&lt;7,"Band missing",IF(AND(OR(J84="Decision confirmed",J84="Family told",J84="Enrolled"),AG84=""),"Recommendation needed",IF(AND(OR(J84="Family told",J84="Enrolled"),AJ84=""),"Date family told needed","OK"))))))))</f>
        <v/>
      </c>
    </row>
    <row r="85" customFormat="false" ht="15" hidden="false" customHeight="false" outlineLevel="0" collapsed="false">
      <c r="A85" s="7"/>
      <c r="B85" s="7"/>
      <c r="C85" s="46"/>
      <c r="D85" s="7"/>
      <c r="E85" s="47"/>
      <c r="F85" s="46"/>
      <c r="G85" s="46"/>
      <c r="H85" s="7"/>
      <c r="I85" s="7"/>
      <c r="J85" s="47"/>
      <c r="K85" s="47"/>
      <c r="L85" s="47"/>
      <c r="M85" s="47"/>
      <c r="N85" s="10"/>
      <c r="O85" s="47"/>
      <c r="P85" s="47"/>
      <c r="Q85" s="47"/>
      <c r="R85" s="48" t="str">
        <f aca="false">IF(Q85="","",IF(Q85=0,"below 5:00",IF(Q85&gt;=66,"16:00 or above",INT((60+2*Q85)/12)&amp;":"&amp;TEXT(MOD(60+2*Q85,12),"00"))))</f>
        <v/>
      </c>
      <c r="S85" s="47"/>
      <c r="T85" s="47"/>
      <c r="U85" s="47"/>
      <c r="V85" s="47"/>
      <c r="W85" s="47"/>
      <c r="X85" s="47"/>
      <c r="Y85" s="47"/>
      <c r="Z85" s="47"/>
      <c r="AA85" s="47"/>
      <c r="AB85" s="47"/>
      <c r="AC85" s="47"/>
      <c r="AD85" s="47"/>
      <c r="AE85" s="47"/>
      <c r="AF85" s="47"/>
      <c r="AG85" s="47"/>
      <c r="AH85" s="47"/>
      <c r="AI85" s="46"/>
      <c r="AJ85" s="46"/>
      <c r="AK85" s="46"/>
      <c r="AL85" s="7"/>
      <c r="AM85" s="49" t="str">
        <f aca="false">IF(OR(C85="",G85=""),"",IFERROR(DATEDIF(C85,G85,"m"),""))</f>
        <v/>
      </c>
      <c r="AN85" s="49" t="str">
        <f aca="false">IF(OR(Q85="",AM85=""),"",60+2*Q85-AM85)</f>
        <v/>
      </c>
      <c r="AO85" s="49" t="str">
        <f aca="false">IF(OR(G85="",AJ85=""),"",AJ85-G85)</f>
        <v/>
      </c>
      <c r="AP85" s="50" t="str">
        <f aca="false">IF(AND(A85="",B85=""),"",IF(J85="","Status needed",IF(OR(J85="Applied",J85="Visit booked",J85="Withdrawn"),"OK",IF(G85="","Date assessed needed",IF(C85="","Date of birth needed",IF(COUNTA(L85,M85,P85,U85,V85,X85,AB85)&lt;7,"Band missing",IF(AND(OR(J85="Decision confirmed",J85="Family told",J85="Enrolled"),AG85=""),"Recommendation needed",IF(AND(OR(J85="Family told",J85="Enrolled"),AJ85=""),"Date family told needed","OK"))))))))</f>
        <v/>
      </c>
    </row>
    <row r="86" customFormat="false" ht="15" hidden="false" customHeight="false" outlineLevel="0" collapsed="false">
      <c r="A86" s="7"/>
      <c r="B86" s="7"/>
      <c r="C86" s="46"/>
      <c r="D86" s="7"/>
      <c r="E86" s="47"/>
      <c r="F86" s="46"/>
      <c r="G86" s="46"/>
      <c r="H86" s="7"/>
      <c r="I86" s="7"/>
      <c r="J86" s="47"/>
      <c r="K86" s="47"/>
      <c r="L86" s="47"/>
      <c r="M86" s="47"/>
      <c r="N86" s="10"/>
      <c r="O86" s="47"/>
      <c r="P86" s="47"/>
      <c r="Q86" s="47"/>
      <c r="R86" s="48" t="str">
        <f aca="false">IF(Q86="","",IF(Q86=0,"below 5:00",IF(Q86&gt;=66,"16:00 or above",INT((60+2*Q86)/12)&amp;":"&amp;TEXT(MOD(60+2*Q86,12),"00"))))</f>
        <v/>
      </c>
      <c r="S86" s="47"/>
      <c r="T86" s="47"/>
      <c r="U86" s="47"/>
      <c r="V86" s="47"/>
      <c r="W86" s="47"/>
      <c r="X86" s="47"/>
      <c r="Y86" s="47"/>
      <c r="Z86" s="47"/>
      <c r="AA86" s="47"/>
      <c r="AB86" s="47"/>
      <c r="AC86" s="47"/>
      <c r="AD86" s="47"/>
      <c r="AE86" s="47"/>
      <c r="AF86" s="47"/>
      <c r="AG86" s="47"/>
      <c r="AH86" s="47"/>
      <c r="AI86" s="46"/>
      <c r="AJ86" s="46"/>
      <c r="AK86" s="46"/>
      <c r="AL86" s="7"/>
      <c r="AM86" s="49" t="str">
        <f aca="false">IF(OR(C86="",G86=""),"",IFERROR(DATEDIF(C86,G86,"m"),""))</f>
        <v/>
      </c>
      <c r="AN86" s="49" t="str">
        <f aca="false">IF(OR(Q86="",AM86=""),"",60+2*Q86-AM86)</f>
        <v/>
      </c>
      <c r="AO86" s="49" t="str">
        <f aca="false">IF(OR(G86="",AJ86=""),"",AJ86-G86)</f>
        <v/>
      </c>
      <c r="AP86" s="50" t="str">
        <f aca="false">IF(AND(A86="",B86=""),"",IF(J86="","Status needed",IF(OR(J86="Applied",J86="Visit booked",J86="Withdrawn"),"OK",IF(G86="","Date assessed needed",IF(C86="","Date of birth needed",IF(COUNTA(L86,M86,P86,U86,V86,X86,AB86)&lt;7,"Band missing",IF(AND(OR(J86="Decision confirmed",J86="Family told",J86="Enrolled"),AG86=""),"Recommendation needed",IF(AND(OR(J86="Family told",J86="Enrolled"),AJ86=""),"Date family told needed","OK"))))))))</f>
        <v/>
      </c>
    </row>
    <row r="87" customFormat="false" ht="15" hidden="false" customHeight="false" outlineLevel="0" collapsed="false">
      <c r="A87" s="7"/>
      <c r="B87" s="7"/>
      <c r="C87" s="46"/>
      <c r="D87" s="7"/>
      <c r="E87" s="47"/>
      <c r="F87" s="46"/>
      <c r="G87" s="46"/>
      <c r="H87" s="7"/>
      <c r="I87" s="7"/>
      <c r="J87" s="47"/>
      <c r="K87" s="47"/>
      <c r="L87" s="47"/>
      <c r="M87" s="47"/>
      <c r="N87" s="10"/>
      <c r="O87" s="47"/>
      <c r="P87" s="47"/>
      <c r="Q87" s="47"/>
      <c r="R87" s="48" t="str">
        <f aca="false">IF(Q87="","",IF(Q87=0,"below 5:00",IF(Q87&gt;=66,"16:00 or above",INT((60+2*Q87)/12)&amp;":"&amp;TEXT(MOD(60+2*Q87,12),"00"))))</f>
        <v/>
      </c>
      <c r="S87" s="47"/>
      <c r="T87" s="47"/>
      <c r="U87" s="47"/>
      <c r="V87" s="47"/>
      <c r="W87" s="47"/>
      <c r="X87" s="47"/>
      <c r="Y87" s="47"/>
      <c r="Z87" s="47"/>
      <c r="AA87" s="47"/>
      <c r="AB87" s="47"/>
      <c r="AC87" s="47"/>
      <c r="AD87" s="47"/>
      <c r="AE87" s="47"/>
      <c r="AF87" s="47"/>
      <c r="AG87" s="47"/>
      <c r="AH87" s="47"/>
      <c r="AI87" s="46"/>
      <c r="AJ87" s="46"/>
      <c r="AK87" s="46"/>
      <c r="AL87" s="7"/>
      <c r="AM87" s="49" t="str">
        <f aca="false">IF(OR(C87="",G87=""),"",IFERROR(DATEDIF(C87,G87,"m"),""))</f>
        <v/>
      </c>
      <c r="AN87" s="49" t="str">
        <f aca="false">IF(OR(Q87="",AM87=""),"",60+2*Q87-AM87)</f>
        <v/>
      </c>
      <c r="AO87" s="49" t="str">
        <f aca="false">IF(OR(G87="",AJ87=""),"",AJ87-G87)</f>
        <v/>
      </c>
      <c r="AP87" s="50" t="str">
        <f aca="false">IF(AND(A87="",B87=""),"",IF(J87="","Status needed",IF(OR(J87="Applied",J87="Visit booked",J87="Withdrawn"),"OK",IF(G87="","Date assessed needed",IF(C87="","Date of birth needed",IF(COUNTA(L87,M87,P87,U87,V87,X87,AB87)&lt;7,"Band missing",IF(AND(OR(J87="Decision confirmed",J87="Family told",J87="Enrolled"),AG87=""),"Recommendation needed",IF(AND(OR(J87="Family told",J87="Enrolled"),AJ87=""),"Date family told needed","OK"))))))))</f>
        <v/>
      </c>
    </row>
    <row r="88" customFormat="false" ht="15" hidden="false" customHeight="false" outlineLevel="0" collapsed="false">
      <c r="A88" s="7"/>
      <c r="B88" s="7"/>
      <c r="C88" s="46"/>
      <c r="D88" s="7"/>
      <c r="E88" s="47"/>
      <c r="F88" s="46"/>
      <c r="G88" s="46"/>
      <c r="H88" s="7"/>
      <c r="I88" s="7"/>
      <c r="J88" s="47"/>
      <c r="K88" s="47"/>
      <c r="L88" s="47"/>
      <c r="M88" s="47"/>
      <c r="N88" s="10"/>
      <c r="O88" s="47"/>
      <c r="P88" s="47"/>
      <c r="Q88" s="47"/>
      <c r="R88" s="48" t="str">
        <f aca="false">IF(Q88="","",IF(Q88=0,"below 5:00",IF(Q88&gt;=66,"16:00 or above",INT((60+2*Q88)/12)&amp;":"&amp;TEXT(MOD(60+2*Q88,12),"00"))))</f>
        <v/>
      </c>
      <c r="S88" s="47"/>
      <c r="T88" s="47"/>
      <c r="U88" s="47"/>
      <c r="V88" s="47"/>
      <c r="W88" s="47"/>
      <c r="X88" s="47"/>
      <c r="Y88" s="47"/>
      <c r="Z88" s="47"/>
      <c r="AA88" s="47"/>
      <c r="AB88" s="47"/>
      <c r="AC88" s="47"/>
      <c r="AD88" s="47"/>
      <c r="AE88" s="47"/>
      <c r="AF88" s="47"/>
      <c r="AG88" s="47"/>
      <c r="AH88" s="47"/>
      <c r="AI88" s="46"/>
      <c r="AJ88" s="46"/>
      <c r="AK88" s="46"/>
      <c r="AL88" s="7"/>
      <c r="AM88" s="49" t="str">
        <f aca="false">IF(OR(C88="",G88=""),"",IFERROR(DATEDIF(C88,G88,"m"),""))</f>
        <v/>
      </c>
      <c r="AN88" s="49" t="str">
        <f aca="false">IF(OR(Q88="",AM88=""),"",60+2*Q88-AM88)</f>
        <v/>
      </c>
      <c r="AO88" s="49" t="str">
        <f aca="false">IF(OR(G88="",AJ88=""),"",AJ88-G88)</f>
        <v/>
      </c>
      <c r="AP88" s="50" t="str">
        <f aca="false">IF(AND(A88="",B88=""),"",IF(J88="","Status needed",IF(OR(J88="Applied",J88="Visit booked",J88="Withdrawn"),"OK",IF(G88="","Date assessed needed",IF(C88="","Date of birth needed",IF(COUNTA(L88,M88,P88,U88,V88,X88,AB88)&lt;7,"Band missing",IF(AND(OR(J88="Decision confirmed",J88="Family told",J88="Enrolled"),AG88=""),"Recommendation needed",IF(AND(OR(J88="Family told",J88="Enrolled"),AJ88=""),"Date family told needed","OK"))))))))</f>
        <v/>
      </c>
    </row>
    <row r="89" customFormat="false" ht="15" hidden="false" customHeight="false" outlineLevel="0" collapsed="false">
      <c r="A89" s="7"/>
      <c r="B89" s="7"/>
      <c r="C89" s="46"/>
      <c r="D89" s="7"/>
      <c r="E89" s="47"/>
      <c r="F89" s="46"/>
      <c r="G89" s="46"/>
      <c r="H89" s="7"/>
      <c r="I89" s="7"/>
      <c r="J89" s="47"/>
      <c r="K89" s="47"/>
      <c r="L89" s="47"/>
      <c r="M89" s="47"/>
      <c r="N89" s="10"/>
      <c r="O89" s="47"/>
      <c r="P89" s="47"/>
      <c r="Q89" s="47"/>
      <c r="R89" s="48" t="str">
        <f aca="false">IF(Q89="","",IF(Q89=0,"below 5:00",IF(Q89&gt;=66,"16:00 or above",INT((60+2*Q89)/12)&amp;":"&amp;TEXT(MOD(60+2*Q89,12),"00"))))</f>
        <v/>
      </c>
      <c r="S89" s="47"/>
      <c r="T89" s="47"/>
      <c r="U89" s="47"/>
      <c r="V89" s="47"/>
      <c r="W89" s="47"/>
      <c r="X89" s="47"/>
      <c r="Y89" s="47"/>
      <c r="Z89" s="47"/>
      <c r="AA89" s="47"/>
      <c r="AB89" s="47"/>
      <c r="AC89" s="47"/>
      <c r="AD89" s="47"/>
      <c r="AE89" s="47"/>
      <c r="AF89" s="47"/>
      <c r="AG89" s="47"/>
      <c r="AH89" s="47"/>
      <c r="AI89" s="46"/>
      <c r="AJ89" s="46"/>
      <c r="AK89" s="46"/>
      <c r="AL89" s="7"/>
      <c r="AM89" s="49" t="str">
        <f aca="false">IF(OR(C89="",G89=""),"",IFERROR(DATEDIF(C89,G89,"m"),""))</f>
        <v/>
      </c>
      <c r="AN89" s="49" t="str">
        <f aca="false">IF(OR(Q89="",AM89=""),"",60+2*Q89-AM89)</f>
        <v/>
      </c>
      <c r="AO89" s="49" t="str">
        <f aca="false">IF(OR(G89="",AJ89=""),"",AJ89-G89)</f>
        <v/>
      </c>
      <c r="AP89" s="50" t="str">
        <f aca="false">IF(AND(A89="",B89=""),"",IF(J89="","Status needed",IF(OR(J89="Applied",J89="Visit booked",J89="Withdrawn"),"OK",IF(G89="","Date assessed needed",IF(C89="","Date of birth needed",IF(COUNTA(L89,M89,P89,U89,V89,X89,AB89)&lt;7,"Band missing",IF(AND(OR(J89="Decision confirmed",J89="Family told",J89="Enrolled"),AG89=""),"Recommendation needed",IF(AND(OR(J89="Family told",J89="Enrolled"),AJ89=""),"Date family told needed","OK"))))))))</f>
        <v/>
      </c>
    </row>
    <row r="90" customFormat="false" ht="15" hidden="false" customHeight="false" outlineLevel="0" collapsed="false">
      <c r="A90" s="7"/>
      <c r="B90" s="7"/>
      <c r="C90" s="46"/>
      <c r="D90" s="7"/>
      <c r="E90" s="47"/>
      <c r="F90" s="46"/>
      <c r="G90" s="46"/>
      <c r="H90" s="7"/>
      <c r="I90" s="7"/>
      <c r="J90" s="47"/>
      <c r="K90" s="47"/>
      <c r="L90" s="47"/>
      <c r="M90" s="47"/>
      <c r="N90" s="10"/>
      <c r="O90" s="47"/>
      <c r="P90" s="47"/>
      <c r="Q90" s="47"/>
      <c r="R90" s="48" t="str">
        <f aca="false">IF(Q90="","",IF(Q90=0,"below 5:00",IF(Q90&gt;=66,"16:00 or above",INT((60+2*Q90)/12)&amp;":"&amp;TEXT(MOD(60+2*Q90,12),"00"))))</f>
        <v/>
      </c>
      <c r="S90" s="47"/>
      <c r="T90" s="47"/>
      <c r="U90" s="47"/>
      <c r="V90" s="47"/>
      <c r="W90" s="47"/>
      <c r="X90" s="47"/>
      <c r="Y90" s="47"/>
      <c r="Z90" s="47"/>
      <c r="AA90" s="47"/>
      <c r="AB90" s="47"/>
      <c r="AC90" s="47"/>
      <c r="AD90" s="47"/>
      <c r="AE90" s="47"/>
      <c r="AF90" s="47"/>
      <c r="AG90" s="47"/>
      <c r="AH90" s="47"/>
      <c r="AI90" s="46"/>
      <c r="AJ90" s="46"/>
      <c r="AK90" s="46"/>
      <c r="AL90" s="7"/>
      <c r="AM90" s="49" t="str">
        <f aca="false">IF(OR(C90="",G90=""),"",IFERROR(DATEDIF(C90,G90,"m"),""))</f>
        <v/>
      </c>
      <c r="AN90" s="49" t="str">
        <f aca="false">IF(OR(Q90="",AM90=""),"",60+2*Q90-AM90)</f>
        <v/>
      </c>
      <c r="AO90" s="49" t="str">
        <f aca="false">IF(OR(G90="",AJ90=""),"",AJ90-G90)</f>
        <v/>
      </c>
      <c r="AP90" s="50" t="str">
        <f aca="false">IF(AND(A90="",B90=""),"",IF(J90="","Status needed",IF(OR(J90="Applied",J90="Visit booked",J90="Withdrawn"),"OK",IF(G90="","Date assessed needed",IF(C90="","Date of birth needed",IF(COUNTA(L90,M90,P90,U90,V90,X90,AB90)&lt;7,"Band missing",IF(AND(OR(J90="Decision confirmed",J90="Family told",J90="Enrolled"),AG90=""),"Recommendation needed",IF(AND(OR(J90="Family told",J90="Enrolled"),AJ90=""),"Date family told needed","OK"))))))))</f>
        <v/>
      </c>
    </row>
    <row r="91" customFormat="false" ht="15" hidden="false" customHeight="false" outlineLevel="0" collapsed="false">
      <c r="A91" s="7"/>
      <c r="B91" s="7"/>
      <c r="C91" s="46"/>
      <c r="D91" s="7"/>
      <c r="E91" s="47"/>
      <c r="F91" s="46"/>
      <c r="G91" s="46"/>
      <c r="H91" s="7"/>
      <c r="I91" s="7"/>
      <c r="J91" s="47"/>
      <c r="K91" s="47"/>
      <c r="L91" s="47"/>
      <c r="M91" s="47"/>
      <c r="N91" s="10"/>
      <c r="O91" s="47"/>
      <c r="P91" s="47"/>
      <c r="Q91" s="47"/>
      <c r="R91" s="48" t="str">
        <f aca="false">IF(Q91="","",IF(Q91=0,"below 5:00",IF(Q91&gt;=66,"16:00 or above",INT((60+2*Q91)/12)&amp;":"&amp;TEXT(MOD(60+2*Q91,12),"00"))))</f>
        <v/>
      </c>
      <c r="S91" s="47"/>
      <c r="T91" s="47"/>
      <c r="U91" s="47"/>
      <c r="V91" s="47"/>
      <c r="W91" s="47"/>
      <c r="X91" s="47"/>
      <c r="Y91" s="47"/>
      <c r="Z91" s="47"/>
      <c r="AA91" s="47"/>
      <c r="AB91" s="47"/>
      <c r="AC91" s="47"/>
      <c r="AD91" s="47"/>
      <c r="AE91" s="47"/>
      <c r="AF91" s="47"/>
      <c r="AG91" s="47"/>
      <c r="AH91" s="47"/>
      <c r="AI91" s="46"/>
      <c r="AJ91" s="46"/>
      <c r="AK91" s="46"/>
      <c r="AL91" s="7"/>
      <c r="AM91" s="49" t="str">
        <f aca="false">IF(OR(C91="",G91=""),"",IFERROR(DATEDIF(C91,G91,"m"),""))</f>
        <v/>
      </c>
      <c r="AN91" s="49" t="str">
        <f aca="false">IF(OR(Q91="",AM91=""),"",60+2*Q91-AM91)</f>
        <v/>
      </c>
      <c r="AO91" s="49" t="str">
        <f aca="false">IF(OR(G91="",AJ91=""),"",AJ91-G91)</f>
        <v/>
      </c>
      <c r="AP91" s="50" t="str">
        <f aca="false">IF(AND(A91="",B91=""),"",IF(J91="","Status needed",IF(OR(J91="Applied",J91="Visit booked",J91="Withdrawn"),"OK",IF(G91="","Date assessed needed",IF(C91="","Date of birth needed",IF(COUNTA(L91,M91,P91,U91,V91,X91,AB91)&lt;7,"Band missing",IF(AND(OR(J91="Decision confirmed",J91="Family told",J91="Enrolled"),AG91=""),"Recommendation needed",IF(AND(OR(J91="Family told",J91="Enrolled"),AJ91=""),"Date family told needed","OK"))))))))</f>
        <v/>
      </c>
    </row>
    <row r="92" customFormat="false" ht="15" hidden="false" customHeight="false" outlineLevel="0" collapsed="false">
      <c r="A92" s="7"/>
      <c r="B92" s="7"/>
      <c r="C92" s="46"/>
      <c r="D92" s="7"/>
      <c r="E92" s="47"/>
      <c r="F92" s="46"/>
      <c r="G92" s="46"/>
      <c r="H92" s="7"/>
      <c r="I92" s="7"/>
      <c r="J92" s="47"/>
      <c r="K92" s="47"/>
      <c r="L92" s="47"/>
      <c r="M92" s="47"/>
      <c r="N92" s="10"/>
      <c r="O92" s="47"/>
      <c r="P92" s="47"/>
      <c r="Q92" s="47"/>
      <c r="R92" s="48" t="str">
        <f aca="false">IF(Q92="","",IF(Q92=0,"below 5:00",IF(Q92&gt;=66,"16:00 or above",INT((60+2*Q92)/12)&amp;":"&amp;TEXT(MOD(60+2*Q92,12),"00"))))</f>
        <v/>
      </c>
      <c r="S92" s="47"/>
      <c r="T92" s="47"/>
      <c r="U92" s="47"/>
      <c r="V92" s="47"/>
      <c r="W92" s="47"/>
      <c r="X92" s="47"/>
      <c r="Y92" s="47"/>
      <c r="Z92" s="47"/>
      <c r="AA92" s="47"/>
      <c r="AB92" s="47"/>
      <c r="AC92" s="47"/>
      <c r="AD92" s="47"/>
      <c r="AE92" s="47"/>
      <c r="AF92" s="47"/>
      <c r="AG92" s="47"/>
      <c r="AH92" s="47"/>
      <c r="AI92" s="46"/>
      <c r="AJ92" s="46"/>
      <c r="AK92" s="46"/>
      <c r="AL92" s="7"/>
      <c r="AM92" s="49" t="str">
        <f aca="false">IF(OR(C92="",G92=""),"",IFERROR(DATEDIF(C92,G92,"m"),""))</f>
        <v/>
      </c>
      <c r="AN92" s="49" t="str">
        <f aca="false">IF(OR(Q92="",AM92=""),"",60+2*Q92-AM92)</f>
        <v/>
      </c>
      <c r="AO92" s="49" t="str">
        <f aca="false">IF(OR(G92="",AJ92=""),"",AJ92-G92)</f>
        <v/>
      </c>
      <c r="AP92" s="50" t="str">
        <f aca="false">IF(AND(A92="",B92=""),"",IF(J92="","Status needed",IF(OR(J92="Applied",J92="Visit booked",J92="Withdrawn"),"OK",IF(G92="","Date assessed needed",IF(C92="","Date of birth needed",IF(COUNTA(L92,M92,P92,U92,V92,X92,AB92)&lt;7,"Band missing",IF(AND(OR(J92="Decision confirmed",J92="Family told",J92="Enrolled"),AG92=""),"Recommendation needed",IF(AND(OR(J92="Family told",J92="Enrolled"),AJ92=""),"Date family told needed","OK"))))))))</f>
        <v/>
      </c>
    </row>
    <row r="93" customFormat="false" ht="15" hidden="false" customHeight="false" outlineLevel="0" collapsed="false">
      <c r="A93" s="7"/>
      <c r="B93" s="7"/>
      <c r="C93" s="46"/>
      <c r="D93" s="7"/>
      <c r="E93" s="47"/>
      <c r="F93" s="46"/>
      <c r="G93" s="46"/>
      <c r="H93" s="7"/>
      <c r="I93" s="7"/>
      <c r="J93" s="47"/>
      <c r="K93" s="47"/>
      <c r="L93" s="47"/>
      <c r="M93" s="47"/>
      <c r="N93" s="10"/>
      <c r="O93" s="47"/>
      <c r="P93" s="47"/>
      <c r="Q93" s="47"/>
      <c r="R93" s="48" t="str">
        <f aca="false">IF(Q93="","",IF(Q93=0,"below 5:00",IF(Q93&gt;=66,"16:00 or above",INT((60+2*Q93)/12)&amp;":"&amp;TEXT(MOD(60+2*Q93,12),"00"))))</f>
        <v/>
      </c>
      <c r="S93" s="47"/>
      <c r="T93" s="47"/>
      <c r="U93" s="47"/>
      <c r="V93" s="47"/>
      <c r="W93" s="47"/>
      <c r="X93" s="47"/>
      <c r="Y93" s="47"/>
      <c r="Z93" s="47"/>
      <c r="AA93" s="47"/>
      <c r="AB93" s="47"/>
      <c r="AC93" s="47"/>
      <c r="AD93" s="47"/>
      <c r="AE93" s="47"/>
      <c r="AF93" s="47"/>
      <c r="AG93" s="47"/>
      <c r="AH93" s="47"/>
      <c r="AI93" s="46"/>
      <c r="AJ93" s="46"/>
      <c r="AK93" s="46"/>
      <c r="AL93" s="7"/>
      <c r="AM93" s="49" t="str">
        <f aca="false">IF(OR(C93="",G93=""),"",IFERROR(DATEDIF(C93,G93,"m"),""))</f>
        <v/>
      </c>
      <c r="AN93" s="49" t="str">
        <f aca="false">IF(OR(Q93="",AM93=""),"",60+2*Q93-AM93)</f>
        <v/>
      </c>
      <c r="AO93" s="49" t="str">
        <f aca="false">IF(OR(G93="",AJ93=""),"",AJ93-G93)</f>
        <v/>
      </c>
      <c r="AP93" s="50" t="str">
        <f aca="false">IF(AND(A93="",B93=""),"",IF(J93="","Status needed",IF(OR(J93="Applied",J93="Visit booked",J93="Withdrawn"),"OK",IF(G93="","Date assessed needed",IF(C93="","Date of birth needed",IF(COUNTA(L93,M93,P93,U93,V93,X93,AB93)&lt;7,"Band missing",IF(AND(OR(J93="Decision confirmed",J93="Family told",J93="Enrolled"),AG93=""),"Recommendation needed",IF(AND(OR(J93="Family told",J93="Enrolled"),AJ93=""),"Date family told needed","OK"))))))))</f>
        <v/>
      </c>
    </row>
    <row r="94" customFormat="false" ht="15" hidden="false" customHeight="false" outlineLevel="0" collapsed="false">
      <c r="A94" s="7"/>
      <c r="B94" s="7"/>
      <c r="C94" s="46"/>
      <c r="D94" s="7"/>
      <c r="E94" s="47"/>
      <c r="F94" s="46"/>
      <c r="G94" s="46"/>
      <c r="H94" s="7"/>
      <c r="I94" s="7"/>
      <c r="J94" s="47"/>
      <c r="K94" s="47"/>
      <c r="L94" s="47"/>
      <c r="M94" s="47"/>
      <c r="N94" s="10"/>
      <c r="O94" s="47"/>
      <c r="P94" s="47"/>
      <c r="Q94" s="47"/>
      <c r="R94" s="48" t="str">
        <f aca="false">IF(Q94="","",IF(Q94=0,"below 5:00",IF(Q94&gt;=66,"16:00 or above",INT((60+2*Q94)/12)&amp;":"&amp;TEXT(MOD(60+2*Q94,12),"00"))))</f>
        <v/>
      </c>
      <c r="S94" s="47"/>
      <c r="T94" s="47"/>
      <c r="U94" s="47"/>
      <c r="V94" s="47"/>
      <c r="W94" s="47"/>
      <c r="X94" s="47"/>
      <c r="Y94" s="47"/>
      <c r="Z94" s="47"/>
      <c r="AA94" s="47"/>
      <c r="AB94" s="47"/>
      <c r="AC94" s="47"/>
      <c r="AD94" s="47"/>
      <c r="AE94" s="47"/>
      <c r="AF94" s="47"/>
      <c r="AG94" s="47"/>
      <c r="AH94" s="47"/>
      <c r="AI94" s="46"/>
      <c r="AJ94" s="46"/>
      <c r="AK94" s="46"/>
      <c r="AL94" s="7"/>
      <c r="AM94" s="49" t="str">
        <f aca="false">IF(OR(C94="",G94=""),"",IFERROR(DATEDIF(C94,G94,"m"),""))</f>
        <v/>
      </c>
      <c r="AN94" s="49" t="str">
        <f aca="false">IF(OR(Q94="",AM94=""),"",60+2*Q94-AM94)</f>
        <v/>
      </c>
      <c r="AO94" s="49" t="str">
        <f aca="false">IF(OR(G94="",AJ94=""),"",AJ94-G94)</f>
        <v/>
      </c>
      <c r="AP94" s="50" t="str">
        <f aca="false">IF(AND(A94="",B94=""),"",IF(J94="","Status needed",IF(OR(J94="Applied",J94="Visit booked",J94="Withdrawn"),"OK",IF(G94="","Date assessed needed",IF(C94="","Date of birth needed",IF(COUNTA(L94,M94,P94,U94,V94,X94,AB94)&lt;7,"Band missing",IF(AND(OR(J94="Decision confirmed",J94="Family told",J94="Enrolled"),AG94=""),"Recommendation needed",IF(AND(OR(J94="Family told",J94="Enrolled"),AJ94=""),"Date family told needed","OK"))))))))</f>
        <v/>
      </c>
    </row>
    <row r="95" customFormat="false" ht="15" hidden="false" customHeight="false" outlineLevel="0" collapsed="false">
      <c r="A95" s="7"/>
      <c r="B95" s="7"/>
      <c r="C95" s="46"/>
      <c r="D95" s="7"/>
      <c r="E95" s="47"/>
      <c r="F95" s="46"/>
      <c r="G95" s="46"/>
      <c r="H95" s="7"/>
      <c r="I95" s="7"/>
      <c r="J95" s="47"/>
      <c r="K95" s="47"/>
      <c r="L95" s="47"/>
      <c r="M95" s="47"/>
      <c r="N95" s="10"/>
      <c r="O95" s="47"/>
      <c r="P95" s="47"/>
      <c r="Q95" s="47"/>
      <c r="R95" s="48" t="str">
        <f aca="false">IF(Q95="","",IF(Q95=0,"below 5:00",IF(Q95&gt;=66,"16:00 or above",INT((60+2*Q95)/12)&amp;":"&amp;TEXT(MOD(60+2*Q95,12),"00"))))</f>
        <v/>
      </c>
      <c r="S95" s="47"/>
      <c r="T95" s="47"/>
      <c r="U95" s="47"/>
      <c r="V95" s="47"/>
      <c r="W95" s="47"/>
      <c r="X95" s="47"/>
      <c r="Y95" s="47"/>
      <c r="Z95" s="47"/>
      <c r="AA95" s="47"/>
      <c r="AB95" s="47"/>
      <c r="AC95" s="47"/>
      <c r="AD95" s="47"/>
      <c r="AE95" s="47"/>
      <c r="AF95" s="47"/>
      <c r="AG95" s="47"/>
      <c r="AH95" s="47"/>
      <c r="AI95" s="46"/>
      <c r="AJ95" s="46"/>
      <c r="AK95" s="46"/>
      <c r="AL95" s="7"/>
      <c r="AM95" s="49" t="str">
        <f aca="false">IF(OR(C95="",G95=""),"",IFERROR(DATEDIF(C95,G95,"m"),""))</f>
        <v/>
      </c>
      <c r="AN95" s="49" t="str">
        <f aca="false">IF(OR(Q95="",AM95=""),"",60+2*Q95-AM95)</f>
        <v/>
      </c>
      <c r="AO95" s="49" t="str">
        <f aca="false">IF(OR(G95="",AJ95=""),"",AJ95-G95)</f>
        <v/>
      </c>
      <c r="AP95" s="50" t="str">
        <f aca="false">IF(AND(A95="",B95=""),"",IF(J95="","Status needed",IF(OR(J95="Applied",J95="Visit booked",J95="Withdrawn"),"OK",IF(G95="","Date assessed needed",IF(C95="","Date of birth needed",IF(COUNTA(L95,M95,P95,U95,V95,X95,AB95)&lt;7,"Band missing",IF(AND(OR(J95="Decision confirmed",J95="Family told",J95="Enrolled"),AG95=""),"Recommendation needed",IF(AND(OR(J95="Family told",J95="Enrolled"),AJ95=""),"Date family told needed","OK"))))))))</f>
        <v/>
      </c>
    </row>
    <row r="96" customFormat="false" ht="15" hidden="false" customHeight="false" outlineLevel="0" collapsed="false">
      <c r="A96" s="7"/>
      <c r="B96" s="7"/>
      <c r="C96" s="46"/>
      <c r="D96" s="7"/>
      <c r="E96" s="47"/>
      <c r="F96" s="46"/>
      <c r="G96" s="46"/>
      <c r="H96" s="7"/>
      <c r="I96" s="7"/>
      <c r="J96" s="47"/>
      <c r="K96" s="47"/>
      <c r="L96" s="47"/>
      <c r="M96" s="47"/>
      <c r="N96" s="10"/>
      <c r="O96" s="47"/>
      <c r="P96" s="47"/>
      <c r="Q96" s="47"/>
      <c r="R96" s="48" t="str">
        <f aca="false">IF(Q96="","",IF(Q96=0,"below 5:00",IF(Q96&gt;=66,"16:00 or above",INT((60+2*Q96)/12)&amp;":"&amp;TEXT(MOD(60+2*Q96,12),"00"))))</f>
        <v/>
      </c>
      <c r="S96" s="47"/>
      <c r="T96" s="47"/>
      <c r="U96" s="47"/>
      <c r="V96" s="47"/>
      <c r="W96" s="47"/>
      <c r="X96" s="47"/>
      <c r="Y96" s="47"/>
      <c r="Z96" s="47"/>
      <c r="AA96" s="47"/>
      <c r="AB96" s="47"/>
      <c r="AC96" s="47"/>
      <c r="AD96" s="47"/>
      <c r="AE96" s="47"/>
      <c r="AF96" s="47"/>
      <c r="AG96" s="47"/>
      <c r="AH96" s="47"/>
      <c r="AI96" s="46"/>
      <c r="AJ96" s="46"/>
      <c r="AK96" s="46"/>
      <c r="AL96" s="7"/>
      <c r="AM96" s="49" t="str">
        <f aca="false">IF(OR(C96="",G96=""),"",IFERROR(DATEDIF(C96,G96,"m"),""))</f>
        <v/>
      </c>
      <c r="AN96" s="49" t="str">
        <f aca="false">IF(OR(Q96="",AM96=""),"",60+2*Q96-AM96)</f>
        <v/>
      </c>
      <c r="AO96" s="49" t="str">
        <f aca="false">IF(OR(G96="",AJ96=""),"",AJ96-G96)</f>
        <v/>
      </c>
      <c r="AP96" s="50" t="str">
        <f aca="false">IF(AND(A96="",B96=""),"",IF(J96="","Status needed",IF(OR(J96="Applied",J96="Visit booked",J96="Withdrawn"),"OK",IF(G96="","Date assessed needed",IF(C96="","Date of birth needed",IF(COUNTA(L96,M96,P96,U96,V96,X96,AB96)&lt;7,"Band missing",IF(AND(OR(J96="Decision confirmed",J96="Family told",J96="Enrolled"),AG96=""),"Recommendation needed",IF(AND(OR(J96="Family told",J96="Enrolled"),AJ96=""),"Date family told needed","OK"))))))))</f>
        <v/>
      </c>
    </row>
    <row r="97" customFormat="false" ht="15" hidden="false" customHeight="false" outlineLevel="0" collapsed="false">
      <c r="A97" s="7"/>
      <c r="B97" s="7"/>
      <c r="C97" s="46"/>
      <c r="D97" s="7"/>
      <c r="E97" s="47"/>
      <c r="F97" s="46"/>
      <c r="G97" s="46"/>
      <c r="H97" s="7"/>
      <c r="I97" s="7"/>
      <c r="J97" s="47"/>
      <c r="K97" s="47"/>
      <c r="L97" s="47"/>
      <c r="M97" s="47"/>
      <c r="N97" s="10"/>
      <c r="O97" s="47"/>
      <c r="P97" s="47"/>
      <c r="Q97" s="47"/>
      <c r="R97" s="48" t="str">
        <f aca="false">IF(Q97="","",IF(Q97=0,"below 5:00",IF(Q97&gt;=66,"16:00 or above",INT((60+2*Q97)/12)&amp;":"&amp;TEXT(MOD(60+2*Q97,12),"00"))))</f>
        <v/>
      </c>
      <c r="S97" s="47"/>
      <c r="T97" s="47"/>
      <c r="U97" s="47"/>
      <c r="V97" s="47"/>
      <c r="W97" s="47"/>
      <c r="X97" s="47"/>
      <c r="Y97" s="47"/>
      <c r="Z97" s="47"/>
      <c r="AA97" s="47"/>
      <c r="AB97" s="47"/>
      <c r="AC97" s="47"/>
      <c r="AD97" s="47"/>
      <c r="AE97" s="47"/>
      <c r="AF97" s="47"/>
      <c r="AG97" s="47"/>
      <c r="AH97" s="47"/>
      <c r="AI97" s="46"/>
      <c r="AJ97" s="46"/>
      <c r="AK97" s="46"/>
      <c r="AL97" s="7"/>
      <c r="AM97" s="49" t="str">
        <f aca="false">IF(OR(C97="",G97=""),"",IFERROR(DATEDIF(C97,G97,"m"),""))</f>
        <v/>
      </c>
      <c r="AN97" s="49" t="str">
        <f aca="false">IF(OR(Q97="",AM97=""),"",60+2*Q97-AM97)</f>
        <v/>
      </c>
      <c r="AO97" s="49" t="str">
        <f aca="false">IF(OR(G97="",AJ97=""),"",AJ97-G97)</f>
        <v/>
      </c>
      <c r="AP97" s="50" t="str">
        <f aca="false">IF(AND(A97="",B97=""),"",IF(J97="","Status needed",IF(OR(J97="Applied",J97="Visit booked",J97="Withdrawn"),"OK",IF(G97="","Date assessed needed",IF(C97="","Date of birth needed",IF(COUNTA(L97,M97,P97,U97,V97,X97,AB97)&lt;7,"Band missing",IF(AND(OR(J97="Decision confirmed",J97="Family told",J97="Enrolled"),AG97=""),"Recommendation needed",IF(AND(OR(J97="Family told",J97="Enrolled"),AJ97=""),"Date family told needed","OK"))))))))</f>
        <v/>
      </c>
    </row>
    <row r="98" customFormat="false" ht="15" hidden="false" customHeight="false" outlineLevel="0" collapsed="false">
      <c r="A98" s="7"/>
      <c r="B98" s="7"/>
      <c r="C98" s="46"/>
      <c r="D98" s="7"/>
      <c r="E98" s="47"/>
      <c r="F98" s="46"/>
      <c r="G98" s="46"/>
      <c r="H98" s="7"/>
      <c r="I98" s="7"/>
      <c r="J98" s="47"/>
      <c r="K98" s="47"/>
      <c r="L98" s="47"/>
      <c r="M98" s="47"/>
      <c r="N98" s="10"/>
      <c r="O98" s="47"/>
      <c r="P98" s="47"/>
      <c r="Q98" s="47"/>
      <c r="R98" s="48" t="str">
        <f aca="false">IF(Q98="","",IF(Q98=0,"below 5:00",IF(Q98&gt;=66,"16:00 or above",INT((60+2*Q98)/12)&amp;":"&amp;TEXT(MOD(60+2*Q98,12),"00"))))</f>
        <v/>
      </c>
      <c r="S98" s="47"/>
      <c r="T98" s="47"/>
      <c r="U98" s="47"/>
      <c r="V98" s="47"/>
      <c r="W98" s="47"/>
      <c r="X98" s="47"/>
      <c r="Y98" s="47"/>
      <c r="Z98" s="47"/>
      <c r="AA98" s="47"/>
      <c r="AB98" s="47"/>
      <c r="AC98" s="47"/>
      <c r="AD98" s="47"/>
      <c r="AE98" s="47"/>
      <c r="AF98" s="47"/>
      <c r="AG98" s="47"/>
      <c r="AH98" s="47"/>
      <c r="AI98" s="46"/>
      <c r="AJ98" s="46"/>
      <c r="AK98" s="46"/>
      <c r="AL98" s="7"/>
      <c r="AM98" s="49" t="str">
        <f aca="false">IF(OR(C98="",G98=""),"",IFERROR(DATEDIF(C98,G98,"m"),""))</f>
        <v/>
      </c>
      <c r="AN98" s="49" t="str">
        <f aca="false">IF(OR(Q98="",AM98=""),"",60+2*Q98-AM98)</f>
        <v/>
      </c>
      <c r="AO98" s="49" t="str">
        <f aca="false">IF(OR(G98="",AJ98=""),"",AJ98-G98)</f>
        <v/>
      </c>
      <c r="AP98" s="50" t="str">
        <f aca="false">IF(AND(A98="",B98=""),"",IF(J98="","Status needed",IF(OR(J98="Applied",J98="Visit booked",J98="Withdrawn"),"OK",IF(G98="","Date assessed needed",IF(C98="","Date of birth needed",IF(COUNTA(L98,M98,P98,U98,V98,X98,AB98)&lt;7,"Band missing",IF(AND(OR(J98="Decision confirmed",J98="Family told",J98="Enrolled"),AG98=""),"Recommendation needed",IF(AND(OR(J98="Family told",J98="Enrolled"),AJ98=""),"Date family told needed","OK"))))))))</f>
        <v/>
      </c>
    </row>
    <row r="99" customFormat="false" ht="15" hidden="false" customHeight="false" outlineLevel="0" collapsed="false">
      <c r="A99" s="7"/>
      <c r="B99" s="7"/>
      <c r="C99" s="46"/>
      <c r="D99" s="7"/>
      <c r="E99" s="47"/>
      <c r="F99" s="46"/>
      <c r="G99" s="46"/>
      <c r="H99" s="7"/>
      <c r="I99" s="7"/>
      <c r="J99" s="47"/>
      <c r="K99" s="47"/>
      <c r="L99" s="47"/>
      <c r="M99" s="47"/>
      <c r="N99" s="10"/>
      <c r="O99" s="47"/>
      <c r="P99" s="47"/>
      <c r="Q99" s="47"/>
      <c r="R99" s="48" t="str">
        <f aca="false">IF(Q99="","",IF(Q99=0,"below 5:00",IF(Q99&gt;=66,"16:00 or above",INT((60+2*Q99)/12)&amp;":"&amp;TEXT(MOD(60+2*Q99,12),"00"))))</f>
        <v/>
      </c>
      <c r="S99" s="47"/>
      <c r="T99" s="47"/>
      <c r="U99" s="47"/>
      <c r="V99" s="47"/>
      <c r="W99" s="47"/>
      <c r="X99" s="47"/>
      <c r="Y99" s="47"/>
      <c r="Z99" s="47"/>
      <c r="AA99" s="47"/>
      <c r="AB99" s="47"/>
      <c r="AC99" s="47"/>
      <c r="AD99" s="47"/>
      <c r="AE99" s="47"/>
      <c r="AF99" s="47"/>
      <c r="AG99" s="47"/>
      <c r="AH99" s="47"/>
      <c r="AI99" s="46"/>
      <c r="AJ99" s="46"/>
      <c r="AK99" s="46"/>
      <c r="AL99" s="7"/>
      <c r="AM99" s="49" t="str">
        <f aca="false">IF(OR(C99="",G99=""),"",IFERROR(DATEDIF(C99,G99,"m"),""))</f>
        <v/>
      </c>
      <c r="AN99" s="49" t="str">
        <f aca="false">IF(OR(Q99="",AM99=""),"",60+2*Q99-AM99)</f>
        <v/>
      </c>
      <c r="AO99" s="49" t="str">
        <f aca="false">IF(OR(G99="",AJ99=""),"",AJ99-G99)</f>
        <v/>
      </c>
      <c r="AP99" s="50" t="str">
        <f aca="false">IF(AND(A99="",B99=""),"",IF(J99="","Status needed",IF(OR(J99="Applied",J99="Visit booked",J99="Withdrawn"),"OK",IF(G99="","Date assessed needed",IF(C99="","Date of birth needed",IF(COUNTA(L99,M99,P99,U99,V99,X99,AB99)&lt;7,"Band missing",IF(AND(OR(J99="Decision confirmed",J99="Family told",J99="Enrolled"),AG99=""),"Recommendation needed",IF(AND(OR(J99="Family told",J99="Enrolled"),AJ99=""),"Date family told needed","OK"))))))))</f>
        <v/>
      </c>
    </row>
    <row r="100" customFormat="false" ht="15" hidden="false" customHeight="false" outlineLevel="0" collapsed="false">
      <c r="A100" s="7"/>
      <c r="B100" s="7"/>
      <c r="C100" s="46"/>
      <c r="D100" s="7"/>
      <c r="E100" s="47"/>
      <c r="F100" s="46"/>
      <c r="G100" s="46"/>
      <c r="H100" s="7"/>
      <c r="I100" s="7"/>
      <c r="J100" s="47"/>
      <c r="K100" s="47"/>
      <c r="L100" s="47"/>
      <c r="M100" s="47"/>
      <c r="N100" s="10"/>
      <c r="O100" s="47"/>
      <c r="P100" s="47"/>
      <c r="Q100" s="47"/>
      <c r="R100" s="48" t="str">
        <f aca="false">IF(Q100="","",IF(Q100=0,"below 5:00",IF(Q100&gt;=66,"16:00 or above",INT((60+2*Q100)/12)&amp;":"&amp;TEXT(MOD(60+2*Q100,12),"00"))))</f>
        <v/>
      </c>
      <c r="S100" s="47"/>
      <c r="T100" s="47"/>
      <c r="U100" s="47"/>
      <c r="V100" s="47"/>
      <c r="W100" s="47"/>
      <c r="X100" s="47"/>
      <c r="Y100" s="47"/>
      <c r="Z100" s="47"/>
      <c r="AA100" s="47"/>
      <c r="AB100" s="47"/>
      <c r="AC100" s="47"/>
      <c r="AD100" s="47"/>
      <c r="AE100" s="47"/>
      <c r="AF100" s="47"/>
      <c r="AG100" s="47"/>
      <c r="AH100" s="47"/>
      <c r="AI100" s="46"/>
      <c r="AJ100" s="46"/>
      <c r="AK100" s="46"/>
      <c r="AL100" s="7"/>
      <c r="AM100" s="49" t="str">
        <f aca="false">IF(OR(C100="",G100=""),"",IFERROR(DATEDIF(C100,G100,"m"),""))</f>
        <v/>
      </c>
      <c r="AN100" s="49" t="str">
        <f aca="false">IF(OR(Q100="",AM100=""),"",60+2*Q100-AM100)</f>
        <v/>
      </c>
      <c r="AO100" s="49" t="str">
        <f aca="false">IF(OR(G100="",AJ100=""),"",AJ100-G100)</f>
        <v/>
      </c>
      <c r="AP100" s="50" t="str">
        <f aca="false">IF(AND(A100="",B100=""),"",IF(J100="","Status needed",IF(OR(J100="Applied",J100="Visit booked",J100="Withdrawn"),"OK",IF(G100="","Date assessed needed",IF(C100="","Date of birth needed",IF(COUNTA(L100,M100,P100,U100,V100,X100,AB100)&lt;7,"Band missing",IF(AND(OR(J100="Decision confirmed",J100="Family told",J100="Enrolled"),AG100=""),"Recommendation needed",IF(AND(OR(J100="Family told",J100="Enrolled"),AJ100=""),"Date family told needed","OK"))))))))</f>
        <v/>
      </c>
    </row>
    <row r="101" customFormat="false" ht="15" hidden="false" customHeight="false" outlineLevel="0" collapsed="false">
      <c r="A101" s="7"/>
      <c r="B101" s="7"/>
      <c r="C101" s="46"/>
      <c r="D101" s="7"/>
      <c r="E101" s="47"/>
      <c r="F101" s="46"/>
      <c r="G101" s="46"/>
      <c r="H101" s="7"/>
      <c r="I101" s="7"/>
      <c r="J101" s="47"/>
      <c r="K101" s="47"/>
      <c r="L101" s="47"/>
      <c r="M101" s="47"/>
      <c r="N101" s="10"/>
      <c r="O101" s="47"/>
      <c r="P101" s="47"/>
      <c r="Q101" s="47"/>
      <c r="R101" s="48" t="str">
        <f aca="false">IF(Q101="","",IF(Q101=0,"below 5:00",IF(Q101&gt;=66,"16:00 or above",INT((60+2*Q101)/12)&amp;":"&amp;TEXT(MOD(60+2*Q101,12),"00"))))</f>
        <v/>
      </c>
      <c r="S101" s="47"/>
      <c r="T101" s="47"/>
      <c r="U101" s="47"/>
      <c r="V101" s="47"/>
      <c r="W101" s="47"/>
      <c r="X101" s="47"/>
      <c r="Y101" s="47"/>
      <c r="Z101" s="47"/>
      <c r="AA101" s="47"/>
      <c r="AB101" s="47"/>
      <c r="AC101" s="47"/>
      <c r="AD101" s="47"/>
      <c r="AE101" s="47"/>
      <c r="AF101" s="47"/>
      <c r="AG101" s="47"/>
      <c r="AH101" s="47"/>
      <c r="AI101" s="46"/>
      <c r="AJ101" s="46"/>
      <c r="AK101" s="46"/>
      <c r="AL101" s="7"/>
      <c r="AM101" s="49" t="str">
        <f aca="false">IF(OR(C101="",G101=""),"",IFERROR(DATEDIF(C101,G101,"m"),""))</f>
        <v/>
      </c>
      <c r="AN101" s="49" t="str">
        <f aca="false">IF(OR(Q101="",AM101=""),"",60+2*Q101-AM101)</f>
        <v/>
      </c>
      <c r="AO101" s="49" t="str">
        <f aca="false">IF(OR(G101="",AJ101=""),"",AJ101-G101)</f>
        <v/>
      </c>
      <c r="AP101" s="50" t="str">
        <f aca="false">IF(AND(A101="",B101=""),"",IF(J101="","Status needed",IF(OR(J101="Applied",J101="Visit booked",J101="Withdrawn"),"OK",IF(G101="","Date assessed needed",IF(C101="","Date of birth needed",IF(COUNTA(L101,M101,P101,U101,V101,X101,AB101)&lt;7,"Band missing",IF(AND(OR(J101="Decision confirmed",J101="Family told",J101="Enrolled"),AG101=""),"Recommendation needed",IF(AND(OR(J101="Family told",J101="Enrolled"),AJ101=""),"Date family told needed","OK"))))))))</f>
        <v/>
      </c>
    </row>
    <row r="102" customFormat="false" ht="15" hidden="false" customHeight="false" outlineLevel="0" collapsed="false">
      <c r="A102" s="7"/>
      <c r="B102" s="7"/>
      <c r="C102" s="46"/>
      <c r="D102" s="7"/>
      <c r="E102" s="47"/>
      <c r="F102" s="46"/>
      <c r="G102" s="46"/>
      <c r="H102" s="7"/>
      <c r="I102" s="7"/>
      <c r="J102" s="47"/>
      <c r="K102" s="47"/>
      <c r="L102" s="47"/>
      <c r="M102" s="47"/>
      <c r="N102" s="10"/>
      <c r="O102" s="47"/>
      <c r="P102" s="47"/>
      <c r="Q102" s="47"/>
      <c r="R102" s="48" t="str">
        <f aca="false">IF(Q102="","",IF(Q102=0,"below 5:00",IF(Q102&gt;=66,"16:00 or above",INT((60+2*Q102)/12)&amp;":"&amp;TEXT(MOD(60+2*Q102,12),"00"))))</f>
        <v/>
      </c>
      <c r="S102" s="47"/>
      <c r="T102" s="47"/>
      <c r="U102" s="47"/>
      <c r="V102" s="47"/>
      <c r="W102" s="47"/>
      <c r="X102" s="47"/>
      <c r="Y102" s="47"/>
      <c r="Z102" s="47"/>
      <c r="AA102" s="47"/>
      <c r="AB102" s="47"/>
      <c r="AC102" s="47"/>
      <c r="AD102" s="47"/>
      <c r="AE102" s="47"/>
      <c r="AF102" s="47"/>
      <c r="AG102" s="47"/>
      <c r="AH102" s="47"/>
      <c r="AI102" s="46"/>
      <c r="AJ102" s="46"/>
      <c r="AK102" s="46"/>
      <c r="AL102" s="7"/>
      <c r="AM102" s="49" t="str">
        <f aca="false">IF(OR(C102="",G102=""),"",IFERROR(DATEDIF(C102,G102,"m"),""))</f>
        <v/>
      </c>
      <c r="AN102" s="49" t="str">
        <f aca="false">IF(OR(Q102="",AM102=""),"",60+2*Q102-AM102)</f>
        <v/>
      </c>
      <c r="AO102" s="49" t="str">
        <f aca="false">IF(OR(G102="",AJ102=""),"",AJ102-G102)</f>
        <v/>
      </c>
      <c r="AP102" s="50" t="str">
        <f aca="false">IF(AND(A102="",B102=""),"",IF(J102="","Status needed",IF(OR(J102="Applied",J102="Visit booked",J102="Withdrawn"),"OK",IF(G102="","Date assessed needed",IF(C102="","Date of birth needed",IF(COUNTA(L102,M102,P102,U102,V102,X102,AB102)&lt;7,"Band missing",IF(AND(OR(J102="Decision confirmed",J102="Family told",J102="Enrolled"),AG102=""),"Recommendation needed",IF(AND(OR(J102="Family told",J102="Enrolled"),AJ102=""),"Date family told needed","OK"))))))))</f>
        <v/>
      </c>
    </row>
    <row r="103" customFormat="false" ht="15" hidden="false" customHeight="false" outlineLevel="0" collapsed="false">
      <c r="A103" s="7"/>
      <c r="B103" s="7"/>
      <c r="C103" s="46"/>
      <c r="D103" s="7"/>
      <c r="E103" s="47"/>
      <c r="F103" s="46"/>
      <c r="G103" s="46"/>
      <c r="H103" s="7"/>
      <c r="I103" s="7"/>
      <c r="J103" s="47"/>
      <c r="K103" s="47"/>
      <c r="L103" s="47"/>
      <c r="M103" s="47"/>
      <c r="N103" s="10"/>
      <c r="O103" s="47"/>
      <c r="P103" s="47"/>
      <c r="Q103" s="47"/>
      <c r="R103" s="48" t="str">
        <f aca="false">IF(Q103="","",IF(Q103=0,"below 5:00",IF(Q103&gt;=66,"16:00 or above",INT((60+2*Q103)/12)&amp;":"&amp;TEXT(MOD(60+2*Q103,12),"00"))))</f>
        <v/>
      </c>
      <c r="S103" s="47"/>
      <c r="T103" s="47"/>
      <c r="U103" s="47"/>
      <c r="V103" s="47"/>
      <c r="W103" s="47"/>
      <c r="X103" s="47"/>
      <c r="Y103" s="47"/>
      <c r="Z103" s="47"/>
      <c r="AA103" s="47"/>
      <c r="AB103" s="47"/>
      <c r="AC103" s="47"/>
      <c r="AD103" s="47"/>
      <c r="AE103" s="47"/>
      <c r="AF103" s="47"/>
      <c r="AG103" s="47"/>
      <c r="AH103" s="47"/>
      <c r="AI103" s="46"/>
      <c r="AJ103" s="46"/>
      <c r="AK103" s="46"/>
      <c r="AL103" s="7"/>
      <c r="AM103" s="49" t="str">
        <f aca="false">IF(OR(C103="",G103=""),"",IFERROR(DATEDIF(C103,G103,"m"),""))</f>
        <v/>
      </c>
      <c r="AN103" s="49" t="str">
        <f aca="false">IF(OR(Q103="",AM103=""),"",60+2*Q103-AM103)</f>
        <v/>
      </c>
      <c r="AO103" s="49" t="str">
        <f aca="false">IF(OR(G103="",AJ103=""),"",AJ103-G103)</f>
        <v/>
      </c>
      <c r="AP103" s="50" t="str">
        <f aca="false">IF(AND(A103="",B103=""),"",IF(J103="","Status needed",IF(OR(J103="Applied",J103="Visit booked",J103="Withdrawn"),"OK",IF(G103="","Date assessed needed",IF(C103="","Date of birth needed",IF(COUNTA(L103,M103,P103,U103,V103,X103,AB103)&lt;7,"Band missing",IF(AND(OR(J103="Decision confirmed",J103="Family told",J103="Enrolled"),AG103=""),"Recommendation needed",IF(AND(OR(J103="Family told",J103="Enrolled"),AJ103=""),"Date family told needed","OK"))))))))</f>
        <v/>
      </c>
    </row>
    <row r="104" customFormat="false" ht="15" hidden="false" customHeight="false" outlineLevel="0" collapsed="false">
      <c r="A104" s="7"/>
      <c r="B104" s="7"/>
      <c r="C104" s="46"/>
      <c r="D104" s="7"/>
      <c r="E104" s="47"/>
      <c r="F104" s="46"/>
      <c r="G104" s="46"/>
      <c r="H104" s="7"/>
      <c r="I104" s="7"/>
      <c r="J104" s="47"/>
      <c r="K104" s="47"/>
      <c r="L104" s="47"/>
      <c r="M104" s="47"/>
      <c r="N104" s="10"/>
      <c r="O104" s="47"/>
      <c r="P104" s="47"/>
      <c r="Q104" s="47"/>
      <c r="R104" s="48" t="str">
        <f aca="false">IF(Q104="","",IF(Q104=0,"below 5:00",IF(Q104&gt;=66,"16:00 or above",INT((60+2*Q104)/12)&amp;":"&amp;TEXT(MOD(60+2*Q104,12),"00"))))</f>
        <v/>
      </c>
      <c r="S104" s="47"/>
      <c r="T104" s="47"/>
      <c r="U104" s="47"/>
      <c r="V104" s="47"/>
      <c r="W104" s="47"/>
      <c r="X104" s="47"/>
      <c r="Y104" s="47"/>
      <c r="Z104" s="47"/>
      <c r="AA104" s="47"/>
      <c r="AB104" s="47"/>
      <c r="AC104" s="47"/>
      <c r="AD104" s="47"/>
      <c r="AE104" s="47"/>
      <c r="AF104" s="47"/>
      <c r="AG104" s="47"/>
      <c r="AH104" s="47"/>
      <c r="AI104" s="46"/>
      <c r="AJ104" s="46"/>
      <c r="AK104" s="46"/>
      <c r="AL104" s="7"/>
      <c r="AM104" s="49" t="str">
        <f aca="false">IF(OR(C104="",G104=""),"",IFERROR(DATEDIF(C104,G104,"m"),""))</f>
        <v/>
      </c>
      <c r="AN104" s="49" t="str">
        <f aca="false">IF(OR(Q104="",AM104=""),"",60+2*Q104-AM104)</f>
        <v/>
      </c>
      <c r="AO104" s="49" t="str">
        <f aca="false">IF(OR(G104="",AJ104=""),"",AJ104-G104)</f>
        <v/>
      </c>
      <c r="AP104" s="50" t="str">
        <f aca="false">IF(AND(A104="",B104=""),"",IF(J104="","Status needed",IF(OR(J104="Applied",J104="Visit booked",J104="Withdrawn"),"OK",IF(G104="","Date assessed needed",IF(C104="","Date of birth needed",IF(COUNTA(L104,M104,P104,U104,V104,X104,AB104)&lt;7,"Band missing",IF(AND(OR(J104="Decision confirmed",J104="Family told",J104="Enrolled"),AG104=""),"Recommendation needed",IF(AND(OR(J104="Family told",J104="Enrolled"),AJ104=""),"Date family told needed","OK"))))))))</f>
        <v/>
      </c>
    </row>
    <row r="105" customFormat="false" ht="15" hidden="false" customHeight="false" outlineLevel="0" collapsed="false">
      <c r="A105" s="7"/>
      <c r="B105" s="7"/>
      <c r="C105" s="46"/>
      <c r="D105" s="7"/>
      <c r="E105" s="47"/>
      <c r="F105" s="46"/>
      <c r="G105" s="46"/>
      <c r="H105" s="7"/>
      <c r="I105" s="7"/>
      <c r="J105" s="47"/>
      <c r="K105" s="47"/>
      <c r="L105" s="47"/>
      <c r="M105" s="47"/>
      <c r="N105" s="10"/>
      <c r="O105" s="47"/>
      <c r="P105" s="47"/>
      <c r="Q105" s="47"/>
      <c r="R105" s="48" t="str">
        <f aca="false">IF(Q105="","",IF(Q105=0,"below 5:00",IF(Q105&gt;=66,"16:00 or above",INT((60+2*Q105)/12)&amp;":"&amp;TEXT(MOD(60+2*Q105,12),"00"))))</f>
        <v/>
      </c>
      <c r="S105" s="47"/>
      <c r="T105" s="47"/>
      <c r="U105" s="47"/>
      <c r="V105" s="47"/>
      <c r="W105" s="47"/>
      <c r="X105" s="47"/>
      <c r="Y105" s="47"/>
      <c r="Z105" s="47"/>
      <c r="AA105" s="47"/>
      <c r="AB105" s="47"/>
      <c r="AC105" s="47"/>
      <c r="AD105" s="47"/>
      <c r="AE105" s="47"/>
      <c r="AF105" s="47"/>
      <c r="AG105" s="47"/>
      <c r="AH105" s="47"/>
      <c r="AI105" s="46"/>
      <c r="AJ105" s="46"/>
      <c r="AK105" s="46"/>
      <c r="AL105" s="7"/>
      <c r="AM105" s="49" t="str">
        <f aca="false">IF(OR(C105="",G105=""),"",IFERROR(DATEDIF(C105,G105,"m"),""))</f>
        <v/>
      </c>
      <c r="AN105" s="49" t="str">
        <f aca="false">IF(OR(Q105="",AM105=""),"",60+2*Q105-AM105)</f>
        <v/>
      </c>
      <c r="AO105" s="49" t="str">
        <f aca="false">IF(OR(G105="",AJ105=""),"",AJ105-G105)</f>
        <v/>
      </c>
      <c r="AP105" s="50" t="str">
        <f aca="false">IF(AND(A105="",B105=""),"",IF(J105="","Status needed",IF(OR(J105="Applied",J105="Visit booked",J105="Withdrawn"),"OK",IF(G105="","Date assessed needed",IF(C105="","Date of birth needed",IF(COUNTA(L105,M105,P105,U105,V105,X105,AB105)&lt;7,"Band missing",IF(AND(OR(J105="Decision confirmed",J105="Family told",J105="Enrolled"),AG105=""),"Recommendation needed",IF(AND(OR(J105="Family told",J105="Enrolled"),AJ105=""),"Date family told needed","OK"))))))))</f>
        <v/>
      </c>
    </row>
    <row r="106" customFormat="false" ht="15" hidden="false" customHeight="false" outlineLevel="0" collapsed="false">
      <c r="A106" s="7"/>
      <c r="B106" s="7"/>
      <c r="C106" s="46"/>
      <c r="D106" s="7"/>
      <c r="E106" s="47"/>
      <c r="F106" s="46"/>
      <c r="G106" s="46"/>
      <c r="H106" s="7"/>
      <c r="I106" s="7"/>
      <c r="J106" s="47"/>
      <c r="K106" s="47"/>
      <c r="L106" s="47"/>
      <c r="M106" s="47"/>
      <c r="N106" s="10"/>
      <c r="O106" s="47"/>
      <c r="P106" s="47"/>
      <c r="Q106" s="47"/>
      <c r="R106" s="48" t="str">
        <f aca="false">IF(Q106="","",IF(Q106=0,"below 5:00",IF(Q106&gt;=66,"16:00 or above",INT((60+2*Q106)/12)&amp;":"&amp;TEXT(MOD(60+2*Q106,12),"00"))))</f>
        <v/>
      </c>
      <c r="S106" s="47"/>
      <c r="T106" s="47"/>
      <c r="U106" s="47"/>
      <c r="V106" s="47"/>
      <c r="W106" s="47"/>
      <c r="X106" s="47"/>
      <c r="Y106" s="47"/>
      <c r="Z106" s="47"/>
      <c r="AA106" s="47"/>
      <c r="AB106" s="47"/>
      <c r="AC106" s="47"/>
      <c r="AD106" s="47"/>
      <c r="AE106" s="47"/>
      <c r="AF106" s="47"/>
      <c r="AG106" s="47"/>
      <c r="AH106" s="47"/>
      <c r="AI106" s="46"/>
      <c r="AJ106" s="46"/>
      <c r="AK106" s="46"/>
      <c r="AL106" s="7"/>
      <c r="AM106" s="49" t="str">
        <f aca="false">IF(OR(C106="",G106=""),"",IFERROR(DATEDIF(C106,G106,"m"),""))</f>
        <v/>
      </c>
      <c r="AN106" s="49" t="str">
        <f aca="false">IF(OR(Q106="",AM106=""),"",60+2*Q106-AM106)</f>
        <v/>
      </c>
      <c r="AO106" s="49" t="str">
        <f aca="false">IF(OR(G106="",AJ106=""),"",AJ106-G106)</f>
        <v/>
      </c>
      <c r="AP106" s="50" t="str">
        <f aca="false">IF(AND(A106="",B106=""),"",IF(J106="","Status needed",IF(OR(J106="Applied",J106="Visit booked",J106="Withdrawn"),"OK",IF(G106="","Date assessed needed",IF(C106="","Date of birth needed",IF(COUNTA(L106,M106,P106,U106,V106,X106,AB106)&lt;7,"Band missing",IF(AND(OR(J106="Decision confirmed",J106="Family told",J106="Enrolled"),AG106=""),"Recommendation needed",IF(AND(OR(J106="Family told",J106="Enrolled"),AJ106=""),"Date family told needed","OK"))))))))</f>
        <v/>
      </c>
    </row>
    <row r="107" customFormat="false" ht="15" hidden="false" customHeight="false" outlineLevel="0" collapsed="false">
      <c r="A107" s="7"/>
      <c r="B107" s="7"/>
      <c r="C107" s="46"/>
      <c r="D107" s="7"/>
      <c r="E107" s="47"/>
      <c r="F107" s="46"/>
      <c r="G107" s="46"/>
      <c r="H107" s="7"/>
      <c r="I107" s="7"/>
      <c r="J107" s="47"/>
      <c r="K107" s="47"/>
      <c r="L107" s="47"/>
      <c r="M107" s="47"/>
      <c r="N107" s="10"/>
      <c r="O107" s="47"/>
      <c r="P107" s="47"/>
      <c r="Q107" s="47"/>
      <c r="R107" s="48" t="str">
        <f aca="false">IF(Q107="","",IF(Q107=0,"below 5:00",IF(Q107&gt;=66,"16:00 or above",INT((60+2*Q107)/12)&amp;":"&amp;TEXT(MOD(60+2*Q107,12),"00"))))</f>
        <v/>
      </c>
      <c r="S107" s="47"/>
      <c r="T107" s="47"/>
      <c r="U107" s="47"/>
      <c r="V107" s="47"/>
      <c r="W107" s="47"/>
      <c r="X107" s="47"/>
      <c r="Y107" s="47"/>
      <c r="Z107" s="47"/>
      <c r="AA107" s="47"/>
      <c r="AB107" s="47"/>
      <c r="AC107" s="47"/>
      <c r="AD107" s="47"/>
      <c r="AE107" s="47"/>
      <c r="AF107" s="47"/>
      <c r="AG107" s="47"/>
      <c r="AH107" s="47"/>
      <c r="AI107" s="46"/>
      <c r="AJ107" s="46"/>
      <c r="AK107" s="46"/>
      <c r="AL107" s="7"/>
      <c r="AM107" s="49" t="str">
        <f aca="false">IF(OR(C107="",G107=""),"",IFERROR(DATEDIF(C107,G107,"m"),""))</f>
        <v/>
      </c>
      <c r="AN107" s="49" t="str">
        <f aca="false">IF(OR(Q107="",AM107=""),"",60+2*Q107-AM107)</f>
        <v/>
      </c>
      <c r="AO107" s="49" t="str">
        <f aca="false">IF(OR(G107="",AJ107=""),"",AJ107-G107)</f>
        <v/>
      </c>
      <c r="AP107" s="50" t="str">
        <f aca="false">IF(AND(A107="",B107=""),"",IF(J107="","Status needed",IF(OR(J107="Applied",J107="Visit booked",J107="Withdrawn"),"OK",IF(G107="","Date assessed needed",IF(C107="","Date of birth needed",IF(COUNTA(L107,M107,P107,U107,V107,X107,AB107)&lt;7,"Band missing",IF(AND(OR(J107="Decision confirmed",J107="Family told",J107="Enrolled"),AG107=""),"Recommendation needed",IF(AND(OR(J107="Family told",J107="Enrolled"),AJ107=""),"Date family told needed","OK"))))))))</f>
        <v/>
      </c>
    </row>
    <row r="108" customFormat="false" ht="15" hidden="false" customHeight="false" outlineLevel="0" collapsed="false">
      <c r="A108" s="7"/>
      <c r="B108" s="7"/>
      <c r="C108" s="46"/>
      <c r="D108" s="7"/>
      <c r="E108" s="47"/>
      <c r="F108" s="46"/>
      <c r="G108" s="46"/>
      <c r="H108" s="7"/>
      <c r="I108" s="7"/>
      <c r="J108" s="47"/>
      <c r="K108" s="47"/>
      <c r="L108" s="47"/>
      <c r="M108" s="47"/>
      <c r="N108" s="10"/>
      <c r="O108" s="47"/>
      <c r="P108" s="47"/>
      <c r="Q108" s="47"/>
      <c r="R108" s="48" t="str">
        <f aca="false">IF(Q108="","",IF(Q108=0,"below 5:00",IF(Q108&gt;=66,"16:00 or above",INT((60+2*Q108)/12)&amp;":"&amp;TEXT(MOD(60+2*Q108,12),"00"))))</f>
        <v/>
      </c>
      <c r="S108" s="47"/>
      <c r="T108" s="47"/>
      <c r="U108" s="47"/>
      <c r="V108" s="47"/>
      <c r="W108" s="47"/>
      <c r="X108" s="47"/>
      <c r="Y108" s="47"/>
      <c r="Z108" s="47"/>
      <c r="AA108" s="47"/>
      <c r="AB108" s="47"/>
      <c r="AC108" s="47"/>
      <c r="AD108" s="47"/>
      <c r="AE108" s="47"/>
      <c r="AF108" s="47"/>
      <c r="AG108" s="47"/>
      <c r="AH108" s="47"/>
      <c r="AI108" s="46"/>
      <c r="AJ108" s="46"/>
      <c r="AK108" s="46"/>
      <c r="AL108" s="7"/>
      <c r="AM108" s="49" t="str">
        <f aca="false">IF(OR(C108="",G108=""),"",IFERROR(DATEDIF(C108,G108,"m"),""))</f>
        <v/>
      </c>
      <c r="AN108" s="49" t="str">
        <f aca="false">IF(OR(Q108="",AM108=""),"",60+2*Q108-AM108)</f>
        <v/>
      </c>
      <c r="AO108" s="49" t="str">
        <f aca="false">IF(OR(G108="",AJ108=""),"",AJ108-G108)</f>
        <v/>
      </c>
      <c r="AP108" s="50" t="str">
        <f aca="false">IF(AND(A108="",B108=""),"",IF(J108="","Status needed",IF(OR(J108="Applied",J108="Visit booked",J108="Withdrawn"),"OK",IF(G108="","Date assessed needed",IF(C108="","Date of birth needed",IF(COUNTA(L108,M108,P108,U108,V108,X108,AB108)&lt;7,"Band missing",IF(AND(OR(J108="Decision confirmed",J108="Family told",J108="Enrolled"),AG108=""),"Recommendation needed",IF(AND(OR(J108="Family told",J108="Enrolled"),AJ108=""),"Date family told needed","OK"))))))))</f>
        <v/>
      </c>
    </row>
    <row r="109" customFormat="false" ht="15" hidden="false" customHeight="false" outlineLevel="0" collapsed="false">
      <c r="A109" s="7"/>
      <c r="B109" s="7"/>
      <c r="C109" s="46"/>
      <c r="D109" s="7"/>
      <c r="E109" s="47"/>
      <c r="F109" s="46"/>
      <c r="G109" s="46"/>
      <c r="H109" s="7"/>
      <c r="I109" s="7"/>
      <c r="J109" s="47"/>
      <c r="K109" s="47"/>
      <c r="L109" s="47"/>
      <c r="M109" s="47"/>
      <c r="N109" s="10"/>
      <c r="O109" s="47"/>
      <c r="P109" s="47"/>
      <c r="Q109" s="47"/>
      <c r="R109" s="48" t="str">
        <f aca="false">IF(Q109="","",IF(Q109=0,"below 5:00",IF(Q109&gt;=66,"16:00 or above",INT((60+2*Q109)/12)&amp;":"&amp;TEXT(MOD(60+2*Q109,12),"00"))))</f>
        <v/>
      </c>
      <c r="S109" s="47"/>
      <c r="T109" s="47"/>
      <c r="U109" s="47"/>
      <c r="V109" s="47"/>
      <c r="W109" s="47"/>
      <c r="X109" s="47"/>
      <c r="Y109" s="47"/>
      <c r="Z109" s="47"/>
      <c r="AA109" s="47"/>
      <c r="AB109" s="47"/>
      <c r="AC109" s="47"/>
      <c r="AD109" s="47"/>
      <c r="AE109" s="47"/>
      <c r="AF109" s="47"/>
      <c r="AG109" s="47"/>
      <c r="AH109" s="47"/>
      <c r="AI109" s="46"/>
      <c r="AJ109" s="46"/>
      <c r="AK109" s="46"/>
      <c r="AL109" s="7"/>
      <c r="AM109" s="49" t="str">
        <f aca="false">IF(OR(C109="",G109=""),"",IFERROR(DATEDIF(C109,G109,"m"),""))</f>
        <v/>
      </c>
      <c r="AN109" s="49" t="str">
        <f aca="false">IF(OR(Q109="",AM109=""),"",60+2*Q109-AM109)</f>
        <v/>
      </c>
      <c r="AO109" s="49" t="str">
        <f aca="false">IF(OR(G109="",AJ109=""),"",AJ109-G109)</f>
        <v/>
      </c>
      <c r="AP109" s="50" t="str">
        <f aca="false">IF(AND(A109="",B109=""),"",IF(J109="","Status needed",IF(OR(J109="Applied",J109="Visit booked",J109="Withdrawn"),"OK",IF(G109="","Date assessed needed",IF(C109="","Date of birth needed",IF(COUNTA(L109,M109,P109,U109,V109,X109,AB109)&lt;7,"Band missing",IF(AND(OR(J109="Decision confirmed",J109="Family told",J109="Enrolled"),AG109=""),"Recommendation needed",IF(AND(OR(J109="Family told",J109="Enrolled"),AJ109=""),"Date family told needed","OK"))))))))</f>
        <v/>
      </c>
    </row>
    <row r="110" customFormat="false" ht="15" hidden="false" customHeight="false" outlineLevel="0" collapsed="false">
      <c r="A110" s="7"/>
      <c r="B110" s="7"/>
      <c r="C110" s="46"/>
      <c r="D110" s="7"/>
      <c r="E110" s="47"/>
      <c r="F110" s="46"/>
      <c r="G110" s="46"/>
      <c r="H110" s="7"/>
      <c r="I110" s="7"/>
      <c r="J110" s="47"/>
      <c r="K110" s="47"/>
      <c r="L110" s="47"/>
      <c r="M110" s="47"/>
      <c r="N110" s="10"/>
      <c r="O110" s="47"/>
      <c r="P110" s="47"/>
      <c r="Q110" s="47"/>
      <c r="R110" s="48" t="str">
        <f aca="false">IF(Q110="","",IF(Q110=0,"below 5:00",IF(Q110&gt;=66,"16:00 or above",INT((60+2*Q110)/12)&amp;":"&amp;TEXT(MOD(60+2*Q110,12),"00"))))</f>
        <v/>
      </c>
      <c r="S110" s="47"/>
      <c r="T110" s="47"/>
      <c r="U110" s="47"/>
      <c r="V110" s="47"/>
      <c r="W110" s="47"/>
      <c r="X110" s="47"/>
      <c r="Y110" s="47"/>
      <c r="Z110" s="47"/>
      <c r="AA110" s="47"/>
      <c r="AB110" s="47"/>
      <c r="AC110" s="47"/>
      <c r="AD110" s="47"/>
      <c r="AE110" s="47"/>
      <c r="AF110" s="47"/>
      <c r="AG110" s="47"/>
      <c r="AH110" s="47"/>
      <c r="AI110" s="46"/>
      <c r="AJ110" s="46"/>
      <c r="AK110" s="46"/>
      <c r="AL110" s="7"/>
      <c r="AM110" s="49" t="str">
        <f aca="false">IF(OR(C110="",G110=""),"",IFERROR(DATEDIF(C110,G110,"m"),""))</f>
        <v/>
      </c>
      <c r="AN110" s="49" t="str">
        <f aca="false">IF(OR(Q110="",AM110=""),"",60+2*Q110-AM110)</f>
        <v/>
      </c>
      <c r="AO110" s="49" t="str">
        <f aca="false">IF(OR(G110="",AJ110=""),"",AJ110-G110)</f>
        <v/>
      </c>
      <c r="AP110" s="50" t="str">
        <f aca="false">IF(AND(A110="",B110=""),"",IF(J110="","Status needed",IF(OR(J110="Applied",J110="Visit booked",J110="Withdrawn"),"OK",IF(G110="","Date assessed needed",IF(C110="","Date of birth needed",IF(COUNTA(L110,M110,P110,U110,V110,X110,AB110)&lt;7,"Band missing",IF(AND(OR(J110="Decision confirmed",J110="Family told",J110="Enrolled"),AG110=""),"Recommendation needed",IF(AND(OR(J110="Family told",J110="Enrolled"),AJ110=""),"Date family told needed","OK"))))))))</f>
        <v/>
      </c>
    </row>
    <row r="111" customFormat="false" ht="15" hidden="false" customHeight="false" outlineLevel="0" collapsed="false">
      <c r="A111" s="7"/>
      <c r="B111" s="7"/>
      <c r="C111" s="46"/>
      <c r="D111" s="7"/>
      <c r="E111" s="47"/>
      <c r="F111" s="46"/>
      <c r="G111" s="46"/>
      <c r="H111" s="7"/>
      <c r="I111" s="7"/>
      <c r="J111" s="47"/>
      <c r="K111" s="47"/>
      <c r="L111" s="47"/>
      <c r="M111" s="47"/>
      <c r="N111" s="10"/>
      <c r="O111" s="47"/>
      <c r="P111" s="47"/>
      <c r="Q111" s="47"/>
      <c r="R111" s="48" t="str">
        <f aca="false">IF(Q111="","",IF(Q111=0,"below 5:00",IF(Q111&gt;=66,"16:00 or above",INT((60+2*Q111)/12)&amp;":"&amp;TEXT(MOD(60+2*Q111,12),"00"))))</f>
        <v/>
      </c>
      <c r="S111" s="47"/>
      <c r="T111" s="47"/>
      <c r="U111" s="47"/>
      <c r="V111" s="47"/>
      <c r="W111" s="47"/>
      <c r="X111" s="47"/>
      <c r="Y111" s="47"/>
      <c r="Z111" s="47"/>
      <c r="AA111" s="47"/>
      <c r="AB111" s="47"/>
      <c r="AC111" s="47"/>
      <c r="AD111" s="47"/>
      <c r="AE111" s="47"/>
      <c r="AF111" s="47"/>
      <c r="AG111" s="47"/>
      <c r="AH111" s="47"/>
      <c r="AI111" s="46"/>
      <c r="AJ111" s="46"/>
      <c r="AK111" s="46"/>
      <c r="AL111" s="7"/>
      <c r="AM111" s="49" t="str">
        <f aca="false">IF(OR(C111="",G111=""),"",IFERROR(DATEDIF(C111,G111,"m"),""))</f>
        <v/>
      </c>
      <c r="AN111" s="49" t="str">
        <f aca="false">IF(OR(Q111="",AM111=""),"",60+2*Q111-AM111)</f>
        <v/>
      </c>
      <c r="AO111" s="49" t="str">
        <f aca="false">IF(OR(G111="",AJ111=""),"",AJ111-G111)</f>
        <v/>
      </c>
      <c r="AP111" s="50" t="str">
        <f aca="false">IF(AND(A111="",B111=""),"",IF(J111="","Status needed",IF(OR(J111="Applied",J111="Visit booked",J111="Withdrawn"),"OK",IF(G111="","Date assessed needed",IF(C111="","Date of birth needed",IF(COUNTA(L111,M111,P111,U111,V111,X111,AB111)&lt;7,"Band missing",IF(AND(OR(J111="Decision confirmed",J111="Family told",J111="Enrolled"),AG111=""),"Recommendation needed",IF(AND(OR(J111="Family told",J111="Enrolled"),AJ111=""),"Date family told needed","OK"))))))))</f>
        <v/>
      </c>
    </row>
    <row r="112" customFormat="false" ht="15" hidden="false" customHeight="false" outlineLevel="0" collapsed="false">
      <c r="A112" s="7"/>
      <c r="B112" s="7"/>
      <c r="C112" s="46"/>
      <c r="D112" s="7"/>
      <c r="E112" s="47"/>
      <c r="F112" s="46"/>
      <c r="G112" s="46"/>
      <c r="H112" s="7"/>
      <c r="I112" s="7"/>
      <c r="J112" s="47"/>
      <c r="K112" s="47"/>
      <c r="L112" s="47"/>
      <c r="M112" s="47"/>
      <c r="N112" s="10"/>
      <c r="O112" s="47"/>
      <c r="P112" s="47"/>
      <c r="Q112" s="47"/>
      <c r="R112" s="48" t="str">
        <f aca="false">IF(Q112="","",IF(Q112=0,"below 5:00",IF(Q112&gt;=66,"16:00 or above",INT((60+2*Q112)/12)&amp;":"&amp;TEXT(MOD(60+2*Q112,12),"00"))))</f>
        <v/>
      </c>
      <c r="S112" s="47"/>
      <c r="T112" s="47"/>
      <c r="U112" s="47"/>
      <c r="V112" s="47"/>
      <c r="W112" s="47"/>
      <c r="X112" s="47"/>
      <c r="Y112" s="47"/>
      <c r="Z112" s="47"/>
      <c r="AA112" s="47"/>
      <c r="AB112" s="47"/>
      <c r="AC112" s="47"/>
      <c r="AD112" s="47"/>
      <c r="AE112" s="47"/>
      <c r="AF112" s="47"/>
      <c r="AG112" s="47"/>
      <c r="AH112" s="47"/>
      <c r="AI112" s="46"/>
      <c r="AJ112" s="46"/>
      <c r="AK112" s="46"/>
      <c r="AL112" s="7"/>
      <c r="AM112" s="49" t="str">
        <f aca="false">IF(OR(C112="",G112=""),"",IFERROR(DATEDIF(C112,G112,"m"),""))</f>
        <v/>
      </c>
      <c r="AN112" s="49" t="str">
        <f aca="false">IF(OR(Q112="",AM112=""),"",60+2*Q112-AM112)</f>
        <v/>
      </c>
      <c r="AO112" s="49" t="str">
        <f aca="false">IF(OR(G112="",AJ112=""),"",AJ112-G112)</f>
        <v/>
      </c>
      <c r="AP112" s="50" t="str">
        <f aca="false">IF(AND(A112="",B112=""),"",IF(J112="","Status needed",IF(OR(J112="Applied",J112="Visit booked",J112="Withdrawn"),"OK",IF(G112="","Date assessed needed",IF(C112="","Date of birth needed",IF(COUNTA(L112,M112,P112,U112,V112,X112,AB112)&lt;7,"Band missing",IF(AND(OR(J112="Decision confirmed",J112="Family told",J112="Enrolled"),AG112=""),"Recommendation needed",IF(AND(OR(J112="Family told",J112="Enrolled"),AJ112=""),"Date family told needed","OK"))))))))</f>
        <v/>
      </c>
    </row>
    <row r="113" customFormat="false" ht="15" hidden="false" customHeight="false" outlineLevel="0" collapsed="false">
      <c r="A113" s="7"/>
      <c r="B113" s="7"/>
      <c r="C113" s="46"/>
      <c r="D113" s="7"/>
      <c r="E113" s="47"/>
      <c r="F113" s="46"/>
      <c r="G113" s="46"/>
      <c r="H113" s="7"/>
      <c r="I113" s="7"/>
      <c r="J113" s="47"/>
      <c r="K113" s="47"/>
      <c r="L113" s="47"/>
      <c r="M113" s="47"/>
      <c r="N113" s="10"/>
      <c r="O113" s="47"/>
      <c r="P113" s="47"/>
      <c r="Q113" s="47"/>
      <c r="R113" s="48" t="str">
        <f aca="false">IF(Q113="","",IF(Q113=0,"below 5:00",IF(Q113&gt;=66,"16:00 or above",INT((60+2*Q113)/12)&amp;":"&amp;TEXT(MOD(60+2*Q113,12),"00"))))</f>
        <v/>
      </c>
      <c r="S113" s="47"/>
      <c r="T113" s="47"/>
      <c r="U113" s="47"/>
      <c r="V113" s="47"/>
      <c r="W113" s="47"/>
      <c r="X113" s="47"/>
      <c r="Y113" s="47"/>
      <c r="Z113" s="47"/>
      <c r="AA113" s="47"/>
      <c r="AB113" s="47"/>
      <c r="AC113" s="47"/>
      <c r="AD113" s="47"/>
      <c r="AE113" s="47"/>
      <c r="AF113" s="47"/>
      <c r="AG113" s="47"/>
      <c r="AH113" s="47"/>
      <c r="AI113" s="46"/>
      <c r="AJ113" s="46"/>
      <c r="AK113" s="46"/>
      <c r="AL113" s="7"/>
      <c r="AM113" s="49" t="str">
        <f aca="false">IF(OR(C113="",G113=""),"",IFERROR(DATEDIF(C113,G113,"m"),""))</f>
        <v/>
      </c>
      <c r="AN113" s="49" t="str">
        <f aca="false">IF(OR(Q113="",AM113=""),"",60+2*Q113-AM113)</f>
        <v/>
      </c>
      <c r="AO113" s="49" t="str">
        <f aca="false">IF(OR(G113="",AJ113=""),"",AJ113-G113)</f>
        <v/>
      </c>
      <c r="AP113" s="50" t="str">
        <f aca="false">IF(AND(A113="",B113=""),"",IF(J113="","Status needed",IF(OR(J113="Applied",J113="Visit booked",J113="Withdrawn"),"OK",IF(G113="","Date assessed needed",IF(C113="","Date of birth needed",IF(COUNTA(L113,M113,P113,U113,V113,X113,AB113)&lt;7,"Band missing",IF(AND(OR(J113="Decision confirmed",J113="Family told",J113="Enrolled"),AG113=""),"Recommendation needed",IF(AND(OR(J113="Family told",J113="Enrolled"),AJ113=""),"Date family told needed","OK"))))))))</f>
        <v/>
      </c>
    </row>
    <row r="114" customFormat="false" ht="15" hidden="false" customHeight="false" outlineLevel="0" collapsed="false">
      <c r="A114" s="7"/>
      <c r="B114" s="7"/>
      <c r="C114" s="46"/>
      <c r="D114" s="7"/>
      <c r="E114" s="47"/>
      <c r="F114" s="46"/>
      <c r="G114" s="46"/>
      <c r="H114" s="7"/>
      <c r="I114" s="7"/>
      <c r="J114" s="47"/>
      <c r="K114" s="47"/>
      <c r="L114" s="47"/>
      <c r="M114" s="47"/>
      <c r="N114" s="10"/>
      <c r="O114" s="47"/>
      <c r="P114" s="47"/>
      <c r="Q114" s="47"/>
      <c r="R114" s="48" t="str">
        <f aca="false">IF(Q114="","",IF(Q114=0,"below 5:00",IF(Q114&gt;=66,"16:00 or above",INT((60+2*Q114)/12)&amp;":"&amp;TEXT(MOD(60+2*Q114,12),"00"))))</f>
        <v/>
      </c>
      <c r="S114" s="47"/>
      <c r="T114" s="47"/>
      <c r="U114" s="47"/>
      <c r="V114" s="47"/>
      <c r="W114" s="47"/>
      <c r="X114" s="47"/>
      <c r="Y114" s="47"/>
      <c r="Z114" s="47"/>
      <c r="AA114" s="47"/>
      <c r="AB114" s="47"/>
      <c r="AC114" s="47"/>
      <c r="AD114" s="47"/>
      <c r="AE114" s="47"/>
      <c r="AF114" s="47"/>
      <c r="AG114" s="47"/>
      <c r="AH114" s="47"/>
      <c r="AI114" s="46"/>
      <c r="AJ114" s="46"/>
      <c r="AK114" s="46"/>
      <c r="AL114" s="7"/>
      <c r="AM114" s="49" t="str">
        <f aca="false">IF(OR(C114="",G114=""),"",IFERROR(DATEDIF(C114,G114,"m"),""))</f>
        <v/>
      </c>
      <c r="AN114" s="49" t="str">
        <f aca="false">IF(OR(Q114="",AM114=""),"",60+2*Q114-AM114)</f>
        <v/>
      </c>
      <c r="AO114" s="49" t="str">
        <f aca="false">IF(OR(G114="",AJ114=""),"",AJ114-G114)</f>
        <v/>
      </c>
      <c r="AP114" s="50" t="str">
        <f aca="false">IF(AND(A114="",B114=""),"",IF(J114="","Status needed",IF(OR(J114="Applied",J114="Visit booked",J114="Withdrawn"),"OK",IF(G114="","Date assessed needed",IF(C114="","Date of birth needed",IF(COUNTA(L114,M114,P114,U114,V114,X114,AB114)&lt;7,"Band missing",IF(AND(OR(J114="Decision confirmed",J114="Family told",J114="Enrolled"),AG114=""),"Recommendation needed",IF(AND(OR(J114="Family told",J114="Enrolled"),AJ114=""),"Date family told needed","OK"))))))))</f>
        <v/>
      </c>
    </row>
    <row r="115" customFormat="false" ht="15" hidden="false" customHeight="false" outlineLevel="0" collapsed="false">
      <c r="A115" s="7"/>
      <c r="B115" s="7"/>
      <c r="C115" s="46"/>
      <c r="D115" s="7"/>
      <c r="E115" s="47"/>
      <c r="F115" s="46"/>
      <c r="G115" s="46"/>
      <c r="H115" s="7"/>
      <c r="I115" s="7"/>
      <c r="J115" s="47"/>
      <c r="K115" s="47"/>
      <c r="L115" s="47"/>
      <c r="M115" s="47"/>
      <c r="N115" s="10"/>
      <c r="O115" s="47"/>
      <c r="P115" s="47"/>
      <c r="Q115" s="47"/>
      <c r="R115" s="48" t="str">
        <f aca="false">IF(Q115="","",IF(Q115=0,"below 5:00",IF(Q115&gt;=66,"16:00 or above",INT((60+2*Q115)/12)&amp;":"&amp;TEXT(MOD(60+2*Q115,12),"00"))))</f>
        <v/>
      </c>
      <c r="S115" s="47"/>
      <c r="T115" s="47"/>
      <c r="U115" s="47"/>
      <c r="V115" s="47"/>
      <c r="W115" s="47"/>
      <c r="X115" s="47"/>
      <c r="Y115" s="47"/>
      <c r="Z115" s="47"/>
      <c r="AA115" s="47"/>
      <c r="AB115" s="47"/>
      <c r="AC115" s="47"/>
      <c r="AD115" s="47"/>
      <c r="AE115" s="47"/>
      <c r="AF115" s="47"/>
      <c r="AG115" s="47"/>
      <c r="AH115" s="47"/>
      <c r="AI115" s="46"/>
      <c r="AJ115" s="46"/>
      <c r="AK115" s="46"/>
      <c r="AL115" s="7"/>
      <c r="AM115" s="49" t="str">
        <f aca="false">IF(OR(C115="",G115=""),"",IFERROR(DATEDIF(C115,G115,"m"),""))</f>
        <v/>
      </c>
      <c r="AN115" s="49" t="str">
        <f aca="false">IF(OR(Q115="",AM115=""),"",60+2*Q115-AM115)</f>
        <v/>
      </c>
      <c r="AO115" s="49" t="str">
        <f aca="false">IF(OR(G115="",AJ115=""),"",AJ115-G115)</f>
        <v/>
      </c>
      <c r="AP115" s="50" t="str">
        <f aca="false">IF(AND(A115="",B115=""),"",IF(J115="","Status needed",IF(OR(J115="Applied",J115="Visit booked",J115="Withdrawn"),"OK",IF(G115="","Date assessed needed",IF(C115="","Date of birth needed",IF(COUNTA(L115,M115,P115,U115,V115,X115,AB115)&lt;7,"Band missing",IF(AND(OR(J115="Decision confirmed",J115="Family told",J115="Enrolled"),AG115=""),"Recommendation needed",IF(AND(OR(J115="Family told",J115="Enrolled"),AJ115=""),"Date family told needed","OK"))))))))</f>
        <v/>
      </c>
    </row>
    <row r="116" customFormat="false" ht="15" hidden="false" customHeight="false" outlineLevel="0" collapsed="false">
      <c r="A116" s="7"/>
      <c r="B116" s="7"/>
      <c r="C116" s="46"/>
      <c r="D116" s="7"/>
      <c r="E116" s="47"/>
      <c r="F116" s="46"/>
      <c r="G116" s="46"/>
      <c r="H116" s="7"/>
      <c r="I116" s="7"/>
      <c r="J116" s="47"/>
      <c r="K116" s="47"/>
      <c r="L116" s="47"/>
      <c r="M116" s="47"/>
      <c r="N116" s="10"/>
      <c r="O116" s="47"/>
      <c r="P116" s="47"/>
      <c r="Q116" s="47"/>
      <c r="R116" s="48" t="str">
        <f aca="false">IF(Q116="","",IF(Q116=0,"below 5:00",IF(Q116&gt;=66,"16:00 or above",INT((60+2*Q116)/12)&amp;":"&amp;TEXT(MOD(60+2*Q116,12),"00"))))</f>
        <v/>
      </c>
      <c r="S116" s="47"/>
      <c r="T116" s="47"/>
      <c r="U116" s="47"/>
      <c r="V116" s="47"/>
      <c r="W116" s="47"/>
      <c r="X116" s="47"/>
      <c r="Y116" s="47"/>
      <c r="Z116" s="47"/>
      <c r="AA116" s="47"/>
      <c r="AB116" s="47"/>
      <c r="AC116" s="47"/>
      <c r="AD116" s="47"/>
      <c r="AE116" s="47"/>
      <c r="AF116" s="47"/>
      <c r="AG116" s="47"/>
      <c r="AH116" s="47"/>
      <c r="AI116" s="46"/>
      <c r="AJ116" s="46"/>
      <c r="AK116" s="46"/>
      <c r="AL116" s="7"/>
      <c r="AM116" s="49" t="str">
        <f aca="false">IF(OR(C116="",G116=""),"",IFERROR(DATEDIF(C116,G116,"m"),""))</f>
        <v/>
      </c>
      <c r="AN116" s="49" t="str">
        <f aca="false">IF(OR(Q116="",AM116=""),"",60+2*Q116-AM116)</f>
        <v/>
      </c>
      <c r="AO116" s="49" t="str">
        <f aca="false">IF(OR(G116="",AJ116=""),"",AJ116-G116)</f>
        <v/>
      </c>
      <c r="AP116" s="50" t="str">
        <f aca="false">IF(AND(A116="",B116=""),"",IF(J116="","Status needed",IF(OR(J116="Applied",J116="Visit booked",J116="Withdrawn"),"OK",IF(G116="","Date assessed needed",IF(C116="","Date of birth needed",IF(COUNTA(L116,M116,P116,U116,V116,X116,AB116)&lt;7,"Band missing",IF(AND(OR(J116="Decision confirmed",J116="Family told",J116="Enrolled"),AG116=""),"Recommendation needed",IF(AND(OR(J116="Family told",J116="Enrolled"),AJ116=""),"Date family told needed","OK"))))))))</f>
        <v/>
      </c>
    </row>
    <row r="117" customFormat="false" ht="15" hidden="false" customHeight="false" outlineLevel="0" collapsed="false">
      <c r="A117" s="7"/>
      <c r="B117" s="7"/>
      <c r="C117" s="46"/>
      <c r="D117" s="7"/>
      <c r="E117" s="47"/>
      <c r="F117" s="46"/>
      <c r="G117" s="46"/>
      <c r="H117" s="7"/>
      <c r="I117" s="7"/>
      <c r="J117" s="47"/>
      <c r="K117" s="47"/>
      <c r="L117" s="47"/>
      <c r="M117" s="47"/>
      <c r="N117" s="10"/>
      <c r="O117" s="47"/>
      <c r="P117" s="47"/>
      <c r="Q117" s="47"/>
      <c r="R117" s="48" t="str">
        <f aca="false">IF(Q117="","",IF(Q117=0,"below 5:00",IF(Q117&gt;=66,"16:00 or above",INT((60+2*Q117)/12)&amp;":"&amp;TEXT(MOD(60+2*Q117,12),"00"))))</f>
        <v/>
      </c>
      <c r="S117" s="47"/>
      <c r="T117" s="47"/>
      <c r="U117" s="47"/>
      <c r="V117" s="47"/>
      <c r="W117" s="47"/>
      <c r="X117" s="47"/>
      <c r="Y117" s="47"/>
      <c r="Z117" s="47"/>
      <c r="AA117" s="47"/>
      <c r="AB117" s="47"/>
      <c r="AC117" s="47"/>
      <c r="AD117" s="47"/>
      <c r="AE117" s="47"/>
      <c r="AF117" s="47"/>
      <c r="AG117" s="47"/>
      <c r="AH117" s="47"/>
      <c r="AI117" s="46"/>
      <c r="AJ117" s="46"/>
      <c r="AK117" s="46"/>
      <c r="AL117" s="7"/>
      <c r="AM117" s="49" t="str">
        <f aca="false">IF(OR(C117="",G117=""),"",IFERROR(DATEDIF(C117,G117,"m"),""))</f>
        <v/>
      </c>
      <c r="AN117" s="49" t="str">
        <f aca="false">IF(OR(Q117="",AM117=""),"",60+2*Q117-AM117)</f>
        <v/>
      </c>
      <c r="AO117" s="49" t="str">
        <f aca="false">IF(OR(G117="",AJ117=""),"",AJ117-G117)</f>
        <v/>
      </c>
      <c r="AP117" s="50" t="str">
        <f aca="false">IF(AND(A117="",B117=""),"",IF(J117="","Status needed",IF(OR(J117="Applied",J117="Visit booked",J117="Withdrawn"),"OK",IF(G117="","Date assessed needed",IF(C117="","Date of birth needed",IF(COUNTA(L117,M117,P117,U117,V117,X117,AB117)&lt;7,"Band missing",IF(AND(OR(J117="Decision confirmed",J117="Family told",J117="Enrolled"),AG117=""),"Recommendation needed",IF(AND(OR(J117="Family told",J117="Enrolled"),AJ117=""),"Date family told needed","OK"))))))))</f>
        <v/>
      </c>
    </row>
    <row r="118" customFormat="false" ht="15" hidden="false" customHeight="false" outlineLevel="0" collapsed="false">
      <c r="A118" s="7"/>
      <c r="B118" s="7"/>
      <c r="C118" s="46"/>
      <c r="D118" s="7"/>
      <c r="E118" s="47"/>
      <c r="F118" s="46"/>
      <c r="G118" s="46"/>
      <c r="H118" s="7"/>
      <c r="I118" s="7"/>
      <c r="J118" s="47"/>
      <c r="K118" s="47"/>
      <c r="L118" s="47"/>
      <c r="M118" s="47"/>
      <c r="N118" s="10"/>
      <c r="O118" s="47"/>
      <c r="P118" s="47"/>
      <c r="Q118" s="47"/>
      <c r="R118" s="48" t="str">
        <f aca="false">IF(Q118="","",IF(Q118=0,"below 5:00",IF(Q118&gt;=66,"16:00 or above",INT((60+2*Q118)/12)&amp;":"&amp;TEXT(MOD(60+2*Q118,12),"00"))))</f>
        <v/>
      </c>
      <c r="S118" s="47"/>
      <c r="T118" s="47"/>
      <c r="U118" s="47"/>
      <c r="V118" s="47"/>
      <c r="W118" s="47"/>
      <c r="X118" s="47"/>
      <c r="Y118" s="47"/>
      <c r="Z118" s="47"/>
      <c r="AA118" s="47"/>
      <c r="AB118" s="47"/>
      <c r="AC118" s="47"/>
      <c r="AD118" s="47"/>
      <c r="AE118" s="47"/>
      <c r="AF118" s="47"/>
      <c r="AG118" s="47"/>
      <c r="AH118" s="47"/>
      <c r="AI118" s="46"/>
      <c r="AJ118" s="46"/>
      <c r="AK118" s="46"/>
      <c r="AL118" s="7"/>
      <c r="AM118" s="49" t="str">
        <f aca="false">IF(OR(C118="",G118=""),"",IFERROR(DATEDIF(C118,G118,"m"),""))</f>
        <v/>
      </c>
      <c r="AN118" s="49" t="str">
        <f aca="false">IF(OR(Q118="",AM118=""),"",60+2*Q118-AM118)</f>
        <v/>
      </c>
      <c r="AO118" s="49" t="str">
        <f aca="false">IF(OR(G118="",AJ118=""),"",AJ118-G118)</f>
        <v/>
      </c>
      <c r="AP118" s="50" t="str">
        <f aca="false">IF(AND(A118="",B118=""),"",IF(J118="","Status needed",IF(OR(J118="Applied",J118="Visit booked",J118="Withdrawn"),"OK",IF(G118="","Date assessed needed",IF(C118="","Date of birth needed",IF(COUNTA(L118,M118,P118,U118,V118,X118,AB118)&lt;7,"Band missing",IF(AND(OR(J118="Decision confirmed",J118="Family told",J118="Enrolled"),AG118=""),"Recommendation needed",IF(AND(OR(J118="Family told",J118="Enrolled"),AJ118=""),"Date family told needed","OK"))))))))</f>
        <v/>
      </c>
    </row>
    <row r="119" customFormat="false" ht="15" hidden="false" customHeight="false" outlineLevel="0" collapsed="false">
      <c r="A119" s="7"/>
      <c r="B119" s="7"/>
      <c r="C119" s="46"/>
      <c r="D119" s="7"/>
      <c r="E119" s="47"/>
      <c r="F119" s="46"/>
      <c r="G119" s="46"/>
      <c r="H119" s="7"/>
      <c r="I119" s="7"/>
      <c r="J119" s="47"/>
      <c r="K119" s="47"/>
      <c r="L119" s="47"/>
      <c r="M119" s="47"/>
      <c r="N119" s="10"/>
      <c r="O119" s="47"/>
      <c r="P119" s="47"/>
      <c r="Q119" s="47"/>
      <c r="R119" s="48" t="str">
        <f aca="false">IF(Q119="","",IF(Q119=0,"below 5:00",IF(Q119&gt;=66,"16:00 or above",INT((60+2*Q119)/12)&amp;":"&amp;TEXT(MOD(60+2*Q119,12),"00"))))</f>
        <v/>
      </c>
      <c r="S119" s="47"/>
      <c r="T119" s="47"/>
      <c r="U119" s="47"/>
      <c r="V119" s="47"/>
      <c r="W119" s="47"/>
      <c r="X119" s="47"/>
      <c r="Y119" s="47"/>
      <c r="Z119" s="47"/>
      <c r="AA119" s="47"/>
      <c r="AB119" s="47"/>
      <c r="AC119" s="47"/>
      <c r="AD119" s="47"/>
      <c r="AE119" s="47"/>
      <c r="AF119" s="47"/>
      <c r="AG119" s="47"/>
      <c r="AH119" s="47"/>
      <c r="AI119" s="46"/>
      <c r="AJ119" s="46"/>
      <c r="AK119" s="46"/>
      <c r="AL119" s="7"/>
      <c r="AM119" s="49" t="str">
        <f aca="false">IF(OR(C119="",G119=""),"",IFERROR(DATEDIF(C119,G119,"m"),""))</f>
        <v/>
      </c>
      <c r="AN119" s="49" t="str">
        <f aca="false">IF(OR(Q119="",AM119=""),"",60+2*Q119-AM119)</f>
        <v/>
      </c>
      <c r="AO119" s="49" t="str">
        <f aca="false">IF(OR(G119="",AJ119=""),"",AJ119-G119)</f>
        <v/>
      </c>
      <c r="AP119" s="50" t="str">
        <f aca="false">IF(AND(A119="",B119=""),"",IF(J119="","Status needed",IF(OR(J119="Applied",J119="Visit booked",J119="Withdrawn"),"OK",IF(G119="","Date assessed needed",IF(C119="","Date of birth needed",IF(COUNTA(L119,M119,P119,U119,V119,X119,AB119)&lt;7,"Band missing",IF(AND(OR(J119="Decision confirmed",J119="Family told",J119="Enrolled"),AG119=""),"Recommendation needed",IF(AND(OR(J119="Family told",J119="Enrolled"),AJ119=""),"Date family told needed","OK"))))))))</f>
        <v/>
      </c>
    </row>
    <row r="120" customFormat="false" ht="15" hidden="false" customHeight="false" outlineLevel="0" collapsed="false">
      <c r="A120" s="7"/>
      <c r="B120" s="7"/>
      <c r="C120" s="46"/>
      <c r="D120" s="7"/>
      <c r="E120" s="47"/>
      <c r="F120" s="46"/>
      <c r="G120" s="46"/>
      <c r="H120" s="7"/>
      <c r="I120" s="7"/>
      <c r="J120" s="47"/>
      <c r="K120" s="47"/>
      <c r="L120" s="47"/>
      <c r="M120" s="47"/>
      <c r="N120" s="10"/>
      <c r="O120" s="47"/>
      <c r="P120" s="47"/>
      <c r="Q120" s="47"/>
      <c r="R120" s="48" t="str">
        <f aca="false">IF(Q120="","",IF(Q120=0,"below 5:00",IF(Q120&gt;=66,"16:00 or above",INT((60+2*Q120)/12)&amp;":"&amp;TEXT(MOD(60+2*Q120,12),"00"))))</f>
        <v/>
      </c>
      <c r="S120" s="47"/>
      <c r="T120" s="47"/>
      <c r="U120" s="47"/>
      <c r="V120" s="47"/>
      <c r="W120" s="47"/>
      <c r="X120" s="47"/>
      <c r="Y120" s="47"/>
      <c r="Z120" s="47"/>
      <c r="AA120" s="47"/>
      <c r="AB120" s="47"/>
      <c r="AC120" s="47"/>
      <c r="AD120" s="47"/>
      <c r="AE120" s="47"/>
      <c r="AF120" s="47"/>
      <c r="AG120" s="47"/>
      <c r="AH120" s="47"/>
      <c r="AI120" s="46"/>
      <c r="AJ120" s="46"/>
      <c r="AK120" s="46"/>
      <c r="AL120" s="7"/>
      <c r="AM120" s="49" t="str">
        <f aca="false">IF(OR(C120="",G120=""),"",IFERROR(DATEDIF(C120,G120,"m"),""))</f>
        <v/>
      </c>
      <c r="AN120" s="49" t="str">
        <f aca="false">IF(OR(Q120="",AM120=""),"",60+2*Q120-AM120)</f>
        <v/>
      </c>
      <c r="AO120" s="49" t="str">
        <f aca="false">IF(OR(G120="",AJ120=""),"",AJ120-G120)</f>
        <v/>
      </c>
      <c r="AP120" s="50" t="str">
        <f aca="false">IF(AND(A120="",B120=""),"",IF(J120="","Status needed",IF(OR(J120="Applied",J120="Visit booked",J120="Withdrawn"),"OK",IF(G120="","Date assessed needed",IF(C120="","Date of birth needed",IF(COUNTA(L120,M120,P120,U120,V120,X120,AB120)&lt;7,"Band missing",IF(AND(OR(J120="Decision confirmed",J120="Family told",J120="Enrolled"),AG120=""),"Recommendation needed",IF(AND(OR(J120="Family told",J120="Enrolled"),AJ120=""),"Date family told needed","OK"))))))))</f>
        <v/>
      </c>
    </row>
    <row r="121" customFormat="false" ht="15" hidden="false" customHeight="false" outlineLevel="0" collapsed="false">
      <c r="A121" s="7"/>
      <c r="B121" s="7"/>
      <c r="C121" s="46"/>
      <c r="D121" s="7"/>
      <c r="E121" s="47"/>
      <c r="F121" s="46"/>
      <c r="G121" s="46"/>
      <c r="H121" s="7"/>
      <c r="I121" s="7"/>
      <c r="J121" s="47"/>
      <c r="K121" s="47"/>
      <c r="L121" s="47"/>
      <c r="M121" s="47"/>
      <c r="N121" s="10"/>
      <c r="O121" s="47"/>
      <c r="P121" s="47"/>
      <c r="Q121" s="47"/>
      <c r="R121" s="48" t="str">
        <f aca="false">IF(Q121="","",IF(Q121=0,"below 5:00",IF(Q121&gt;=66,"16:00 or above",INT((60+2*Q121)/12)&amp;":"&amp;TEXT(MOD(60+2*Q121,12),"00"))))</f>
        <v/>
      </c>
      <c r="S121" s="47"/>
      <c r="T121" s="47"/>
      <c r="U121" s="47"/>
      <c r="V121" s="47"/>
      <c r="W121" s="47"/>
      <c r="X121" s="47"/>
      <c r="Y121" s="47"/>
      <c r="Z121" s="47"/>
      <c r="AA121" s="47"/>
      <c r="AB121" s="47"/>
      <c r="AC121" s="47"/>
      <c r="AD121" s="47"/>
      <c r="AE121" s="47"/>
      <c r="AF121" s="47"/>
      <c r="AG121" s="47"/>
      <c r="AH121" s="47"/>
      <c r="AI121" s="46"/>
      <c r="AJ121" s="46"/>
      <c r="AK121" s="46"/>
      <c r="AL121" s="7"/>
      <c r="AM121" s="49" t="str">
        <f aca="false">IF(OR(C121="",G121=""),"",IFERROR(DATEDIF(C121,G121,"m"),""))</f>
        <v/>
      </c>
      <c r="AN121" s="49" t="str">
        <f aca="false">IF(OR(Q121="",AM121=""),"",60+2*Q121-AM121)</f>
        <v/>
      </c>
      <c r="AO121" s="49" t="str">
        <f aca="false">IF(OR(G121="",AJ121=""),"",AJ121-G121)</f>
        <v/>
      </c>
      <c r="AP121" s="50" t="str">
        <f aca="false">IF(AND(A121="",B121=""),"",IF(J121="","Status needed",IF(OR(J121="Applied",J121="Visit booked",J121="Withdrawn"),"OK",IF(G121="","Date assessed needed",IF(C121="","Date of birth needed",IF(COUNTA(L121,M121,P121,U121,V121,X121,AB121)&lt;7,"Band missing",IF(AND(OR(J121="Decision confirmed",J121="Family told",J121="Enrolled"),AG121=""),"Recommendation needed",IF(AND(OR(J121="Family told",J121="Enrolled"),AJ121=""),"Date family told needed","OK"))))))))</f>
        <v/>
      </c>
    </row>
    <row r="122" customFormat="false" ht="15" hidden="false" customHeight="false" outlineLevel="0" collapsed="false">
      <c r="A122" s="7"/>
      <c r="B122" s="7"/>
      <c r="C122" s="46"/>
      <c r="D122" s="7"/>
      <c r="E122" s="47"/>
      <c r="F122" s="46"/>
      <c r="G122" s="46"/>
      <c r="H122" s="7"/>
      <c r="I122" s="7"/>
      <c r="J122" s="47"/>
      <c r="K122" s="47"/>
      <c r="L122" s="47"/>
      <c r="M122" s="47"/>
      <c r="N122" s="10"/>
      <c r="O122" s="47"/>
      <c r="P122" s="47"/>
      <c r="Q122" s="47"/>
      <c r="R122" s="48" t="str">
        <f aca="false">IF(Q122="","",IF(Q122=0,"below 5:00",IF(Q122&gt;=66,"16:00 or above",INT((60+2*Q122)/12)&amp;":"&amp;TEXT(MOD(60+2*Q122,12),"00"))))</f>
        <v/>
      </c>
      <c r="S122" s="47"/>
      <c r="T122" s="47"/>
      <c r="U122" s="47"/>
      <c r="V122" s="47"/>
      <c r="W122" s="47"/>
      <c r="X122" s="47"/>
      <c r="Y122" s="47"/>
      <c r="Z122" s="47"/>
      <c r="AA122" s="47"/>
      <c r="AB122" s="47"/>
      <c r="AC122" s="47"/>
      <c r="AD122" s="47"/>
      <c r="AE122" s="47"/>
      <c r="AF122" s="47"/>
      <c r="AG122" s="47"/>
      <c r="AH122" s="47"/>
      <c r="AI122" s="46"/>
      <c r="AJ122" s="46"/>
      <c r="AK122" s="46"/>
      <c r="AL122" s="7"/>
      <c r="AM122" s="49" t="str">
        <f aca="false">IF(OR(C122="",G122=""),"",IFERROR(DATEDIF(C122,G122,"m"),""))</f>
        <v/>
      </c>
      <c r="AN122" s="49" t="str">
        <f aca="false">IF(OR(Q122="",AM122=""),"",60+2*Q122-AM122)</f>
        <v/>
      </c>
      <c r="AO122" s="49" t="str">
        <f aca="false">IF(OR(G122="",AJ122=""),"",AJ122-G122)</f>
        <v/>
      </c>
      <c r="AP122" s="50" t="str">
        <f aca="false">IF(AND(A122="",B122=""),"",IF(J122="","Status needed",IF(OR(J122="Applied",J122="Visit booked",J122="Withdrawn"),"OK",IF(G122="","Date assessed needed",IF(C122="","Date of birth needed",IF(COUNTA(L122,M122,P122,U122,V122,X122,AB122)&lt;7,"Band missing",IF(AND(OR(J122="Decision confirmed",J122="Family told",J122="Enrolled"),AG122=""),"Recommendation needed",IF(AND(OR(J122="Family told",J122="Enrolled"),AJ122=""),"Date family told needed","OK"))))))))</f>
        <v/>
      </c>
    </row>
    <row r="123" customFormat="false" ht="15" hidden="false" customHeight="false" outlineLevel="0" collapsed="false">
      <c r="A123" s="7"/>
      <c r="B123" s="7"/>
      <c r="C123" s="46"/>
      <c r="D123" s="7"/>
      <c r="E123" s="47"/>
      <c r="F123" s="46"/>
      <c r="G123" s="46"/>
      <c r="H123" s="7"/>
      <c r="I123" s="7"/>
      <c r="J123" s="47"/>
      <c r="K123" s="47"/>
      <c r="L123" s="47"/>
      <c r="M123" s="47"/>
      <c r="N123" s="10"/>
      <c r="O123" s="47"/>
      <c r="P123" s="47"/>
      <c r="Q123" s="47"/>
      <c r="R123" s="48" t="str">
        <f aca="false">IF(Q123="","",IF(Q123=0,"below 5:00",IF(Q123&gt;=66,"16:00 or above",INT((60+2*Q123)/12)&amp;":"&amp;TEXT(MOD(60+2*Q123,12),"00"))))</f>
        <v/>
      </c>
      <c r="S123" s="47"/>
      <c r="T123" s="47"/>
      <c r="U123" s="47"/>
      <c r="V123" s="47"/>
      <c r="W123" s="47"/>
      <c r="X123" s="47"/>
      <c r="Y123" s="47"/>
      <c r="Z123" s="47"/>
      <c r="AA123" s="47"/>
      <c r="AB123" s="47"/>
      <c r="AC123" s="47"/>
      <c r="AD123" s="47"/>
      <c r="AE123" s="47"/>
      <c r="AF123" s="47"/>
      <c r="AG123" s="47"/>
      <c r="AH123" s="47"/>
      <c r="AI123" s="46"/>
      <c r="AJ123" s="46"/>
      <c r="AK123" s="46"/>
      <c r="AL123" s="7"/>
      <c r="AM123" s="49" t="str">
        <f aca="false">IF(OR(C123="",G123=""),"",IFERROR(DATEDIF(C123,G123,"m"),""))</f>
        <v/>
      </c>
      <c r="AN123" s="49" t="str">
        <f aca="false">IF(OR(Q123="",AM123=""),"",60+2*Q123-AM123)</f>
        <v/>
      </c>
      <c r="AO123" s="49" t="str">
        <f aca="false">IF(OR(G123="",AJ123=""),"",AJ123-G123)</f>
        <v/>
      </c>
      <c r="AP123" s="50" t="str">
        <f aca="false">IF(AND(A123="",B123=""),"",IF(J123="","Status needed",IF(OR(J123="Applied",J123="Visit booked",J123="Withdrawn"),"OK",IF(G123="","Date assessed needed",IF(C123="","Date of birth needed",IF(COUNTA(L123,M123,P123,U123,V123,X123,AB123)&lt;7,"Band missing",IF(AND(OR(J123="Decision confirmed",J123="Family told",J123="Enrolled"),AG123=""),"Recommendation needed",IF(AND(OR(J123="Family told",J123="Enrolled"),AJ123=""),"Date family told needed","OK"))))))))</f>
        <v/>
      </c>
    </row>
    <row r="124" customFormat="false" ht="15" hidden="false" customHeight="false" outlineLevel="0" collapsed="false">
      <c r="A124" s="7"/>
      <c r="B124" s="7"/>
      <c r="C124" s="46"/>
      <c r="D124" s="7"/>
      <c r="E124" s="47"/>
      <c r="F124" s="46"/>
      <c r="G124" s="46"/>
      <c r="H124" s="7"/>
      <c r="I124" s="7"/>
      <c r="J124" s="47"/>
      <c r="K124" s="47"/>
      <c r="L124" s="47"/>
      <c r="M124" s="47"/>
      <c r="N124" s="10"/>
      <c r="O124" s="47"/>
      <c r="P124" s="47"/>
      <c r="Q124" s="47"/>
      <c r="R124" s="48" t="str">
        <f aca="false">IF(Q124="","",IF(Q124=0,"below 5:00",IF(Q124&gt;=66,"16:00 or above",INT((60+2*Q124)/12)&amp;":"&amp;TEXT(MOD(60+2*Q124,12),"00"))))</f>
        <v/>
      </c>
      <c r="S124" s="47"/>
      <c r="T124" s="47"/>
      <c r="U124" s="47"/>
      <c r="V124" s="47"/>
      <c r="W124" s="47"/>
      <c r="X124" s="47"/>
      <c r="Y124" s="47"/>
      <c r="Z124" s="47"/>
      <c r="AA124" s="47"/>
      <c r="AB124" s="47"/>
      <c r="AC124" s="47"/>
      <c r="AD124" s="47"/>
      <c r="AE124" s="47"/>
      <c r="AF124" s="47"/>
      <c r="AG124" s="47"/>
      <c r="AH124" s="47"/>
      <c r="AI124" s="46"/>
      <c r="AJ124" s="46"/>
      <c r="AK124" s="46"/>
      <c r="AL124" s="7"/>
      <c r="AM124" s="49" t="str">
        <f aca="false">IF(OR(C124="",G124=""),"",IFERROR(DATEDIF(C124,G124,"m"),""))</f>
        <v/>
      </c>
      <c r="AN124" s="49" t="str">
        <f aca="false">IF(OR(Q124="",AM124=""),"",60+2*Q124-AM124)</f>
        <v/>
      </c>
      <c r="AO124" s="49" t="str">
        <f aca="false">IF(OR(G124="",AJ124=""),"",AJ124-G124)</f>
        <v/>
      </c>
      <c r="AP124" s="50" t="str">
        <f aca="false">IF(AND(A124="",B124=""),"",IF(J124="","Status needed",IF(OR(J124="Applied",J124="Visit booked",J124="Withdrawn"),"OK",IF(G124="","Date assessed needed",IF(C124="","Date of birth needed",IF(COUNTA(L124,M124,P124,U124,V124,X124,AB124)&lt;7,"Band missing",IF(AND(OR(J124="Decision confirmed",J124="Family told",J124="Enrolled"),AG124=""),"Recommendation needed",IF(AND(OR(J124="Family told",J124="Enrolled"),AJ124=""),"Date family told needed","OK"))))))))</f>
        <v/>
      </c>
    </row>
    <row r="125" customFormat="false" ht="15" hidden="false" customHeight="false" outlineLevel="0" collapsed="false">
      <c r="A125" s="7"/>
      <c r="B125" s="7"/>
      <c r="C125" s="46"/>
      <c r="D125" s="7"/>
      <c r="E125" s="47"/>
      <c r="F125" s="46"/>
      <c r="G125" s="46"/>
      <c r="H125" s="7"/>
      <c r="I125" s="7"/>
      <c r="J125" s="47"/>
      <c r="K125" s="47"/>
      <c r="L125" s="47"/>
      <c r="M125" s="47"/>
      <c r="N125" s="10"/>
      <c r="O125" s="47"/>
      <c r="P125" s="47"/>
      <c r="Q125" s="47"/>
      <c r="R125" s="48" t="str">
        <f aca="false">IF(Q125="","",IF(Q125=0,"below 5:00",IF(Q125&gt;=66,"16:00 or above",INT((60+2*Q125)/12)&amp;":"&amp;TEXT(MOD(60+2*Q125,12),"00"))))</f>
        <v/>
      </c>
      <c r="S125" s="47"/>
      <c r="T125" s="47"/>
      <c r="U125" s="47"/>
      <c r="V125" s="47"/>
      <c r="W125" s="47"/>
      <c r="X125" s="47"/>
      <c r="Y125" s="47"/>
      <c r="Z125" s="47"/>
      <c r="AA125" s="47"/>
      <c r="AB125" s="47"/>
      <c r="AC125" s="47"/>
      <c r="AD125" s="47"/>
      <c r="AE125" s="47"/>
      <c r="AF125" s="47"/>
      <c r="AG125" s="47"/>
      <c r="AH125" s="47"/>
      <c r="AI125" s="46"/>
      <c r="AJ125" s="46"/>
      <c r="AK125" s="46"/>
      <c r="AL125" s="7"/>
      <c r="AM125" s="49" t="str">
        <f aca="false">IF(OR(C125="",G125=""),"",IFERROR(DATEDIF(C125,G125,"m"),""))</f>
        <v/>
      </c>
      <c r="AN125" s="49" t="str">
        <f aca="false">IF(OR(Q125="",AM125=""),"",60+2*Q125-AM125)</f>
        <v/>
      </c>
      <c r="AO125" s="49" t="str">
        <f aca="false">IF(OR(G125="",AJ125=""),"",AJ125-G125)</f>
        <v/>
      </c>
      <c r="AP125" s="50" t="str">
        <f aca="false">IF(AND(A125="",B125=""),"",IF(J125="","Status needed",IF(OR(J125="Applied",J125="Visit booked",J125="Withdrawn"),"OK",IF(G125="","Date assessed needed",IF(C125="","Date of birth needed",IF(COUNTA(L125,M125,P125,U125,V125,X125,AB125)&lt;7,"Band missing",IF(AND(OR(J125="Decision confirmed",J125="Family told",J125="Enrolled"),AG125=""),"Recommendation needed",IF(AND(OR(J125="Family told",J125="Enrolled"),AJ125=""),"Date family told needed","OK"))))))))</f>
        <v/>
      </c>
    </row>
    <row r="126" customFormat="false" ht="15" hidden="false" customHeight="false" outlineLevel="0" collapsed="false">
      <c r="A126" s="7"/>
      <c r="B126" s="7"/>
      <c r="C126" s="46"/>
      <c r="D126" s="7"/>
      <c r="E126" s="47"/>
      <c r="F126" s="46"/>
      <c r="G126" s="46"/>
      <c r="H126" s="7"/>
      <c r="I126" s="7"/>
      <c r="J126" s="47"/>
      <c r="K126" s="47"/>
      <c r="L126" s="47"/>
      <c r="M126" s="47"/>
      <c r="N126" s="10"/>
      <c r="O126" s="47"/>
      <c r="P126" s="47"/>
      <c r="Q126" s="47"/>
      <c r="R126" s="48" t="str">
        <f aca="false">IF(Q126="","",IF(Q126=0,"below 5:00",IF(Q126&gt;=66,"16:00 or above",INT((60+2*Q126)/12)&amp;":"&amp;TEXT(MOD(60+2*Q126,12),"00"))))</f>
        <v/>
      </c>
      <c r="S126" s="47"/>
      <c r="T126" s="47"/>
      <c r="U126" s="47"/>
      <c r="V126" s="47"/>
      <c r="W126" s="47"/>
      <c r="X126" s="47"/>
      <c r="Y126" s="47"/>
      <c r="Z126" s="47"/>
      <c r="AA126" s="47"/>
      <c r="AB126" s="47"/>
      <c r="AC126" s="47"/>
      <c r="AD126" s="47"/>
      <c r="AE126" s="47"/>
      <c r="AF126" s="47"/>
      <c r="AG126" s="47"/>
      <c r="AH126" s="47"/>
      <c r="AI126" s="46"/>
      <c r="AJ126" s="46"/>
      <c r="AK126" s="46"/>
      <c r="AL126" s="7"/>
      <c r="AM126" s="49" t="str">
        <f aca="false">IF(OR(C126="",G126=""),"",IFERROR(DATEDIF(C126,G126,"m"),""))</f>
        <v/>
      </c>
      <c r="AN126" s="49" t="str">
        <f aca="false">IF(OR(Q126="",AM126=""),"",60+2*Q126-AM126)</f>
        <v/>
      </c>
      <c r="AO126" s="49" t="str">
        <f aca="false">IF(OR(G126="",AJ126=""),"",AJ126-G126)</f>
        <v/>
      </c>
      <c r="AP126" s="50" t="str">
        <f aca="false">IF(AND(A126="",B126=""),"",IF(J126="","Status needed",IF(OR(J126="Applied",J126="Visit booked",J126="Withdrawn"),"OK",IF(G126="","Date assessed needed",IF(C126="","Date of birth needed",IF(COUNTA(L126,M126,P126,U126,V126,X126,AB126)&lt;7,"Band missing",IF(AND(OR(J126="Decision confirmed",J126="Family told",J126="Enrolled"),AG126=""),"Recommendation needed",IF(AND(OR(J126="Family told",J126="Enrolled"),AJ126=""),"Date family told needed","OK"))))))))</f>
        <v/>
      </c>
    </row>
    <row r="127" customFormat="false" ht="15" hidden="false" customHeight="false" outlineLevel="0" collapsed="false">
      <c r="A127" s="7"/>
      <c r="B127" s="7"/>
      <c r="C127" s="46"/>
      <c r="D127" s="7"/>
      <c r="E127" s="47"/>
      <c r="F127" s="46"/>
      <c r="G127" s="46"/>
      <c r="H127" s="7"/>
      <c r="I127" s="7"/>
      <c r="J127" s="47"/>
      <c r="K127" s="47"/>
      <c r="L127" s="47"/>
      <c r="M127" s="47"/>
      <c r="N127" s="10"/>
      <c r="O127" s="47"/>
      <c r="P127" s="47"/>
      <c r="Q127" s="47"/>
      <c r="R127" s="48" t="str">
        <f aca="false">IF(Q127="","",IF(Q127=0,"below 5:00",IF(Q127&gt;=66,"16:00 or above",INT((60+2*Q127)/12)&amp;":"&amp;TEXT(MOD(60+2*Q127,12),"00"))))</f>
        <v/>
      </c>
      <c r="S127" s="47"/>
      <c r="T127" s="47"/>
      <c r="U127" s="47"/>
      <c r="V127" s="47"/>
      <c r="W127" s="47"/>
      <c r="X127" s="47"/>
      <c r="Y127" s="47"/>
      <c r="Z127" s="47"/>
      <c r="AA127" s="47"/>
      <c r="AB127" s="47"/>
      <c r="AC127" s="47"/>
      <c r="AD127" s="47"/>
      <c r="AE127" s="47"/>
      <c r="AF127" s="47"/>
      <c r="AG127" s="47"/>
      <c r="AH127" s="47"/>
      <c r="AI127" s="46"/>
      <c r="AJ127" s="46"/>
      <c r="AK127" s="46"/>
      <c r="AL127" s="7"/>
      <c r="AM127" s="49" t="str">
        <f aca="false">IF(OR(C127="",G127=""),"",IFERROR(DATEDIF(C127,G127,"m"),""))</f>
        <v/>
      </c>
      <c r="AN127" s="49" t="str">
        <f aca="false">IF(OR(Q127="",AM127=""),"",60+2*Q127-AM127)</f>
        <v/>
      </c>
      <c r="AO127" s="49" t="str">
        <f aca="false">IF(OR(G127="",AJ127=""),"",AJ127-G127)</f>
        <v/>
      </c>
      <c r="AP127" s="50" t="str">
        <f aca="false">IF(AND(A127="",B127=""),"",IF(J127="","Status needed",IF(OR(J127="Applied",J127="Visit booked",J127="Withdrawn"),"OK",IF(G127="","Date assessed needed",IF(C127="","Date of birth needed",IF(COUNTA(L127,M127,P127,U127,V127,X127,AB127)&lt;7,"Band missing",IF(AND(OR(J127="Decision confirmed",J127="Family told",J127="Enrolled"),AG127=""),"Recommendation needed",IF(AND(OR(J127="Family told",J127="Enrolled"),AJ127=""),"Date family told needed","OK"))))))))</f>
        <v/>
      </c>
    </row>
    <row r="128" customFormat="false" ht="15" hidden="false" customHeight="false" outlineLevel="0" collapsed="false">
      <c r="A128" s="7"/>
      <c r="B128" s="7"/>
      <c r="C128" s="46"/>
      <c r="D128" s="7"/>
      <c r="E128" s="47"/>
      <c r="F128" s="46"/>
      <c r="G128" s="46"/>
      <c r="H128" s="7"/>
      <c r="I128" s="7"/>
      <c r="J128" s="47"/>
      <c r="K128" s="47"/>
      <c r="L128" s="47"/>
      <c r="M128" s="47"/>
      <c r="N128" s="10"/>
      <c r="O128" s="47"/>
      <c r="P128" s="47"/>
      <c r="Q128" s="47"/>
      <c r="R128" s="48" t="str">
        <f aca="false">IF(Q128="","",IF(Q128=0,"below 5:00",IF(Q128&gt;=66,"16:00 or above",INT((60+2*Q128)/12)&amp;":"&amp;TEXT(MOD(60+2*Q128,12),"00"))))</f>
        <v/>
      </c>
      <c r="S128" s="47"/>
      <c r="T128" s="47"/>
      <c r="U128" s="47"/>
      <c r="V128" s="47"/>
      <c r="W128" s="47"/>
      <c r="X128" s="47"/>
      <c r="Y128" s="47"/>
      <c r="Z128" s="47"/>
      <c r="AA128" s="47"/>
      <c r="AB128" s="47"/>
      <c r="AC128" s="47"/>
      <c r="AD128" s="47"/>
      <c r="AE128" s="47"/>
      <c r="AF128" s="47"/>
      <c r="AG128" s="47"/>
      <c r="AH128" s="47"/>
      <c r="AI128" s="46"/>
      <c r="AJ128" s="46"/>
      <c r="AK128" s="46"/>
      <c r="AL128" s="7"/>
      <c r="AM128" s="49" t="str">
        <f aca="false">IF(OR(C128="",G128=""),"",IFERROR(DATEDIF(C128,G128,"m"),""))</f>
        <v/>
      </c>
      <c r="AN128" s="49" t="str">
        <f aca="false">IF(OR(Q128="",AM128=""),"",60+2*Q128-AM128)</f>
        <v/>
      </c>
      <c r="AO128" s="49" t="str">
        <f aca="false">IF(OR(G128="",AJ128=""),"",AJ128-G128)</f>
        <v/>
      </c>
      <c r="AP128" s="50" t="str">
        <f aca="false">IF(AND(A128="",B128=""),"",IF(J128="","Status needed",IF(OR(J128="Applied",J128="Visit booked",J128="Withdrawn"),"OK",IF(G128="","Date assessed needed",IF(C128="","Date of birth needed",IF(COUNTA(L128,M128,P128,U128,V128,X128,AB128)&lt;7,"Band missing",IF(AND(OR(J128="Decision confirmed",J128="Family told",J128="Enrolled"),AG128=""),"Recommendation needed",IF(AND(OR(J128="Family told",J128="Enrolled"),AJ128=""),"Date family told needed","OK"))))))))</f>
        <v/>
      </c>
    </row>
    <row r="129" customFormat="false" ht="15" hidden="false" customHeight="false" outlineLevel="0" collapsed="false">
      <c r="A129" s="7"/>
      <c r="B129" s="7"/>
      <c r="C129" s="46"/>
      <c r="D129" s="7"/>
      <c r="E129" s="47"/>
      <c r="F129" s="46"/>
      <c r="G129" s="46"/>
      <c r="H129" s="7"/>
      <c r="I129" s="7"/>
      <c r="J129" s="47"/>
      <c r="K129" s="47"/>
      <c r="L129" s="47"/>
      <c r="M129" s="47"/>
      <c r="N129" s="10"/>
      <c r="O129" s="47"/>
      <c r="P129" s="47"/>
      <c r="Q129" s="47"/>
      <c r="R129" s="48" t="str">
        <f aca="false">IF(Q129="","",IF(Q129=0,"below 5:00",IF(Q129&gt;=66,"16:00 or above",INT((60+2*Q129)/12)&amp;":"&amp;TEXT(MOD(60+2*Q129,12),"00"))))</f>
        <v/>
      </c>
      <c r="S129" s="47"/>
      <c r="T129" s="47"/>
      <c r="U129" s="47"/>
      <c r="V129" s="47"/>
      <c r="W129" s="47"/>
      <c r="X129" s="47"/>
      <c r="Y129" s="47"/>
      <c r="Z129" s="47"/>
      <c r="AA129" s="47"/>
      <c r="AB129" s="47"/>
      <c r="AC129" s="47"/>
      <c r="AD129" s="47"/>
      <c r="AE129" s="47"/>
      <c r="AF129" s="47"/>
      <c r="AG129" s="47"/>
      <c r="AH129" s="47"/>
      <c r="AI129" s="46"/>
      <c r="AJ129" s="46"/>
      <c r="AK129" s="46"/>
      <c r="AL129" s="7"/>
      <c r="AM129" s="49" t="str">
        <f aca="false">IF(OR(C129="",G129=""),"",IFERROR(DATEDIF(C129,G129,"m"),""))</f>
        <v/>
      </c>
      <c r="AN129" s="49" t="str">
        <f aca="false">IF(OR(Q129="",AM129=""),"",60+2*Q129-AM129)</f>
        <v/>
      </c>
      <c r="AO129" s="49" t="str">
        <f aca="false">IF(OR(G129="",AJ129=""),"",AJ129-G129)</f>
        <v/>
      </c>
      <c r="AP129" s="50" t="str">
        <f aca="false">IF(AND(A129="",B129=""),"",IF(J129="","Status needed",IF(OR(J129="Applied",J129="Visit booked",J129="Withdrawn"),"OK",IF(G129="","Date assessed needed",IF(C129="","Date of birth needed",IF(COUNTA(L129,M129,P129,U129,V129,X129,AB129)&lt;7,"Band missing",IF(AND(OR(J129="Decision confirmed",J129="Family told",J129="Enrolled"),AG129=""),"Recommendation needed",IF(AND(OR(J129="Family told",J129="Enrolled"),AJ129=""),"Date family told needed","OK"))))))))</f>
        <v/>
      </c>
    </row>
    <row r="130" customFormat="false" ht="15" hidden="false" customHeight="false" outlineLevel="0" collapsed="false">
      <c r="A130" s="7"/>
      <c r="B130" s="7"/>
      <c r="C130" s="46"/>
      <c r="D130" s="7"/>
      <c r="E130" s="47"/>
      <c r="F130" s="46"/>
      <c r="G130" s="46"/>
      <c r="H130" s="7"/>
      <c r="I130" s="7"/>
      <c r="J130" s="47"/>
      <c r="K130" s="47"/>
      <c r="L130" s="47"/>
      <c r="M130" s="47"/>
      <c r="N130" s="10"/>
      <c r="O130" s="47"/>
      <c r="P130" s="47"/>
      <c r="Q130" s="47"/>
      <c r="R130" s="48" t="str">
        <f aca="false">IF(Q130="","",IF(Q130=0,"below 5:00",IF(Q130&gt;=66,"16:00 or above",INT((60+2*Q130)/12)&amp;":"&amp;TEXT(MOD(60+2*Q130,12),"00"))))</f>
        <v/>
      </c>
      <c r="S130" s="47"/>
      <c r="T130" s="47"/>
      <c r="U130" s="47"/>
      <c r="V130" s="47"/>
      <c r="W130" s="47"/>
      <c r="X130" s="47"/>
      <c r="Y130" s="47"/>
      <c r="Z130" s="47"/>
      <c r="AA130" s="47"/>
      <c r="AB130" s="47"/>
      <c r="AC130" s="47"/>
      <c r="AD130" s="47"/>
      <c r="AE130" s="47"/>
      <c r="AF130" s="47"/>
      <c r="AG130" s="47"/>
      <c r="AH130" s="47"/>
      <c r="AI130" s="46"/>
      <c r="AJ130" s="46"/>
      <c r="AK130" s="46"/>
      <c r="AL130" s="7"/>
      <c r="AM130" s="49" t="str">
        <f aca="false">IF(OR(C130="",G130=""),"",IFERROR(DATEDIF(C130,G130,"m"),""))</f>
        <v/>
      </c>
      <c r="AN130" s="49" t="str">
        <f aca="false">IF(OR(Q130="",AM130=""),"",60+2*Q130-AM130)</f>
        <v/>
      </c>
      <c r="AO130" s="49" t="str">
        <f aca="false">IF(OR(G130="",AJ130=""),"",AJ130-G130)</f>
        <v/>
      </c>
      <c r="AP130" s="50" t="str">
        <f aca="false">IF(AND(A130="",B130=""),"",IF(J130="","Status needed",IF(OR(J130="Applied",J130="Visit booked",J130="Withdrawn"),"OK",IF(G130="","Date assessed needed",IF(C130="","Date of birth needed",IF(COUNTA(L130,M130,P130,U130,V130,X130,AB130)&lt;7,"Band missing",IF(AND(OR(J130="Decision confirmed",J130="Family told",J130="Enrolled"),AG130=""),"Recommendation needed",IF(AND(OR(J130="Family told",J130="Enrolled"),AJ130=""),"Date family told needed","OK"))))))))</f>
        <v/>
      </c>
    </row>
    <row r="131" customFormat="false" ht="15" hidden="false" customHeight="false" outlineLevel="0" collapsed="false">
      <c r="A131" s="7"/>
      <c r="B131" s="7"/>
      <c r="C131" s="46"/>
      <c r="D131" s="7"/>
      <c r="E131" s="47"/>
      <c r="F131" s="46"/>
      <c r="G131" s="46"/>
      <c r="H131" s="7"/>
      <c r="I131" s="7"/>
      <c r="J131" s="47"/>
      <c r="K131" s="47"/>
      <c r="L131" s="47"/>
      <c r="M131" s="47"/>
      <c r="N131" s="10"/>
      <c r="O131" s="47"/>
      <c r="P131" s="47"/>
      <c r="Q131" s="47"/>
      <c r="R131" s="48" t="str">
        <f aca="false">IF(Q131="","",IF(Q131=0,"below 5:00",IF(Q131&gt;=66,"16:00 or above",INT((60+2*Q131)/12)&amp;":"&amp;TEXT(MOD(60+2*Q131,12),"00"))))</f>
        <v/>
      </c>
      <c r="S131" s="47"/>
      <c r="T131" s="47"/>
      <c r="U131" s="47"/>
      <c r="V131" s="47"/>
      <c r="W131" s="47"/>
      <c r="X131" s="47"/>
      <c r="Y131" s="47"/>
      <c r="Z131" s="47"/>
      <c r="AA131" s="47"/>
      <c r="AB131" s="47"/>
      <c r="AC131" s="47"/>
      <c r="AD131" s="47"/>
      <c r="AE131" s="47"/>
      <c r="AF131" s="47"/>
      <c r="AG131" s="47"/>
      <c r="AH131" s="47"/>
      <c r="AI131" s="46"/>
      <c r="AJ131" s="46"/>
      <c r="AK131" s="46"/>
      <c r="AL131" s="7"/>
      <c r="AM131" s="49" t="str">
        <f aca="false">IF(OR(C131="",G131=""),"",IFERROR(DATEDIF(C131,G131,"m"),""))</f>
        <v/>
      </c>
      <c r="AN131" s="49" t="str">
        <f aca="false">IF(OR(Q131="",AM131=""),"",60+2*Q131-AM131)</f>
        <v/>
      </c>
      <c r="AO131" s="49" t="str">
        <f aca="false">IF(OR(G131="",AJ131=""),"",AJ131-G131)</f>
        <v/>
      </c>
      <c r="AP131" s="50" t="str">
        <f aca="false">IF(AND(A131="",B131=""),"",IF(J131="","Status needed",IF(OR(J131="Applied",J131="Visit booked",J131="Withdrawn"),"OK",IF(G131="","Date assessed needed",IF(C131="","Date of birth needed",IF(COUNTA(L131,M131,P131,U131,V131,X131,AB131)&lt;7,"Band missing",IF(AND(OR(J131="Decision confirmed",J131="Family told",J131="Enrolled"),AG131=""),"Recommendation needed",IF(AND(OR(J131="Family told",J131="Enrolled"),AJ131=""),"Date family told needed","OK"))))))))</f>
        <v/>
      </c>
    </row>
    <row r="132" customFormat="false" ht="15" hidden="false" customHeight="false" outlineLevel="0" collapsed="false">
      <c r="A132" s="7"/>
      <c r="B132" s="7"/>
      <c r="C132" s="46"/>
      <c r="D132" s="7"/>
      <c r="E132" s="47"/>
      <c r="F132" s="46"/>
      <c r="G132" s="46"/>
      <c r="H132" s="7"/>
      <c r="I132" s="7"/>
      <c r="J132" s="47"/>
      <c r="K132" s="47"/>
      <c r="L132" s="47"/>
      <c r="M132" s="47"/>
      <c r="N132" s="10"/>
      <c r="O132" s="47"/>
      <c r="P132" s="47"/>
      <c r="Q132" s="47"/>
      <c r="R132" s="48" t="str">
        <f aca="false">IF(Q132="","",IF(Q132=0,"below 5:00",IF(Q132&gt;=66,"16:00 or above",INT((60+2*Q132)/12)&amp;":"&amp;TEXT(MOD(60+2*Q132,12),"00"))))</f>
        <v/>
      </c>
      <c r="S132" s="47"/>
      <c r="T132" s="47"/>
      <c r="U132" s="47"/>
      <c r="V132" s="47"/>
      <c r="W132" s="47"/>
      <c r="X132" s="47"/>
      <c r="Y132" s="47"/>
      <c r="Z132" s="47"/>
      <c r="AA132" s="47"/>
      <c r="AB132" s="47"/>
      <c r="AC132" s="47"/>
      <c r="AD132" s="47"/>
      <c r="AE132" s="47"/>
      <c r="AF132" s="47"/>
      <c r="AG132" s="47"/>
      <c r="AH132" s="47"/>
      <c r="AI132" s="46"/>
      <c r="AJ132" s="46"/>
      <c r="AK132" s="46"/>
      <c r="AL132" s="7"/>
      <c r="AM132" s="49" t="str">
        <f aca="false">IF(OR(C132="",G132=""),"",IFERROR(DATEDIF(C132,G132,"m"),""))</f>
        <v/>
      </c>
      <c r="AN132" s="49" t="str">
        <f aca="false">IF(OR(Q132="",AM132=""),"",60+2*Q132-AM132)</f>
        <v/>
      </c>
      <c r="AO132" s="49" t="str">
        <f aca="false">IF(OR(G132="",AJ132=""),"",AJ132-G132)</f>
        <v/>
      </c>
      <c r="AP132" s="50" t="str">
        <f aca="false">IF(AND(A132="",B132=""),"",IF(J132="","Status needed",IF(OR(J132="Applied",J132="Visit booked",J132="Withdrawn"),"OK",IF(G132="","Date assessed needed",IF(C132="","Date of birth needed",IF(COUNTA(L132,M132,P132,U132,V132,X132,AB132)&lt;7,"Band missing",IF(AND(OR(J132="Decision confirmed",J132="Family told",J132="Enrolled"),AG132=""),"Recommendation needed",IF(AND(OR(J132="Family told",J132="Enrolled"),AJ132=""),"Date family told needed","OK"))))))))</f>
        <v/>
      </c>
    </row>
    <row r="133" customFormat="false" ht="15" hidden="false" customHeight="false" outlineLevel="0" collapsed="false">
      <c r="A133" s="7"/>
      <c r="B133" s="7"/>
      <c r="C133" s="46"/>
      <c r="D133" s="7"/>
      <c r="E133" s="47"/>
      <c r="F133" s="46"/>
      <c r="G133" s="46"/>
      <c r="H133" s="7"/>
      <c r="I133" s="7"/>
      <c r="J133" s="47"/>
      <c r="K133" s="47"/>
      <c r="L133" s="47"/>
      <c r="M133" s="47"/>
      <c r="N133" s="10"/>
      <c r="O133" s="47"/>
      <c r="P133" s="47"/>
      <c r="Q133" s="47"/>
      <c r="R133" s="48" t="str">
        <f aca="false">IF(Q133="","",IF(Q133=0,"below 5:00",IF(Q133&gt;=66,"16:00 or above",INT((60+2*Q133)/12)&amp;":"&amp;TEXT(MOD(60+2*Q133,12),"00"))))</f>
        <v/>
      </c>
      <c r="S133" s="47"/>
      <c r="T133" s="47"/>
      <c r="U133" s="47"/>
      <c r="V133" s="47"/>
      <c r="W133" s="47"/>
      <c r="X133" s="47"/>
      <c r="Y133" s="47"/>
      <c r="Z133" s="47"/>
      <c r="AA133" s="47"/>
      <c r="AB133" s="47"/>
      <c r="AC133" s="47"/>
      <c r="AD133" s="47"/>
      <c r="AE133" s="47"/>
      <c r="AF133" s="47"/>
      <c r="AG133" s="47"/>
      <c r="AH133" s="47"/>
      <c r="AI133" s="46"/>
      <c r="AJ133" s="46"/>
      <c r="AK133" s="46"/>
      <c r="AL133" s="7"/>
      <c r="AM133" s="49" t="str">
        <f aca="false">IF(OR(C133="",G133=""),"",IFERROR(DATEDIF(C133,G133,"m"),""))</f>
        <v/>
      </c>
      <c r="AN133" s="49" t="str">
        <f aca="false">IF(OR(Q133="",AM133=""),"",60+2*Q133-AM133)</f>
        <v/>
      </c>
      <c r="AO133" s="49" t="str">
        <f aca="false">IF(OR(G133="",AJ133=""),"",AJ133-G133)</f>
        <v/>
      </c>
      <c r="AP133" s="50" t="str">
        <f aca="false">IF(AND(A133="",B133=""),"",IF(J133="","Status needed",IF(OR(J133="Applied",J133="Visit booked",J133="Withdrawn"),"OK",IF(G133="","Date assessed needed",IF(C133="","Date of birth needed",IF(COUNTA(L133,M133,P133,U133,V133,X133,AB133)&lt;7,"Band missing",IF(AND(OR(J133="Decision confirmed",J133="Family told",J133="Enrolled"),AG133=""),"Recommendation needed",IF(AND(OR(J133="Family told",J133="Enrolled"),AJ133=""),"Date family told needed","OK"))))))))</f>
        <v/>
      </c>
    </row>
    <row r="134" customFormat="false" ht="15" hidden="false" customHeight="false" outlineLevel="0" collapsed="false">
      <c r="A134" s="7"/>
      <c r="B134" s="7"/>
      <c r="C134" s="46"/>
      <c r="D134" s="7"/>
      <c r="E134" s="47"/>
      <c r="F134" s="46"/>
      <c r="G134" s="46"/>
      <c r="H134" s="7"/>
      <c r="I134" s="7"/>
      <c r="J134" s="47"/>
      <c r="K134" s="47"/>
      <c r="L134" s="47"/>
      <c r="M134" s="47"/>
      <c r="N134" s="10"/>
      <c r="O134" s="47"/>
      <c r="P134" s="47"/>
      <c r="Q134" s="47"/>
      <c r="R134" s="48" t="str">
        <f aca="false">IF(Q134="","",IF(Q134=0,"below 5:00",IF(Q134&gt;=66,"16:00 or above",INT((60+2*Q134)/12)&amp;":"&amp;TEXT(MOD(60+2*Q134,12),"00"))))</f>
        <v/>
      </c>
      <c r="S134" s="47"/>
      <c r="T134" s="47"/>
      <c r="U134" s="47"/>
      <c r="V134" s="47"/>
      <c r="W134" s="47"/>
      <c r="X134" s="47"/>
      <c r="Y134" s="47"/>
      <c r="Z134" s="47"/>
      <c r="AA134" s="47"/>
      <c r="AB134" s="47"/>
      <c r="AC134" s="47"/>
      <c r="AD134" s="47"/>
      <c r="AE134" s="47"/>
      <c r="AF134" s="47"/>
      <c r="AG134" s="47"/>
      <c r="AH134" s="47"/>
      <c r="AI134" s="46"/>
      <c r="AJ134" s="46"/>
      <c r="AK134" s="46"/>
      <c r="AL134" s="7"/>
      <c r="AM134" s="49" t="str">
        <f aca="false">IF(OR(C134="",G134=""),"",IFERROR(DATEDIF(C134,G134,"m"),""))</f>
        <v/>
      </c>
      <c r="AN134" s="49" t="str">
        <f aca="false">IF(OR(Q134="",AM134=""),"",60+2*Q134-AM134)</f>
        <v/>
      </c>
      <c r="AO134" s="49" t="str">
        <f aca="false">IF(OR(G134="",AJ134=""),"",AJ134-G134)</f>
        <v/>
      </c>
      <c r="AP134" s="50" t="str">
        <f aca="false">IF(AND(A134="",B134=""),"",IF(J134="","Status needed",IF(OR(J134="Applied",J134="Visit booked",J134="Withdrawn"),"OK",IF(G134="","Date assessed needed",IF(C134="","Date of birth needed",IF(COUNTA(L134,M134,P134,U134,V134,X134,AB134)&lt;7,"Band missing",IF(AND(OR(J134="Decision confirmed",J134="Family told",J134="Enrolled"),AG134=""),"Recommendation needed",IF(AND(OR(J134="Family told",J134="Enrolled"),AJ134=""),"Date family told needed","OK"))))))))</f>
        <v/>
      </c>
    </row>
    <row r="135" customFormat="false" ht="15" hidden="false" customHeight="false" outlineLevel="0" collapsed="false">
      <c r="A135" s="7"/>
      <c r="B135" s="7"/>
      <c r="C135" s="46"/>
      <c r="D135" s="7"/>
      <c r="E135" s="47"/>
      <c r="F135" s="46"/>
      <c r="G135" s="46"/>
      <c r="H135" s="7"/>
      <c r="I135" s="7"/>
      <c r="J135" s="47"/>
      <c r="K135" s="47"/>
      <c r="L135" s="47"/>
      <c r="M135" s="47"/>
      <c r="N135" s="10"/>
      <c r="O135" s="47"/>
      <c r="P135" s="47"/>
      <c r="Q135" s="47"/>
      <c r="R135" s="48" t="str">
        <f aca="false">IF(Q135="","",IF(Q135=0,"below 5:00",IF(Q135&gt;=66,"16:00 or above",INT((60+2*Q135)/12)&amp;":"&amp;TEXT(MOD(60+2*Q135,12),"00"))))</f>
        <v/>
      </c>
      <c r="S135" s="47"/>
      <c r="T135" s="47"/>
      <c r="U135" s="47"/>
      <c r="V135" s="47"/>
      <c r="W135" s="47"/>
      <c r="X135" s="47"/>
      <c r="Y135" s="47"/>
      <c r="Z135" s="47"/>
      <c r="AA135" s="47"/>
      <c r="AB135" s="47"/>
      <c r="AC135" s="47"/>
      <c r="AD135" s="47"/>
      <c r="AE135" s="47"/>
      <c r="AF135" s="47"/>
      <c r="AG135" s="47"/>
      <c r="AH135" s="47"/>
      <c r="AI135" s="46"/>
      <c r="AJ135" s="46"/>
      <c r="AK135" s="46"/>
      <c r="AL135" s="7"/>
      <c r="AM135" s="49" t="str">
        <f aca="false">IF(OR(C135="",G135=""),"",IFERROR(DATEDIF(C135,G135,"m"),""))</f>
        <v/>
      </c>
      <c r="AN135" s="49" t="str">
        <f aca="false">IF(OR(Q135="",AM135=""),"",60+2*Q135-AM135)</f>
        <v/>
      </c>
      <c r="AO135" s="49" t="str">
        <f aca="false">IF(OR(G135="",AJ135=""),"",AJ135-G135)</f>
        <v/>
      </c>
      <c r="AP135" s="50" t="str">
        <f aca="false">IF(AND(A135="",B135=""),"",IF(J135="","Status needed",IF(OR(J135="Applied",J135="Visit booked",J135="Withdrawn"),"OK",IF(G135="","Date assessed needed",IF(C135="","Date of birth needed",IF(COUNTA(L135,M135,P135,U135,V135,X135,AB135)&lt;7,"Band missing",IF(AND(OR(J135="Decision confirmed",J135="Family told",J135="Enrolled"),AG135=""),"Recommendation needed",IF(AND(OR(J135="Family told",J135="Enrolled"),AJ135=""),"Date family told needed","OK"))))))))</f>
        <v/>
      </c>
    </row>
    <row r="136" customFormat="false" ht="15" hidden="false" customHeight="false" outlineLevel="0" collapsed="false">
      <c r="A136" s="7"/>
      <c r="B136" s="7"/>
      <c r="C136" s="46"/>
      <c r="D136" s="7"/>
      <c r="E136" s="47"/>
      <c r="F136" s="46"/>
      <c r="G136" s="46"/>
      <c r="H136" s="7"/>
      <c r="I136" s="7"/>
      <c r="J136" s="47"/>
      <c r="K136" s="47"/>
      <c r="L136" s="47"/>
      <c r="M136" s="47"/>
      <c r="N136" s="10"/>
      <c r="O136" s="47"/>
      <c r="P136" s="47"/>
      <c r="Q136" s="47"/>
      <c r="R136" s="48" t="str">
        <f aca="false">IF(Q136="","",IF(Q136=0,"below 5:00",IF(Q136&gt;=66,"16:00 or above",INT((60+2*Q136)/12)&amp;":"&amp;TEXT(MOD(60+2*Q136,12),"00"))))</f>
        <v/>
      </c>
      <c r="S136" s="47"/>
      <c r="T136" s="47"/>
      <c r="U136" s="47"/>
      <c r="V136" s="47"/>
      <c r="W136" s="47"/>
      <c r="X136" s="47"/>
      <c r="Y136" s="47"/>
      <c r="Z136" s="47"/>
      <c r="AA136" s="47"/>
      <c r="AB136" s="47"/>
      <c r="AC136" s="47"/>
      <c r="AD136" s="47"/>
      <c r="AE136" s="47"/>
      <c r="AF136" s="47"/>
      <c r="AG136" s="47"/>
      <c r="AH136" s="47"/>
      <c r="AI136" s="46"/>
      <c r="AJ136" s="46"/>
      <c r="AK136" s="46"/>
      <c r="AL136" s="7"/>
      <c r="AM136" s="49" t="str">
        <f aca="false">IF(OR(C136="",G136=""),"",IFERROR(DATEDIF(C136,G136,"m"),""))</f>
        <v/>
      </c>
      <c r="AN136" s="49" t="str">
        <f aca="false">IF(OR(Q136="",AM136=""),"",60+2*Q136-AM136)</f>
        <v/>
      </c>
      <c r="AO136" s="49" t="str">
        <f aca="false">IF(OR(G136="",AJ136=""),"",AJ136-G136)</f>
        <v/>
      </c>
      <c r="AP136" s="50" t="str">
        <f aca="false">IF(AND(A136="",B136=""),"",IF(J136="","Status needed",IF(OR(J136="Applied",J136="Visit booked",J136="Withdrawn"),"OK",IF(G136="","Date assessed needed",IF(C136="","Date of birth needed",IF(COUNTA(L136,M136,P136,U136,V136,X136,AB136)&lt;7,"Band missing",IF(AND(OR(J136="Decision confirmed",J136="Family told",J136="Enrolled"),AG136=""),"Recommendation needed",IF(AND(OR(J136="Family told",J136="Enrolled"),AJ136=""),"Date family told needed","OK"))))))))</f>
        <v/>
      </c>
    </row>
    <row r="137" customFormat="false" ht="15" hidden="false" customHeight="false" outlineLevel="0" collapsed="false">
      <c r="A137" s="7"/>
      <c r="B137" s="7"/>
      <c r="C137" s="46"/>
      <c r="D137" s="7"/>
      <c r="E137" s="47"/>
      <c r="F137" s="46"/>
      <c r="G137" s="46"/>
      <c r="H137" s="7"/>
      <c r="I137" s="7"/>
      <c r="J137" s="47"/>
      <c r="K137" s="47"/>
      <c r="L137" s="47"/>
      <c r="M137" s="47"/>
      <c r="N137" s="10"/>
      <c r="O137" s="47"/>
      <c r="P137" s="47"/>
      <c r="Q137" s="47"/>
      <c r="R137" s="48" t="str">
        <f aca="false">IF(Q137="","",IF(Q137=0,"below 5:00",IF(Q137&gt;=66,"16:00 or above",INT((60+2*Q137)/12)&amp;":"&amp;TEXT(MOD(60+2*Q137,12),"00"))))</f>
        <v/>
      </c>
      <c r="S137" s="47"/>
      <c r="T137" s="47"/>
      <c r="U137" s="47"/>
      <c r="V137" s="47"/>
      <c r="W137" s="47"/>
      <c r="X137" s="47"/>
      <c r="Y137" s="47"/>
      <c r="Z137" s="47"/>
      <c r="AA137" s="47"/>
      <c r="AB137" s="47"/>
      <c r="AC137" s="47"/>
      <c r="AD137" s="47"/>
      <c r="AE137" s="47"/>
      <c r="AF137" s="47"/>
      <c r="AG137" s="47"/>
      <c r="AH137" s="47"/>
      <c r="AI137" s="46"/>
      <c r="AJ137" s="46"/>
      <c r="AK137" s="46"/>
      <c r="AL137" s="7"/>
      <c r="AM137" s="49" t="str">
        <f aca="false">IF(OR(C137="",G137=""),"",IFERROR(DATEDIF(C137,G137,"m"),""))</f>
        <v/>
      </c>
      <c r="AN137" s="49" t="str">
        <f aca="false">IF(OR(Q137="",AM137=""),"",60+2*Q137-AM137)</f>
        <v/>
      </c>
      <c r="AO137" s="49" t="str">
        <f aca="false">IF(OR(G137="",AJ137=""),"",AJ137-G137)</f>
        <v/>
      </c>
      <c r="AP137" s="50" t="str">
        <f aca="false">IF(AND(A137="",B137=""),"",IF(J137="","Status needed",IF(OR(J137="Applied",J137="Visit booked",J137="Withdrawn"),"OK",IF(G137="","Date assessed needed",IF(C137="","Date of birth needed",IF(COUNTA(L137,M137,P137,U137,V137,X137,AB137)&lt;7,"Band missing",IF(AND(OR(J137="Decision confirmed",J137="Family told",J137="Enrolled"),AG137=""),"Recommendation needed",IF(AND(OR(J137="Family told",J137="Enrolled"),AJ137=""),"Date family told needed","OK"))))))))</f>
        <v/>
      </c>
    </row>
    <row r="138" customFormat="false" ht="15" hidden="false" customHeight="false" outlineLevel="0" collapsed="false">
      <c r="A138" s="7"/>
      <c r="B138" s="7"/>
      <c r="C138" s="46"/>
      <c r="D138" s="7"/>
      <c r="E138" s="47"/>
      <c r="F138" s="46"/>
      <c r="G138" s="46"/>
      <c r="H138" s="7"/>
      <c r="I138" s="7"/>
      <c r="J138" s="47"/>
      <c r="K138" s="47"/>
      <c r="L138" s="47"/>
      <c r="M138" s="47"/>
      <c r="N138" s="10"/>
      <c r="O138" s="47"/>
      <c r="P138" s="47"/>
      <c r="Q138" s="47"/>
      <c r="R138" s="48" t="str">
        <f aca="false">IF(Q138="","",IF(Q138=0,"below 5:00",IF(Q138&gt;=66,"16:00 or above",INT((60+2*Q138)/12)&amp;":"&amp;TEXT(MOD(60+2*Q138,12),"00"))))</f>
        <v/>
      </c>
      <c r="S138" s="47"/>
      <c r="T138" s="47"/>
      <c r="U138" s="47"/>
      <c r="V138" s="47"/>
      <c r="W138" s="47"/>
      <c r="X138" s="47"/>
      <c r="Y138" s="47"/>
      <c r="Z138" s="47"/>
      <c r="AA138" s="47"/>
      <c r="AB138" s="47"/>
      <c r="AC138" s="47"/>
      <c r="AD138" s="47"/>
      <c r="AE138" s="47"/>
      <c r="AF138" s="47"/>
      <c r="AG138" s="47"/>
      <c r="AH138" s="47"/>
      <c r="AI138" s="46"/>
      <c r="AJ138" s="46"/>
      <c r="AK138" s="46"/>
      <c r="AL138" s="7"/>
      <c r="AM138" s="49" t="str">
        <f aca="false">IF(OR(C138="",G138=""),"",IFERROR(DATEDIF(C138,G138,"m"),""))</f>
        <v/>
      </c>
      <c r="AN138" s="49" t="str">
        <f aca="false">IF(OR(Q138="",AM138=""),"",60+2*Q138-AM138)</f>
        <v/>
      </c>
      <c r="AO138" s="49" t="str">
        <f aca="false">IF(OR(G138="",AJ138=""),"",AJ138-G138)</f>
        <v/>
      </c>
      <c r="AP138" s="50" t="str">
        <f aca="false">IF(AND(A138="",B138=""),"",IF(J138="","Status needed",IF(OR(J138="Applied",J138="Visit booked",J138="Withdrawn"),"OK",IF(G138="","Date assessed needed",IF(C138="","Date of birth needed",IF(COUNTA(L138,M138,P138,U138,V138,X138,AB138)&lt;7,"Band missing",IF(AND(OR(J138="Decision confirmed",J138="Family told",J138="Enrolled"),AG138=""),"Recommendation needed",IF(AND(OR(J138="Family told",J138="Enrolled"),AJ138=""),"Date family told needed","OK"))))))))</f>
        <v/>
      </c>
    </row>
    <row r="139" customFormat="false" ht="15" hidden="false" customHeight="false" outlineLevel="0" collapsed="false">
      <c r="A139" s="7"/>
      <c r="B139" s="7"/>
      <c r="C139" s="46"/>
      <c r="D139" s="7"/>
      <c r="E139" s="47"/>
      <c r="F139" s="46"/>
      <c r="G139" s="46"/>
      <c r="H139" s="7"/>
      <c r="I139" s="7"/>
      <c r="J139" s="47"/>
      <c r="K139" s="47"/>
      <c r="L139" s="47"/>
      <c r="M139" s="47"/>
      <c r="N139" s="10"/>
      <c r="O139" s="47"/>
      <c r="P139" s="47"/>
      <c r="Q139" s="47"/>
      <c r="R139" s="48" t="str">
        <f aca="false">IF(Q139="","",IF(Q139=0,"below 5:00",IF(Q139&gt;=66,"16:00 or above",INT((60+2*Q139)/12)&amp;":"&amp;TEXT(MOD(60+2*Q139,12),"00"))))</f>
        <v/>
      </c>
      <c r="S139" s="47"/>
      <c r="T139" s="47"/>
      <c r="U139" s="47"/>
      <c r="V139" s="47"/>
      <c r="W139" s="47"/>
      <c r="X139" s="47"/>
      <c r="Y139" s="47"/>
      <c r="Z139" s="47"/>
      <c r="AA139" s="47"/>
      <c r="AB139" s="47"/>
      <c r="AC139" s="47"/>
      <c r="AD139" s="47"/>
      <c r="AE139" s="47"/>
      <c r="AF139" s="47"/>
      <c r="AG139" s="47"/>
      <c r="AH139" s="47"/>
      <c r="AI139" s="46"/>
      <c r="AJ139" s="46"/>
      <c r="AK139" s="46"/>
      <c r="AL139" s="7"/>
      <c r="AM139" s="49" t="str">
        <f aca="false">IF(OR(C139="",G139=""),"",IFERROR(DATEDIF(C139,G139,"m"),""))</f>
        <v/>
      </c>
      <c r="AN139" s="49" t="str">
        <f aca="false">IF(OR(Q139="",AM139=""),"",60+2*Q139-AM139)</f>
        <v/>
      </c>
      <c r="AO139" s="49" t="str">
        <f aca="false">IF(OR(G139="",AJ139=""),"",AJ139-G139)</f>
        <v/>
      </c>
      <c r="AP139" s="50" t="str">
        <f aca="false">IF(AND(A139="",B139=""),"",IF(J139="","Status needed",IF(OR(J139="Applied",J139="Visit booked",J139="Withdrawn"),"OK",IF(G139="","Date assessed needed",IF(C139="","Date of birth needed",IF(COUNTA(L139,M139,P139,U139,V139,X139,AB139)&lt;7,"Band missing",IF(AND(OR(J139="Decision confirmed",J139="Family told",J139="Enrolled"),AG139=""),"Recommendation needed",IF(AND(OR(J139="Family told",J139="Enrolled"),AJ139=""),"Date family told needed","OK"))))))))</f>
        <v/>
      </c>
    </row>
    <row r="140" customFormat="false" ht="15" hidden="false" customHeight="false" outlineLevel="0" collapsed="false">
      <c r="A140" s="7"/>
      <c r="B140" s="7"/>
      <c r="C140" s="46"/>
      <c r="D140" s="7"/>
      <c r="E140" s="47"/>
      <c r="F140" s="46"/>
      <c r="G140" s="46"/>
      <c r="H140" s="7"/>
      <c r="I140" s="7"/>
      <c r="J140" s="47"/>
      <c r="K140" s="47"/>
      <c r="L140" s="47"/>
      <c r="M140" s="47"/>
      <c r="N140" s="10"/>
      <c r="O140" s="47"/>
      <c r="P140" s="47"/>
      <c r="Q140" s="47"/>
      <c r="R140" s="48" t="str">
        <f aca="false">IF(Q140="","",IF(Q140=0,"below 5:00",IF(Q140&gt;=66,"16:00 or above",INT((60+2*Q140)/12)&amp;":"&amp;TEXT(MOD(60+2*Q140,12),"00"))))</f>
        <v/>
      </c>
      <c r="S140" s="47"/>
      <c r="T140" s="47"/>
      <c r="U140" s="47"/>
      <c r="V140" s="47"/>
      <c r="W140" s="47"/>
      <c r="X140" s="47"/>
      <c r="Y140" s="47"/>
      <c r="Z140" s="47"/>
      <c r="AA140" s="47"/>
      <c r="AB140" s="47"/>
      <c r="AC140" s="47"/>
      <c r="AD140" s="47"/>
      <c r="AE140" s="47"/>
      <c r="AF140" s="47"/>
      <c r="AG140" s="47"/>
      <c r="AH140" s="47"/>
      <c r="AI140" s="46"/>
      <c r="AJ140" s="46"/>
      <c r="AK140" s="46"/>
      <c r="AL140" s="7"/>
      <c r="AM140" s="49" t="str">
        <f aca="false">IF(OR(C140="",G140=""),"",IFERROR(DATEDIF(C140,G140,"m"),""))</f>
        <v/>
      </c>
      <c r="AN140" s="49" t="str">
        <f aca="false">IF(OR(Q140="",AM140=""),"",60+2*Q140-AM140)</f>
        <v/>
      </c>
      <c r="AO140" s="49" t="str">
        <f aca="false">IF(OR(G140="",AJ140=""),"",AJ140-G140)</f>
        <v/>
      </c>
      <c r="AP140" s="50" t="str">
        <f aca="false">IF(AND(A140="",B140=""),"",IF(J140="","Status needed",IF(OR(J140="Applied",J140="Visit booked",J140="Withdrawn"),"OK",IF(G140="","Date assessed needed",IF(C140="","Date of birth needed",IF(COUNTA(L140,M140,P140,U140,V140,X140,AB140)&lt;7,"Band missing",IF(AND(OR(J140="Decision confirmed",J140="Family told",J140="Enrolled"),AG140=""),"Recommendation needed",IF(AND(OR(J140="Family told",J140="Enrolled"),AJ140=""),"Date family told needed","OK"))))))))</f>
        <v/>
      </c>
    </row>
    <row r="141" customFormat="false" ht="15" hidden="false" customHeight="false" outlineLevel="0" collapsed="false">
      <c r="A141" s="7"/>
      <c r="B141" s="7"/>
      <c r="C141" s="46"/>
      <c r="D141" s="7"/>
      <c r="E141" s="47"/>
      <c r="F141" s="46"/>
      <c r="G141" s="46"/>
      <c r="H141" s="7"/>
      <c r="I141" s="7"/>
      <c r="J141" s="47"/>
      <c r="K141" s="47"/>
      <c r="L141" s="47"/>
      <c r="M141" s="47"/>
      <c r="N141" s="10"/>
      <c r="O141" s="47"/>
      <c r="P141" s="47"/>
      <c r="Q141" s="47"/>
      <c r="R141" s="48" t="str">
        <f aca="false">IF(Q141="","",IF(Q141=0,"below 5:00",IF(Q141&gt;=66,"16:00 or above",INT((60+2*Q141)/12)&amp;":"&amp;TEXT(MOD(60+2*Q141,12),"00"))))</f>
        <v/>
      </c>
      <c r="S141" s="47"/>
      <c r="T141" s="47"/>
      <c r="U141" s="47"/>
      <c r="V141" s="47"/>
      <c r="W141" s="47"/>
      <c r="X141" s="47"/>
      <c r="Y141" s="47"/>
      <c r="Z141" s="47"/>
      <c r="AA141" s="47"/>
      <c r="AB141" s="47"/>
      <c r="AC141" s="47"/>
      <c r="AD141" s="47"/>
      <c r="AE141" s="47"/>
      <c r="AF141" s="47"/>
      <c r="AG141" s="47"/>
      <c r="AH141" s="47"/>
      <c r="AI141" s="46"/>
      <c r="AJ141" s="46"/>
      <c r="AK141" s="46"/>
      <c r="AL141" s="7"/>
      <c r="AM141" s="49" t="str">
        <f aca="false">IF(OR(C141="",G141=""),"",IFERROR(DATEDIF(C141,G141,"m"),""))</f>
        <v/>
      </c>
      <c r="AN141" s="49" t="str">
        <f aca="false">IF(OR(Q141="",AM141=""),"",60+2*Q141-AM141)</f>
        <v/>
      </c>
      <c r="AO141" s="49" t="str">
        <f aca="false">IF(OR(G141="",AJ141=""),"",AJ141-G141)</f>
        <v/>
      </c>
      <c r="AP141" s="50" t="str">
        <f aca="false">IF(AND(A141="",B141=""),"",IF(J141="","Status needed",IF(OR(J141="Applied",J141="Visit booked",J141="Withdrawn"),"OK",IF(G141="","Date assessed needed",IF(C141="","Date of birth needed",IF(COUNTA(L141,M141,P141,U141,V141,X141,AB141)&lt;7,"Band missing",IF(AND(OR(J141="Decision confirmed",J141="Family told",J141="Enrolled"),AG141=""),"Recommendation needed",IF(AND(OR(J141="Family told",J141="Enrolled"),AJ141=""),"Date family told needed","OK"))))))))</f>
        <v/>
      </c>
    </row>
    <row r="142" customFormat="false" ht="15" hidden="false" customHeight="false" outlineLevel="0" collapsed="false">
      <c r="A142" s="7"/>
      <c r="B142" s="7"/>
      <c r="C142" s="46"/>
      <c r="D142" s="7"/>
      <c r="E142" s="47"/>
      <c r="F142" s="46"/>
      <c r="G142" s="46"/>
      <c r="H142" s="7"/>
      <c r="I142" s="7"/>
      <c r="J142" s="47"/>
      <c r="K142" s="47"/>
      <c r="L142" s="47"/>
      <c r="M142" s="47"/>
      <c r="N142" s="10"/>
      <c r="O142" s="47"/>
      <c r="P142" s="47"/>
      <c r="Q142" s="47"/>
      <c r="R142" s="48" t="str">
        <f aca="false">IF(Q142="","",IF(Q142=0,"below 5:00",IF(Q142&gt;=66,"16:00 or above",INT((60+2*Q142)/12)&amp;":"&amp;TEXT(MOD(60+2*Q142,12),"00"))))</f>
        <v/>
      </c>
      <c r="S142" s="47"/>
      <c r="T142" s="47"/>
      <c r="U142" s="47"/>
      <c r="V142" s="47"/>
      <c r="W142" s="47"/>
      <c r="X142" s="47"/>
      <c r="Y142" s="47"/>
      <c r="Z142" s="47"/>
      <c r="AA142" s="47"/>
      <c r="AB142" s="47"/>
      <c r="AC142" s="47"/>
      <c r="AD142" s="47"/>
      <c r="AE142" s="47"/>
      <c r="AF142" s="47"/>
      <c r="AG142" s="47"/>
      <c r="AH142" s="47"/>
      <c r="AI142" s="46"/>
      <c r="AJ142" s="46"/>
      <c r="AK142" s="46"/>
      <c r="AL142" s="7"/>
      <c r="AM142" s="49" t="str">
        <f aca="false">IF(OR(C142="",G142=""),"",IFERROR(DATEDIF(C142,G142,"m"),""))</f>
        <v/>
      </c>
      <c r="AN142" s="49" t="str">
        <f aca="false">IF(OR(Q142="",AM142=""),"",60+2*Q142-AM142)</f>
        <v/>
      </c>
      <c r="AO142" s="49" t="str">
        <f aca="false">IF(OR(G142="",AJ142=""),"",AJ142-G142)</f>
        <v/>
      </c>
      <c r="AP142" s="50" t="str">
        <f aca="false">IF(AND(A142="",B142=""),"",IF(J142="","Status needed",IF(OR(J142="Applied",J142="Visit booked",J142="Withdrawn"),"OK",IF(G142="","Date assessed needed",IF(C142="","Date of birth needed",IF(COUNTA(L142,M142,P142,U142,V142,X142,AB142)&lt;7,"Band missing",IF(AND(OR(J142="Decision confirmed",J142="Family told",J142="Enrolled"),AG142=""),"Recommendation needed",IF(AND(OR(J142="Family told",J142="Enrolled"),AJ142=""),"Date family told needed","OK"))))))))</f>
        <v/>
      </c>
    </row>
    <row r="143" customFormat="false" ht="15" hidden="false" customHeight="false" outlineLevel="0" collapsed="false">
      <c r="A143" s="7"/>
      <c r="B143" s="7"/>
      <c r="C143" s="46"/>
      <c r="D143" s="7"/>
      <c r="E143" s="47"/>
      <c r="F143" s="46"/>
      <c r="G143" s="46"/>
      <c r="H143" s="7"/>
      <c r="I143" s="7"/>
      <c r="J143" s="47"/>
      <c r="K143" s="47"/>
      <c r="L143" s="47"/>
      <c r="M143" s="47"/>
      <c r="N143" s="10"/>
      <c r="O143" s="47"/>
      <c r="P143" s="47"/>
      <c r="Q143" s="47"/>
      <c r="R143" s="48" t="str">
        <f aca="false">IF(Q143="","",IF(Q143=0,"below 5:00",IF(Q143&gt;=66,"16:00 or above",INT((60+2*Q143)/12)&amp;":"&amp;TEXT(MOD(60+2*Q143,12),"00"))))</f>
        <v/>
      </c>
      <c r="S143" s="47"/>
      <c r="T143" s="47"/>
      <c r="U143" s="47"/>
      <c r="V143" s="47"/>
      <c r="W143" s="47"/>
      <c r="X143" s="47"/>
      <c r="Y143" s="47"/>
      <c r="Z143" s="47"/>
      <c r="AA143" s="47"/>
      <c r="AB143" s="47"/>
      <c r="AC143" s="47"/>
      <c r="AD143" s="47"/>
      <c r="AE143" s="47"/>
      <c r="AF143" s="47"/>
      <c r="AG143" s="47"/>
      <c r="AH143" s="47"/>
      <c r="AI143" s="46"/>
      <c r="AJ143" s="46"/>
      <c r="AK143" s="46"/>
      <c r="AL143" s="7"/>
      <c r="AM143" s="49" t="str">
        <f aca="false">IF(OR(C143="",G143=""),"",IFERROR(DATEDIF(C143,G143,"m"),""))</f>
        <v/>
      </c>
      <c r="AN143" s="49" t="str">
        <f aca="false">IF(OR(Q143="",AM143=""),"",60+2*Q143-AM143)</f>
        <v/>
      </c>
      <c r="AO143" s="49" t="str">
        <f aca="false">IF(OR(G143="",AJ143=""),"",AJ143-G143)</f>
        <v/>
      </c>
      <c r="AP143" s="50" t="str">
        <f aca="false">IF(AND(A143="",B143=""),"",IF(J143="","Status needed",IF(OR(J143="Applied",J143="Visit booked",J143="Withdrawn"),"OK",IF(G143="","Date assessed needed",IF(C143="","Date of birth needed",IF(COUNTA(L143,M143,P143,U143,V143,X143,AB143)&lt;7,"Band missing",IF(AND(OR(J143="Decision confirmed",J143="Family told",J143="Enrolled"),AG143=""),"Recommendation needed",IF(AND(OR(J143="Family told",J143="Enrolled"),AJ143=""),"Date family told needed","OK"))))))))</f>
        <v/>
      </c>
    </row>
    <row r="144" customFormat="false" ht="15" hidden="false" customHeight="false" outlineLevel="0" collapsed="false">
      <c r="A144" s="7"/>
      <c r="B144" s="7"/>
      <c r="C144" s="46"/>
      <c r="D144" s="7"/>
      <c r="E144" s="47"/>
      <c r="F144" s="46"/>
      <c r="G144" s="46"/>
      <c r="H144" s="7"/>
      <c r="I144" s="7"/>
      <c r="J144" s="47"/>
      <c r="K144" s="47"/>
      <c r="L144" s="47"/>
      <c r="M144" s="47"/>
      <c r="N144" s="10"/>
      <c r="O144" s="47"/>
      <c r="P144" s="47"/>
      <c r="Q144" s="47"/>
      <c r="R144" s="48" t="str">
        <f aca="false">IF(Q144="","",IF(Q144=0,"below 5:00",IF(Q144&gt;=66,"16:00 or above",INT((60+2*Q144)/12)&amp;":"&amp;TEXT(MOD(60+2*Q144,12),"00"))))</f>
        <v/>
      </c>
      <c r="S144" s="47"/>
      <c r="T144" s="47"/>
      <c r="U144" s="47"/>
      <c r="V144" s="47"/>
      <c r="W144" s="47"/>
      <c r="X144" s="47"/>
      <c r="Y144" s="47"/>
      <c r="Z144" s="47"/>
      <c r="AA144" s="47"/>
      <c r="AB144" s="47"/>
      <c r="AC144" s="47"/>
      <c r="AD144" s="47"/>
      <c r="AE144" s="47"/>
      <c r="AF144" s="47"/>
      <c r="AG144" s="47"/>
      <c r="AH144" s="47"/>
      <c r="AI144" s="46"/>
      <c r="AJ144" s="46"/>
      <c r="AK144" s="46"/>
      <c r="AL144" s="7"/>
      <c r="AM144" s="49" t="str">
        <f aca="false">IF(OR(C144="",G144=""),"",IFERROR(DATEDIF(C144,G144,"m"),""))</f>
        <v/>
      </c>
      <c r="AN144" s="49" t="str">
        <f aca="false">IF(OR(Q144="",AM144=""),"",60+2*Q144-AM144)</f>
        <v/>
      </c>
      <c r="AO144" s="49" t="str">
        <f aca="false">IF(OR(G144="",AJ144=""),"",AJ144-G144)</f>
        <v/>
      </c>
      <c r="AP144" s="50" t="str">
        <f aca="false">IF(AND(A144="",B144=""),"",IF(J144="","Status needed",IF(OR(J144="Applied",J144="Visit booked",J144="Withdrawn"),"OK",IF(G144="","Date assessed needed",IF(C144="","Date of birth needed",IF(COUNTA(L144,M144,P144,U144,V144,X144,AB144)&lt;7,"Band missing",IF(AND(OR(J144="Decision confirmed",J144="Family told",J144="Enrolled"),AG144=""),"Recommendation needed",IF(AND(OR(J144="Family told",J144="Enrolled"),AJ144=""),"Date family told needed","OK"))))))))</f>
        <v/>
      </c>
    </row>
    <row r="145" customFormat="false" ht="15" hidden="false" customHeight="false" outlineLevel="0" collapsed="false">
      <c r="A145" s="7"/>
      <c r="B145" s="7"/>
      <c r="C145" s="46"/>
      <c r="D145" s="7"/>
      <c r="E145" s="47"/>
      <c r="F145" s="46"/>
      <c r="G145" s="46"/>
      <c r="H145" s="7"/>
      <c r="I145" s="7"/>
      <c r="J145" s="47"/>
      <c r="K145" s="47"/>
      <c r="L145" s="47"/>
      <c r="M145" s="47"/>
      <c r="N145" s="10"/>
      <c r="O145" s="47"/>
      <c r="P145" s="47"/>
      <c r="Q145" s="47"/>
      <c r="R145" s="48" t="str">
        <f aca="false">IF(Q145="","",IF(Q145=0,"below 5:00",IF(Q145&gt;=66,"16:00 or above",INT((60+2*Q145)/12)&amp;":"&amp;TEXT(MOD(60+2*Q145,12),"00"))))</f>
        <v/>
      </c>
      <c r="S145" s="47"/>
      <c r="T145" s="47"/>
      <c r="U145" s="47"/>
      <c r="V145" s="47"/>
      <c r="W145" s="47"/>
      <c r="X145" s="47"/>
      <c r="Y145" s="47"/>
      <c r="Z145" s="47"/>
      <c r="AA145" s="47"/>
      <c r="AB145" s="47"/>
      <c r="AC145" s="47"/>
      <c r="AD145" s="47"/>
      <c r="AE145" s="47"/>
      <c r="AF145" s="47"/>
      <c r="AG145" s="47"/>
      <c r="AH145" s="47"/>
      <c r="AI145" s="46"/>
      <c r="AJ145" s="46"/>
      <c r="AK145" s="46"/>
      <c r="AL145" s="7"/>
      <c r="AM145" s="49" t="str">
        <f aca="false">IF(OR(C145="",G145=""),"",IFERROR(DATEDIF(C145,G145,"m"),""))</f>
        <v/>
      </c>
      <c r="AN145" s="49" t="str">
        <f aca="false">IF(OR(Q145="",AM145=""),"",60+2*Q145-AM145)</f>
        <v/>
      </c>
      <c r="AO145" s="49" t="str">
        <f aca="false">IF(OR(G145="",AJ145=""),"",AJ145-G145)</f>
        <v/>
      </c>
      <c r="AP145" s="50" t="str">
        <f aca="false">IF(AND(A145="",B145=""),"",IF(J145="","Status needed",IF(OR(J145="Applied",J145="Visit booked",J145="Withdrawn"),"OK",IF(G145="","Date assessed needed",IF(C145="","Date of birth needed",IF(COUNTA(L145,M145,P145,U145,V145,X145,AB145)&lt;7,"Band missing",IF(AND(OR(J145="Decision confirmed",J145="Family told",J145="Enrolled"),AG145=""),"Recommendation needed",IF(AND(OR(J145="Family told",J145="Enrolled"),AJ145=""),"Date family told needed","OK"))))))))</f>
        <v/>
      </c>
    </row>
    <row r="146" customFormat="false" ht="15" hidden="false" customHeight="false" outlineLevel="0" collapsed="false">
      <c r="A146" s="7"/>
      <c r="B146" s="7"/>
      <c r="C146" s="46"/>
      <c r="D146" s="7"/>
      <c r="E146" s="47"/>
      <c r="F146" s="46"/>
      <c r="G146" s="46"/>
      <c r="H146" s="7"/>
      <c r="I146" s="7"/>
      <c r="J146" s="47"/>
      <c r="K146" s="47"/>
      <c r="L146" s="47"/>
      <c r="M146" s="47"/>
      <c r="N146" s="10"/>
      <c r="O146" s="47"/>
      <c r="P146" s="47"/>
      <c r="Q146" s="47"/>
      <c r="R146" s="48" t="str">
        <f aca="false">IF(Q146="","",IF(Q146=0,"below 5:00",IF(Q146&gt;=66,"16:00 or above",INT((60+2*Q146)/12)&amp;":"&amp;TEXT(MOD(60+2*Q146,12),"00"))))</f>
        <v/>
      </c>
      <c r="S146" s="47"/>
      <c r="T146" s="47"/>
      <c r="U146" s="47"/>
      <c r="V146" s="47"/>
      <c r="W146" s="47"/>
      <c r="X146" s="47"/>
      <c r="Y146" s="47"/>
      <c r="Z146" s="47"/>
      <c r="AA146" s="47"/>
      <c r="AB146" s="47"/>
      <c r="AC146" s="47"/>
      <c r="AD146" s="47"/>
      <c r="AE146" s="47"/>
      <c r="AF146" s="47"/>
      <c r="AG146" s="47"/>
      <c r="AH146" s="47"/>
      <c r="AI146" s="46"/>
      <c r="AJ146" s="46"/>
      <c r="AK146" s="46"/>
      <c r="AL146" s="7"/>
      <c r="AM146" s="49" t="str">
        <f aca="false">IF(OR(C146="",G146=""),"",IFERROR(DATEDIF(C146,G146,"m"),""))</f>
        <v/>
      </c>
      <c r="AN146" s="49" t="str">
        <f aca="false">IF(OR(Q146="",AM146=""),"",60+2*Q146-AM146)</f>
        <v/>
      </c>
      <c r="AO146" s="49" t="str">
        <f aca="false">IF(OR(G146="",AJ146=""),"",AJ146-G146)</f>
        <v/>
      </c>
      <c r="AP146" s="50" t="str">
        <f aca="false">IF(AND(A146="",B146=""),"",IF(J146="","Status needed",IF(OR(J146="Applied",J146="Visit booked",J146="Withdrawn"),"OK",IF(G146="","Date assessed needed",IF(C146="","Date of birth needed",IF(COUNTA(L146,M146,P146,U146,V146,X146,AB146)&lt;7,"Band missing",IF(AND(OR(J146="Decision confirmed",J146="Family told",J146="Enrolled"),AG146=""),"Recommendation needed",IF(AND(OR(J146="Family told",J146="Enrolled"),AJ146=""),"Date family told needed","OK"))))))))</f>
        <v/>
      </c>
    </row>
    <row r="147" customFormat="false" ht="15" hidden="false" customHeight="false" outlineLevel="0" collapsed="false">
      <c r="A147" s="7"/>
      <c r="B147" s="7"/>
      <c r="C147" s="46"/>
      <c r="D147" s="7"/>
      <c r="E147" s="47"/>
      <c r="F147" s="46"/>
      <c r="G147" s="46"/>
      <c r="H147" s="7"/>
      <c r="I147" s="7"/>
      <c r="J147" s="47"/>
      <c r="K147" s="47"/>
      <c r="L147" s="47"/>
      <c r="M147" s="47"/>
      <c r="N147" s="10"/>
      <c r="O147" s="47"/>
      <c r="P147" s="47"/>
      <c r="Q147" s="47"/>
      <c r="R147" s="48" t="str">
        <f aca="false">IF(Q147="","",IF(Q147=0,"below 5:00",IF(Q147&gt;=66,"16:00 or above",INT((60+2*Q147)/12)&amp;":"&amp;TEXT(MOD(60+2*Q147,12),"00"))))</f>
        <v/>
      </c>
      <c r="S147" s="47"/>
      <c r="T147" s="47"/>
      <c r="U147" s="47"/>
      <c r="V147" s="47"/>
      <c r="W147" s="47"/>
      <c r="X147" s="47"/>
      <c r="Y147" s="47"/>
      <c r="Z147" s="47"/>
      <c r="AA147" s="47"/>
      <c r="AB147" s="47"/>
      <c r="AC147" s="47"/>
      <c r="AD147" s="47"/>
      <c r="AE147" s="47"/>
      <c r="AF147" s="47"/>
      <c r="AG147" s="47"/>
      <c r="AH147" s="47"/>
      <c r="AI147" s="46"/>
      <c r="AJ147" s="46"/>
      <c r="AK147" s="46"/>
      <c r="AL147" s="7"/>
      <c r="AM147" s="49" t="str">
        <f aca="false">IF(OR(C147="",G147=""),"",IFERROR(DATEDIF(C147,G147,"m"),""))</f>
        <v/>
      </c>
      <c r="AN147" s="49" t="str">
        <f aca="false">IF(OR(Q147="",AM147=""),"",60+2*Q147-AM147)</f>
        <v/>
      </c>
      <c r="AO147" s="49" t="str">
        <f aca="false">IF(OR(G147="",AJ147=""),"",AJ147-G147)</f>
        <v/>
      </c>
      <c r="AP147" s="50" t="str">
        <f aca="false">IF(AND(A147="",B147=""),"",IF(J147="","Status needed",IF(OR(J147="Applied",J147="Visit booked",J147="Withdrawn"),"OK",IF(G147="","Date assessed needed",IF(C147="","Date of birth needed",IF(COUNTA(L147,M147,P147,U147,V147,X147,AB147)&lt;7,"Band missing",IF(AND(OR(J147="Decision confirmed",J147="Family told",J147="Enrolled"),AG147=""),"Recommendation needed",IF(AND(OR(J147="Family told",J147="Enrolled"),AJ147=""),"Date family told needed","OK"))))))))</f>
        <v/>
      </c>
    </row>
    <row r="148" customFormat="false" ht="15" hidden="false" customHeight="false" outlineLevel="0" collapsed="false">
      <c r="A148" s="7"/>
      <c r="B148" s="7"/>
      <c r="C148" s="46"/>
      <c r="D148" s="7"/>
      <c r="E148" s="47"/>
      <c r="F148" s="46"/>
      <c r="G148" s="46"/>
      <c r="H148" s="7"/>
      <c r="I148" s="7"/>
      <c r="J148" s="47"/>
      <c r="K148" s="47"/>
      <c r="L148" s="47"/>
      <c r="M148" s="47"/>
      <c r="N148" s="10"/>
      <c r="O148" s="47"/>
      <c r="P148" s="47"/>
      <c r="Q148" s="47"/>
      <c r="R148" s="48" t="str">
        <f aca="false">IF(Q148="","",IF(Q148=0,"below 5:00",IF(Q148&gt;=66,"16:00 or above",INT((60+2*Q148)/12)&amp;":"&amp;TEXT(MOD(60+2*Q148,12),"00"))))</f>
        <v/>
      </c>
      <c r="S148" s="47"/>
      <c r="T148" s="47"/>
      <c r="U148" s="47"/>
      <c r="V148" s="47"/>
      <c r="W148" s="47"/>
      <c r="X148" s="47"/>
      <c r="Y148" s="47"/>
      <c r="Z148" s="47"/>
      <c r="AA148" s="47"/>
      <c r="AB148" s="47"/>
      <c r="AC148" s="47"/>
      <c r="AD148" s="47"/>
      <c r="AE148" s="47"/>
      <c r="AF148" s="47"/>
      <c r="AG148" s="47"/>
      <c r="AH148" s="47"/>
      <c r="AI148" s="46"/>
      <c r="AJ148" s="46"/>
      <c r="AK148" s="46"/>
      <c r="AL148" s="7"/>
      <c r="AM148" s="49" t="str">
        <f aca="false">IF(OR(C148="",G148=""),"",IFERROR(DATEDIF(C148,G148,"m"),""))</f>
        <v/>
      </c>
      <c r="AN148" s="49" t="str">
        <f aca="false">IF(OR(Q148="",AM148=""),"",60+2*Q148-AM148)</f>
        <v/>
      </c>
      <c r="AO148" s="49" t="str">
        <f aca="false">IF(OR(G148="",AJ148=""),"",AJ148-G148)</f>
        <v/>
      </c>
      <c r="AP148" s="50" t="str">
        <f aca="false">IF(AND(A148="",B148=""),"",IF(J148="","Status needed",IF(OR(J148="Applied",J148="Visit booked",J148="Withdrawn"),"OK",IF(G148="","Date assessed needed",IF(C148="","Date of birth needed",IF(COUNTA(L148,M148,P148,U148,V148,X148,AB148)&lt;7,"Band missing",IF(AND(OR(J148="Decision confirmed",J148="Family told",J148="Enrolled"),AG148=""),"Recommendation needed",IF(AND(OR(J148="Family told",J148="Enrolled"),AJ148=""),"Date family told needed","OK"))))))))</f>
        <v/>
      </c>
    </row>
    <row r="149" customFormat="false" ht="15" hidden="false" customHeight="false" outlineLevel="0" collapsed="false">
      <c r="A149" s="7"/>
      <c r="B149" s="7"/>
      <c r="C149" s="46"/>
      <c r="D149" s="7"/>
      <c r="E149" s="47"/>
      <c r="F149" s="46"/>
      <c r="G149" s="46"/>
      <c r="H149" s="7"/>
      <c r="I149" s="7"/>
      <c r="J149" s="47"/>
      <c r="K149" s="47"/>
      <c r="L149" s="47"/>
      <c r="M149" s="47"/>
      <c r="N149" s="10"/>
      <c r="O149" s="47"/>
      <c r="P149" s="47"/>
      <c r="Q149" s="47"/>
      <c r="R149" s="48" t="str">
        <f aca="false">IF(Q149="","",IF(Q149=0,"below 5:00",IF(Q149&gt;=66,"16:00 or above",INT((60+2*Q149)/12)&amp;":"&amp;TEXT(MOD(60+2*Q149,12),"00"))))</f>
        <v/>
      </c>
      <c r="S149" s="47"/>
      <c r="T149" s="47"/>
      <c r="U149" s="47"/>
      <c r="V149" s="47"/>
      <c r="W149" s="47"/>
      <c r="X149" s="47"/>
      <c r="Y149" s="47"/>
      <c r="Z149" s="47"/>
      <c r="AA149" s="47"/>
      <c r="AB149" s="47"/>
      <c r="AC149" s="47"/>
      <c r="AD149" s="47"/>
      <c r="AE149" s="47"/>
      <c r="AF149" s="47"/>
      <c r="AG149" s="47"/>
      <c r="AH149" s="47"/>
      <c r="AI149" s="46"/>
      <c r="AJ149" s="46"/>
      <c r="AK149" s="46"/>
      <c r="AL149" s="7"/>
      <c r="AM149" s="49" t="str">
        <f aca="false">IF(OR(C149="",G149=""),"",IFERROR(DATEDIF(C149,G149,"m"),""))</f>
        <v/>
      </c>
      <c r="AN149" s="49" t="str">
        <f aca="false">IF(OR(Q149="",AM149=""),"",60+2*Q149-AM149)</f>
        <v/>
      </c>
      <c r="AO149" s="49" t="str">
        <f aca="false">IF(OR(G149="",AJ149=""),"",AJ149-G149)</f>
        <v/>
      </c>
      <c r="AP149" s="50" t="str">
        <f aca="false">IF(AND(A149="",B149=""),"",IF(J149="","Status needed",IF(OR(J149="Applied",J149="Visit booked",J149="Withdrawn"),"OK",IF(G149="","Date assessed needed",IF(C149="","Date of birth needed",IF(COUNTA(L149,M149,P149,U149,V149,X149,AB149)&lt;7,"Band missing",IF(AND(OR(J149="Decision confirmed",J149="Family told",J149="Enrolled"),AG149=""),"Recommendation needed",IF(AND(OR(J149="Family told",J149="Enrolled"),AJ149=""),"Date family told needed","OK"))))))))</f>
        <v/>
      </c>
    </row>
    <row r="150" customFormat="false" ht="15" hidden="false" customHeight="false" outlineLevel="0" collapsed="false">
      <c r="A150" s="7"/>
      <c r="B150" s="7"/>
      <c r="C150" s="46"/>
      <c r="D150" s="7"/>
      <c r="E150" s="47"/>
      <c r="F150" s="46"/>
      <c r="G150" s="46"/>
      <c r="H150" s="7"/>
      <c r="I150" s="7"/>
      <c r="J150" s="47"/>
      <c r="K150" s="47"/>
      <c r="L150" s="47"/>
      <c r="M150" s="47"/>
      <c r="N150" s="10"/>
      <c r="O150" s="47"/>
      <c r="P150" s="47"/>
      <c r="Q150" s="47"/>
      <c r="R150" s="48" t="str">
        <f aca="false">IF(Q150="","",IF(Q150=0,"below 5:00",IF(Q150&gt;=66,"16:00 or above",INT((60+2*Q150)/12)&amp;":"&amp;TEXT(MOD(60+2*Q150,12),"00"))))</f>
        <v/>
      </c>
      <c r="S150" s="47"/>
      <c r="T150" s="47"/>
      <c r="U150" s="47"/>
      <c r="V150" s="47"/>
      <c r="W150" s="47"/>
      <c r="X150" s="47"/>
      <c r="Y150" s="47"/>
      <c r="Z150" s="47"/>
      <c r="AA150" s="47"/>
      <c r="AB150" s="47"/>
      <c r="AC150" s="47"/>
      <c r="AD150" s="47"/>
      <c r="AE150" s="47"/>
      <c r="AF150" s="47"/>
      <c r="AG150" s="47"/>
      <c r="AH150" s="47"/>
      <c r="AI150" s="46"/>
      <c r="AJ150" s="46"/>
      <c r="AK150" s="46"/>
      <c r="AL150" s="7"/>
      <c r="AM150" s="49" t="str">
        <f aca="false">IF(OR(C150="",G150=""),"",IFERROR(DATEDIF(C150,G150,"m"),""))</f>
        <v/>
      </c>
      <c r="AN150" s="49" t="str">
        <f aca="false">IF(OR(Q150="",AM150=""),"",60+2*Q150-AM150)</f>
        <v/>
      </c>
      <c r="AO150" s="49" t="str">
        <f aca="false">IF(OR(G150="",AJ150=""),"",AJ150-G150)</f>
        <v/>
      </c>
      <c r="AP150" s="50" t="str">
        <f aca="false">IF(AND(A150="",B150=""),"",IF(J150="","Status needed",IF(OR(J150="Applied",J150="Visit booked",J150="Withdrawn"),"OK",IF(G150="","Date assessed needed",IF(C150="","Date of birth needed",IF(COUNTA(L150,M150,P150,U150,V150,X150,AB150)&lt;7,"Band missing",IF(AND(OR(J150="Decision confirmed",J150="Family told",J150="Enrolled"),AG150=""),"Recommendation needed",IF(AND(OR(J150="Family told",J150="Enrolled"),AJ150=""),"Date family told needed","OK"))))))))</f>
        <v/>
      </c>
    </row>
    <row r="151" customFormat="false" ht="15" hidden="false" customHeight="false" outlineLevel="0" collapsed="false">
      <c r="A151" s="7"/>
      <c r="B151" s="7"/>
      <c r="C151" s="46"/>
      <c r="D151" s="7"/>
      <c r="E151" s="47"/>
      <c r="F151" s="46"/>
      <c r="G151" s="46"/>
      <c r="H151" s="7"/>
      <c r="I151" s="7"/>
      <c r="J151" s="47"/>
      <c r="K151" s="47"/>
      <c r="L151" s="47"/>
      <c r="M151" s="47"/>
      <c r="N151" s="10"/>
      <c r="O151" s="47"/>
      <c r="P151" s="47"/>
      <c r="Q151" s="47"/>
      <c r="R151" s="48" t="str">
        <f aca="false">IF(Q151="","",IF(Q151=0,"below 5:00",IF(Q151&gt;=66,"16:00 or above",INT((60+2*Q151)/12)&amp;":"&amp;TEXT(MOD(60+2*Q151,12),"00"))))</f>
        <v/>
      </c>
      <c r="S151" s="47"/>
      <c r="T151" s="47"/>
      <c r="U151" s="47"/>
      <c r="V151" s="47"/>
      <c r="W151" s="47"/>
      <c r="X151" s="47"/>
      <c r="Y151" s="47"/>
      <c r="Z151" s="47"/>
      <c r="AA151" s="47"/>
      <c r="AB151" s="47"/>
      <c r="AC151" s="47"/>
      <c r="AD151" s="47"/>
      <c r="AE151" s="47"/>
      <c r="AF151" s="47"/>
      <c r="AG151" s="47"/>
      <c r="AH151" s="47"/>
      <c r="AI151" s="46"/>
      <c r="AJ151" s="46"/>
      <c r="AK151" s="46"/>
      <c r="AL151" s="7"/>
      <c r="AM151" s="49" t="str">
        <f aca="false">IF(OR(C151="",G151=""),"",IFERROR(DATEDIF(C151,G151,"m"),""))</f>
        <v/>
      </c>
      <c r="AN151" s="49" t="str">
        <f aca="false">IF(OR(Q151="",AM151=""),"",60+2*Q151-AM151)</f>
        <v/>
      </c>
      <c r="AO151" s="49" t="str">
        <f aca="false">IF(OR(G151="",AJ151=""),"",AJ151-G151)</f>
        <v/>
      </c>
      <c r="AP151" s="50" t="str">
        <f aca="false">IF(AND(A151="",B151=""),"",IF(J151="","Status needed",IF(OR(J151="Applied",J151="Visit booked",J151="Withdrawn"),"OK",IF(G151="","Date assessed needed",IF(C151="","Date of birth needed",IF(COUNTA(L151,M151,P151,U151,V151,X151,AB151)&lt;7,"Band missing",IF(AND(OR(J151="Decision confirmed",J151="Family told",J151="Enrolled"),AG151=""),"Recommendation needed",IF(AND(OR(J151="Family told",J151="Enrolled"),AJ151=""),"Date family told needed","OK"))))))))</f>
        <v/>
      </c>
    </row>
    <row r="152" customFormat="false" ht="15" hidden="false" customHeight="false" outlineLevel="0" collapsed="false">
      <c r="A152" s="7"/>
      <c r="B152" s="7"/>
      <c r="C152" s="46"/>
      <c r="D152" s="7"/>
      <c r="E152" s="47"/>
      <c r="F152" s="46"/>
      <c r="G152" s="46"/>
      <c r="H152" s="7"/>
      <c r="I152" s="7"/>
      <c r="J152" s="47"/>
      <c r="K152" s="47"/>
      <c r="L152" s="47"/>
      <c r="M152" s="47"/>
      <c r="N152" s="10"/>
      <c r="O152" s="47"/>
      <c r="P152" s="47"/>
      <c r="Q152" s="47"/>
      <c r="R152" s="48" t="str">
        <f aca="false">IF(Q152="","",IF(Q152=0,"below 5:00",IF(Q152&gt;=66,"16:00 or above",INT((60+2*Q152)/12)&amp;":"&amp;TEXT(MOD(60+2*Q152,12),"00"))))</f>
        <v/>
      </c>
      <c r="S152" s="47"/>
      <c r="T152" s="47"/>
      <c r="U152" s="47"/>
      <c r="V152" s="47"/>
      <c r="W152" s="47"/>
      <c r="X152" s="47"/>
      <c r="Y152" s="47"/>
      <c r="Z152" s="47"/>
      <c r="AA152" s="47"/>
      <c r="AB152" s="47"/>
      <c r="AC152" s="47"/>
      <c r="AD152" s="47"/>
      <c r="AE152" s="47"/>
      <c r="AF152" s="47"/>
      <c r="AG152" s="47"/>
      <c r="AH152" s="47"/>
      <c r="AI152" s="46"/>
      <c r="AJ152" s="46"/>
      <c r="AK152" s="46"/>
      <c r="AL152" s="7"/>
      <c r="AM152" s="49" t="str">
        <f aca="false">IF(OR(C152="",G152=""),"",IFERROR(DATEDIF(C152,G152,"m"),""))</f>
        <v/>
      </c>
      <c r="AN152" s="49" t="str">
        <f aca="false">IF(OR(Q152="",AM152=""),"",60+2*Q152-AM152)</f>
        <v/>
      </c>
      <c r="AO152" s="49" t="str">
        <f aca="false">IF(OR(G152="",AJ152=""),"",AJ152-G152)</f>
        <v/>
      </c>
      <c r="AP152" s="50" t="str">
        <f aca="false">IF(AND(A152="",B152=""),"",IF(J152="","Status needed",IF(OR(J152="Applied",J152="Visit booked",J152="Withdrawn"),"OK",IF(G152="","Date assessed needed",IF(C152="","Date of birth needed",IF(COUNTA(L152,M152,P152,U152,V152,X152,AB152)&lt;7,"Band missing",IF(AND(OR(J152="Decision confirmed",J152="Family told",J152="Enrolled"),AG152=""),"Recommendation needed",IF(AND(OR(J152="Family told",J152="Enrolled"),AJ152=""),"Date family told needed","OK"))))))))</f>
        <v/>
      </c>
    </row>
    <row r="153" customFormat="false" ht="15" hidden="false" customHeight="false" outlineLevel="0" collapsed="false">
      <c r="A153" s="7"/>
      <c r="B153" s="7"/>
      <c r="C153" s="46"/>
      <c r="D153" s="7"/>
      <c r="E153" s="47"/>
      <c r="F153" s="46"/>
      <c r="G153" s="46"/>
      <c r="H153" s="7"/>
      <c r="I153" s="7"/>
      <c r="J153" s="47"/>
      <c r="K153" s="47"/>
      <c r="L153" s="47"/>
      <c r="M153" s="47"/>
      <c r="N153" s="10"/>
      <c r="O153" s="47"/>
      <c r="P153" s="47"/>
      <c r="Q153" s="47"/>
      <c r="R153" s="48" t="str">
        <f aca="false">IF(Q153="","",IF(Q153=0,"below 5:00",IF(Q153&gt;=66,"16:00 or above",INT((60+2*Q153)/12)&amp;":"&amp;TEXT(MOD(60+2*Q153,12),"00"))))</f>
        <v/>
      </c>
      <c r="S153" s="47"/>
      <c r="T153" s="47"/>
      <c r="U153" s="47"/>
      <c r="V153" s="47"/>
      <c r="W153" s="47"/>
      <c r="X153" s="47"/>
      <c r="Y153" s="47"/>
      <c r="Z153" s="47"/>
      <c r="AA153" s="47"/>
      <c r="AB153" s="47"/>
      <c r="AC153" s="47"/>
      <c r="AD153" s="47"/>
      <c r="AE153" s="47"/>
      <c r="AF153" s="47"/>
      <c r="AG153" s="47"/>
      <c r="AH153" s="47"/>
      <c r="AI153" s="46"/>
      <c r="AJ153" s="46"/>
      <c r="AK153" s="46"/>
      <c r="AL153" s="7"/>
      <c r="AM153" s="49" t="str">
        <f aca="false">IF(OR(C153="",G153=""),"",IFERROR(DATEDIF(C153,G153,"m"),""))</f>
        <v/>
      </c>
      <c r="AN153" s="49" t="str">
        <f aca="false">IF(OR(Q153="",AM153=""),"",60+2*Q153-AM153)</f>
        <v/>
      </c>
      <c r="AO153" s="49" t="str">
        <f aca="false">IF(OR(G153="",AJ153=""),"",AJ153-G153)</f>
        <v/>
      </c>
      <c r="AP153" s="50" t="str">
        <f aca="false">IF(AND(A153="",B153=""),"",IF(J153="","Status needed",IF(OR(J153="Applied",J153="Visit booked",J153="Withdrawn"),"OK",IF(G153="","Date assessed needed",IF(C153="","Date of birth needed",IF(COUNTA(L153,M153,P153,U153,V153,X153,AB153)&lt;7,"Band missing",IF(AND(OR(J153="Decision confirmed",J153="Family told",J153="Enrolled"),AG153=""),"Recommendation needed",IF(AND(OR(J153="Family told",J153="Enrolled"),AJ153=""),"Date family told needed","OK"))))))))</f>
        <v/>
      </c>
    </row>
    <row r="154" customFormat="false" ht="15" hidden="false" customHeight="false" outlineLevel="0" collapsed="false">
      <c r="A154" s="7"/>
      <c r="B154" s="7"/>
      <c r="C154" s="46"/>
      <c r="D154" s="7"/>
      <c r="E154" s="47"/>
      <c r="F154" s="46"/>
      <c r="G154" s="46"/>
      <c r="H154" s="7"/>
      <c r="I154" s="7"/>
      <c r="J154" s="47"/>
      <c r="K154" s="47"/>
      <c r="L154" s="47"/>
      <c r="M154" s="47"/>
      <c r="N154" s="10"/>
      <c r="O154" s="47"/>
      <c r="P154" s="47"/>
      <c r="Q154" s="47"/>
      <c r="R154" s="48" t="str">
        <f aca="false">IF(Q154="","",IF(Q154=0,"below 5:00",IF(Q154&gt;=66,"16:00 or above",INT((60+2*Q154)/12)&amp;":"&amp;TEXT(MOD(60+2*Q154,12),"00"))))</f>
        <v/>
      </c>
      <c r="S154" s="47"/>
      <c r="T154" s="47"/>
      <c r="U154" s="47"/>
      <c r="V154" s="47"/>
      <c r="W154" s="47"/>
      <c r="X154" s="47"/>
      <c r="Y154" s="47"/>
      <c r="Z154" s="47"/>
      <c r="AA154" s="47"/>
      <c r="AB154" s="47"/>
      <c r="AC154" s="47"/>
      <c r="AD154" s="47"/>
      <c r="AE154" s="47"/>
      <c r="AF154" s="47"/>
      <c r="AG154" s="47"/>
      <c r="AH154" s="47"/>
      <c r="AI154" s="46"/>
      <c r="AJ154" s="46"/>
      <c r="AK154" s="46"/>
      <c r="AL154" s="7"/>
      <c r="AM154" s="49" t="str">
        <f aca="false">IF(OR(C154="",G154=""),"",IFERROR(DATEDIF(C154,G154,"m"),""))</f>
        <v/>
      </c>
      <c r="AN154" s="49" t="str">
        <f aca="false">IF(OR(Q154="",AM154=""),"",60+2*Q154-AM154)</f>
        <v/>
      </c>
      <c r="AO154" s="49" t="str">
        <f aca="false">IF(OR(G154="",AJ154=""),"",AJ154-G154)</f>
        <v/>
      </c>
      <c r="AP154" s="50" t="str">
        <f aca="false">IF(AND(A154="",B154=""),"",IF(J154="","Status needed",IF(OR(J154="Applied",J154="Visit booked",J154="Withdrawn"),"OK",IF(G154="","Date assessed needed",IF(C154="","Date of birth needed",IF(COUNTA(L154,M154,P154,U154,V154,X154,AB154)&lt;7,"Band missing",IF(AND(OR(J154="Decision confirmed",J154="Family told",J154="Enrolled"),AG154=""),"Recommendation needed",IF(AND(OR(J154="Family told",J154="Enrolled"),AJ154=""),"Date family told needed","OK"))))))))</f>
        <v/>
      </c>
    </row>
    <row r="155" customFormat="false" ht="15" hidden="false" customHeight="false" outlineLevel="0" collapsed="false">
      <c r="A155" s="7"/>
      <c r="B155" s="7"/>
      <c r="C155" s="46"/>
      <c r="D155" s="7"/>
      <c r="E155" s="47"/>
      <c r="F155" s="46"/>
      <c r="G155" s="46"/>
      <c r="H155" s="7"/>
      <c r="I155" s="7"/>
      <c r="J155" s="47"/>
      <c r="K155" s="47"/>
      <c r="L155" s="47"/>
      <c r="M155" s="47"/>
      <c r="N155" s="10"/>
      <c r="O155" s="47"/>
      <c r="P155" s="47"/>
      <c r="Q155" s="47"/>
      <c r="R155" s="48" t="str">
        <f aca="false">IF(Q155="","",IF(Q155=0,"below 5:00",IF(Q155&gt;=66,"16:00 or above",INT((60+2*Q155)/12)&amp;":"&amp;TEXT(MOD(60+2*Q155,12),"00"))))</f>
        <v/>
      </c>
      <c r="S155" s="47"/>
      <c r="T155" s="47"/>
      <c r="U155" s="47"/>
      <c r="V155" s="47"/>
      <c r="W155" s="47"/>
      <c r="X155" s="47"/>
      <c r="Y155" s="47"/>
      <c r="Z155" s="47"/>
      <c r="AA155" s="47"/>
      <c r="AB155" s="47"/>
      <c r="AC155" s="47"/>
      <c r="AD155" s="47"/>
      <c r="AE155" s="47"/>
      <c r="AF155" s="47"/>
      <c r="AG155" s="47"/>
      <c r="AH155" s="47"/>
      <c r="AI155" s="46"/>
      <c r="AJ155" s="46"/>
      <c r="AK155" s="46"/>
      <c r="AL155" s="7"/>
      <c r="AM155" s="49" t="str">
        <f aca="false">IF(OR(C155="",G155=""),"",IFERROR(DATEDIF(C155,G155,"m"),""))</f>
        <v/>
      </c>
      <c r="AN155" s="49" t="str">
        <f aca="false">IF(OR(Q155="",AM155=""),"",60+2*Q155-AM155)</f>
        <v/>
      </c>
      <c r="AO155" s="49" t="str">
        <f aca="false">IF(OR(G155="",AJ155=""),"",AJ155-G155)</f>
        <v/>
      </c>
      <c r="AP155" s="50" t="str">
        <f aca="false">IF(AND(A155="",B155=""),"",IF(J155="","Status needed",IF(OR(J155="Applied",J155="Visit booked",J155="Withdrawn"),"OK",IF(G155="","Date assessed needed",IF(C155="","Date of birth needed",IF(COUNTA(L155,M155,P155,U155,V155,X155,AB155)&lt;7,"Band missing",IF(AND(OR(J155="Decision confirmed",J155="Family told",J155="Enrolled"),AG155=""),"Recommendation needed",IF(AND(OR(J155="Family told",J155="Enrolled"),AJ155=""),"Date family told needed","OK"))))))))</f>
        <v/>
      </c>
    </row>
    <row r="156" customFormat="false" ht="15" hidden="false" customHeight="false" outlineLevel="0" collapsed="false">
      <c r="A156" s="7"/>
      <c r="B156" s="7"/>
      <c r="C156" s="46"/>
      <c r="D156" s="7"/>
      <c r="E156" s="47"/>
      <c r="F156" s="46"/>
      <c r="G156" s="46"/>
      <c r="H156" s="7"/>
      <c r="I156" s="7"/>
      <c r="J156" s="47"/>
      <c r="K156" s="47"/>
      <c r="L156" s="47"/>
      <c r="M156" s="47"/>
      <c r="N156" s="10"/>
      <c r="O156" s="47"/>
      <c r="P156" s="47"/>
      <c r="Q156" s="47"/>
      <c r="R156" s="48" t="str">
        <f aca="false">IF(Q156="","",IF(Q156=0,"below 5:00",IF(Q156&gt;=66,"16:00 or above",INT((60+2*Q156)/12)&amp;":"&amp;TEXT(MOD(60+2*Q156,12),"00"))))</f>
        <v/>
      </c>
      <c r="S156" s="47"/>
      <c r="T156" s="47"/>
      <c r="U156" s="47"/>
      <c r="V156" s="47"/>
      <c r="W156" s="47"/>
      <c r="X156" s="47"/>
      <c r="Y156" s="47"/>
      <c r="Z156" s="47"/>
      <c r="AA156" s="47"/>
      <c r="AB156" s="47"/>
      <c r="AC156" s="47"/>
      <c r="AD156" s="47"/>
      <c r="AE156" s="47"/>
      <c r="AF156" s="47"/>
      <c r="AG156" s="47"/>
      <c r="AH156" s="47"/>
      <c r="AI156" s="46"/>
      <c r="AJ156" s="46"/>
      <c r="AK156" s="46"/>
      <c r="AL156" s="7"/>
      <c r="AM156" s="49" t="str">
        <f aca="false">IF(OR(C156="",G156=""),"",IFERROR(DATEDIF(C156,G156,"m"),""))</f>
        <v/>
      </c>
      <c r="AN156" s="49" t="str">
        <f aca="false">IF(OR(Q156="",AM156=""),"",60+2*Q156-AM156)</f>
        <v/>
      </c>
      <c r="AO156" s="49" t="str">
        <f aca="false">IF(OR(G156="",AJ156=""),"",AJ156-G156)</f>
        <v/>
      </c>
      <c r="AP156" s="50" t="str">
        <f aca="false">IF(AND(A156="",B156=""),"",IF(J156="","Status needed",IF(OR(J156="Applied",J156="Visit booked",J156="Withdrawn"),"OK",IF(G156="","Date assessed needed",IF(C156="","Date of birth needed",IF(COUNTA(L156,M156,P156,U156,V156,X156,AB156)&lt;7,"Band missing",IF(AND(OR(J156="Decision confirmed",J156="Family told",J156="Enrolled"),AG156=""),"Recommendation needed",IF(AND(OR(J156="Family told",J156="Enrolled"),AJ156=""),"Date family told needed","OK"))))))))</f>
        <v/>
      </c>
    </row>
    <row r="157" customFormat="false" ht="15" hidden="false" customHeight="false" outlineLevel="0" collapsed="false">
      <c r="A157" s="7"/>
      <c r="B157" s="7"/>
      <c r="C157" s="46"/>
      <c r="D157" s="7"/>
      <c r="E157" s="47"/>
      <c r="F157" s="46"/>
      <c r="G157" s="46"/>
      <c r="H157" s="7"/>
      <c r="I157" s="7"/>
      <c r="J157" s="47"/>
      <c r="K157" s="47"/>
      <c r="L157" s="47"/>
      <c r="M157" s="47"/>
      <c r="N157" s="10"/>
      <c r="O157" s="47"/>
      <c r="P157" s="47"/>
      <c r="Q157" s="47"/>
      <c r="R157" s="48" t="str">
        <f aca="false">IF(Q157="","",IF(Q157=0,"below 5:00",IF(Q157&gt;=66,"16:00 or above",INT((60+2*Q157)/12)&amp;":"&amp;TEXT(MOD(60+2*Q157,12),"00"))))</f>
        <v/>
      </c>
      <c r="S157" s="47"/>
      <c r="T157" s="47"/>
      <c r="U157" s="47"/>
      <c r="V157" s="47"/>
      <c r="W157" s="47"/>
      <c r="X157" s="47"/>
      <c r="Y157" s="47"/>
      <c r="Z157" s="47"/>
      <c r="AA157" s="47"/>
      <c r="AB157" s="47"/>
      <c r="AC157" s="47"/>
      <c r="AD157" s="47"/>
      <c r="AE157" s="47"/>
      <c r="AF157" s="47"/>
      <c r="AG157" s="47"/>
      <c r="AH157" s="47"/>
      <c r="AI157" s="46"/>
      <c r="AJ157" s="46"/>
      <c r="AK157" s="46"/>
      <c r="AL157" s="7"/>
      <c r="AM157" s="49" t="str">
        <f aca="false">IF(OR(C157="",G157=""),"",IFERROR(DATEDIF(C157,G157,"m"),""))</f>
        <v/>
      </c>
      <c r="AN157" s="49" t="str">
        <f aca="false">IF(OR(Q157="",AM157=""),"",60+2*Q157-AM157)</f>
        <v/>
      </c>
      <c r="AO157" s="49" t="str">
        <f aca="false">IF(OR(G157="",AJ157=""),"",AJ157-G157)</f>
        <v/>
      </c>
      <c r="AP157" s="50" t="str">
        <f aca="false">IF(AND(A157="",B157=""),"",IF(J157="","Status needed",IF(OR(J157="Applied",J157="Visit booked",J157="Withdrawn"),"OK",IF(G157="","Date assessed needed",IF(C157="","Date of birth needed",IF(COUNTA(L157,M157,P157,U157,V157,X157,AB157)&lt;7,"Band missing",IF(AND(OR(J157="Decision confirmed",J157="Family told",J157="Enrolled"),AG157=""),"Recommendation needed",IF(AND(OR(J157="Family told",J157="Enrolled"),AJ157=""),"Date family told needed","OK"))))))))</f>
        <v/>
      </c>
    </row>
    <row r="158" customFormat="false" ht="15" hidden="false" customHeight="false" outlineLevel="0" collapsed="false">
      <c r="A158" s="7"/>
      <c r="B158" s="7"/>
      <c r="C158" s="46"/>
      <c r="D158" s="7"/>
      <c r="E158" s="47"/>
      <c r="F158" s="46"/>
      <c r="G158" s="46"/>
      <c r="H158" s="7"/>
      <c r="I158" s="7"/>
      <c r="J158" s="47"/>
      <c r="K158" s="47"/>
      <c r="L158" s="47"/>
      <c r="M158" s="47"/>
      <c r="N158" s="10"/>
      <c r="O158" s="47"/>
      <c r="P158" s="47"/>
      <c r="Q158" s="47"/>
      <c r="R158" s="48" t="str">
        <f aca="false">IF(Q158="","",IF(Q158=0,"below 5:00",IF(Q158&gt;=66,"16:00 or above",INT((60+2*Q158)/12)&amp;":"&amp;TEXT(MOD(60+2*Q158,12),"00"))))</f>
        <v/>
      </c>
      <c r="S158" s="47"/>
      <c r="T158" s="47"/>
      <c r="U158" s="47"/>
      <c r="V158" s="47"/>
      <c r="W158" s="47"/>
      <c r="X158" s="47"/>
      <c r="Y158" s="47"/>
      <c r="Z158" s="47"/>
      <c r="AA158" s="47"/>
      <c r="AB158" s="47"/>
      <c r="AC158" s="47"/>
      <c r="AD158" s="47"/>
      <c r="AE158" s="47"/>
      <c r="AF158" s="47"/>
      <c r="AG158" s="47"/>
      <c r="AH158" s="47"/>
      <c r="AI158" s="46"/>
      <c r="AJ158" s="46"/>
      <c r="AK158" s="46"/>
      <c r="AL158" s="7"/>
      <c r="AM158" s="49" t="str">
        <f aca="false">IF(OR(C158="",G158=""),"",IFERROR(DATEDIF(C158,G158,"m"),""))</f>
        <v/>
      </c>
      <c r="AN158" s="49" t="str">
        <f aca="false">IF(OR(Q158="",AM158=""),"",60+2*Q158-AM158)</f>
        <v/>
      </c>
      <c r="AO158" s="49" t="str">
        <f aca="false">IF(OR(G158="",AJ158=""),"",AJ158-G158)</f>
        <v/>
      </c>
      <c r="AP158" s="50" t="str">
        <f aca="false">IF(AND(A158="",B158=""),"",IF(J158="","Status needed",IF(OR(J158="Applied",J158="Visit booked",J158="Withdrawn"),"OK",IF(G158="","Date assessed needed",IF(C158="","Date of birth needed",IF(COUNTA(L158,M158,P158,U158,V158,X158,AB158)&lt;7,"Band missing",IF(AND(OR(J158="Decision confirmed",J158="Family told",J158="Enrolled"),AG158=""),"Recommendation needed",IF(AND(OR(J158="Family told",J158="Enrolled"),AJ158=""),"Date family told needed","OK"))))))))</f>
        <v/>
      </c>
    </row>
    <row r="159" customFormat="false" ht="15" hidden="false" customHeight="false" outlineLevel="0" collapsed="false">
      <c r="A159" s="7"/>
      <c r="B159" s="7"/>
      <c r="C159" s="46"/>
      <c r="D159" s="7"/>
      <c r="E159" s="47"/>
      <c r="F159" s="46"/>
      <c r="G159" s="46"/>
      <c r="H159" s="7"/>
      <c r="I159" s="7"/>
      <c r="J159" s="47"/>
      <c r="K159" s="47"/>
      <c r="L159" s="47"/>
      <c r="M159" s="47"/>
      <c r="N159" s="10"/>
      <c r="O159" s="47"/>
      <c r="P159" s="47"/>
      <c r="Q159" s="47"/>
      <c r="R159" s="48" t="str">
        <f aca="false">IF(Q159="","",IF(Q159=0,"below 5:00",IF(Q159&gt;=66,"16:00 or above",INT((60+2*Q159)/12)&amp;":"&amp;TEXT(MOD(60+2*Q159,12),"00"))))</f>
        <v/>
      </c>
      <c r="S159" s="47"/>
      <c r="T159" s="47"/>
      <c r="U159" s="47"/>
      <c r="V159" s="47"/>
      <c r="W159" s="47"/>
      <c r="X159" s="47"/>
      <c r="Y159" s="47"/>
      <c r="Z159" s="47"/>
      <c r="AA159" s="47"/>
      <c r="AB159" s="47"/>
      <c r="AC159" s="47"/>
      <c r="AD159" s="47"/>
      <c r="AE159" s="47"/>
      <c r="AF159" s="47"/>
      <c r="AG159" s="47"/>
      <c r="AH159" s="47"/>
      <c r="AI159" s="46"/>
      <c r="AJ159" s="46"/>
      <c r="AK159" s="46"/>
      <c r="AL159" s="7"/>
      <c r="AM159" s="49" t="str">
        <f aca="false">IF(OR(C159="",G159=""),"",IFERROR(DATEDIF(C159,G159,"m"),""))</f>
        <v/>
      </c>
      <c r="AN159" s="49" t="str">
        <f aca="false">IF(OR(Q159="",AM159=""),"",60+2*Q159-AM159)</f>
        <v/>
      </c>
      <c r="AO159" s="49" t="str">
        <f aca="false">IF(OR(G159="",AJ159=""),"",AJ159-G159)</f>
        <v/>
      </c>
      <c r="AP159" s="50" t="str">
        <f aca="false">IF(AND(A159="",B159=""),"",IF(J159="","Status needed",IF(OR(J159="Applied",J159="Visit booked",J159="Withdrawn"),"OK",IF(G159="","Date assessed needed",IF(C159="","Date of birth needed",IF(COUNTA(L159,M159,P159,U159,V159,X159,AB159)&lt;7,"Band missing",IF(AND(OR(J159="Decision confirmed",J159="Family told",J159="Enrolled"),AG159=""),"Recommendation needed",IF(AND(OR(J159="Family told",J159="Enrolled"),AJ159=""),"Date family told needed","OK"))))))))</f>
        <v/>
      </c>
    </row>
    <row r="160" customFormat="false" ht="15" hidden="false" customHeight="false" outlineLevel="0" collapsed="false">
      <c r="A160" s="7"/>
      <c r="B160" s="7"/>
      <c r="C160" s="46"/>
      <c r="D160" s="7"/>
      <c r="E160" s="47"/>
      <c r="F160" s="46"/>
      <c r="G160" s="46"/>
      <c r="H160" s="7"/>
      <c r="I160" s="7"/>
      <c r="J160" s="47"/>
      <c r="K160" s="47"/>
      <c r="L160" s="47"/>
      <c r="M160" s="47"/>
      <c r="N160" s="10"/>
      <c r="O160" s="47"/>
      <c r="P160" s="47"/>
      <c r="Q160" s="47"/>
      <c r="R160" s="48" t="str">
        <f aca="false">IF(Q160="","",IF(Q160=0,"below 5:00",IF(Q160&gt;=66,"16:00 or above",INT((60+2*Q160)/12)&amp;":"&amp;TEXT(MOD(60+2*Q160,12),"00"))))</f>
        <v/>
      </c>
      <c r="S160" s="47"/>
      <c r="T160" s="47"/>
      <c r="U160" s="47"/>
      <c r="V160" s="47"/>
      <c r="W160" s="47"/>
      <c r="X160" s="47"/>
      <c r="Y160" s="47"/>
      <c r="Z160" s="47"/>
      <c r="AA160" s="47"/>
      <c r="AB160" s="47"/>
      <c r="AC160" s="47"/>
      <c r="AD160" s="47"/>
      <c r="AE160" s="47"/>
      <c r="AF160" s="47"/>
      <c r="AG160" s="47"/>
      <c r="AH160" s="47"/>
      <c r="AI160" s="46"/>
      <c r="AJ160" s="46"/>
      <c r="AK160" s="46"/>
      <c r="AL160" s="7"/>
      <c r="AM160" s="49" t="str">
        <f aca="false">IF(OR(C160="",G160=""),"",IFERROR(DATEDIF(C160,G160,"m"),""))</f>
        <v/>
      </c>
      <c r="AN160" s="49" t="str">
        <f aca="false">IF(OR(Q160="",AM160=""),"",60+2*Q160-AM160)</f>
        <v/>
      </c>
      <c r="AO160" s="49" t="str">
        <f aca="false">IF(OR(G160="",AJ160=""),"",AJ160-G160)</f>
        <v/>
      </c>
      <c r="AP160" s="50" t="str">
        <f aca="false">IF(AND(A160="",B160=""),"",IF(J160="","Status needed",IF(OR(J160="Applied",J160="Visit booked",J160="Withdrawn"),"OK",IF(G160="","Date assessed needed",IF(C160="","Date of birth needed",IF(COUNTA(L160,M160,P160,U160,V160,X160,AB160)&lt;7,"Band missing",IF(AND(OR(J160="Decision confirmed",J160="Family told",J160="Enrolled"),AG160=""),"Recommendation needed",IF(AND(OR(J160="Family told",J160="Enrolled"),AJ160=""),"Date family told needed","OK"))))))))</f>
        <v/>
      </c>
    </row>
    <row r="161" customFormat="false" ht="15" hidden="false" customHeight="false" outlineLevel="0" collapsed="false">
      <c r="A161" s="7"/>
      <c r="B161" s="7"/>
      <c r="C161" s="46"/>
      <c r="D161" s="7"/>
      <c r="E161" s="47"/>
      <c r="F161" s="46"/>
      <c r="G161" s="46"/>
      <c r="H161" s="7"/>
      <c r="I161" s="7"/>
      <c r="J161" s="47"/>
      <c r="K161" s="47"/>
      <c r="L161" s="47"/>
      <c r="M161" s="47"/>
      <c r="N161" s="10"/>
      <c r="O161" s="47"/>
      <c r="P161" s="47"/>
      <c r="Q161" s="47"/>
      <c r="R161" s="48" t="str">
        <f aca="false">IF(Q161="","",IF(Q161=0,"below 5:00",IF(Q161&gt;=66,"16:00 or above",INT((60+2*Q161)/12)&amp;":"&amp;TEXT(MOD(60+2*Q161,12),"00"))))</f>
        <v/>
      </c>
      <c r="S161" s="47"/>
      <c r="T161" s="47"/>
      <c r="U161" s="47"/>
      <c r="V161" s="47"/>
      <c r="W161" s="47"/>
      <c r="X161" s="47"/>
      <c r="Y161" s="47"/>
      <c r="Z161" s="47"/>
      <c r="AA161" s="47"/>
      <c r="AB161" s="47"/>
      <c r="AC161" s="47"/>
      <c r="AD161" s="47"/>
      <c r="AE161" s="47"/>
      <c r="AF161" s="47"/>
      <c r="AG161" s="47"/>
      <c r="AH161" s="47"/>
      <c r="AI161" s="46"/>
      <c r="AJ161" s="46"/>
      <c r="AK161" s="46"/>
      <c r="AL161" s="7"/>
      <c r="AM161" s="49" t="str">
        <f aca="false">IF(OR(C161="",G161=""),"",IFERROR(DATEDIF(C161,G161,"m"),""))</f>
        <v/>
      </c>
      <c r="AN161" s="49" t="str">
        <f aca="false">IF(OR(Q161="",AM161=""),"",60+2*Q161-AM161)</f>
        <v/>
      </c>
      <c r="AO161" s="49" t="str">
        <f aca="false">IF(OR(G161="",AJ161=""),"",AJ161-G161)</f>
        <v/>
      </c>
      <c r="AP161" s="50" t="str">
        <f aca="false">IF(AND(A161="",B161=""),"",IF(J161="","Status needed",IF(OR(J161="Applied",J161="Visit booked",J161="Withdrawn"),"OK",IF(G161="","Date assessed needed",IF(C161="","Date of birth needed",IF(COUNTA(L161,M161,P161,U161,V161,X161,AB161)&lt;7,"Band missing",IF(AND(OR(J161="Decision confirmed",J161="Family told",J161="Enrolled"),AG161=""),"Recommendation needed",IF(AND(OR(J161="Family told",J161="Enrolled"),AJ161=""),"Date family told needed","OK"))))))))</f>
        <v/>
      </c>
    </row>
    <row r="162" customFormat="false" ht="15" hidden="false" customHeight="false" outlineLevel="0" collapsed="false">
      <c r="A162" s="7"/>
      <c r="B162" s="7"/>
      <c r="C162" s="46"/>
      <c r="D162" s="7"/>
      <c r="E162" s="47"/>
      <c r="F162" s="46"/>
      <c r="G162" s="46"/>
      <c r="H162" s="7"/>
      <c r="I162" s="7"/>
      <c r="J162" s="47"/>
      <c r="K162" s="47"/>
      <c r="L162" s="47"/>
      <c r="M162" s="47"/>
      <c r="N162" s="10"/>
      <c r="O162" s="47"/>
      <c r="P162" s="47"/>
      <c r="Q162" s="47"/>
      <c r="R162" s="48" t="str">
        <f aca="false">IF(Q162="","",IF(Q162=0,"below 5:00",IF(Q162&gt;=66,"16:00 or above",INT((60+2*Q162)/12)&amp;":"&amp;TEXT(MOD(60+2*Q162,12),"00"))))</f>
        <v/>
      </c>
      <c r="S162" s="47"/>
      <c r="T162" s="47"/>
      <c r="U162" s="47"/>
      <c r="V162" s="47"/>
      <c r="W162" s="47"/>
      <c r="X162" s="47"/>
      <c r="Y162" s="47"/>
      <c r="Z162" s="47"/>
      <c r="AA162" s="47"/>
      <c r="AB162" s="47"/>
      <c r="AC162" s="47"/>
      <c r="AD162" s="47"/>
      <c r="AE162" s="47"/>
      <c r="AF162" s="47"/>
      <c r="AG162" s="47"/>
      <c r="AH162" s="47"/>
      <c r="AI162" s="46"/>
      <c r="AJ162" s="46"/>
      <c r="AK162" s="46"/>
      <c r="AL162" s="7"/>
      <c r="AM162" s="49" t="str">
        <f aca="false">IF(OR(C162="",G162=""),"",IFERROR(DATEDIF(C162,G162,"m"),""))</f>
        <v/>
      </c>
      <c r="AN162" s="49" t="str">
        <f aca="false">IF(OR(Q162="",AM162=""),"",60+2*Q162-AM162)</f>
        <v/>
      </c>
      <c r="AO162" s="49" t="str">
        <f aca="false">IF(OR(G162="",AJ162=""),"",AJ162-G162)</f>
        <v/>
      </c>
      <c r="AP162" s="50" t="str">
        <f aca="false">IF(AND(A162="",B162=""),"",IF(J162="","Status needed",IF(OR(J162="Applied",J162="Visit booked",J162="Withdrawn"),"OK",IF(G162="","Date assessed needed",IF(C162="","Date of birth needed",IF(COUNTA(L162,M162,P162,U162,V162,X162,AB162)&lt;7,"Band missing",IF(AND(OR(J162="Decision confirmed",J162="Family told",J162="Enrolled"),AG162=""),"Recommendation needed",IF(AND(OR(J162="Family told",J162="Enrolled"),AJ162=""),"Date family told needed","OK"))))))))</f>
        <v/>
      </c>
    </row>
    <row r="163" customFormat="false" ht="15" hidden="false" customHeight="false" outlineLevel="0" collapsed="false">
      <c r="A163" s="7"/>
      <c r="B163" s="7"/>
      <c r="C163" s="46"/>
      <c r="D163" s="7"/>
      <c r="E163" s="47"/>
      <c r="F163" s="46"/>
      <c r="G163" s="46"/>
      <c r="H163" s="7"/>
      <c r="I163" s="7"/>
      <c r="J163" s="47"/>
      <c r="K163" s="47"/>
      <c r="L163" s="47"/>
      <c r="M163" s="47"/>
      <c r="N163" s="10"/>
      <c r="O163" s="47"/>
      <c r="P163" s="47"/>
      <c r="Q163" s="47"/>
      <c r="R163" s="48" t="str">
        <f aca="false">IF(Q163="","",IF(Q163=0,"below 5:00",IF(Q163&gt;=66,"16:00 or above",INT((60+2*Q163)/12)&amp;":"&amp;TEXT(MOD(60+2*Q163,12),"00"))))</f>
        <v/>
      </c>
      <c r="S163" s="47"/>
      <c r="T163" s="47"/>
      <c r="U163" s="47"/>
      <c r="V163" s="47"/>
      <c r="W163" s="47"/>
      <c r="X163" s="47"/>
      <c r="Y163" s="47"/>
      <c r="Z163" s="47"/>
      <c r="AA163" s="47"/>
      <c r="AB163" s="47"/>
      <c r="AC163" s="47"/>
      <c r="AD163" s="47"/>
      <c r="AE163" s="47"/>
      <c r="AF163" s="47"/>
      <c r="AG163" s="47"/>
      <c r="AH163" s="47"/>
      <c r="AI163" s="46"/>
      <c r="AJ163" s="46"/>
      <c r="AK163" s="46"/>
      <c r="AL163" s="7"/>
      <c r="AM163" s="49" t="str">
        <f aca="false">IF(OR(C163="",G163=""),"",IFERROR(DATEDIF(C163,G163,"m"),""))</f>
        <v/>
      </c>
      <c r="AN163" s="49" t="str">
        <f aca="false">IF(OR(Q163="",AM163=""),"",60+2*Q163-AM163)</f>
        <v/>
      </c>
      <c r="AO163" s="49" t="str">
        <f aca="false">IF(OR(G163="",AJ163=""),"",AJ163-G163)</f>
        <v/>
      </c>
      <c r="AP163" s="50" t="str">
        <f aca="false">IF(AND(A163="",B163=""),"",IF(J163="","Status needed",IF(OR(J163="Applied",J163="Visit booked",J163="Withdrawn"),"OK",IF(G163="","Date assessed needed",IF(C163="","Date of birth needed",IF(COUNTA(L163,M163,P163,U163,V163,X163,AB163)&lt;7,"Band missing",IF(AND(OR(J163="Decision confirmed",J163="Family told",J163="Enrolled"),AG163=""),"Recommendation needed",IF(AND(OR(J163="Family told",J163="Enrolled"),AJ163=""),"Date family told needed","OK"))))))))</f>
        <v/>
      </c>
    </row>
    <row r="164" customFormat="false" ht="15" hidden="false" customHeight="false" outlineLevel="0" collapsed="false">
      <c r="A164" s="7"/>
      <c r="B164" s="7"/>
      <c r="C164" s="46"/>
      <c r="D164" s="7"/>
      <c r="E164" s="47"/>
      <c r="F164" s="46"/>
      <c r="G164" s="46"/>
      <c r="H164" s="7"/>
      <c r="I164" s="7"/>
      <c r="J164" s="47"/>
      <c r="K164" s="47"/>
      <c r="L164" s="47"/>
      <c r="M164" s="47"/>
      <c r="N164" s="10"/>
      <c r="O164" s="47"/>
      <c r="P164" s="47"/>
      <c r="Q164" s="47"/>
      <c r="R164" s="48" t="str">
        <f aca="false">IF(Q164="","",IF(Q164=0,"below 5:00",IF(Q164&gt;=66,"16:00 or above",INT((60+2*Q164)/12)&amp;":"&amp;TEXT(MOD(60+2*Q164,12),"00"))))</f>
        <v/>
      </c>
      <c r="S164" s="47"/>
      <c r="T164" s="47"/>
      <c r="U164" s="47"/>
      <c r="V164" s="47"/>
      <c r="W164" s="47"/>
      <c r="X164" s="47"/>
      <c r="Y164" s="47"/>
      <c r="Z164" s="47"/>
      <c r="AA164" s="47"/>
      <c r="AB164" s="47"/>
      <c r="AC164" s="47"/>
      <c r="AD164" s="47"/>
      <c r="AE164" s="47"/>
      <c r="AF164" s="47"/>
      <c r="AG164" s="47"/>
      <c r="AH164" s="47"/>
      <c r="AI164" s="46"/>
      <c r="AJ164" s="46"/>
      <c r="AK164" s="46"/>
      <c r="AL164" s="7"/>
      <c r="AM164" s="49" t="str">
        <f aca="false">IF(OR(C164="",G164=""),"",IFERROR(DATEDIF(C164,G164,"m"),""))</f>
        <v/>
      </c>
      <c r="AN164" s="49" t="str">
        <f aca="false">IF(OR(Q164="",AM164=""),"",60+2*Q164-AM164)</f>
        <v/>
      </c>
      <c r="AO164" s="49" t="str">
        <f aca="false">IF(OR(G164="",AJ164=""),"",AJ164-G164)</f>
        <v/>
      </c>
      <c r="AP164" s="50" t="str">
        <f aca="false">IF(AND(A164="",B164=""),"",IF(J164="","Status needed",IF(OR(J164="Applied",J164="Visit booked",J164="Withdrawn"),"OK",IF(G164="","Date assessed needed",IF(C164="","Date of birth needed",IF(COUNTA(L164,M164,P164,U164,V164,X164,AB164)&lt;7,"Band missing",IF(AND(OR(J164="Decision confirmed",J164="Family told",J164="Enrolled"),AG164=""),"Recommendation needed",IF(AND(OR(J164="Family told",J164="Enrolled"),AJ164=""),"Date family told needed","OK"))))))))</f>
        <v/>
      </c>
    </row>
    <row r="165" customFormat="false" ht="15" hidden="false" customHeight="false" outlineLevel="0" collapsed="false">
      <c r="A165" s="7"/>
      <c r="B165" s="7"/>
      <c r="C165" s="46"/>
      <c r="D165" s="7"/>
      <c r="E165" s="47"/>
      <c r="F165" s="46"/>
      <c r="G165" s="46"/>
      <c r="H165" s="7"/>
      <c r="I165" s="7"/>
      <c r="J165" s="47"/>
      <c r="K165" s="47"/>
      <c r="L165" s="47"/>
      <c r="M165" s="47"/>
      <c r="N165" s="10"/>
      <c r="O165" s="47"/>
      <c r="P165" s="47"/>
      <c r="Q165" s="47"/>
      <c r="R165" s="48" t="str">
        <f aca="false">IF(Q165="","",IF(Q165=0,"below 5:00",IF(Q165&gt;=66,"16:00 or above",INT((60+2*Q165)/12)&amp;":"&amp;TEXT(MOD(60+2*Q165,12),"00"))))</f>
        <v/>
      </c>
      <c r="S165" s="47"/>
      <c r="T165" s="47"/>
      <c r="U165" s="47"/>
      <c r="V165" s="47"/>
      <c r="W165" s="47"/>
      <c r="X165" s="47"/>
      <c r="Y165" s="47"/>
      <c r="Z165" s="47"/>
      <c r="AA165" s="47"/>
      <c r="AB165" s="47"/>
      <c r="AC165" s="47"/>
      <c r="AD165" s="47"/>
      <c r="AE165" s="47"/>
      <c r="AF165" s="47"/>
      <c r="AG165" s="47"/>
      <c r="AH165" s="47"/>
      <c r="AI165" s="46"/>
      <c r="AJ165" s="46"/>
      <c r="AK165" s="46"/>
      <c r="AL165" s="7"/>
      <c r="AM165" s="49" t="str">
        <f aca="false">IF(OR(C165="",G165=""),"",IFERROR(DATEDIF(C165,G165,"m"),""))</f>
        <v/>
      </c>
      <c r="AN165" s="49" t="str">
        <f aca="false">IF(OR(Q165="",AM165=""),"",60+2*Q165-AM165)</f>
        <v/>
      </c>
      <c r="AO165" s="49" t="str">
        <f aca="false">IF(OR(G165="",AJ165=""),"",AJ165-G165)</f>
        <v/>
      </c>
      <c r="AP165" s="50" t="str">
        <f aca="false">IF(AND(A165="",B165=""),"",IF(J165="","Status needed",IF(OR(J165="Applied",J165="Visit booked",J165="Withdrawn"),"OK",IF(G165="","Date assessed needed",IF(C165="","Date of birth needed",IF(COUNTA(L165,M165,P165,U165,V165,X165,AB165)&lt;7,"Band missing",IF(AND(OR(J165="Decision confirmed",J165="Family told",J165="Enrolled"),AG165=""),"Recommendation needed",IF(AND(OR(J165="Family told",J165="Enrolled"),AJ165=""),"Date family told needed","OK"))))))))</f>
        <v/>
      </c>
    </row>
    <row r="166" customFormat="false" ht="15" hidden="false" customHeight="false" outlineLevel="0" collapsed="false">
      <c r="A166" s="7"/>
      <c r="B166" s="7"/>
      <c r="C166" s="46"/>
      <c r="D166" s="7"/>
      <c r="E166" s="47"/>
      <c r="F166" s="46"/>
      <c r="G166" s="46"/>
      <c r="H166" s="7"/>
      <c r="I166" s="7"/>
      <c r="J166" s="47"/>
      <c r="K166" s="47"/>
      <c r="L166" s="47"/>
      <c r="M166" s="47"/>
      <c r="N166" s="10"/>
      <c r="O166" s="47"/>
      <c r="P166" s="47"/>
      <c r="Q166" s="47"/>
      <c r="R166" s="48" t="str">
        <f aca="false">IF(Q166="","",IF(Q166=0,"below 5:00",IF(Q166&gt;=66,"16:00 or above",INT((60+2*Q166)/12)&amp;":"&amp;TEXT(MOD(60+2*Q166,12),"00"))))</f>
        <v/>
      </c>
      <c r="S166" s="47"/>
      <c r="T166" s="47"/>
      <c r="U166" s="47"/>
      <c r="V166" s="47"/>
      <c r="W166" s="47"/>
      <c r="X166" s="47"/>
      <c r="Y166" s="47"/>
      <c r="Z166" s="47"/>
      <c r="AA166" s="47"/>
      <c r="AB166" s="47"/>
      <c r="AC166" s="47"/>
      <c r="AD166" s="47"/>
      <c r="AE166" s="47"/>
      <c r="AF166" s="47"/>
      <c r="AG166" s="47"/>
      <c r="AH166" s="47"/>
      <c r="AI166" s="46"/>
      <c r="AJ166" s="46"/>
      <c r="AK166" s="46"/>
      <c r="AL166" s="7"/>
      <c r="AM166" s="49" t="str">
        <f aca="false">IF(OR(C166="",G166=""),"",IFERROR(DATEDIF(C166,G166,"m"),""))</f>
        <v/>
      </c>
      <c r="AN166" s="49" t="str">
        <f aca="false">IF(OR(Q166="",AM166=""),"",60+2*Q166-AM166)</f>
        <v/>
      </c>
      <c r="AO166" s="49" t="str">
        <f aca="false">IF(OR(G166="",AJ166=""),"",AJ166-G166)</f>
        <v/>
      </c>
      <c r="AP166" s="50" t="str">
        <f aca="false">IF(AND(A166="",B166=""),"",IF(J166="","Status needed",IF(OR(J166="Applied",J166="Visit booked",J166="Withdrawn"),"OK",IF(G166="","Date assessed needed",IF(C166="","Date of birth needed",IF(COUNTA(L166,M166,P166,U166,V166,X166,AB166)&lt;7,"Band missing",IF(AND(OR(J166="Decision confirmed",J166="Family told",J166="Enrolled"),AG166=""),"Recommendation needed",IF(AND(OR(J166="Family told",J166="Enrolled"),AJ166=""),"Date family told needed","OK"))))))))</f>
        <v/>
      </c>
    </row>
    <row r="167" customFormat="false" ht="15" hidden="false" customHeight="false" outlineLevel="0" collapsed="false">
      <c r="A167" s="7"/>
      <c r="B167" s="7"/>
      <c r="C167" s="46"/>
      <c r="D167" s="7"/>
      <c r="E167" s="47"/>
      <c r="F167" s="46"/>
      <c r="G167" s="46"/>
      <c r="H167" s="7"/>
      <c r="I167" s="7"/>
      <c r="J167" s="47"/>
      <c r="K167" s="47"/>
      <c r="L167" s="47"/>
      <c r="M167" s="47"/>
      <c r="N167" s="10"/>
      <c r="O167" s="47"/>
      <c r="P167" s="47"/>
      <c r="Q167" s="47"/>
      <c r="R167" s="48" t="str">
        <f aca="false">IF(Q167="","",IF(Q167=0,"below 5:00",IF(Q167&gt;=66,"16:00 or above",INT((60+2*Q167)/12)&amp;":"&amp;TEXT(MOD(60+2*Q167,12),"00"))))</f>
        <v/>
      </c>
      <c r="S167" s="47"/>
      <c r="T167" s="47"/>
      <c r="U167" s="47"/>
      <c r="V167" s="47"/>
      <c r="W167" s="47"/>
      <c r="X167" s="47"/>
      <c r="Y167" s="47"/>
      <c r="Z167" s="47"/>
      <c r="AA167" s="47"/>
      <c r="AB167" s="47"/>
      <c r="AC167" s="47"/>
      <c r="AD167" s="47"/>
      <c r="AE167" s="47"/>
      <c r="AF167" s="47"/>
      <c r="AG167" s="47"/>
      <c r="AH167" s="47"/>
      <c r="AI167" s="46"/>
      <c r="AJ167" s="46"/>
      <c r="AK167" s="46"/>
      <c r="AL167" s="7"/>
      <c r="AM167" s="49" t="str">
        <f aca="false">IF(OR(C167="",G167=""),"",IFERROR(DATEDIF(C167,G167,"m"),""))</f>
        <v/>
      </c>
      <c r="AN167" s="49" t="str">
        <f aca="false">IF(OR(Q167="",AM167=""),"",60+2*Q167-AM167)</f>
        <v/>
      </c>
      <c r="AO167" s="49" t="str">
        <f aca="false">IF(OR(G167="",AJ167=""),"",AJ167-G167)</f>
        <v/>
      </c>
      <c r="AP167" s="50" t="str">
        <f aca="false">IF(AND(A167="",B167=""),"",IF(J167="","Status needed",IF(OR(J167="Applied",J167="Visit booked",J167="Withdrawn"),"OK",IF(G167="","Date assessed needed",IF(C167="","Date of birth needed",IF(COUNTA(L167,M167,P167,U167,V167,X167,AB167)&lt;7,"Band missing",IF(AND(OR(J167="Decision confirmed",J167="Family told",J167="Enrolled"),AG167=""),"Recommendation needed",IF(AND(OR(J167="Family told",J167="Enrolled"),AJ167=""),"Date family told needed","OK"))))))))</f>
        <v/>
      </c>
    </row>
    <row r="168" customFormat="false" ht="15" hidden="false" customHeight="false" outlineLevel="0" collapsed="false">
      <c r="A168" s="7"/>
      <c r="B168" s="7"/>
      <c r="C168" s="46"/>
      <c r="D168" s="7"/>
      <c r="E168" s="47"/>
      <c r="F168" s="46"/>
      <c r="G168" s="46"/>
      <c r="H168" s="7"/>
      <c r="I168" s="7"/>
      <c r="J168" s="47"/>
      <c r="K168" s="47"/>
      <c r="L168" s="47"/>
      <c r="M168" s="47"/>
      <c r="N168" s="10"/>
      <c r="O168" s="47"/>
      <c r="P168" s="47"/>
      <c r="Q168" s="47"/>
      <c r="R168" s="48" t="str">
        <f aca="false">IF(Q168="","",IF(Q168=0,"below 5:00",IF(Q168&gt;=66,"16:00 or above",INT((60+2*Q168)/12)&amp;":"&amp;TEXT(MOD(60+2*Q168,12),"00"))))</f>
        <v/>
      </c>
      <c r="S168" s="47"/>
      <c r="T168" s="47"/>
      <c r="U168" s="47"/>
      <c r="V168" s="47"/>
      <c r="W168" s="47"/>
      <c r="X168" s="47"/>
      <c r="Y168" s="47"/>
      <c r="Z168" s="47"/>
      <c r="AA168" s="47"/>
      <c r="AB168" s="47"/>
      <c r="AC168" s="47"/>
      <c r="AD168" s="47"/>
      <c r="AE168" s="47"/>
      <c r="AF168" s="47"/>
      <c r="AG168" s="47"/>
      <c r="AH168" s="47"/>
      <c r="AI168" s="46"/>
      <c r="AJ168" s="46"/>
      <c r="AK168" s="46"/>
      <c r="AL168" s="7"/>
      <c r="AM168" s="49" t="str">
        <f aca="false">IF(OR(C168="",G168=""),"",IFERROR(DATEDIF(C168,G168,"m"),""))</f>
        <v/>
      </c>
      <c r="AN168" s="49" t="str">
        <f aca="false">IF(OR(Q168="",AM168=""),"",60+2*Q168-AM168)</f>
        <v/>
      </c>
      <c r="AO168" s="49" t="str">
        <f aca="false">IF(OR(G168="",AJ168=""),"",AJ168-G168)</f>
        <v/>
      </c>
      <c r="AP168" s="50" t="str">
        <f aca="false">IF(AND(A168="",B168=""),"",IF(J168="","Status needed",IF(OR(J168="Applied",J168="Visit booked",J168="Withdrawn"),"OK",IF(G168="","Date assessed needed",IF(C168="","Date of birth needed",IF(COUNTA(L168,M168,P168,U168,V168,X168,AB168)&lt;7,"Band missing",IF(AND(OR(J168="Decision confirmed",J168="Family told",J168="Enrolled"),AG168=""),"Recommendation needed",IF(AND(OR(J168="Family told",J168="Enrolled"),AJ168=""),"Date family told needed","OK"))))))))</f>
        <v/>
      </c>
    </row>
    <row r="169" customFormat="false" ht="15" hidden="false" customHeight="false" outlineLevel="0" collapsed="false">
      <c r="A169" s="7"/>
      <c r="B169" s="7"/>
      <c r="C169" s="46"/>
      <c r="D169" s="7"/>
      <c r="E169" s="47"/>
      <c r="F169" s="46"/>
      <c r="G169" s="46"/>
      <c r="H169" s="7"/>
      <c r="I169" s="7"/>
      <c r="J169" s="47"/>
      <c r="K169" s="47"/>
      <c r="L169" s="47"/>
      <c r="M169" s="47"/>
      <c r="N169" s="10"/>
      <c r="O169" s="47"/>
      <c r="P169" s="47"/>
      <c r="Q169" s="47"/>
      <c r="R169" s="48" t="str">
        <f aca="false">IF(Q169="","",IF(Q169=0,"below 5:00",IF(Q169&gt;=66,"16:00 or above",INT((60+2*Q169)/12)&amp;":"&amp;TEXT(MOD(60+2*Q169,12),"00"))))</f>
        <v/>
      </c>
      <c r="S169" s="47"/>
      <c r="T169" s="47"/>
      <c r="U169" s="47"/>
      <c r="V169" s="47"/>
      <c r="W169" s="47"/>
      <c r="X169" s="47"/>
      <c r="Y169" s="47"/>
      <c r="Z169" s="47"/>
      <c r="AA169" s="47"/>
      <c r="AB169" s="47"/>
      <c r="AC169" s="47"/>
      <c r="AD169" s="47"/>
      <c r="AE169" s="47"/>
      <c r="AF169" s="47"/>
      <c r="AG169" s="47"/>
      <c r="AH169" s="47"/>
      <c r="AI169" s="46"/>
      <c r="AJ169" s="46"/>
      <c r="AK169" s="46"/>
      <c r="AL169" s="7"/>
      <c r="AM169" s="49" t="str">
        <f aca="false">IF(OR(C169="",G169=""),"",IFERROR(DATEDIF(C169,G169,"m"),""))</f>
        <v/>
      </c>
      <c r="AN169" s="49" t="str">
        <f aca="false">IF(OR(Q169="",AM169=""),"",60+2*Q169-AM169)</f>
        <v/>
      </c>
      <c r="AO169" s="49" t="str">
        <f aca="false">IF(OR(G169="",AJ169=""),"",AJ169-G169)</f>
        <v/>
      </c>
      <c r="AP169" s="50" t="str">
        <f aca="false">IF(AND(A169="",B169=""),"",IF(J169="","Status needed",IF(OR(J169="Applied",J169="Visit booked",J169="Withdrawn"),"OK",IF(G169="","Date assessed needed",IF(C169="","Date of birth needed",IF(COUNTA(L169,M169,P169,U169,V169,X169,AB169)&lt;7,"Band missing",IF(AND(OR(J169="Decision confirmed",J169="Family told",J169="Enrolled"),AG169=""),"Recommendation needed",IF(AND(OR(J169="Family told",J169="Enrolled"),AJ169=""),"Date family told needed","OK"))))))))</f>
        <v/>
      </c>
    </row>
    <row r="170" customFormat="false" ht="15" hidden="false" customHeight="false" outlineLevel="0" collapsed="false">
      <c r="A170" s="7"/>
      <c r="B170" s="7"/>
      <c r="C170" s="46"/>
      <c r="D170" s="7"/>
      <c r="E170" s="47"/>
      <c r="F170" s="46"/>
      <c r="G170" s="46"/>
      <c r="H170" s="7"/>
      <c r="I170" s="7"/>
      <c r="J170" s="47"/>
      <c r="K170" s="47"/>
      <c r="L170" s="47"/>
      <c r="M170" s="47"/>
      <c r="N170" s="10"/>
      <c r="O170" s="47"/>
      <c r="P170" s="47"/>
      <c r="Q170" s="47"/>
      <c r="R170" s="48" t="str">
        <f aca="false">IF(Q170="","",IF(Q170=0,"below 5:00",IF(Q170&gt;=66,"16:00 or above",INT((60+2*Q170)/12)&amp;":"&amp;TEXT(MOD(60+2*Q170,12),"00"))))</f>
        <v/>
      </c>
      <c r="S170" s="47"/>
      <c r="T170" s="47"/>
      <c r="U170" s="47"/>
      <c r="V170" s="47"/>
      <c r="W170" s="47"/>
      <c r="X170" s="47"/>
      <c r="Y170" s="47"/>
      <c r="Z170" s="47"/>
      <c r="AA170" s="47"/>
      <c r="AB170" s="47"/>
      <c r="AC170" s="47"/>
      <c r="AD170" s="47"/>
      <c r="AE170" s="47"/>
      <c r="AF170" s="47"/>
      <c r="AG170" s="47"/>
      <c r="AH170" s="47"/>
      <c r="AI170" s="46"/>
      <c r="AJ170" s="46"/>
      <c r="AK170" s="46"/>
      <c r="AL170" s="7"/>
      <c r="AM170" s="49" t="str">
        <f aca="false">IF(OR(C170="",G170=""),"",IFERROR(DATEDIF(C170,G170,"m"),""))</f>
        <v/>
      </c>
      <c r="AN170" s="49" t="str">
        <f aca="false">IF(OR(Q170="",AM170=""),"",60+2*Q170-AM170)</f>
        <v/>
      </c>
      <c r="AO170" s="49" t="str">
        <f aca="false">IF(OR(G170="",AJ170=""),"",AJ170-G170)</f>
        <v/>
      </c>
      <c r="AP170" s="50" t="str">
        <f aca="false">IF(AND(A170="",B170=""),"",IF(J170="","Status needed",IF(OR(J170="Applied",J170="Visit booked",J170="Withdrawn"),"OK",IF(G170="","Date assessed needed",IF(C170="","Date of birth needed",IF(COUNTA(L170,M170,P170,U170,V170,X170,AB170)&lt;7,"Band missing",IF(AND(OR(J170="Decision confirmed",J170="Family told",J170="Enrolled"),AG170=""),"Recommendation needed",IF(AND(OR(J170="Family told",J170="Enrolled"),AJ170=""),"Date family told needed","OK"))))))))</f>
        <v/>
      </c>
    </row>
    <row r="171" customFormat="false" ht="15" hidden="false" customHeight="false" outlineLevel="0" collapsed="false">
      <c r="A171" s="7"/>
      <c r="B171" s="7"/>
      <c r="C171" s="46"/>
      <c r="D171" s="7"/>
      <c r="E171" s="47"/>
      <c r="F171" s="46"/>
      <c r="G171" s="46"/>
      <c r="H171" s="7"/>
      <c r="I171" s="7"/>
      <c r="J171" s="47"/>
      <c r="K171" s="47"/>
      <c r="L171" s="47"/>
      <c r="M171" s="47"/>
      <c r="N171" s="10"/>
      <c r="O171" s="47"/>
      <c r="P171" s="47"/>
      <c r="Q171" s="47"/>
      <c r="R171" s="48" t="str">
        <f aca="false">IF(Q171="","",IF(Q171=0,"below 5:00",IF(Q171&gt;=66,"16:00 or above",INT((60+2*Q171)/12)&amp;":"&amp;TEXT(MOD(60+2*Q171,12),"00"))))</f>
        <v/>
      </c>
      <c r="S171" s="47"/>
      <c r="T171" s="47"/>
      <c r="U171" s="47"/>
      <c r="V171" s="47"/>
      <c r="W171" s="47"/>
      <c r="X171" s="47"/>
      <c r="Y171" s="47"/>
      <c r="Z171" s="47"/>
      <c r="AA171" s="47"/>
      <c r="AB171" s="47"/>
      <c r="AC171" s="47"/>
      <c r="AD171" s="47"/>
      <c r="AE171" s="47"/>
      <c r="AF171" s="47"/>
      <c r="AG171" s="47"/>
      <c r="AH171" s="47"/>
      <c r="AI171" s="46"/>
      <c r="AJ171" s="46"/>
      <c r="AK171" s="46"/>
      <c r="AL171" s="7"/>
      <c r="AM171" s="49" t="str">
        <f aca="false">IF(OR(C171="",G171=""),"",IFERROR(DATEDIF(C171,G171,"m"),""))</f>
        <v/>
      </c>
      <c r="AN171" s="49" t="str">
        <f aca="false">IF(OR(Q171="",AM171=""),"",60+2*Q171-AM171)</f>
        <v/>
      </c>
      <c r="AO171" s="49" t="str">
        <f aca="false">IF(OR(G171="",AJ171=""),"",AJ171-G171)</f>
        <v/>
      </c>
      <c r="AP171" s="50" t="str">
        <f aca="false">IF(AND(A171="",B171=""),"",IF(J171="","Status needed",IF(OR(J171="Applied",J171="Visit booked",J171="Withdrawn"),"OK",IF(G171="","Date assessed needed",IF(C171="","Date of birth needed",IF(COUNTA(L171,M171,P171,U171,V171,X171,AB171)&lt;7,"Band missing",IF(AND(OR(J171="Decision confirmed",J171="Family told",J171="Enrolled"),AG171=""),"Recommendation needed",IF(AND(OR(J171="Family told",J171="Enrolled"),AJ171=""),"Date family told needed","OK"))))))))</f>
        <v/>
      </c>
    </row>
    <row r="172" customFormat="false" ht="15" hidden="false" customHeight="false" outlineLevel="0" collapsed="false">
      <c r="A172" s="7"/>
      <c r="B172" s="7"/>
      <c r="C172" s="46"/>
      <c r="D172" s="7"/>
      <c r="E172" s="47"/>
      <c r="F172" s="46"/>
      <c r="G172" s="46"/>
      <c r="H172" s="7"/>
      <c r="I172" s="7"/>
      <c r="J172" s="47"/>
      <c r="K172" s="47"/>
      <c r="L172" s="47"/>
      <c r="M172" s="47"/>
      <c r="N172" s="10"/>
      <c r="O172" s="47"/>
      <c r="P172" s="47"/>
      <c r="Q172" s="47"/>
      <c r="R172" s="48" t="str">
        <f aca="false">IF(Q172="","",IF(Q172=0,"below 5:00",IF(Q172&gt;=66,"16:00 or above",INT((60+2*Q172)/12)&amp;":"&amp;TEXT(MOD(60+2*Q172,12),"00"))))</f>
        <v/>
      </c>
      <c r="S172" s="47"/>
      <c r="T172" s="47"/>
      <c r="U172" s="47"/>
      <c r="V172" s="47"/>
      <c r="W172" s="47"/>
      <c r="X172" s="47"/>
      <c r="Y172" s="47"/>
      <c r="Z172" s="47"/>
      <c r="AA172" s="47"/>
      <c r="AB172" s="47"/>
      <c r="AC172" s="47"/>
      <c r="AD172" s="47"/>
      <c r="AE172" s="47"/>
      <c r="AF172" s="47"/>
      <c r="AG172" s="47"/>
      <c r="AH172" s="47"/>
      <c r="AI172" s="46"/>
      <c r="AJ172" s="46"/>
      <c r="AK172" s="46"/>
      <c r="AL172" s="7"/>
      <c r="AM172" s="49" t="str">
        <f aca="false">IF(OR(C172="",G172=""),"",IFERROR(DATEDIF(C172,G172,"m"),""))</f>
        <v/>
      </c>
      <c r="AN172" s="49" t="str">
        <f aca="false">IF(OR(Q172="",AM172=""),"",60+2*Q172-AM172)</f>
        <v/>
      </c>
      <c r="AO172" s="49" t="str">
        <f aca="false">IF(OR(G172="",AJ172=""),"",AJ172-G172)</f>
        <v/>
      </c>
      <c r="AP172" s="50" t="str">
        <f aca="false">IF(AND(A172="",B172=""),"",IF(J172="","Status needed",IF(OR(J172="Applied",J172="Visit booked",J172="Withdrawn"),"OK",IF(G172="","Date assessed needed",IF(C172="","Date of birth needed",IF(COUNTA(L172,M172,P172,U172,V172,X172,AB172)&lt;7,"Band missing",IF(AND(OR(J172="Decision confirmed",J172="Family told",J172="Enrolled"),AG172=""),"Recommendation needed",IF(AND(OR(J172="Family told",J172="Enrolled"),AJ172=""),"Date family told needed","OK"))))))))</f>
        <v/>
      </c>
    </row>
    <row r="173" customFormat="false" ht="15" hidden="false" customHeight="false" outlineLevel="0" collapsed="false">
      <c r="A173" s="7"/>
      <c r="B173" s="7"/>
      <c r="C173" s="46"/>
      <c r="D173" s="7"/>
      <c r="E173" s="47"/>
      <c r="F173" s="46"/>
      <c r="G173" s="46"/>
      <c r="H173" s="7"/>
      <c r="I173" s="7"/>
      <c r="J173" s="47"/>
      <c r="K173" s="47"/>
      <c r="L173" s="47"/>
      <c r="M173" s="47"/>
      <c r="N173" s="10"/>
      <c r="O173" s="47"/>
      <c r="P173" s="47"/>
      <c r="Q173" s="47"/>
      <c r="R173" s="48" t="str">
        <f aca="false">IF(Q173="","",IF(Q173=0,"below 5:00",IF(Q173&gt;=66,"16:00 or above",INT((60+2*Q173)/12)&amp;":"&amp;TEXT(MOD(60+2*Q173,12),"00"))))</f>
        <v/>
      </c>
      <c r="S173" s="47"/>
      <c r="T173" s="47"/>
      <c r="U173" s="47"/>
      <c r="V173" s="47"/>
      <c r="W173" s="47"/>
      <c r="X173" s="47"/>
      <c r="Y173" s="47"/>
      <c r="Z173" s="47"/>
      <c r="AA173" s="47"/>
      <c r="AB173" s="47"/>
      <c r="AC173" s="47"/>
      <c r="AD173" s="47"/>
      <c r="AE173" s="47"/>
      <c r="AF173" s="47"/>
      <c r="AG173" s="47"/>
      <c r="AH173" s="47"/>
      <c r="AI173" s="46"/>
      <c r="AJ173" s="46"/>
      <c r="AK173" s="46"/>
      <c r="AL173" s="7"/>
      <c r="AM173" s="49" t="str">
        <f aca="false">IF(OR(C173="",G173=""),"",IFERROR(DATEDIF(C173,G173,"m"),""))</f>
        <v/>
      </c>
      <c r="AN173" s="49" t="str">
        <f aca="false">IF(OR(Q173="",AM173=""),"",60+2*Q173-AM173)</f>
        <v/>
      </c>
      <c r="AO173" s="49" t="str">
        <f aca="false">IF(OR(G173="",AJ173=""),"",AJ173-G173)</f>
        <v/>
      </c>
      <c r="AP173" s="50" t="str">
        <f aca="false">IF(AND(A173="",B173=""),"",IF(J173="","Status needed",IF(OR(J173="Applied",J173="Visit booked",J173="Withdrawn"),"OK",IF(G173="","Date assessed needed",IF(C173="","Date of birth needed",IF(COUNTA(L173,M173,P173,U173,V173,X173,AB173)&lt;7,"Band missing",IF(AND(OR(J173="Decision confirmed",J173="Family told",J173="Enrolled"),AG173=""),"Recommendation needed",IF(AND(OR(J173="Family told",J173="Enrolled"),AJ173=""),"Date family told needed","OK"))))))))</f>
        <v/>
      </c>
    </row>
    <row r="174" customFormat="false" ht="15" hidden="false" customHeight="false" outlineLevel="0" collapsed="false">
      <c r="A174" s="7"/>
      <c r="B174" s="7"/>
      <c r="C174" s="46"/>
      <c r="D174" s="7"/>
      <c r="E174" s="47"/>
      <c r="F174" s="46"/>
      <c r="G174" s="46"/>
      <c r="H174" s="7"/>
      <c r="I174" s="7"/>
      <c r="J174" s="47"/>
      <c r="K174" s="47"/>
      <c r="L174" s="47"/>
      <c r="M174" s="47"/>
      <c r="N174" s="10"/>
      <c r="O174" s="47"/>
      <c r="P174" s="47"/>
      <c r="Q174" s="47"/>
      <c r="R174" s="48" t="str">
        <f aca="false">IF(Q174="","",IF(Q174=0,"below 5:00",IF(Q174&gt;=66,"16:00 or above",INT((60+2*Q174)/12)&amp;":"&amp;TEXT(MOD(60+2*Q174,12),"00"))))</f>
        <v/>
      </c>
      <c r="S174" s="47"/>
      <c r="T174" s="47"/>
      <c r="U174" s="47"/>
      <c r="V174" s="47"/>
      <c r="W174" s="47"/>
      <c r="X174" s="47"/>
      <c r="Y174" s="47"/>
      <c r="Z174" s="47"/>
      <c r="AA174" s="47"/>
      <c r="AB174" s="47"/>
      <c r="AC174" s="47"/>
      <c r="AD174" s="47"/>
      <c r="AE174" s="47"/>
      <c r="AF174" s="47"/>
      <c r="AG174" s="47"/>
      <c r="AH174" s="47"/>
      <c r="AI174" s="46"/>
      <c r="AJ174" s="46"/>
      <c r="AK174" s="46"/>
      <c r="AL174" s="7"/>
      <c r="AM174" s="49" t="str">
        <f aca="false">IF(OR(C174="",G174=""),"",IFERROR(DATEDIF(C174,G174,"m"),""))</f>
        <v/>
      </c>
      <c r="AN174" s="49" t="str">
        <f aca="false">IF(OR(Q174="",AM174=""),"",60+2*Q174-AM174)</f>
        <v/>
      </c>
      <c r="AO174" s="49" t="str">
        <f aca="false">IF(OR(G174="",AJ174=""),"",AJ174-G174)</f>
        <v/>
      </c>
      <c r="AP174" s="50" t="str">
        <f aca="false">IF(AND(A174="",B174=""),"",IF(J174="","Status needed",IF(OR(J174="Applied",J174="Visit booked",J174="Withdrawn"),"OK",IF(G174="","Date assessed needed",IF(C174="","Date of birth needed",IF(COUNTA(L174,M174,P174,U174,V174,X174,AB174)&lt;7,"Band missing",IF(AND(OR(J174="Decision confirmed",J174="Family told",J174="Enrolled"),AG174=""),"Recommendation needed",IF(AND(OR(J174="Family told",J174="Enrolled"),AJ174=""),"Date family told needed","OK"))))))))</f>
        <v/>
      </c>
    </row>
    <row r="175" customFormat="false" ht="15" hidden="false" customHeight="false" outlineLevel="0" collapsed="false">
      <c r="A175" s="7"/>
      <c r="B175" s="7"/>
      <c r="C175" s="46"/>
      <c r="D175" s="7"/>
      <c r="E175" s="47"/>
      <c r="F175" s="46"/>
      <c r="G175" s="46"/>
      <c r="H175" s="7"/>
      <c r="I175" s="7"/>
      <c r="J175" s="47"/>
      <c r="K175" s="47"/>
      <c r="L175" s="47"/>
      <c r="M175" s="47"/>
      <c r="N175" s="10"/>
      <c r="O175" s="47"/>
      <c r="P175" s="47"/>
      <c r="Q175" s="47"/>
      <c r="R175" s="48" t="str">
        <f aca="false">IF(Q175="","",IF(Q175=0,"below 5:00",IF(Q175&gt;=66,"16:00 or above",INT((60+2*Q175)/12)&amp;":"&amp;TEXT(MOD(60+2*Q175,12),"00"))))</f>
        <v/>
      </c>
      <c r="S175" s="47"/>
      <c r="T175" s="47"/>
      <c r="U175" s="47"/>
      <c r="V175" s="47"/>
      <c r="W175" s="47"/>
      <c r="X175" s="47"/>
      <c r="Y175" s="47"/>
      <c r="Z175" s="47"/>
      <c r="AA175" s="47"/>
      <c r="AB175" s="47"/>
      <c r="AC175" s="47"/>
      <c r="AD175" s="47"/>
      <c r="AE175" s="47"/>
      <c r="AF175" s="47"/>
      <c r="AG175" s="47"/>
      <c r="AH175" s="47"/>
      <c r="AI175" s="46"/>
      <c r="AJ175" s="46"/>
      <c r="AK175" s="46"/>
      <c r="AL175" s="7"/>
      <c r="AM175" s="49" t="str">
        <f aca="false">IF(OR(C175="",G175=""),"",IFERROR(DATEDIF(C175,G175,"m"),""))</f>
        <v/>
      </c>
      <c r="AN175" s="49" t="str">
        <f aca="false">IF(OR(Q175="",AM175=""),"",60+2*Q175-AM175)</f>
        <v/>
      </c>
      <c r="AO175" s="49" t="str">
        <f aca="false">IF(OR(G175="",AJ175=""),"",AJ175-G175)</f>
        <v/>
      </c>
      <c r="AP175" s="50" t="str">
        <f aca="false">IF(AND(A175="",B175=""),"",IF(J175="","Status needed",IF(OR(J175="Applied",J175="Visit booked",J175="Withdrawn"),"OK",IF(G175="","Date assessed needed",IF(C175="","Date of birth needed",IF(COUNTA(L175,M175,P175,U175,V175,X175,AB175)&lt;7,"Band missing",IF(AND(OR(J175="Decision confirmed",J175="Family told",J175="Enrolled"),AG175=""),"Recommendation needed",IF(AND(OR(J175="Family told",J175="Enrolled"),AJ175=""),"Date family told needed","OK"))))))))</f>
        <v/>
      </c>
    </row>
    <row r="176" customFormat="false" ht="15" hidden="false" customHeight="false" outlineLevel="0" collapsed="false">
      <c r="A176" s="7"/>
      <c r="B176" s="7"/>
      <c r="C176" s="46"/>
      <c r="D176" s="7"/>
      <c r="E176" s="47"/>
      <c r="F176" s="46"/>
      <c r="G176" s="46"/>
      <c r="H176" s="7"/>
      <c r="I176" s="7"/>
      <c r="J176" s="47"/>
      <c r="K176" s="47"/>
      <c r="L176" s="47"/>
      <c r="M176" s="47"/>
      <c r="N176" s="10"/>
      <c r="O176" s="47"/>
      <c r="P176" s="47"/>
      <c r="Q176" s="47"/>
      <c r="R176" s="48" t="str">
        <f aca="false">IF(Q176="","",IF(Q176=0,"below 5:00",IF(Q176&gt;=66,"16:00 or above",INT((60+2*Q176)/12)&amp;":"&amp;TEXT(MOD(60+2*Q176,12),"00"))))</f>
        <v/>
      </c>
      <c r="S176" s="47"/>
      <c r="T176" s="47"/>
      <c r="U176" s="47"/>
      <c r="V176" s="47"/>
      <c r="W176" s="47"/>
      <c r="X176" s="47"/>
      <c r="Y176" s="47"/>
      <c r="Z176" s="47"/>
      <c r="AA176" s="47"/>
      <c r="AB176" s="47"/>
      <c r="AC176" s="47"/>
      <c r="AD176" s="47"/>
      <c r="AE176" s="47"/>
      <c r="AF176" s="47"/>
      <c r="AG176" s="47"/>
      <c r="AH176" s="47"/>
      <c r="AI176" s="46"/>
      <c r="AJ176" s="46"/>
      <c r="AK176" s="46"/>
      <c r="AL176" s="7"/>
      <c r="AM176" s="49" t="str">
        <f aca="false">IF(OR(C176="",G176=""),"",IFERROR(DATEDIF(C176,G176,"m"),""))</f>
        <v/>
      </c>
      <c r="AN176" s="49" t="str">
        <f aca="false">IF(OR(Q176="",AM176=""),"",60+2*Q176-AM176)</f>
        <v/>
      </c>
      <c r="AO176" s="49" t="str">
        <f aca="false">IF(OR(G176="",AJ176=""),"",AJ176-G176)</f>
        <v/>
      </c>
      <c r="AP176" s="50" t="str">
        <f aca="false">IF(AND(A176="",B176=""),"",IF(J176="","Status needed",IF(OR(J176="Applied",J176="Visit booked",J176="Withdrawn"),"OK",IF(G176="","Date assessed needed",IF(C176="","Date of birth needed",IF(COUNTA(L176,M176,P176,U176,V176,X176,AB176)&lt;7,"Band missing",IF(AND(OR(J176="Decision confirmed",J176="Family told",J176="Enrolled"),AG176=""),"Recommendation needed",IF(AND(OR(J176="Family told",J176="Enrolled"),AJ176=""),"Date family told needed","OK"))))))))</f>
        <v/>
      </c>
    </row>
    <row r="177" customFormat="false" ht="15" hidden="false" customHeight="false" outlineLevel="0" collapsed="false">
      <c r="A177" s="7"/>
      <c r="B177" s="7"/>
      <c r="C177" s="46"/>
      <c r="D177" s="7"/>
      <c r="E177" s="47"/>
      <c r="F177" s="46"/>
      <c r="G177" s="46"/>
      <c r="H177" s="7"/>
      <c r="I177" s="7"/>
      <c r="J177" s="47"/>
      <c r="K177" s="47"/>
      <c r="L177" s="47"/>
      <c r="M177" s="47"/>
      <c r="N177" s="10"/>
      <c r="O177" s="47"/>
      <c r="P177" s="47"/>
      <c r="Q177" s="47"/>
      <c r="R177" s="48" t="str">
        <f aca="false">IF(Q177="","",IF(Q177=0,"below 5:00",IF(Q177&gt;=66,"16:00 or above",INT((60+2*Q177)/12)&amp;":"&amp;TEXT(MOD(60+2*Q177,12),"00"))))</f>
        <v/>
      </c>
      <c r="S177" s="47"/>
      <c r="T177" s="47"/>
      <c r="U177" s="47"/>
      <c r="V177" s="47"/>
      <c r="W177" s="47"/>
      <c r="X177" s="47"/>
      <c r="Y177" s="47"/>
      <c r="Z177" s="47"/>
      <c r="AA177" s="47"/>
      <c r="AB177" s="47"/>
      <c r="AC177" s="47"/>
      <c r="AD177" s="47"/>
      <c r="AE177" s="47"/>
      <c r="AF177" s="47"/>
      <c r="AG177" s="47"/>
      <c r="AH177" s="47"/>
      <c r="AI177" s="46"/>
      <c r="AJ177" s="46"/>
      <c r="AK177" s="46"/>
      <c r="AL177" s="7"/>
      <c r="AM177" s="49" t="str">
        <f aca="false">IF(OR(C177="",G177=""),"",IFERROR(DATEDIF(C177,G177,"m"),""))</f>
        <v/>
      </c>
      <c r="AN177" s="49" t="str">
        <f aca="false">IF(OR(Q177="",AM177=""),"",60+2*Q177-AM177)</f>
        <v/>
      </c>
      <c r="AO177" s="49" t="str">
        <f aca="false">IF(OR(G177="",AJ177=""),"",AJ177-G177)</f>
        <v/>
      </c>
      <c r="AP177" s="50" t="str">
        <f aca="false">IF(AND(A177="",B177=""),"",IF(J177="","Status needed",IF(OR(J177="Applied",J177="Visit booked",J177="Withdrawn"),"OK",IF(G177="","Date assessed needed",IF(C177="","Date of birth needed",IF(COUNTA(L177,M177,P177,U177,V177,X177,AB177)&lt;7,"Band missing",IF(AND(OR(J177="Decision confirmed",J177="Family told",J177="Enrolled"),AG177=""),"Recommendation needed",IF(AND(OR(J177="Family told",J177="Enrolled"),AJ177=""),"Date family told needed","OK"))))))))</f>
        <v/>
      </c>
    </row>
    <row r="178" customFormat="false" ht="15" hidden="false" customHeight="false" outlineLevel="0" collapsed="false">
      <c r="A178" s="7"/>
      <c r="B178" s="7"/>
      <c r="C178" s="46"/>
      <c r="D178" s="7"/>
      <c r="E178" s="47"/>
      <c r="F178" s="46"/>
      <c r="G178" s="46"/>
      <c r="H178" s="7"/>
      <c r="I178" s="7"/>
      <c r="J178" s="47"/>
      <c r="K178" s="47"/>
      <c r="L178" s="47"/>
      <c r="M178" s="47"/>
      <c r="N178" s="10"/>
      <c r="O178" s="47"/>
      <c r="P178" s="47"/>
      <c r="Q178" s="47"/>
      <c r="R178" s="48" t="str">
        <f aca="false">IF(Q178="","",IF(Q178=0,"below 5:00",IF(Q178&gt;=66,"16:00 or above",INT((60+2*Q178)/12)&amp;":"&amp;TEXT(MOD(60+2*Q178,12),"00"))))</f>
        <v/>
      </c>
      <c r="S178" s="47"/>
      <c r="T178" s="47"/>
      <c r="U178" s="47"/>
      <c r="V178" s="47"/>
      <c r="W178" s="47"/>
      <c r="X178" s="47"/>
      <c r="Y178" s="47"/>
      <c r="Z178" s="47"/>
      <c r="AA178" s="47"/>
      <c r="AB178" s="47"/>
      <c r="AC178" s="47"/>
      <c r="AD178" s="47"/>
      <c r="AE178" s="47"/>
      <c r="AF178" s="47"/>
      <c r="AG178" s="47"/>
      <c r="AH178" s="47"/>
      <c r="AI178" s="46"/>
      <c r="AJ178" s="46"/>
      <c r="AK178" s="46"/>
      <c r="AL178" s="7"/>
      <c r="AM178" s="49" t="str">
        <f aca="false">IF(OR(C178="",G178=""),"",IFERROR(DATEDIF(C178,G178,"m"),""))</f>
        <v/>
      </c>
      <c r="AN178" s="49" t="str">
        <f aca="false">IF(OR(Q178="",AM178=""),"",60+2*Q178-AM178)</f>
        <v/>
      </c>
      <c r="AO178" s="49" t="str">
        <f aca="false">IF(OR(G178="",AJ178=""),"",AJ178-G178)</f>
        <v/>
      </c>
      <c r="AP178" s="50" t="str">
        <f aca="false">IF(AND(A178="",B178=""),"",IF(J178="","Status needed",IF(OR(J178="Applied",J178="Visit booked",J178="Withdrawn"),"OK",IF(G178="","Date assessed needed",IF(C178="","Date of birth needed",IF(COUNTA(L178,M178,P178,U178,V178,X178,AB178)&lt;7,"Band missing",IF(AND(OR(J178="Decision confirmed",J178="Family told",J178="Enrolled"),AG178=""),"Recommendation needed",IF(AND(OR(J178="Family told",J178="Enrolled"),AJ178=""),"Date family told needed","OK"))))))))</f>
        <v/>
      </c>
    </row>
    <row r="179" customFormat="false" ht="15" hidden="false" customHeight="false" outlineLevel="0" collapsed="false">
      <c r="A179" s="7"/>
      <c r="B179" s="7"/>
      <c r="C179" s="46"/>
      <c r="D179" s="7"/>
      <c r="E179" s="47"/>
      <c r="F179" s="46"/>
      <c r="G179" s="46"/>
      <c r="H179" s="7"/>
      <c r="I179" s="7"/>
      <c r="J179" s="47"/>
      <c r="K179" s="47"/>
      <c r="L179" s="47"/>
      <c r="M179" s="47"/>
      <c r="N179" s="10"/>
      <c r="O179" s="47"/>
      <c r="P179" s="47"/>
      <c r="Q179" s="47"/>
      <c r="R179" s="48" t="str">
        <f aca="false">IF(Q179="","",IF(Q179=0,"below 5:00",IF(Q179&gt;=66,"16:00 or above",INT((60+2*Q179)/12)&amp;":"&amp;TEXT(MOD(60+2*Q179,12),"00"))))</f>
        <v/>
      </c>
      <c r="S179" s="47"/>
      <c r="T179" s="47"/>
      <c r="U179" s="47"/>
      <c r="V179" s="47"/>
      <c r="W179" s="47"/>
      <c r="X179" s="47"/>
      <c r="Y179" s="47"/>
      <c r="Z179" s="47"/>
      <c r="AA179" s="47"/>
      <c r="AB179" s="47"/>
      <c r="AC179" s="47"/>
      <c r="AD179" s="47"/>
      <c r="AE179" s="47"/>
      <c r="AF179" s="47"/>
      <c r="AG179" s="47"/>
      <c r="AH179" s="47"/>
      <c r="AI179" s="46"/>
      <c r="AJ179" s="46"/>
      <c r="AK179" s="46"/>
      <c r="AL179" s="7"/>
      <c r="AM179" s="49" t="str">
        <f aca="false">IF(OR(C179="",G179=""),"",IFERROR(DATEDIF(C179,G179,"m"),""))</f>
        <v/>
      </c>
      <c r="AN179" s="49" t="str">
        <f aca="false">IF(OR(Q179="",AM179=""),"",60+2*Q179-AM179)</f>
        <v/>
      </c>
      <c r="AO179" s="49" t="str">
        <f aca="false">IF(OR(G179="",AJ179=""),"",AJ179-G179)</f>
        <v/>
      </c>
      <c r="AP179" s="50" t="str">
        <f aca="false">IF(AND(A179="",B179=""),"",IF(J179="","Status needed",IF(OR(J179="Applied",J179="Visit booked",J179="Withdrawn"),"OK",IF(G179="","Date assessed needed",IF(C179="","Date of birth needed",IF(COUNTA(L179,M179,P179,U179,V179,X179,AB179)&lt;7,"Band missing",IF(AND(OR(J179="Decision confirmed",J179="Family told",J179="Enrolled"),AG179=""),"Recommendation needed",IF(AND(OR(J179="Family told",J179="Enrolled"),AJ179=""),"Date family told needed","OK"))))))))</f>
        <v/>
      </c>
    </row>
    <row r="180" customFormat="false" ht="15" hidden="false" customHeight="false" outlineLevel="0" collapsed="false">
      <c r="A180" s="7"/>
      <c r="B180" s="7"/>
      <c r="C180" s="46"/>
      <c r="D180" s="7"/>
      <c r="E180" s="47"/>
      <c r="F180" s="46"/>
      <c r="G180" s="46"/>
      <c r="H180" s="7"/>
      <c r="I180" s="7"/>
      <c r="J180" s="47"/>
      <c r="K180" s="47"/>
      <c r="L180" s="47"/>
      <c r="M180" s="47"/>
      <c r="N180" s="10"/>
      <c r="O180" s="47"/>
      <c r="P180" s="47"/>
      <c r="Q180" s="47"/>
      <c r="R180" s="48" t="str">
        <f aca="false">IF(Q180="","",IF(Q180=0,"below 5:00",IF(Q180&gt;=66,"16:00 or above",INT((60+2*Q180)/12)&amp;":"&amp;TEXT(MOD(60+2*Q180,12),"00"))))</f>
        <v/>
      </c>
      <c r="S180" s="47"/>
      <c r="T180" s="47"/>
      <c r="U180" s="47"/>
      <c r="V180" s="47"/>
      <c r="W180" s="47"/>
      <c r="X180" s="47"/>
      <c r="Y180" s="47"/>
      <c r="Z180" s="47"/>
      <c r="AA180" s="47"/>
      <c r="AB180" s="47"/>
      <c r="AC180" s="47"/>
      <c r="AD180" s="47"/>
      <c r="AE180" s="47"/>
      <c r="AF180" s="47"/>
      <c r="AG180" s="47"/>
      <c r="AH180" s="47"/>
      <c r="AI180" s="46"/>
      <c r="AJ180" s="46"/>
      <c r="AK180" s="46"/>
      <c r="AL180" s="7"/>
      <c r="AM180" s="49" t="str">
        <f aca="false">IF(OR(C180="",G180=""),"",IFERROR(DATEDIF(C180,G180,"m"),""))</f>
        <v/>
      </c>
      <c r="AN180" s="49" t="str">
        <f aca="false">IF(OR(Q180="",AM180=""),"",60+2*Q180-AM180)</f>
        <v/>
      </c>
      <c r="AO180" s="49" t="str">
        <f aca="false">IF(OR(G180="",AJ180=""),"",AJ180-G180)</f>
        <v/>
      </c>
      <c r="AP180" s="50" t="str">
        <f aca="false">IF(AND(A180="",B180=""),"",IF(J180="","Status needed",IF(OR(J180="Applied",J180="Visit booked",J180="Withdrawn"),"OK",IF(G180="","Date assessed needed",IF(C180="","Date of birth needed",IF(COUNTA(L180,M180,P180,U180,V180,X180,AB180)&lt;7,"Band missing",IF(AND(OR(J180="Decision confirmed",J180="Family told",J180="Enrolled"),AG180=""),"Recommendation needed",IF(AND(OR(J180="Family told",J180="Enrolled"),AJ180=""),"Date family told needed","OK"))))))))</f>
        <v/>
      </c>
    </row>
    <row r="181" customFormat="false" ht="15" hidden="false" customHeight="false" outlineLevel="0" collapsed="false">
      <c r="A181" s="7"/>
      <c r="B181" s="7"/>
      <c r="C181" s="46"/>
      <c r="D181" s="7"/>
      <c r="E181" s="47"/>
      <c r="F181" s="46"/>
      <c r="G181" s="46"/>
      <c r="H181" s="7"/>
      <c r="I181" s="7"/>
      <c r="J181" s="47"/>
      <c r="K181" s="47"/>
      <c r="L181" s="47"/>
      <c r="M181" s="47"/>
      <c r="N181" s="10"/>
      <c r="O181" s="47"/>
      <c r="P181" s="47"/>
      <c r="Q181" s="47"/>
      <c r="R181" s="48" t="str">
        <f aca="false">IF(Q181="","",IF(Q181=0,"below 5:00",IF(Q181&gt;=66,"16:00 or above",INT((60+2*Q181)/12)&amp;":"&amp;TEXT(MOD(60+2*Q181,12),"00"))))</f>
        <v/>
      </c>
      <c r="S181" s="47"/>
      <c r="T181" s="47"/>
      <c r="U181" s="47"/>
      <c r="V181" s="47"/>
      <c r="W181" s="47"/>
      <c r="X181" s="47"/>
      <c r="Y181" s="47"/>
      <c r="Z181" s="47"/>
      <c r="AA181" s="47"/>
      <c r="AB181" s="47"/>
      <c r="AC181" s="47"/>
      <c r="AD181" s="47"/>
      <c r="AE181" s="47"/>
      <c r="AF181" s="47"/>
      <c r="AG181" s="47"/>
      <c r="AH181" s="47"/>
      <c r="AI181" s="46"/>
      <c r="AJ181" s="46"/>
      <c r="AK181" s="46"/>
      <c r="AL181" s="7"/>
      <c r="AM181" s="49" t="str">
        <f aca="false">IF(OR(C181="",G181=""),"",IFERROR(DATEDIF(C181,G181,"m"),""))</f>
        <v/>
      </c>
      <c r="AN181" s="49" t="str">
        <f aca="false">IF(OR(Q181="",AM181=""),"",60+2*Q181-AM181)</f>
        <v/>
      </c>
      <c r="AO181" s="49" t="str">
        <f aca="false">IF(OR(G181="",AJ181=""),"",AJ181-G181)</f>
        <v/>
      </c>
      <c r="AP181" s="50" t="str">
        <f aca="false">IF(AND(A181="",B181=""),"",IF(J181="","Status needed",IF(OR(J181="Applied",J181="Visit booked",J181="Withdrawn"),"OK",IF(G181="","Date assessed needed",IF(C181="","Date of birth needed",IF(COUNTA(L181,M181,P181,U181,V181,X181,AB181)&lt;7,"Band missing",IF(AND(OR(J181="Decision confirmed",J181="Family told",J181="Enrolled"),AG181=""),"Recommendation needed",IF(AND(OR(J181="Family told",J181="Enrolled"),AJ181=""),"Date family told needed","OK"))))))))</f>
        <v/>
      </c>
    </row>
    <row r="182" customFormat="false" ht="15" hidden="false" customHeight="false" outlineLevel="0" collapsed="false">
      <c r="A182" s="7"/>
      <c r="B182" s="7"/>
      <c r="C182" s="46"/>
      <c r="D182" s="7"/>
      <c r="E182" s="47"/>
      <c r="F182" s="46"/>
      <c r="G182" s="46"/>
      <c r="H182" s="7"/>
      <c r="I182" s="7"/>
      <c r="J182" s="47"/>
      <c r="K182" s="47"/>
      <c r="L182" s="47"/>
      <c r="M182" s="47"/>
      <c r="N182" s="10"/>
      <c r="O182" s="47"/>
      <c r="P182" s="47"/>
      <c r="Q182" s="47"/>
      <c r="R182" s="48" t="str">
        <f aca="false">IF(Q182="","",IF(Q182=0,"below 5:00",IF(Q182&gt;=66,"16:00 or above",INT((60+2*Q182)/12)&amp;":"&amp;TEXT(MOD(60+2*Q182,12),"00"))))</f>
        <v/>
      </c>
      <c r="S182" s="47"/>
      <c r="T182" s="47"/>
      <c r="U182" s="47"/>
      <c r="V182" s="47"/>
      <c r="W182" s="47"/>
      <c r="X182" s="47"/>
      <c r="Y182" s="47"/>
      <c r="Z182" s="47"/>
      <c r="AA182" s="47"/>
      <c r="AB182" s="47"/>
      <c r="AC182" s="47"/>
      <c r="AD182" s="47"/>
      <c r="AE182" s="47"/>
      <c r="AF182" s="47"/>
      <c r="AG182" s="47"/>
      <c r="AH182" s="47"/>
      <c r="AI182" s="46"/>
      <c r="AJ182" s="46"/>
      <c r="AK182" s="46"/>
      <c r="AL182" s="7"/>
      <c r="AM182" s="49" t="str">
        <f aca="false">IF(OR(C182="",G182=""),"",IFERROR(DATEDIF(C182,G182,"m"),""))</f>
        <v/>
      </c>
      <c r="AN182" s="49" t="str">
        <f aca="false">IF(OR(Q182="",AM182=""),"",60+2*Q182-AM182)</f>
        <v/>
      </c>
      <c r="AO182" s="49" t="str">
        <f aca="false">IF(OR(G182="",AJ182=""),"",AJ182-G182)</f>
        <v/>
      </c>
      <c r="AP182" s="50" t="str">
        <f aca="false">IF(AND(A182="",B182=""),"",IF(J182="","Status needed",IF(OR(J182="Applied",J182="Visit booked",J182="Withdrawn"),"OK",IF(G182="","Date assessed needed",IF(C182="","Date of birth needed",IF(COUNTA(L182,M182,P182,U182,V182,X182,AB182)&lt;7,"Band missing",IF(AND(OR(J182="Decision confirmed",J182="Family told",J182="Enrolled"),AG182=""),"Recommendation needed",IF(AND(OR(J182="Family told",J182="Enrolled"),AJ182=""),"Date family told needed","OK"))))))))</f>
        <v/>
      </c>
    </row>
    <row r="183" customFormat="false" ht="15" hidden="false" customHeight="false" outlineLevel="0" collapsed="false">
      <c r="A183" s="7"/>
      <c r="B183" s="7"/>
      <c r="C183" s="46"/>
      <c r="D183" s="7"/>
      <c r="E183" s="47"/>
      <c r="F183" s="46"/>
      <c r="G183" s="46"/>
      <c r="H183" s="7"/>
      <c r="I183" s="7"/>
      <c r="J183" s="47"/>
      <c r="K183" s="47"/>
      <c r="L183" s="47"/>
      <c r="M183" s="47"/>
      <c r="N183" s="10"/>
      <c r="O183" s="47"/>
      <c r="P183" s="47"/>
      <c r="Q183" s="47"/>
      <c r="R183" s="48" t="str">
        <f aca="false">IF(Q183="","",IF(Q183=0,"below 5:00",IF(Q183&gt;=66,"16:00 or above",INT((60+2*Q183)/12)&amp;":"&amp;TEXT(MOD(60+2*Q183,12),"00"))))</f>
        <v/>
      </c>
      <c r="S183" s="47"/>
      <c r="T183" s="47"/>
      <c r="U183" s="47"/>
      <c r="V183" s="47"/>
      <c r="W183" s="47"/>
      <c r="X183" s="47"/>
      <c r="Y183" s="47"/>
      <c r="Z183" s="47"/>
      <c r="AA183" s="47"/>
      <c r="AB183" s="47"/>
      <c r="AC183" s="47"/>
      <c r="AD183" s="47"/>
      <c r="AE183" s="47"/>
      <c r="AF183" s="47"/>
      <c r="AG183" s="47"/>
      <c r="AH183" s="47"/>
      <c r="AI183" s="46"/>
      <c r="AJ183" s="46"/>
      <c r="AK183" s="46"/>
      <c r="AL183" s="7"/>
      <c r="AM183" s="49" t="str">
        <f aca="false">IF(OR(C183="",G183=""),"",IFERROR(DATEDIF(C183,G183,"m"),""))</f>
        <v/>
      </c>
      <c r="AN183" s="49" t="str">
        <f aca="false">IF(OR(Q183="",AM183=""),"",60+2*Q183-AM183)</f>
        <v/>
      </c>
      <c r="AO183" s="49" t="str">
        <f aca="false">IF(OR(G183="",AJ183=""),"",AJ183-G183)</f>
        <v/>
      </c>
      <c r="AP183" s="50" t="str">
        <f aca="false">IF(AND(A183="",B183=""),"",IF(J183="","Status needed",IF(OR(J183="Applied",J183="Visit booked",J183="Withdrawn"),"OK",IF(G183="","Date assessed needed",IF(C183="","Date of birth needed",IF(COUNTA(L183,M183,P183,U183,V183,X183,AB183)&lt;7,"Band missing",IF(AND(OR(J183="Decision confirmed",J183="Family told",J183="Enrolled"),AG183=""),"Recommendation needed",IF(AND(OR(J183="Family told",J183="Enrolled"),AJ183=""),"Date family told needed","OK"))))))))</f>
        <v/>
      </c>
    </row>
    <row r="184" customFormat="false" ht="15" hidden="false" customHeight="false" outlineLevel="0" collapsed="false">
      <c r="A184" s="7"/>
      <c r="B184" s="7"/>
      <c r="C184" s="46"/>
      <c r="D184" s="7"/>
      <c r="E184" s="47"/>
      <c r="F184" s="46"/>
      <c r="G184" s="46"/>
      <c r="H184" s="7"/>
      <c r="I184" s="7"/>
      <c r="J184" s="47"/>
      <c r="K184" s="47"/>
      <c r="L184" s="47"/>
      <c r="M184" s="47"/>
      <c r="N184" s="10"/>
      <c r="O184" s="47"/>
      <c r="P184" s="47"/>
      <c r="Q184" s="47"/>
      <c r="R184" s="48" t="str">
        <f aca="false">IF(Q184="","",IF(Q184=0,"below 5:00",IF(Q184&gt;=66,"16:00 or above",INT((60+2*Q184)/12)&amp;":"&amp;TEXT(MOD(60+2*Q184,12),"00"))))</f>
        <v/>
      </c>
      <c r="S184" s="47"/>
      <c r="T184" s="47"/>
      <c r="U184" s="47"/>
      <c r="V184" s="47"/>
      <c r="W184" s="47"/>
      <c r="X184" s="47"/>
      <c r="Y184" s="47"/>
      <c r="Z184" s="47"/>
      <c r="AA184" s="47"/>
      <c r="AB184" s="47"/>
      <c r="AC184" s="47"/>
      <c r="AD184" s="47"/>
      <c r="AE184" s="47"/>
      <c r="AF184" s="47"/>
      <c r="AG184" s="47"/>
      <c r="AH184" s="47"/>
      <c r="AI184" s="46"/>
      <c r="AJ184" s="46"/>
      <c r="AK184" s="46"/>
      <c r="AL184" s="7"/>
      <c r="AM184" s="49" t="str">
        <f aca="false">IF(OR(C184="",G184=""),"",IFERROR(DATEDIF(C184,G184,"m"),""))</f>
        <v/>
      </c>
      <c r="AN184" s="49" t="str">
        <f aca="false">IF(OR(Q184="",AM184=""),"",60+2*Q184-AM184)</f>
        <v/>
      </c>
      <c r="AO184" s="49" t="str">
        <f aca="false">IF(OR(G184="",AJ184=""),"",AJ184-G184)</f>
        <v/>
      </c>
      <c r="AP184" s="50" t="str">
        <f aca="false">IF(AND(A184="",B184=""),"",IF(J184="","Status needed",IF(OR(J184="Applied",J184="Visit booked",J184="Withdrawn"),"OK",IF(G184="","Date assessed needed",IF(C184="","Date of birth needed",IF(COUNTA(L184,M184,P184,U184,V184,X184,AB184)&lt;7,"Band missing",IF(AND(OR(J184="Decision confirmed",J184="Family told",J184="Enrolled"),AG184=""),"Recommendation needed",IF(AND(OR(J184="Family told",J184="Enrolled"),AJ184=""),"Date family told needed","OK"))))))))</f>
        <v/>
      </c>
    </row>
    <row r="185" customFormat="false" ht="15" hidden="false" customHeight="false" outlineLevel="0" collapsed="false">
      <c r="A185" s="7"/>
      <c r="B185" s="7"/>
      <c r="C185" s="46"/>
      <c r="D185" s="7"/>
      <c r="E185" s="47"/>
      <c r="F185" s="46"/>
      <c r="G185" s="46"/>
      <c r="H185" s="7"/>
      <c r="I185" s="7"/>
      <c r="J185" s="47"/>
      <c r="K185" s="47"/>
      <c r="L185" s="47"/>
      <c r="M185" s="47"/>
      <c r="N185" s="10"/>
      <c r="O185" s="47"/>
      <c r="P185" s="47"/>
      <c r="Q185" s="47"/>
      <c r="R185" s="48" t="str">
        <f aca="false">IF(Q185="","",IF(Q185=0,"below 5:00",IF(Q185&gt;=66,"16:00 or above",INT((60+2*Q185)/12)&amp;":"&amp;TEXT(MOD(60+2*Q185,12),"00"))))</f>
        <v/>
      </c>
      <c r="S185" s="47"/>
      <c r="T185" s="47"/>
      <c r="U185" s="47"/>
      <c r="V185" s="47"/>
      <c r="W185" s="47"/>
      <c r="X185" s="47"/>
      <c r="Y185" s="47"/>
      <c r="Z185" s="47"/>
      <c r="AA185" s="47"/>
      <c r="AB185" s="47"/>
      <c r="AC185" s="47"/>
      <c r="AD185" s="47"/>
      <c r="AE185" s="47"/>
      <c r="AF185" s="47"/>
      <c r="AG185" s="47"/>
      <c r="AH185" s="47"/>
      <c r="AI185" s="46"/>
      <c r="AJ185" s="46"/>
      <c r="AK185" s="46"/>
      <c r="AL185" s="7"/>
      <c r="AM185" s="49" t="str">
        <f aca="false">IF(OR(C185="",G185=""),"",IFERROR(DATEDIF(C185,G185,"m"),""))</f>
        <v/>
      </c>
      <c r="AN185" s="49" t="str">
        <f aca="false">IF(OR(Q185="",AM185=""),"",60+2*Q185-AM185)</f>
        <v/>
      </c>
      <c r="AO185" s="49" t="str">
        <f aca="false">IF(OR(G185="",AJ185=""),"",AJ185-G185)</f>
        <v/>
      </c>
      <c r="AP185" s="50" t="str">
        <f aca="false">IF(AND(A185="",B185=""),"",IF(J185="","Status needed",IF(OR(J185="Applied",J185="Visit booked",J185="Withdrawn"),"OK",IF(G185="","Date assessed needed",IF(C185="","Date of birth needed",IF(COUNTA(L185,M185,P185,U185,V185,X185,AB185)&lt;7,"Band missing",IF(AND(OR(J185="Decision confirmed",J185="Family told",J185="Enrolled"),AG185=""),"Recommendation needed",IF(AND(OR(J185="Family told",J185="Enrolled"),AJ185=""),"Date family told needed","OK"))))))))</f>
        <v/>
      </c>
    </row>
    <row r="186" customFormat="false" ht="15" hidden="false" customHeight="false" outlineLevel="0" collapsed="false">
      <c r="A186" s="7"/>
      <c r="B186" s="7"/>
      <c r="C186" s="46"/>
      <c r="D186" s="7"/>
      <c r="E186" s="47"/>
      <c r="F186" s="46"/>
      <c r="G186" s="46"/>
      <c r="H186" s="7"/>
      <c r="I186" s="7"/>
      <c r="J186" s="47"/>
      <c r="K186" s="47"/>
      <c r="L186" s="47"/>
      <c r="M186" s="47"/>
      <c r="N186" s="10"/>
      <c r="O186" s="47"/>
      <c r="P186" s="47"/>
      <c r="Q186" s="47"/>
      <c r="R186" s="48" t="str">
        <f aca="false">IF(Q186="","",IF(Q186=0,"below 5:00",IF(Q186&gt;=66,"16:00 or above",INT((60+2*Q186)/12)&amp;":"&amp;TEXT(MOD(60+2*Q186,12),"00"))))</f>
        <v/>
      </c>
      <c r="S186" s="47"/>
      <c r="T186" s="47"/>
      <c r="U186" s="47"/>
      <c r="V186" s="47"/>
      <c r="W186" s="47"/>
      <c r="X186" s="47"/>
      <c r="Y186" s="47"/>
      <c r="Z186" s="47"/>
      <c r="AA186" s="47"/>
      <c r="AB186" s="47"/>
      <c r="AC186" s="47"/>
      <c r="AD186" s="47"/>
      <c r="AE186" s="47"/>
      <c r="AF186" s="47"/>
      <c r="AG186" s="47"/>
      <c r="AH186" s="47"/>
      <c r="AI186" s="46"/>
      <c r="AJ186" s="46"/>
      <c r="AK186" s="46"/>
      <c r="AL186" s="7"/>
      <c r="AM186" s="49" t="str">
        <f aca="false">IF(OR(C186="",G186=""),"",IFERROR(DATEDIF(C186,G186,"m"),""))</f>
        <v/>
      </c>
      <c r="AN186" s="49" t="str">
        <f aca="false">IF(OR(Q186="",AM186=""),"",60+2*Q186-AM186)</f>
        <v/>
      </c>
      <c r="AO186" s="49" t="str">
        <f aca="false">IF(OR(G186="",AJ186=""),"",AJ186-G186)</f>
        <v/>
      </c>
      <c r="AP186" s="50" t="str">
        <f aca="false">IF(AND(A186="",B186=""),"",IF(J186="","Status needed",IF(OR(J186="Applied",J186="Visit booked",J186="Withdrawn"),"OK",IF(G186="","Date assessed needed",IF(C186="","Date of birth needed",IF(COUNTA(L186,M186,P186,U186,V186,X186,AB186)&lt;7,"Band missing",IF(AND(OR(J186="Decision confirmed",J186="Family told",J186="Enrolled"),AG186=""),"Recommendation needed",IF(AND(OR(J186="Family told",J186="Enrolled"),AJ186=""),"Date family told needed","OK"))))))))</f>
        <v/>
      </c>
    </row>
    <row r="187" customFormat="false" ht="15" hidden="false" customHeight="false" outlineLevel="0" collapsed="false">
      <c r="A187" s="7"/>
      <c r="B187" s="7"/>
      <c r="C187" s="46"/>
      <c r="D187" s="7"/>
      <c r="E187" s="47"/>
      <c r="F187" s="46"/>
      <c r="G187" s="46"/>
      <c r="H187" s="7"/>
      <c r="I187" s="7"/>
      <c r="J187" s="47"/>
      <c r="K187" s="47"/>
      <c r="L187" s="47"/>
      <c r="M187" s="47"/>
      <c r="N187" s="10"/>
      <c r="O187" s="47"/>
      <c r="P187" s="47"/>
      <c r="Q187" s="47"/>
      <c r="R187" s="48" t="str">
        <f aca="false">IF(Q187="","",IF(Q187=0,"below 5:00",IF(Q187&gt;=66,"16:00 or above",INT((60+2*Q187)/12)&amp;":"&amp;TEXT(MOD(60+2*Q187,12),"00"))))</f>
        <v/>
      </c>
      <c r="S187" s="47"/>
      <c r="T187" s="47"/>
      <c r="U187" s="47"/>
      <c r="V187" s="47"/>
      <c r="W187" s="47"/>
      <c r="X187" s="47"/>
      <c r="Y187" s="47"/>
      <c r="Z187" s="47"/>
      <c r="AA187" s="47"/>
      <c r="AB187" s="47"/>
      <c r="AC187" s="47"/>
      <c r="AD187" s="47"/>
      <c r="AE187" s="47"/>
      <c r="AF187" s="47"/>
      <c r="AG187" s="47"/>
      <c r="AH187" s="47"/>
      <c r="AI187" s="46"/>
      <c r="AJ187" s="46"/>
      <c r="AK187" s="46"/>
      <c r="AL187" s="7"/>
      <c r="AM187" s="49" t="str">
        <f aca="false">IF(OR(C187="",G187=""),"",IFERROR(DATEDIF(C187,G187,"m"),""))</f>
        <v/>
      </c>
      <c r="AN187" s="49" t="str">
        <f aca="false">IF(OR(Q187="",AM187=""),"",60+2*Q187-AM187)</f>
        <v/>
      </c>
      <c r="AO187" s="49" t="str">
        <f aca="false">IF(OR(G187="",AJ187=""),"",AJ187-G187)</f>
        <v/>
      </c>
      <c r="AP187" s="50" t="str">
        <f aca="false">IF(AND(A187="",B187=""),"",IF(J187="","Status needed",IF(OR(J187="Applied",J187="Visit booked",J187="Withdrawn"),"OK",IF(G187="","Date assessed needed",IF(C187="","Date of birth needed",IF(COUNTA(L187,M187,P187,U187,V187,X187,AB187)&lt;7,"Band missing",IF(AND(OR(J187="Decision confirmed",J187="Family told",J187="Enrolled"),AG187=""),"Recommendation needed",IF(AND(OR(J187="Family told",J187="Enrolled"),AJ187=""),"Date family told needed","OK"))))))))</f>
        <v/>
      </c>
    </row>
    <row r="188" customFormat="false" ht="15" hidden="false" customHeight="false" outlineLevel="0" collapsed="false">
      <c r="A188" s="7"/>
      <c r="B188" s="7"/>
      <c r="C188" s="46"/>
      <c r="D188" s="7"/>
      <c r="E188" s="47"/>
      <c r="F188" s="46"/>
      <c r="G188" s="46"/>
      <c r="H188" s="7"/>
      <c r="I188" s="7"/>
      <c r="J188" s="47"/>
      <c r="K188" s="47"/>
      <c r="L188" s="47"/>
      <c r="M188" s="47"/>
      <c r="N188" s="10"/>
      <c r="O188" s="47"/>
      <c r="P188" s="47"/>
      <c r="Q188" s="47"/>
      <c r="R188" s="48" t="str">
        <f aca="false">IF(Q188="","",IF(Q188=0,"below 5:00",IF(Q188&gt;=66,"16:00 or above",INT((60+2*Q188)/12)&amp;":"&amp;TEXT(MOD(60+2*Q188,12),"00"))))</f>
        <v/>
      </c>
      <c r="S188" s="47"/>
      <c r="T188" s="47"/>
      <c r="U188" s="47"/>
      <c r="V188" s="47"/>
      <c r="W188" s="47"/>
      <c r="X188" s="47"/>
      <c r="Y188" s="47"/>
      <c r="Z188" s="47"/>
      <c r="AA188" s="47"/>
      <c r="AB188" s="47"/>
      <c r="AC188" s="47"/>
      <c r="AD188" s="47"/>
      <c r="AE188" s="47"/>
      <c r="AF188" s="47"/>
      <c r="AG188" s="47"/>
      <c r="AH188" s="47"/>
      <c r="AI188" s="46"/>
      <c r="AJ188" s="46"/>
      <c r="AK188" s="46"/>
      <c r="AL188" s="7"/>
      <c r="AM188" s="49" t="str">
        <f aca="false">IF(OR(C188="",G188=""),"",IFERROR(DATEDIF(C188,G188,"m"),""))</f>
        <v/>
      </c>
      <c r="AN188" s="49" t="str">
        <f aca="false">IF(OR(Q188="",AM188=""),"",60+2*Q188-AM188)</f>
        <v/>
      </c>
      <c r="AO188" s="49" t="str">
        <f aca="false">IF(OR(G188="",AJ188=""),"",AJ188-G188)</f>
        <v/>
      </c>
      <c r="AP188" s="50" t="str">
        <f aca="false">IF(AND(A188="",B188=""),"",IF(J188="","Status needed",IF(OR(J188="Applied",J188="Visit booked",J188="Withdrawn"),"OK",IF(G188="","Date assessed needed",IF(C188="","Date of birth needed",IF(COUNTA(L188,M188,P188,U188,V188,X188,AB188)&lt;7,"Band missing",IF(AND(OR(J188="Decision confirmed",J188="Family told",J188="Enrolled"),AG188=""),"Recommendation needed",IF(AND(OR(J188="Family told",J188="Enrolled"),AJ188=""),"Date family told needed","OK"))))))))</f>
        <v/>
      </c>
    </row>
    <row r="189" customFormat="false" ht="15" hidden="false" customHeight="false" outlineLevel="0" collapsed="false">
      <c r="A189" s="7"/>
      <c r="B189" s="7"/>
      <c r="C189" s="46"/>
      <c r="D189" s="7"/>
      <c r="E189" s="47"/>
      <c r="F189" s="46"/>
      <c r="G189" s="46"/>
      <c r="H189" s="7"/>
      <c r="I189" s="7"/>
      <c r="J189" s="47"/>
      <c r="K189" s="47"/>
      <c r="L189" s="47"/>
      <c r="M189" s="47"/>
      <c r="N189" s="10"/>
      <c r="O189" s="47"/>
      <c r="P189" s="47"/>
      <c r="Q189" s="47"/>
      <c r="R189" s="48" t="str">
        <f aca="false">IF(Q189="","",IF(Q189=0,"below 5:00",IF(Q189&gt;=66,"16:00 or above",INT((60+2*Q189)/12)&amp;":"&amp;TEXT(MOD(60+2*Q189,12),"00"))))</f>
        <v/>
      </c>
      <c r="S189" s="47"/>
      <c r="T189" s="47"/>
      <c r="U189" s="47"/>
      <c r="V189" s="47"/>
      <c r="W189" s="47"/>
      <c r="X189" s="47"/>
      <c r="Y189" s="47"/>
      <c r="Z189" s="47"/>
      <c r="AA189" s="47"/>
      <c r="AB189" s="47"/>
      <c r="AC189" s="47"/>
      <c r="AD189" s="47"/>
      <c r="AE189" s="47"/>
      <c r="AF189" s="47"/>
      <c r="AG189" s="47"/>
      <c r="AH189" s="47"/>
      <c r="AI189" s="46"/>
      <c r="AJ189" s="46"/>
      <c r="AK189" s="46"/>
      <c r="AL189" s="7"/>
      <c r="AM189" s="49" t="str">
        <f aca="false">IF(OR(C189="",G189=""),"",IFERROR(DATEDIF(C189,G189,"m"),""))</f>
        <v/>
      </c>
      <c r="AN189" s="49" t="str">
        <f aca="false">IF(OR(Q189="",AM189=""),"",60+2*Q189-AM189)</f>
        <v/>
      </c>
      <c r="AO189" s="49" t="str">
        <f aca="false">IF(OR(G189="",AJ189=""),"",AJ189-G189)</f>
        <v/>
      </c>
      <c r="AP189" s="50" t="str">
        <f aca="false">IF(AND(A189="",B189=""),"",IF(J189="","Status needed",IF(OR(J189="Applied",J189="Visit booked",J189="Withdrawn"),"OK",IF(G189="","Date assessed needed",IF(C189="","Date of birth needed",IF(COUNTA(L189,M189,P189,U189,V189,X189,AB189)&lt;7,"Band missing",IF(AND(OR(J189="Decision confirmed",J189="Family told",J189="Enrolled"),AG189=""),"Recommendation needed",IF(AND(OR(J189="Family told",J189="Enrolled"),AJ189=""),"Date family told needed","OK"))))))))</f>
        <v/>
      </c>
    </row>
    <row r="190" customFormat="false" ht="15" hidden="false" customHeight="false" outlineLevel="0" collapsed="false">
      <c r="A190" s="7"/>
      <c r="B190" s="7"/>
      <c r="C190" s="46"/>
      <c r="D190" s="7"/>
      <c r="E190" s="47"/>
      <c r="F190" s="46"/>
      <c r="G190" s="46"/>
      <c r="H190" s="7"/>
      <c r="I190" s="7"/>
      <c r="J190" s="47"/>
      <c r="K190" s="47"/>
      <c r="L190" s="47"/>
      <c r="M190" s="47"/>
      <c r="N190" s="10"/>
      <c r="O190" s="47"/>
      <c r="P190" s="47"/>
      <c r="Q190" s="47"/>
      <c r="R190" s="48" t="str">
        <f aca="false">IF(Q190="","",IF(Q190=0,"below 5:00",IF(Q190&gt;=66,"16:00 or above",INT((60+2*Q190)/12)&amp;":"&amp;TEXT(MOD(60+2*Q190,12),"00"))))</f>
        <v/>
      </c>
      <c r="S190" s="47"/>
      <c r="T190" s="47"/>
      <c r="U190" s="47"/>
      <c r="V190" s="47"/>
      <c r="W190" s="47"/>
      <c r="X190" s="47"/>
      <c r="Y190" s="47"/>
      <c r="Z190" s="47"/>
      <c r="AA190" s="47"/>
      <c r="AB190" s="47"/>
      <c r="AC190" s="47"/>
      <c r="AD190" s="47"/>
      <c r="AE190" s="47"/>
      <c r="AF190" s="47"/>
      <c r="AG190" s="47"/>
      <c r="AH190" s="47"/>
      <c r="AI190" s="46"/>
      <c r="AJ190" s="46"/>
      <c r="AK190" s="46"/>
      <c r="AL190" s="7"/>
      <c r="AM190" s="49" t="str">
        <f aca="false">IF(OR(C190="",G190=""),"",IFERROR(DATEDIF(C190,G190,"m"),""))</f>
        <v/>
      </c>
      <c r="AN190" s="49" t="str">
        <f aca="false">IF(OR(Q190="",AM190=""),"",60+2*Q190-AM190)</f>
        <v/>
      </c>
      <c r="AO190" s="49" t="str">
        <f aca="false">IF(OR(G190="",AJ190=""),"",AJ190-G190)</f>
        <v/>
      </c>
      <c r="AP190" s="50" t="str">
        <f aca="false">IF(AND(A190="",B190=""),"",IF(J190="","Status needed",IF(OR(J190="Applied",J190="Visit booked",J190="Withdrawn"),"OK",IF(G190="","Date assessed needed",IF(C190="","Date of birth needed",IF(COUNTA(L190,M190,P190,U190,V190,X190,AB190)&lt;7,"Band missing",IF(AND(OR(J190="Decision confirmed",J190="Family told",J190="Enrolled"),AG190=""),"Recommendation needed",IF(AND(OR(J190="Family told",J190="Enrolled"),AJ190=""),"Date family told needed","OK"))))))))</f>
        <v/>
      </c>
    </row>
    <row r="191" customFormat="false" ht="15" hidden="false" customHeight="false" outlineLevel="0" collapsed="false">
      <c r="A191" s="7"/>
      <c r="B191" s="7"/>
      <c r="C191" s="46"/>
      <c r="D191" s="7"/>
      <c r="E191" s="47"/>
      <c r="F191" s="46"/>
      <c r="G191" s="46"/>
      <c r="H191" s="7"/>
      <c r="I191" s="7"/>
      <c r="J191" s="47"/>
      <c r="K191" s="47"/>
      <c r="L191" s="47"/>
      <c r="M191" s="47"/>
      <c r="N191" s="10"/>
      <c r="O191" s="47"/>
      <c r="P191" s="47"/>
      <c r="Q191" s="47"/>
      <c r="R191" s="48" t="str">
        <f aca="false">IF(Q191="","",IF(Q191=0,"below 5:00",IF(Q191&gt;=66,"16:00 or above",INT((60+2*Q191)/12)&amp;":"&amp;TEXT(MOD(60+2*Q191,12),"00"))))</f>
        <v/>
      </c>
      <c r="S191" s="47"/>
      <c r="T191" s="47"/>
      <c r="U191" s="47"/>
      <c r="V191" s="47"/>
      <c r="W191" s="47"/>
      <c r="X191" s="47"/>
      <c r="Y191" s="47"/>
      <c r="Z191" s="47"/>
      <c r="AA191" s="47"/>
      <c r="AB191" s="47"/>
      <c r="AC191" s="47"/>
      <c r="AD191" s="47"/>
      <c r="AE191" s="47"/>
      <c r="AF191" s="47"/>
      <c r="AG191" s="47"/>
      <c r="AH191" s="47"/>
      <c r="AI191" s="46"/>
      <c r="AJ191" s="46"/>
      <c r="AK191" s="46"/>
      <c r="AL191" s="7"/>
      <c r="AM191" s="49" t="str">
        <f aca="false">IF(OR(C191="",G191=""),"",IFERROR(DATEDIF(C191,G191,"m"),""))</f>
        <v/>
      </c>
      <c r="AN191" s="49" t="str">
        <f aca="false">IF(OR(Q191="",AM191=""),"",60+2*Q191-AM191)</f>
        <v/>
      </c>
      <c r="AO191" s="49" t="str">
        <f aca="false">IF(OR(G191="",AJ191=""),"",AJ191-G191)</f>
        <v/>
      </c>
      <c r="AP191" s="50" t="str">
        <f aca="false">IF(AND(A191="",B191=""),"",IF(J191="","Status needed",IF(OR(J191="Applied",J191="Visit booked",J191="Withdrawn"),"OK",IF(G191="","Date assessed needed",IF(C191="","Date of birth needed",IF(COUNTA(L191,M191,P191,U191,V191,X191,AB191)&lt;7,"Band missing",IF(AND(OR(J191="Decision confirmed",J191="Family told",J191="Enrolled"),AG191=""),"Recommendation needed",IF(AND(OR(J191="Family told",J191="Enrolled"),AJ191=""),"Date family told needed","OK"))))))))</f>
        <v/>
      </c>
    </row>
    <row r="192" customFormat="false" ht="15" hidden="false" customHeight="false" outlineLevel="0" collapsed="false">
      <c r="A192" s="7"/>
      <c r="B192" s="7"/>
      <c r="C192" s="46"/>
      <c r="D192" s="7"/>
      <c r="E192" s="47"/>
      <c r="F192" s="46"/>
      <c r="G192" s="46"/>
      <c r="H192" s="7"/>
      <c r="I192" s="7"/>
      <c r="J192" s="47"/>
      <c r="K192" s="47"/>
      <c r="L192" s="47"/>
      <c r="M192" s="47"/>
      <c r="N192" s="10"/>
      <c r="O192" s="47"/>
      <c r="P192" s="47"/>
      <c r="Q192" s="47"/>
      <c r="R192" s="48" t="str">
        <f aca="false">IF(Q192="","",IF(Q192=0,"below 5:00",IF(Q192&gt;=66,"16:00 or above",INT((60+2*Q192)/12)&amp;":"&amp;TEXT(MOD(60+2*Q192,12),"00"))))</f>
        <v/>
      </c>
      <c r="S192" s="47"/>
      <c r="T192" s="47"/>
      <c r="U192" s="47"/>
      <c r="V192" s="47"/>
      <c r="W192" s="47"/>
      <c r="X192" s="47"/>
      <c r="Y192" s="47"/>
      <c r="Z192" s="47"/>
      <c r="AA192" s="47"/>
      <c r="AB192" s="47"/>
      <c r="AC192" s="47"/>
      <c r="AD192" s="47"/>
      <c r="AE192" s="47"/>
      <c r="AF192" s="47"/>
      <c r="AG192" s="47"/>
      <c r="AH192" s="47"/>
      <c r="AI192" s="46"/>
      <c r="AJ192" s="46"/>
      <c r="AK192" s="46"/>
      <c r="AL192" s="7"/>
      <c r="AM192" s="49" t="str">
        <f aca="false">IF(OR(C192="",G192=""),"",IFERROR(DATEDIF(C192,G192,"m"),""))</f>
        <v/>
      </c>
      <c r="AN192" s="49" t="str">
        <f aca="false">IF(OR(Q192="",AM192=""),"",60+2*Q192-AM192)</f>
        <v/>
      </c>
      <c r="AO192" s="49" t="str">
        <f aca="false">IF(OR(G192="",AJ192=""),"",AJ192-G192)</f>
        <v/>
      </c>
      <c r="AP192" s="50" t="str">
        <f aca="false">IF(AND(A192="",B192=""),"",IF(J192="","Status needed",IF(OR(J192="Applied",J192="Visit booked",J192="Withdrawn"),"OK",IF(G192="","Date assessed needed",IF(C192="","Date of birth needed",IF(COUNTA(L192,M192,P192,U192,V192,X192,AB192)&lt;7,"Band missing",IF(AND(OR(J192="Decision confirmed",J192="Family told",J192="Enrolled"),AG192=""),"Recommendation needed",IF(AND(OR(J192="Family told",J192="Enrolled"),AJ192=""),"Date family told needed","OK"))))))))</f>
        <v/>
      </c>
    </row>
    <row r="193" customFormat="false" ht="15" hidden="false" customHeight="false" outlineLevel="0" collapsed="false">
      <c r="A193" s="7"/>
      <c r="B193" s="7"/>
      <c r="C193" s="46"/>
      <c r="D193" s="7"/>
      <c r="E193" s="47"/>
      <c r="F193" s="46"/>
      <c r="G193" s="46"/>
      <c r="H193" s="7"/>
      <c r="I193" s="7"/>
      <c r="J193" s="47"/>
      <c r="K193" s="47"/>
      <c r="L193" s="47"/>
      <c r="M193" s="47"/>
      <c r="N193" s="10"/>
      <c r="O193" s="47"/>
      <c r="P193" s="47"/>
      <c r="Q193" s="47"/>
      <c r="R193" s="48" t="str">
        <f aca="false">IF(Q193="","",IF(Q193=0,"below 5:00",IF(Q193&gt;=66,"16:00 or above",INT((60+2*Q193)/12)&amp;":"&amp;TEXT(MOD(60+2*Q193,12),"00"))))</f>
        <v/>
      </c>
      <c r="S193" s="47"/>
      <c r="T193" s="47"/>
      <c r="U193" s="47"/>
      <c r="V193" s="47"/>
      <c r="W193" s="47"/>
      <c r="X193" s="47"/>
      <c r="Y193" s="47"/>
      <c r="Z193" s="47"/>
      <c r="AA193" s="47"/>
      <c r="AB193" s="47"/>
      <c r="AC193" s="47"/>
      <c r="AD193" s="47"/>
      <c r="AE193" s="47"/>
      <c r="AF193" s="47"/>
      <c r="AG193" s="47"/>
      <c r="AH193" s="47"/>
      <c r="AI193" s="46"/>
      <c r="AJ193" s="46"/>
      <c r="AK193" s="46"/>
      <c r="AL193" s="7"/>
      <c r="AM193" s="49" t="str">
        <f aca="false">IF(OR(C193="",G193=""),"",IFERROR(DATEDIF(C193,G193,"m"),""))</f>
        <v/>
      </c>
      <c r="AN193" s="49" t="str">
        <f aca="false">IF(OR(Q193="",AM193=""),"",60+2*Q193-AM193)</f>
        <v/>
      </c>
      <c r="AO193" s="49" t="str">
        <f aca="false">IF(OR(G193="",AJ193=""),"",AJ193-G193)</f>
        <v/>
      </c>
      <c r="AP193" s="50" t="str">
        <f aca="false">IF(AND(A193="",B193=""),"",IF(J193="","Status needed",IF(OR(J193="Applied",J193="Visit booked",J193="Withdrawn"),"OK",IF(G193="","Date assessed needed",IF(C193="","Date of birth needed",IF(COUNTA(L193,M193,P193,U193,V193,X193,AB193)&lt;7,"Band missing",IF(AND(OR(J193="Decision confirmed",J193="Family told",J193="Enrolled"),AG193=""),"Recommendation needed",IF(AND(OR(J193="Family told",J193="Enrolled"),AJ193=""),"Date family told needed","OK"))))))))</f>
        <v/>
      </c>
    </row>
    <row r="194" customFormat="false" ht="15" hidden="false" customHeight="false" outlineLevel="0" collapsed="false">
      <c r="A194" s="7"/>
      <c r="B194" s="7"/>
      <c r="C194" s="46"/>
      <c r="D194" s="7"/>
      <c r="E194" s="47"/>
      <c r="F194" s="46"/>
      <c r="G194" s="46"/>
      <c r="H194" s="7"/>
      <c r="I194" s="7"/>
      <c r="J194" s="47"/>
      <c r="K194" s="47"/>
      <c r="L194" s="47"/>
      <c r="M194" s="47"/>
      <c r="N194" s="10"/>
      <c r="O194" s="47"/>
      <c r="P194" s="47"/>
      <c r="Q194" s="47"/>
      <c r="R194" s="48" t="str">
        <f aca="false">IF(Q194="","",IF(Q194=0,"below 5:00",IF(Q194&gt;=66,"16:00 or above",INT((60+2*Q194)/12)&amp;":"&amp;TEXT(MOD(60+2*Q194,12),"00"))))</f>
        <v/>
      </c>
      <c r="S194" s="47"/>
      <c r="T194" s="47"/>
      <c r="U194" s="47"/>
      <c r="V194" s="47"/>
      <c r="W194" s="47"/>
      <c r="X194" s="47"/>
      <c r="Y194" s="47"/>
      <c r="Z194" s="47"/>
      <c r="AA194" s="47"/>
      <c r="AB194" s="47"/>
      <c r="AC194" s="47"/>
      <c r="AD194" s="47"/>
      <c r="AE194" s="47"/>
      <c r="AF194" s="47"/>
      <c r="AG194" s="47"/>
      <c r="AH194" s="47"/>
      <c r="AI194" s="46"/>
      <c r="AJ194" s="46"/>
      <c r="AK194" s="46"/>
      <c r="AL194" s="7"/>
      <c r="AM194" s="49" t="str">
        <f aca="false">IF(OR(C194="",G194=""),"",IFERROR(DATEDIF(C194,G194,"m"),""))</f>
        <v/>
      </c>
      <c r="AN194" s="49" t="str">
        <f aca="false">IF(OR(Q194="",AM194=""),"",60+2*Q194-AM194)</f>
        <v/>
      </c>
      <c r="AO194" s="49" t="str">
        <f aca="false">IF(OR(G194="",AJ194=""),"",AJ194-G194)</f>
        <v/>
      </c>
      <c r="AP194" s="50" t="str">
        <f aca="false">IF(AND(A194="",B194=""),"",IF(J194="","Status needed",IF(OR(J194="Applied",J194="Visit booked",J194="Withdrawn"),"OK",IF(G194="","Date assessed needed",IF(C194="","Date of birth needed",IF(COUNTA(L194,M194,P194,U194,V194,X194,AB194)&lt;7,"Band missing",IF(AND(OR(J194="Decision confirmed",J194="Family told",J194="Enrolled"),AG194=""),"Recommendation needed",IF(AND(OR(J194="Family told",J194="Enrolled"),AJ194=""),"Date family told needed","OK"))))))))</f>
        <v/>
      </c>
    </row>
    <row r="195" customFormat="false" ht="15" hidden="false" customHeight="false" outlineLevel="0" collapsed="false">
      <c r="A195" s="7"/>
      <c r="B195" s="7"/>
      <c r="C195" s="46"/>
      <c r="D195" s="7"/>
      <c r="E195" s="47"/>
      <c r="F195" s="46"/>
      <c r="G195" s="46"/>
      <c r="H195" s="7"/>
      <c r="I195" s="7"/>
      <c r="J195" s="47"/>
      <c r="K195" s="47"/>
      <c r="L195" s="47"/>
      <c r="M195" s="47"/>
      <c r="N195" s="10"/>
      <c r="O195" s="47"/>
      <c r="P195" s="47"/>
      <c r="Q195" s="47"/>
      <c r="R195" s="48" t="str">
        <f aca="false">IF(Q195="","",IF(Q195=0,"below 5:00",IF(Q195&gt;=66,"16:00 or above",INT((60+2*Q195)/12)&amp;":"&amp;TEXT(MOD(60+2*Q195,12),"00"))))</f>
        <v/>
      </c>
      <c r="S195" s="47"/>
      <c r="T195" s="47"/>
      <c r="U195" s="47"/>
      <c r="V195" s="47"/>
      <c r="W195" s="47"/>
      <c r="X195" s="47"/>
      <c r="Y195" s="47"/>
      <c r="Z195" s="47"/>
      <c r="AA195" s="47"/>
      <c r="AB195" s="47"/>
      <c r="AC195" s="47"/>
      <c r="AD195" s="47"/>
      <c r="AE195" s="47"/>
      <c r="AF195" s="47"/>
      <c r="AG195" s="47"/>
      <c r="AH195" s="47"/>
      <c r="AI195" s="46"/>
      <c r="AJ195" s="46"/>
      <c r="AK195" s="46"/>
      <c r="AL195" s="7"/>
      <c r="AM195" s="49" t="str">
        <f aca="false">IF(OR(C195="",G195=""),"",IFERROR(DATEDIF(C195,G195,"m"),""))</f>
        <v/>
      </c>
      <c r="AN195" s="49" t="str">
        <f aca="false">IF(OR(Q195="",AM195=""),"",60+2*Q195-AM195)</f>
        <v/>
      </c>
      <c r="AO195" s="49" t="str">
        <f aca="false">IF(OR(G195="",AJ195=""),"",AJ195-G195)</f>
        <v/>
      </c>
      <c r="AP195" s="50" t="str">
        <f aca="false">IF(AND(A195="",B195=""),"",IF(J195="","Status needed",IF(OR(J195="Applied",J195="Visit booked",J195="Withdrawn"),"OK",IF(G195="","Date assessed needed",IF(C195="","Date of birth needed",IF(COUNTA(L195,M195,P195,U195,V195,X195,AB195)&lt;7,"Band missing",IF(AND(OR(J195="Decision confirmed",J195="Family told",J195="Enrolled"),AG195=""),"Recommendation needed",IF(AND(OR(J195="Family told",J195="Enrolled"),AJ195=""),"Date family told needed","OK"))))))))</f>
        <v/>
      </c>
    </row>
    <row r="196" customFormat="false" ht="15" hidden="false" customHeight="false" outlineLevel="0" collapsed="false">
      <c r="A196" s="7"/>
      <c r="B196" s="7"/>
      <c r="C196" s="46"/>
      <c r="D196" s="7"/>
      <c r="E196" s="47"/>
      <c r="F196" s="46"/>
      <c r="G196" s="46"/>
      <c r="H196" s="7"/>
      <c r="I196" s="7"/>
      <c r="J196" s="47"/>
      <c r="K196" s="47"/>
      <c r="L196" s="47"/>
      <c r="M196" s="47"/>
      <c r="N196" s="10"/>
      <c r="O196" s="47"/>
      <c r="P196" s="47"/>
      <c r="Q196" s="47"/>
      <c r="R196" s="48" t="str">
        <f aca="false">IF(Q196="","",IF(Q196=0,"below 5:00",IF(Q196&gt;=66,"16:00 or above",INT((60+2*Q196)/12)&amp;":"&amp;TEXT(MOD(60+2*Q196,12),"00"))))</f>
        <v/>
      </c>
      <c r="S196" s="47"/>
      <c r="T196" s="47"/>
      <c r="U196" s="47"/>
      <c r="V196" s="47"/>
      <c r="W196" s="47"/>
      <c r="X196" s="47"/>
      <c r="Y196" s="47"/>
      <c r="Z196" s="47"/>
      <c r="AA196" s="47"/>
      <c r="AB196" s="47"/>
      <c r="AC196" s="47"/>
      <c r="AD196" s="47"/>
      <c r="AE196" s="47"/>
      <c r="AF196" s="47"/>
      <c r="AG196" s="47"/>
      <c r="AH196" s="47"/>
      <c r="AI196" s="46"/>
      <c r="AJ196" s="46"/>
      <c r="AK196" s="46"/>
      <c r="AL196" s="7"/>
      <c r="AM196" s="49" t="str">
        <f aca="false">IF(OR(C196="",G196=""),"",IFERROR(DATEDIF(C196,G196,"m"),""))</f>
        <v/>
      </c>
      <c r="AN196" s="49" t="str">
        <f aca="false">IF(OR(Q196="",AM196=""),"",60+2*Q196-AM196)</f>
        <v/>
      </c>
      <c r="AO196" s="49" t="str">
        <f aca="false">IF(OR(G196="",AJ196=""),"",AJ196-G196)</f>
        <v/>
      </c>
      <c r="AP196" s="50" t="str">
        <f aca="false">IF(AND(A196="",B196=""),"",IF(J196="","Status needed",IF(OR(J196="Applied",J196="Visit booked",J196="Withdrawn"),"OK",IF(G196="","Date assessed needed",IF(C196="","Date of birth needed",IF(COUNTA(L196,M196,P196,U196,V196,X196,AB196)&lt;7,"Band missing",IF(AND(OR(J196="Decision confirmed",J196="Family told",J196="Enrolled"),AG196=""),"Recommendation needed",IF(AND(OR(J196="Family told",J196="Enrolled"),AJ196=""),"Date family told needed","OK"))))))))</f>
        <v/>
      </c>
    </row>
    <row r="197" customFormat="false" ht="15" hidden="false" customHeight="false" outlineLevel="0" collapsed="false">
      <c r="A197" s="7"/>
      <c r="B197" s="7"/>
      <c r="C197" s="46"/>
      <c r="D197" s="7"/>
      <c r="E197" s="47"/>
      <c r="F197" s="46"/>
      <c r="G197" s="46"/>
      <c r="H197" s="7"/>
      <c r="I197" s="7"/>
      <c r="J197" s="47"/>
      <c r="K197" s="47"/>
      <c r="L197" s="47"/>
      <c r="M197" s="47"/>
      <c r="N197" s="10"/>
      <c r="O197" s="47"/>
      <c r="P197" s="47"/>
      <c r="Q197" s="47"/>
      <c r="R197" s="48" t="str">
        <f aca="false">IF(Q197="","",IF(Q197=0,"below 5:00",IF(Q197&gt;=66,"16:00 or above",INT((60+2*Q197)/12)&amp;":"&amp;TEXT(MOD(60+2*Q197,12),"00"))))</f>
        <v/>
      </c>
      <c r="S197" s="47"/>
      <c r="T197" s="47"/>
      <c r="U197" s="47"/>
      <c r="V197" s="47"/>
      <c r="W197" s="47"/>
      <c r="X197" s="47"/>
      <c r="Y197" s="47"/>
      <c r="Z197" s="47"/>
      <c r="AA197" s="47"/>
      <c r="AB197" s="47"/>
      <c r="AC197" s="47"/>
      <c r="AD197" s="47"/>
      <c r="AE197" s="47"/>
      <c r="AF197" s="47"/>
      <c r="AG197" s="47"/>
      <c r="AH197" s="47"/>
      <c r="AI197" s="46"/>
      <c r="AJ197" s="46"/>
      <c r="AK197" s="46"/>
      <c r="AL197" s="7"/>
      <c r="AM197" s="49" t="str">
        <f aca="false">IF(OR(C197="",G197=""),"",IFERROR(DATEDIF(C197,G197,"m"),""))</f>
        <v/>
      </c>
      <c r="AN197" s="49" t="str">
        <f aca="false">IF(OR(Q197="",AM197=""),"",60+2*Q197-AM197)</f>
        <v/>
      </c>
      <c r="AO197" s="49" t="str">
        <f aca="false">IF(OR(G197="",AJ197=""),"",AJ197-G197)</f>
        <v/>
      </c>
      <c r="AP197" s="50" t="str">
        <f aca="false">IF(AND(A197="",B197=""),"",IF(J197="","Status needed",IF(OR(J197="Applied",J197="Visit booked",J197="Withdrawn"),"OK",IF(G197="","Date assessed needed",IF(C197="","Date of birth needed",IF(COUNTA(L197,M197,P197,U197,V197,X197,AB197)&lt;7,"Band missing",IF(AND(OR(J197="Decision confirmed",J197="Family told",J197="Enrolled"),AG197=""),"Recommendation needed",IF(AND(OR(J197="Family told",J197="Enrolled"),AJ197=""),"Date family told needed","OK"))))))))</f>
        <v/>
      </c>
    </row>
    <row r="198" customFormat="false" ht="15" hidden="false" customHeight="false" outlineLevel="0" collapsed="false">
      <c r="A198" s="7"/>
      <c r="B198" s="7"/>
      <c r="C198" s="46"/>
      <c r="D198" s="7"/>
      <c r="E198" s="47"/>
      <c r="F198" s="46"/>
      <c r="G198" s="46"/>
      <c r="H198" s="7"/>
      <c r="I198" s="7"/>
      <c r="J198" s="47"/>
      <c r="K198" s="47"/>
      <c r="L198" s="47"/>
      <c r="M198" s="47"/>
      <c r="N198" s="10"/>
      <c r="O198" s="47"/>
      <c r="P198" s="47"/>
      <c r="Q198" s="47"/>
      <c r="R198" s="48" t="str">
        <f aca="false">IF(Q198="","",IF(Q198=0,"below 5:00",IF(Q198&gt;=66,"16:00 or above",INT((60+2*Q198)/12)&amp;":"&amp;TEXT(MOD(60+2*Q198,12),"00"))))</f>
        <v/>
      </c>
      <c r="S198" s="47"/>
      <c r="T198" s="47"/>
      <c r="U198" s="47"/>
      <c r="V198" s="47"/>
      <c r="W198" s="47"/>
      <c r="X198" s="47"/>
      <c r="Y198" s="47"/>
      <c r="Z198" s="47"/>
      <c r="AA198" s="47"/>
      <c r="AB198" s="47"/>
      <c r="AC198" s="47"/>
      <c r="AD198" s="47"/>
      <c r="AE198" s="47"/>
      <c r="AF198" s="47"/>
      <c r="AG198" s="47"/>
      <c r="AH198" s="47"/>
      <c r="AI198" s="46"/>
      <c r="AJ198" s="46"/>
      <c r="AK198" s="46"/>
      <c r="AL198" s="7"/>
      <c r="AM198" s="49" t="str">
        <f aca="false">IF(OR(C198="",G198=""),"",IFERROR(DATEDIF(C198,G198,"m"),""))</f>
        <v/>
      </c>
      <c r="AN198" s="49" t="str">
        <f aca="false">IF(OR(Q198="",AM198=""),"",60+2*Q198-AM198)</f>
        <v/>
      </c>
      <c r="AO198" s="49" t="str">
        <f aca="false">IF(OR(G198="",AJ198=""),"",AJ198-G198)</f>
        <v/>
      </c>
      <c r="AP198" s="50" t="str">
        <f aca="false">IF(AND(A198="",B198=""),"",IF(J198="","Status needed",IF(OR(J198="Applied",J198="Visit booked",J198="Withdrawn"),"OK",IF(G198="","Date assessed needed",IF(C198="","Date of birth needed",IF(COUNTA(L198,M198,P198,U198,V198,X198,AB198)&lt;7,"Band missing",IF(AND(OR(J198="Decision confirmed",J198="Family told",J198="Enrolled"),AG198=""),"Recommendation needed",IF(AND(OR(J198="Family told",J198="Enrolled"),AJ198=""),"Date family told needed","OK"))))))))</f>
        <v/>
      </c>
    </row>
    <row r="199" customFormat="false" ht="15" hidden="false" customHeight="false" outlineLevel="0" collapsed="false">
      <c r="A199" s="7"/>
      <c r="B199" s="7"/>
      <c r="C199" s="46"/>
      <c r="D199" s="7"/>
      <c r="E199" s="47"/>
      <c r="F199" s="46"/>
      <c r="G199" s="46"/>
      <c r="H199" s="7"/>
      <c r="I199" s="7"/>
      <c r="J199" s="47"/>
      <c r="K199" s="47"/>
      <c r="L199" s="47"/>
      <c r="M199" s="47"/>
      <c r="N199" s="10"/>
      <c r="O199" s="47"/>
      <c r="P199" s="47"/>
      <c r="Q199" s="47"/>
      <c r="R199" s="48" t="str">
        <f aca="false">IF(Q199="","",IF(Q199=0,"below 5:00",IF(Q199&gt;=66,"16:00 or above",INT((60+2*Q199)/12)&amp;":"&amp;TEXT(MOD(60+2*Q199,12),"00"))))</f>
        <v/>
      </c>
      <c r="S199" s="47"/>
      <c r="T199" s="47"/>
      <c r="U199" s="47"/>
      <c r="V199" s="47"/>
      <c r="W199" s="47"/>
      <c r="X199" s="47"/>
      <c r="Y199" s="47"/>
      <c r="Z199" s="47"/>
      <c r="AA199" s="47"/>
      <c r="AB199" s="47"/>
      <c r="AC199" s="47"/>
      <c r="AD199" s="47"/>
      <c r="AE199" s="47"/>
      <c r="AF199" s="47"/>
      <c r="AG199" s="47"/>
      <c r="AH199" s="47"/>
      <c r="AI199" s="46"/>
      <c r="AJ199" s="46"/>
      <c r="AK199" s="46"/>
      <c r="AL199" s="7"/>
      <c r="AM199" s="49" t="str">
        <f aca="false">IF(OR(C199="",G199=""),"",IFERROR(DATEDIF(C199,G199,"m"),""))</f>
        <v/>
      </c>
      <c r="AN199" s="49" t="str">
        <f aca="false">IF(OR(Q199="",AM199=""),"",60+2*Q199-AM199)</f>
        <v/>
      </c>
      <c r="AO199" s="49" t="str">
        <f aca="false">IF(OR(G199="",AJ199=""),"",AJ199-G199)</f>
        <v/>
      </c>
      <c r="AP199" s="50" t="str">
        <f aca="false">IF(AND(A199="",B199=""),"",IF(J199="","Status needed",IF(OR(J199="Applied",J199="Visit booked",J199="Withdrawn"),"OK",IF(G199="","Date assessed needed",IF(C199="","Date of birth needed",IF(COUNTA(L199,M199,P199,U199,V199,X199,AB199)&lt;7,"Band missing",IF(AND(OR(J199="Decision confirmed",J199="Family told",J199="Enrolled"),AG199=""),"Recommendation needed",IF(AND(OR(J199="Family told",J199="Enrolled"),AJ199=""),"Date family told needed","OK"))))))))</f>
        <v/>
      </c>
    </row>
    <row r="200" customFormat="false" ht="15" hidden="false" customHeight="false" outlineLevel="0" collapsed="false">
      <c r="A200" s="7"/>
      <c r="B200" s="7"/>
      <c r="C200" s="46"/>
      <c r="D200" s="7"/>
      <c r="E200" s="47"/>
      <c r="F200" s="46"/>
      <c r="G200" s="46"/>
      <c r="H200" s="7"/>
      <c r="I200" s="7"/>
      <c r="J200" s="47"/>
      <c r="K200" s="47"/>
      <c r="L200" s="47"/>
      <c r="M200" s="47"/>
      <c r="N200" s="10"/>
      <c r="O200" s="47"/>
      <c r="P200" s="47"/>
      <c r="Q200" s="47"/>
      <c r="R200" s="48" t="str">
        <f aca="false">IF(Q200="","",IF(Q200=0,"below 5:00",IF(Q200&gt;=66,"16:00 or above",INT((60+2*Q200)/12)&amp;":"&amp;TEXT(MOD(60+2*Q200,12),"00"))))</f>
        <v/>
      </c>
      <c r="S200" s="47"/>
      <c r="T200" s="47"/>
      <c r="U200" s="47"/>
      <c r="V200" s="47"/>
      <c r="W200" s="47"/>
      <c r="X200" s="47"/>
      <c r="Y200" s="47"/>
      <c r="Z200" s="47"/>
      <c r="AA200" s="47"/>
      <c r="AB200" s="47"/>
      <c r="AC200" s="47"/>
      <c r="AD200" s="47"/>
      <c r="AE200" s="47"/>
      <c r="AF200" s="47"/>
      <c r="AG200" s="47"/>
      <c r="AH200" s="47"/>
      <c r="AI200" s="46"/>
      <c r="AJ200" s="46"/>
      <c r="AK200" s="46"/>
      <c r="AL200" s="7"/>
      <c r="AM200" s="49" t="str">
        <f aca="false">IF(OR(C200="",G200=""),"",IFERROR(DATEDIF(C200,G200,"m"),""))</f>
        <v/>
      </c>
      <c r="AN200" s="49" t="str">
        <f aca="false">IF(OR(Q200="",AM200=""),"",60+2*Q200-AM200)</f>
        <v/>
      </c>
      <c r="AO200" s="49" t="str">
        <f aca="false">IF(OR(G200="",AJ200=""),"",AJ200-G200)</f>
        <v/>
      </c>
      <c r="AP200" s="50" t="str">
        <f aca="false">IF(AND(A200="",B200=""),"",IF(J200="","Status needed",IF(OR(J200="Applied",J200="Visit booked",J200="Withdrawn"),"OK",IF(G200="","Date assessed needed",IF(C200="","Date of birth needed",IF(COUNTA(L200,M200,P200,U200,V200,X200,AB200)&lt;7,"Band missing",IF(AND(OR(J200="Decision confirmed",J200="Family told",J200="Enrolled"),AG200=""),"Recommendation needed",IF(AND(OR(J200="Family told",J200="Enrolled"),AJ200=""),"Date family told needed","OK"))))))))</f>
        <v/>
      </c>
    </row>
    <row r="201" customFormat="false" ht="15" hidden="false" customHeight="false" outlineLevel="0" collapsed="false">
      <c r="A201" s="7"/>
      <c r="B201" s="7"/>
      <c r="C201" s="46"/>
      <c r="D201" s="7"/>
      <c r="E201" s="47"/>
      <c r="F201" s="46"/>
      <c r="G201" s="46"/>
      <c r="H201" s="7"/>
      <c r="I201" s="7"/>
      <c r="J201" s="47"/>
      <c r="K201" s="47"/>
      <c r="L201" s="47"/>
      <c r="M201" s="47"/>
      <c r="N201" s="10"/>
      <c r="O201" s="47"/>
      <c r="P201" s="47"/>
      <c r="Q201" s="47"/>
      <c r="R201" s="48" t="str">
        <f aca="false">IF(Q201="","",IF(Q201=0,"below 5:00",IF(Q201&gt;=66,"16:00 or above",INT((60+2*Q201)/12)&amp;":"&amp;TEXT(MOD(60+2*Q201,12),"00"))))</f>
        <v/>
      </c>
      <c r="S201" s="47"/>
      <c r="T201" s="47"/>
      <c r="U201" s="47"/>
      <c r="V201" s="47"/>
      <c r="W201" s="47"/>
      <c r="X201" s="47"/>
      <c r="Y201" s="47"/>
      <c r="Z201" s="47"/>
      <c r="AA201" s="47"/>
      <c r="AB201" s="47"/>
      <c r="AC201" s="47"/>
      <c r="AD201" s="47"/>
      <c r="AE201" s="47"/>
      <c r="AF201" s="47"/>
      <c r="AG201" s="47"/>
      <c r="AH201" s="47"/>
      <c r="AI201" s="46"/>
      <c r="AJ201" s="46"/>
      <c r="AK201" s="46"/>
      <c r="AL201" s="7"/>
      <c r="AM201" s="49" t="str">
        <f aca="false">IF(OR(C201="",G201=""),"",IFERROR(DATEDIF(C201,G201,"m"),""))</f>
        <v/>
      </c>
      <c r="AN201" s="49" t="str">
        <f aca="false">IF(OR(Q201="",AM201=""),"",60+2*Q201-AM201)</f>
        <v/>
      </c>
      <c r="AO201" s="49" t="str">
        <f aca="false">IF(OR(G201="",AJ201=""),"",AJ201-G201)</f>
        <v/>
      </c>
      <c r="AP201" s="50" t="str">
        <f aca="false">IF(AND(A201="",B201=""),"",IF(J201="","Status needed",IF(OR(J201="Applied",J201="Visit booked",J201="Withdrawn"),"OK",IF(G201="","Date assessed needed",IF(C201="","Date of birth needed",IF(COUNTA(L201,M201,P201,U201,V201,X201,AB201)&lt;7,"Band missing",IF(AND(OR(J201="Decision confirmed",J201="Family told",J201="Enrolled"),AG201=""),"Recommendation needed",IF(AND(OR(J201="Family told",J201="Enrolled"),AJ201=""),"Date family told needed","OK"))))))))</f>
        <v/>
      </c>
    </row>
    <row r="202" customFormat="false" ht="15" hidden="false" customHeight="false" outlineLevel="0" collapsed="false">
      <c r="A202" s="7"/>
      <c r="B202" s="7"/>
      <c r="C202" s="46"/>
      <c r="D202" s="7"/>
      <c r="E202" s="47"/>
      <c r="F202" s="46"/>
      <c r="G202" s="46"/>
      <c r="H202" s="7"/>
      <c r="I202" s="7"/>
      <c r="J202" s="47"/>
      <c r="K202" s="47"/>
      <c r="L202" s="47"/>
      <c r="M202" s="47"/>
      <c r="N202" s="10"/>
      <c r="O202" s="47"/>
      <c r="P202" s="47"/>
      <c r="Q202" s="47"/>
      <c r="R202" s="48" t="str">
        <f aca="false">IF(Q202="","",IF(Q202=0,"below 5:00",IF(Q202&gt;=66,"16:00 or above",INT((60+2*Q202)/12)&amp;":"&amp;TEXT(MOD(60+2*Q202,12),"00"))))</f>
        <v/>
      </c>
      <c r="S202" s="47"/>
      <c r="T202" s="47"/>
      <c r="U202" s="47"/>
      <c r="V202" s="47"/>
      <c r="W202" s="47"/>
      <c r="X202" s="47"/>
      <c r="Y202" s="47"/>
      <c r="Z202" s="47"/>
      <c r="AA202" s="47"/>
      <c r="AB202" s="47"/>
      <c r="AC202" s="47"/>
      <c r="AD202" s="47"/>
      <c r="AE202" s="47"/>
      <c r="AF202" s="47"/>
      <c r="AG202" s="47"/>
      <c r="AH202" s="47"/>
      <c r="AI202" s="46"/>
      <c r="AJ202" s="46"/>
      <c r="AK202" s="46"/>
      <c r="AL202" s="7"/>
      <c r="AM202" s="49" t="str">
        <f aca="false">IF(OR(C202="",G202=""),"",IFERROR(DATEDIF(C202,G202,"m"),""))</f>
        <v/>
      </c>
      <c r="AN202" s="49" t="str">
        <f aca="false">IF(OR(Q202="",AM202=""),"",60+2*Q202-AM202)</f>
        <v/>
      </c>
      <c r="AO202" s="49" t="str">
        <f aca="false">IF(OR(G202="",AJ202=""),"",AJ202-G202)</f>
        <v/>
      </c>
      <c r="AP202" s="50" t="str">
        <f aca="false">IF(AND(A202="",B202=""),"",IF(J202="","Status needed",IF(OR(J202="Applied",J202="Visit booked",J202="Withdrawn"),"OK",IF(G202="","Date assessed needed",IF(C202="","Date of birth needed",IF(COUNTA(L202,M202,P202,U202,V202,X202,AB202)&lt;7,"Band missing",IF(AND(OR(J202="Decision confirmed",J202="Family told",J202="Enrolled"),AG202=""),"Recommendation needed",IF(AND(OR(J202="Family told",J202="Enrolled"),AJ202=""),"Date family told needed","OK"))))))))</f>
        <v/>
      </c>
    </row>
    <row r="203" customFormat="false" ht="15" hidden="false" customHeight="false" outlineLevel="0" collapsed="false">
      <c r="A203" s="7"/>
      <c r="B203" s="7"/>
      <c r="C203" s="46"/>
      <c r="D203" s="7"/>
      <c r="E203" s="47"/>
      <c r="F203" s="46"/>
      <c r="G203" s="46"/>
      <c r="H203" s="7"/>
      <c r="I203" s="7"/>
      <c r="J203" s="47"/>
      <c r="K203" s="47"/>
      <c r="L203" s="47"/>
      <c r="M203" s="47"/>
      <c r="N203" s="10"/>
      <c r="O203" s="47"/>
      <c r="P203" s="47"/>
      <c r="Q203" s="47"/>
      <c r="R203" s="48" t="str">
        <f aca="false">IF(Q203="","",IF(Q203=0,"below 5:00",IF(Q203&gt;=66,"16:00 or above",INT((60+2*Q203)/12)&amp;":"&amp;TEXT(MOD(60+2*Q203,12),"00"))))</f>
        <v/>
      </c>
      <c r="S203" s="47"/>
      <c r="T203" s="47"/>
      <c r="U203" s="47"/>
      <c r="V203" s="47"/>
      <c r="W203" s="47"/>
      <c r="X203" s="47"/>
      <c r="Y203" s="47"/>
      <c r="Z203" s="47"/>
      <c r="AA203" s="47"/>
      <c r="AB203" s="47"/>
      <c r="AC203" s="47"/>
      <c r="AD203" s="47"/>
      <c r="AE203" s="47"/>
      <c r="AF203" s="47"/>
      <c r="AG203" s="47"/>
      <c r="AH203" s="47"/>
      <c r="AI203" s="46"/>
      <c r="AJ203" s="46"/>
      <c r="AK203" s="46"/>
      <c r="AL203" s="7"/>
      <c r="AM203" s="49" t="str">
        <f aca="false">IF(OR(C203="",G203=""),"",IFERROR(DATEDIF(C203,G203,"m"),""))</f>
        <v/>
      </c>
      <c r="AN203" s="49" t="str">
        <f aca="false">IF(OR(Q203="",AM203=""),"",60+2*Q203-AM203)</f>
        <v/>
      </c>
      <c r="AO203" s="49" t="str">
        <f aca="false">IF(OR(G203="",AJ203=""),"",AJ203-G203)</f>
        <v/>
      </c>
      <c r="AP203" s="50" t="str">
        <f aca="false">IF(AND(A203="",B203=""),"",IF(J203="","Status needed",IF(OR(J203="Applied",J203="Visit booked",J203="Withdrawn"),"OK",IF(G203="","Date assessed needed",IF(C203="","Date of birth needed",IF(COUNTA(L203,M203,P203,U203,V203,X203,AB203)&lt;7,"Band missing",IF(AND(OR(J203="Decision confirmed",J203="Family told",J203="Enrolled"),AG203=""),"Recommendation needed",IF(AND(OR(J203="Family told",J203="Enrolled"),AJ203=""),"Date family told needed","OK"))))))))</f>
        <v/>
      </c>
    </row>
    <row r="204" customFormat="false" ht="15" hidden="false" customHeight="false" outlineLevel="0" collapsed="false">
      <c r="A204" s="7"/>
      <c r="B204" s="7"/>
      <c r="C204" s="46"/>
      <c r="D204" s="7"/>
      <c r="E204" s="47"/>
      <c r="F204" s="46"/>
      <c r="G204" s="46"/>
      <c r="H204" s="7"/>
      <c r="I204" s="7"/>
      <c r="J204" s="47"/>
      <c r="K204" s="47"/>
      <c r="L204" s="47"/>
      <c r="M204" s="47"/>
      <c r="N204" s="10"/>
      <c r="O204" s="47"/>
      <c r="P204" s="47"/>
      <c r="Q204" s="47"/>
      <c r="R204" s="48" t="str">
        <f aca="false">IF(Q204="","",IF(Q204=0,"below 5:00",IF(Q204&gt;=66,"16:00 or above",INT((60+2*Q204)/12)&amp;":"&amp;TEXT(MOD(60+2*Q204,12),"00"))))</f>
        <v/>
      </c>
      <c r="S204" s="47"/>
      <c r="T204" s="47"/>
      <c r="U204" s="47"/>
      <c r="V204" s="47"/>
      <c r="W204" s="47"/>
      <c r="X204" s="47"/>
      <c r="Y204" s="47"/>
      <c r="Z204" s="47"/>
      <c r="AA204" s="47"/>
      <c r="AB204" s="47"/>
      <c r="AC204" s="47"/>
      <c r="AD204" s="47"/>
      <c r="AE204" s="47"/>
      <c r="AF204" s="47"/>
      <c r="AG204" s="47"/>
      <c r="AH204" s="47"/>
      <c r="AI204" s="46"/>
      <c r="AJ204" s="46"/>
      <c r="AK204" s="46"/>
      <c r="AL204" s="7"/>
      <c r="AM204" s="49" t="str">
        <f aca="false">IF(OR(C204="",G204=""),"",IFERROR(DATEDIF(C204,G204,"m"),""))</f>
        <v/>
      </c>
      <c r="AN204" s="49" t="str">
        <f aca="false">IF(OR(Q204="",AM204=""),"",60+2*Q204-AM204)</f>
        <v/>
      </c>
      <c r="AO204" s="49" t="str">
        <f aca="false">IF(OR(G204="",AJ204=""),"",AJ204-G204)</f>
        <v/>
      </c>
      <c r="AP204" s="50" t="str">
        <f aca="false">IF(AND(A204="",B204=""),"",IF(J204="","Status needed",IF(OR(J204="Applied",J204="Visit booked",J204="Withdrawn"),"OK",IF(G204="","Date assessed needed",IF(C204="","Date of birth needed",IF(COUNTA(L204,M204,P204,U204,V204,X204,AB204)&lt;7,"Band missing",IF(AND(OR(J204="Decision confirmed",J204="Family told",J204="Enrolled"),AG204=""),"Recommendation needed",IF(AND(OR(J204="Family told",J204="Enrolled"),AJ204=""),"Date family told needed","OK"))))))))</f>
        <v/>
      </c>
    </row>
    <row r="205" customFormat="false" ht="15" hidden="false" customHeight="false" outlineLevel="0" collapsed="false">
      <c r="A205" s="7"/>
      <c r="B205" s="7"/>
      <c r="C205" s="46"/>
      <c r="D205" s="7"/>
      <c r="E205" s="47"/>
      <c r="F205" s="46"/>
      <c r="G205" s="46"/>
      <c r="H205" s="7"/>
      <c r="I205" s="7"/>
      <c r="J205" s="47"/>
      <c r="K205" s="47"/>
      <c r="L205" s="47"/>
      <c r="M205" s="47"/>
      <c r="N205" s="10"/>
      <c r="O205" s="47"/>
      <c r="P205" s="47"/>
      <c r="Q205" s="47"/>
      <c r="R205" s="48" t="str">
        <f aca="false">IF(Q205="","",IF(Q205=0,"below 5:00",IF(Q205&gt;=66,"16:00 or above",INT((60+2*Q205)/12)&amp;":"&amp;TEXT(MOD(60+2*Q205,12),"00"))))</f>
        <v/>
      </c>
      <c r="S205" s="47"/>
      <c r="T205" s="47"/>
      <c r="U205" s="47"/>
      <c r="V205" s="47"/>
      <c r="W205" s="47"/>
      <c r="X205" s="47"/>
      <c r="Y205" s="47"/>
      <c r="Z205" s="47"/>
      <c r="AA205" s="47"/>
      <c r="AB205" s="47"/>
      <c r="AC205" s="47"/>
      <c r="AD205" s="47"/>
      <c r="AE205" s="47"/>
      <c r="AF205" s="47"/>
      <c r="AG205" s="47"/>
      <c r="AH205" s="47"/>
      <c r="AI205" s="46"/>
      <c r="AJ205" s="46"/>
      <c r="AK205" s="46"/>
      <c r="AL205" s="7"/>
      <c r="AM205" s="49" t="str">
        <f aca="false">IF(OR(C205="",G205=""),"",IFERROR(DATEDIF(C205,G205,"m"),""))</f>
        <v/>
      </c>
      <c r="AN205" s="49" t="str">
        <f aca="false">IF(OR(Q205="",AM205=""),"",60+2*Q205-AM205)</f>
        <v/>
      </c>
      <c r="AO205" s="49" t="str">
        <f aca="false">IF(OR(G205="",AJ205=""),"",AJ205-G205)</f>
        <v/>
      </c>
      <c r="AP205" s="50" t="str">
        <f aca="false">IF(AND(A205="",B205=""),"",IF(J205="","Status needed",IF(OR(J205="Applied",J205="Visit booked",J205="Withdrawn"),"OK",IF(G205="","Date assessed needed",IF(C205="","Date of birth needed",IF(COUNTA(L205,M205,P205,U205,V205,X205,AB205)&lt;7,"Band missing",IF(AND(OR(J205="Decision confirmed",J205="Family told",J205="Enrolled"),AG205=""),"Recommendation needed",IF(AND(OR(J205="Family told",J205="Enrolled"),AJ205=""),"Date family told needed","OK"))))))))</f>
        <v/>
      </c>
    </row>
    <row r="206" customFormat="false" ht="15" hidden="false" customHeight="false" outlineLevel="0" collapsed="false">
      <c r="A206" s="7"/>
      <c r="B206" s="7"/>
      <c r="C206" s="46"/>
      <c r="D206" s="7"/>
      <c r="E206" s="47"/>
      <c r="F206" s="46"/>
      <c r="G206" s="46"/>
      <c r="H206" s="7"/>
      <c r="I206" s="7"/>
      <c r="J206" s="47"/>
      <c r="K206" s="47"/>
      <c r="L206" s="47"/>
      <c r="M206" s="47"/>
      <c r="N206" s="10"/>
      <c r="O206" s="47"/>
      <c r="P206" s="47"/>
      <c r="Q206" s="47"/>
      <c r="R206" s="48" t="str">
        <f aca="false">IF(Q206="","",IF(Q206=0,"below 5:00",IF(Q206&gt;=66,"16:00 or above",INT((60+2*Q206)/12)&amp;":"&amp;TEXT(MOD(60+2*Q206,12),"00"))))</f>
        <v/>
      </c>
      <c r="S206" s="47"/>
      <c r="T206" s="47"/>
      <c r="U206" s="47"/>
      <c r="V206" s="47"/>
      <c r="W206" s="47"/>
      <c r="X206" s="47"/>
      <c r="Y206" s="47"/>
      <c r="Z206" s="47"/>
      <c r="AA206" s="47"/>
      <c r="AB206" s="47"/>
      <c r="AC206" s="47"/>
      <c r="AD206" s="47"/>
      <c r="AE206" s="47"/>
      <c r="AF206" s="47"/>
      <c r="AG206" s="47"/>
      <c r="AH206" s="47"/>
      <c r="AI206" s="46"/>
      <c r="AJ206" s="46"/>
      <c r="AK206" s="46"/>
      <c r="AL206" s="7"/>
      <c r="AM206" s="49" t="str">
        <f aca="false">IF(OR(C206="",G206=""),"",IFERROR(DATEDIF(C206,G206,"m"),""))</f>
        <v/>
      </c>
      <c r="AN206" s="49" t="str">
        <f aca="false">IF(OR(Q206="",AM206=""),"",60+2*Q206-AM206)</f>
        <v/>
      </c>
      <c r="AO206" s="49" t="str">
        <f aca="false">IF(OR(G206="",AJ206=""),"",AJ206-G206)</f>
        <v/>
      </c>
      <c r="AP206" s="50" t="str">
        <f aca="false">IF(AND(A206="",B206=""),"",IF(J206="","Status needed",IF(OR(J206="Applied",J206="Visit booked",J206="Withdrawn"),"OK",IF(G206="","Date assessed needed",IF(C206="","Date of birth needed",IF(COUNTA(L206,M206,P206,U206,V206,X206,AB206)&lt;7,"Band missing",IF(AND(OR(J206="Decision confirmed",J206="Family told",J206="Enrolled"),AG206=""),"Recommendation needed",IF(AND(OR(J206="Family told",J206="Enrolled"),AJ206=""),"Date family told needed","OK"))))))))</f>
        <v/>
      </c>
    </row>
    <row r="207" customFormat="false" ht="15" hidden="false" customHeight="false" outlineLevel="0" collapsed="false">
      <c r="A207" s="7"/>
      <c r="B207" s="7"/>
      <c r="C207" s="46"/>
      <c r="D207" s="7"/>
      <c r="E207" s="47"/>
      <c r="F207" s="46"/>
      <c r="G207" s="46"/>
      <c r="H207" s="7"/>
      <c r="I207" s="7"/>
      <c r="J207" s="47"/>
      <c r="K207" s="47"/>
      <c r="L207" s="47"/>
      <c r="M207" s="47"/>
      <c r="N207" s="10"/>
      <c r="O207" s="47"/>
      <c r="P207" s="47"/>
      <c r="Q207" s="47"/>
      <c r="R207" s="48" t="str">
        <f aca="false">IF(Q207="","",IF(Q207=0,"below 5:00",IF(Q207&gt;=66,"16:00 or above",INT((60+2*Q207)/12)&amp;":"&amp;TEXT(MOD(60+2*Q207,12),"00"))))</f>
        <v/>
      </c>
      <c r="S207" s="47"/>
      <c r="T207" s="47"/>
      <c r="U207" s="47"/>
      <c r="V207" s="47"/>
      <c r="W207" s="47"/>
      <c r="X207" s="47"/>
      <c r="Y207" s="47"/>
      <c r="Z207" s="47"/>
      <c r="AA207" s="47"/>
      <c r="AB207" s="47"/>
      <c r="AC207" s="47"/>
      <c r="AD207" s="47"/>
      <c r="AE207" s="47"/>
      <c r="AF207" s="47"/>
      <c r="AG207" s="47"/>
      <c r="AH207" s="47"/>
      <c r="AI207" s="46"/>
      <c r="AJ207" s="46"/>
      <c r="AK207" s="46"/>
      <c r="AL207" s="7"/>
      <c r="AM207" s="49" t="str">
        <f aca="false">IF(OR(C207="",G207=""),"",IFERROR(DATEDIF(C207,G207,"m"),""))</f>
        <v/>
      </c>
      <c r="AN207" s="49" t="str">
        <f aca="false">IF(OR(Q207="",AM207=""),"",60+2*Q207-AM207)</f>
        <v/>
      </c>
      <c r="AO207" s="49" t="str">
        <f aca="false">IF(OR(G207="",AJ207=""),"",AJ207-G207)</f>
        <v/>
      </c>
      <c r="AP207" s="50" t="str">
        <f aca="false">IF(AND(A207="",B207=""),"",IF(J207="","Status needed",IF(OR(J207="Applied",J207="Visit booked",J207="Withdrawn"),"OK",IF(G207="","Date assessed needed",IF(C207="","Date of birth needed",IF(COUNTA(L207,M207,P207,U207,V207,X207,AB207)&lt;7,"Band missing",IF(AND(OR(J207="Decision confirmed",J207="Family told",J207="Enrolled"),AG207=""),"Recommendation needed",IF(AND(OR(J207="Family told",J207="Enrolled"),AJ207=""),"Date family told needed","OK"))))))))</f>
        <v/>
      </c>
    </row>
    <row r="208" customFormat="false" ht="15" hidden="false" customHeight="false" outlineLevel="0" collapsed="false">
      <c r="A208" s="7"/>
      <c r="B208" s="7"/>
      <c r="C208" s="46"/>
      <c r="D208" s="7"/>
      <c r="E208" s="47"/>
      <c r="F208" s="46"/>
      <c r="G208" s="46"/>
      <c r="H208" s="7"/>
      <c r="I208" s="7"/>
      <c r="J208" s="47"/>
      <c r="K208" s="47"/>
      <c r="L208" s="47"/>
      <c r="M208" s="47"/>
      <c r="N208" s="10"/>
      <c r="O208" s="47"/>
      <c r="P208" s="47"/>
      <c r="Q208" s="47"/>
      <c r="R208" s="48" t="str">
        <f aca="false">IF(Q208="","",IF(Q208=0,"below 5:00",IF(Q208&gt;=66,"16:00 or above",INT((60+2*Q208)/12)&amp;":"&amp;TEXT(MOD(60+2*Q208,12),"00"))))</f>
        <v/>
      </c>
      <c r="S208" s="47"/>
      <c r="T208" s="47"/>
      <c r="U208" s="47"/>
      <c r="V208" s="47"/>
      <c r="W208" s="47"/>
      <c r="X208" s="47"/>
      <c r="Y208" s="47"/>
      <c r="Z208" s="47"/>
      <c r="AA208" s="47"/>
      <c r="AB208" s="47"/>
      <c r="AC208" s="47"/>
      <c r="AD208" s="47"/>
      <c r="AE208" s="47"/>
      <c r="AF208" s="47"/>
      <c r="AG208" s="47"/>
      <c r="AH208" s="47"/>
      <c r="AI208" s="46"/>
      <c r="AJ208" s="46"/>
      <c r="AK208" s="46"/>
      <c r="AL208" s="7"/>
      <c r="AM208" s="49" t="str">
        <f aca="false">IF(OR(C208="",G208=""),"",IFERROR(DATEDIF(C208,G208,"m"),""))</f>
        <v/>
      </c>
      <c r="AN208" s="49" t="str">
        <f aca="false">IF(OR(Q208="",AM208=""),"",60+2*Q208-AM208)</f>
        <v/>
      </c>
      <c r="AO208" s="49" t="str">
        <f aca="false">IF(OR(G208="",AJ208=""),"",AJ208-G208)</f>
        <v/>
      </c>
      <c r="AP208" s="50" t="str">
        <f aca="false">IF(AND(A208="",B208=""),"",IF(J208="","Status needed",IF(OR(J208="Applied",J208="Visit booked",J208="Withdrawn"),"OK",IF(G208="","Date assessed needed",IF(C208="","Date of birth needed",IF(COUNTA(L208,M208,P208,U208,V208,X208,AB208)&lt;7,"Band missing",IF(AND(OR(J208="Decision confirmed",J208="Family told",J208="Enrolled"),AG208=""),"Recommendation needed",IF(AND(OR(J208="Family told",J208="Enrolled"),AJ208=""),"Date family told needed","OK"))))))))</f>
        <v/>
      </c>
    </row>
    <row r="209" customFormat="false" ht="15" hidden="false" customHeight="false" outlineLevel="0" collapsed="false">
      <c r="A209" s="7"/>
      <c r="B209" s="7"/>
      <c r="C209" s="46"/>
      <c r="D209" s="7"/>
      <c r="E209" s="47"/>
      <c r="F209" s="46"/>
      <c r="G209" s="46"/>
      <c r="H209" s="7"/>
      <c r="I209" s="7"/>
      <c r="J209" s="47"/>
      <c r="K209" s="47"/>
      <c r="L209" s="47"/>
      <c r="M209" s="47"/>
      <c r="N209" s="10"/>
      <c r="O209" s="47"/>
      <c r="P209" s="47"/>
      <c r="Q209" s="47"/>
      <c r="R209" s="48" t="str">
        <f aca="false">IF(Q209="","",IF(Q209=0,"below 5:00",IF(Q209&gt;=66,"16:00 or above",INT((60+2*Q209)/12)&amp;":"&amp;TEXT(MOD(60+2*Q209,12),"00"))))</f>
        <v/>
      </c>
      <c r="S209" s="47"/>
      <c r="T209" s="47"/>
      <c r="U209" s="47"/>
      <c r="V209" s="47"/>
      <c r="W209" s="47"/>
      <c r="X209" s="47"/>
      <c r="Y209" s="47"/>
      <c r="Z209" s="47"/>
      <c r="AA209" s="47"/>
      <c r="AB209" s="47"/>
      <c r="AC209" s="47"/>
      <c r="AD209" s="47"/>
      <c r="AE209" s="47"/>
      <c r="AF209" s="47"/>
      <c r="AG209" s="47"/>
      <c r="AH209" s="47"/>
      <c r="AI209" s="46"/>
      <c r="AJ209" s="46"/>
      <c r="AK209" s="46"/>
      <c r="AL209" s="7"/>
      <c r="AM209" s="49" t="str">
        <f aca="false">IF(OR(C209="",G209=""),"",IFERROR(DATEDIF(C209,G209,"m"),""))</f>
        <v/>
      </c>
      <c r="AN209" s="49" t="str">
        <f aca="false">IF(OR(Q209="",AM209=""),"",60+2*Q209-AM209)</f>
        <v/>
      </c>
      <c r="AO209" s="49" t="str">
        <f aca="false">IF(OR(G209="",AJ209=""),"",AJ209-G209)</f>
        <v/>
      </c>
      <c r="AP209" s="50" t="str">
        <f aca="false">IF(AND(A209="",B209=""),"",IF(J209="","Status needed",IF(OR(J209="Applied",J209="Visit booked",J209="Withdrawn"),"OK",IF(G209="","Date assessed needed",IF(C209="","Date of birth needed",IF(COUNTA(L209,M209,P209,U209,V209,X209,AB209)&lt;7,"Band missing",IF(AND(OR(J209="Decision confirmed",J209="Family told",J209="Enrolled"),AG209=""),"Recommendation needed",IF(AND(OR(J209="Family told",J209="Enrolled"),AJ209=""),"Date family told needed","OK"))))))))</f>
        <v/>
      </c>
    </row>
    <row r="210" customFormat="false" ht="15" hidden="false" customHeight="false" outlineLevel="0" collapsed="false">
      <c r="A210" s="7"/>
      <c r="B210" s="7"/>
      <c r="C210" s="46"/>
      <c r="D210" s="7"/>
      <c r="E210" s="47"/>
      <c r="F210" s="46"/>
      <c r="G210" s="46"/>
      <c r="H210" s="7"/>
      <c r="I210" s="7"/>
      <c r="J210" s="47"/>
      <c r="K210" s="47"/>
      <c r="L210" s="47"/>
      <c r="M210" s="47"/>
      <c r="N210" s="10"/>
      <c r="O210" s="47"/>
      <c r="P210" s="47"/>
      <c r="Q210" s="47"/>
      <c r="R210" s="48" t="str">
        <f aca="false">IF(Q210="","",IF(Q210=0,"below 5:00",IF(Q210&gt;=66,"16:00 or above",INT((60+2*Q210)/12)&amp;":"&amp;TEXT(MOD(60+2*Q210,12),"00"))))</f>
        <v/>
      </c>
      <c r="S210" s="47"/>
      <c r="T210" s="47"/>
      <c r="U210" s="47"/>
      <c r="V210" s="47"/>
      <c r="W210" s="47"/>
      <c r="X210" s="47"/>
      <c r="Y210" s="47"/>
      <c r="Z210" s="47"/>
      <c r="AA210" s="47"/>
      <c r="AB210" s="47"/>
      <c r="AC210" s="47"/>
      <c r="AD210" s="47"/>
      <c r="AE210" s="47"/>
      <c r="AF210" s="47"/>
      <c r="AG210" s="47"/>
      <c r="AH210" s="47"/>
      <c r="AI210" s="46"/>
      <c r="AJ210" s="46"/>
      <c r="AK210" s="46"/>
      <c r="AL210" s="7"/>
      <c r="AM210" s="49" t="str">
        <f aca="false">IF(OR(C210="",G210=""),"",IFERROR(DATEDIF(C210,G210,"m"),""))</f>
        <v/>
      </c>
      <c r="AN210" s="49" t="str">
        <f aca="false">IF(OR(Q210="",AM210=""),"",60+2*Q210-AM210)</f>
        <v/>
      </c>
      <c r="AO210" s="49" t="str">
        <f aca="false">IF(OR(G210="",AJ210=""),"",AJ210-G210)</f>
        <v/>
      </c>
      <c r="AP210" s="50" t="str">
        <f aca="false">IF(AND(A210="",B210=""),"",IF(J210="","Status needed",IF(OR(J210="Applied",J210="Visit booked",J210="Withdrawn"),"OK",IF(G210="","Date assessed needed",IF(C210="","Date of birth needed",IF(COUNTA(L210,M210,P210,U210,V210,X210,AB210)&lt;7,"Band missing",IF(AND(OR(J210="Decision confirmed",J210="Family told",J210="Enrolled"),AG210=""),"Recommendation needed",IF(AND(OR(J210="Family told",J210="Enrolled"),AJ210=""),"Date family told needed","OK"))))))))</f>
        <v/>
      </c>
    </row>
    <row r="211" customFormat="false" ht="15" hidden="false" customHeight="false" outlineLevel="0" collapsed="false">
      <c r="A211" s="7"/>
      <c r="B211" s="7"/>
      <c r="C211" s="46"/>
      <c r="D211" s="7"/>
      <c r="E211" s="47"/>
      <c r="F211" s="46"/>
      <c r="G211" s="46"/>
      <c r="H211" s="7"/>
      <c r="I211" s="7"/>
      <c r="J211" s="47"/>
      <c r="K211" s="47"/>
      <c r="L211" s="47"/>
      <c r="M211" s="47"/>
      <c r="N211" s="10"/>
      <c r="O211" s="47"/>
      <c r="P211" s="47"/>
      <c r="Q211" s="47"/>
      <c r="R211" s="48" t="str">
        <f aca="false">IF(Q211="","",IF(Q211=0,"below 5:00",IF(Q211&gt;=66,"16:00 or above",INT((60+2*Q211)/12)&amp;":"&amp;TEXT(MOD(60+2*Q211,12),"00"))))</f>
        <v/>
      </c>
      <c r="S211" s="47"/>
      <c r="T211" s="47"/>
      <c r="U211" s="47"/>
      <c r="V211" s="47"/>
      <c r="W211" s="47"/>
      <c r="X211" s="47"/>
      <c r="Y211" s="47"/>
      <c r="Z211" s="47"/>
      <c r="AA211" s="47"/>
      <c r="AB211" s="47"/>
      <c r="AC211" s="47"/>
      <c r="AD211" s="47"/>
      <c r="AE211" s="47"/>
      <c r="AF211" s="47"/>
      <c r="AG211" s="47"/>
      <c r="AH211" s="47"/>
      <c r="AI211" s="46"/>
      <c r="AJ211" s="46"/>
      <c r="AK211" s="46"/>
      <c r="AL211" s="7"/>
      <c r="AM211" s="49" t="str">
        <f aca="false">IF(OR(C211="",G211=""),"",IFERROR(DATEDIF(C211,G211,"m"),""))</f>
        <v/>
      </c>
      <c r="AN211" s="49" t="str">
        <f aca="false">IF(OR(Q211="",AM211=""),"",60+2*Q211-AM211)</f>
        <v/>
      </c>
      <c r="AO211" s="49" t="str">
        <f aca="false">IF(OR(G211="",AJ211=""),"",AJ211-G211)</f>
        <v/>
      </c>
      <c r="AP211" s="50" t="str">
        <f aca="false">IF(AND(A211="",B211=""),"",IF(J211="","Status needed",IF(OR(J211="Applied",J211="Visit booked",J211="Withdrawn"),"OK",IF(G211="","Date assessed needed",IF(C211="","Date of birth needed",IF(COUNTA(L211,M211,P211,U211,V211,X211,AB211)&lt;7,"Band missing",IF(AND(OR(J211="Decision confirmed",J211="Family told",J211="Enrolled"),AG211=""),"Recommendation needed",IF(AND(OR(J211="Family told",J211="Enrolled"),AJ211=""),"Date family told needed","OK"))))))))</f>
        <v/>
      </c>
    </row>
    <row r="212" customFormat="false" ht="15" hidden="false" customHeight="false" outlineLevel="0" collapsed="false">
      <c r="A212" s="7"/>
      <c r="B212" s="7"/>
      <c r="C212" s="46"/>
      <c r="D212" s="7"/>
      <c r="E212" s="47"/>
      <c r="F212" s="46"/>
      <c r="G212" s="46"/>
      <c r="H212" s="7"/>
      <c r="I212" s="7"/>
      <c r="J212" s="47"/>
      <c r="K212" s="47"/>
      <c r="L212" s="47"/>
      <c r="M212" s="47"/>
      <c r="N212" s="10"/>
      <c r="O212" s="47"/>
      <c r="P212" s="47"/>
      <c r="Q212" s="47"/>
      <c r="R212" s="48" t="str">
        <f aca="false">IF(Q212="","",IF(Q212=0,"below 5:00",IF(Q212&gt;=66,"16:00 or above",INT((60+2*Q212)/12)&amp;":"&amp;TEXT(MOD(60+2*Q212,12),"00"))))</f>
        <v/>
      </c>
      <c r="S212" s="47"/>
      <c r="T212" s="47"/>
      <c r="U212" s="47"/>
      <c r="V212" s="47"/>
      <c r="W212" s="47"/>
      <c r="X212" s="47"/>
      <c r="Y212" s="47"/>
      <c r="Z212" s="47"/>
      <c r="AA212" s="47"/>
      <c r="AB212" s="47"/>
      <c r="AC212" s="47"/>
      <c r="AD212" s="47"/>
      <c r="AE212" s="47"/>
      <c r="AF212" s="47"/>
      <c r="AG212" s="47"/>
      <c r="AH212" s="47"/>
      <c r="AI212" s="46"/>
      <c r="AJ212" s="46"/>
      <c r="AK212" s="46"/>
      <c r="AL212" s="7"/>
      <c r="AM212" s="49" t="str">
        <f aca="false">IF(OR(C212="",G212=""),"",IFERROR(DATEDIF(C212,G212,"m"),""))</f>
        <v/>
      </c>
      <c r="AN212" s="49" t="str">
        <f aca="false">IF(OR(Q212="",AM212=""),"",60+2*Q212-AM212)</f>
        <v/>
      </c>
      <c r="AO212" s="49" t="str">
        <f aca="false">IF(OR(G212="",AJ212=""),"",AJ212-G212)</f>
        <v/>
      </c>
      <c r="AP212" s="50" t="str">
        <f aca="false">IF(AND(A212="",B212=""),"",IF(J212="","Status needed",IF(OR(J212="Applied",J212="Visit booked",J212="Withdrawn"),"OK",IF(G212="","Date assessed needed",IF(C212="","Date of birth needed",IF(COUNTA(L212,M212,P212,U212,V212,X212,AB212)&lt;7,"Band missing",IF(AND(OR(J212="Decision confirmed",J212="Family told",J212="Enrolled"),AG212=""),"Recommendation needed",IF(AND(OR(J212="Family told",J212="Enrolled"),AJ212=""),"Date family told needed","OK"))))))))</f>
        <v/>
      </c>
    </row>
    <row r="213" customFormat="false" ht="15" hidden="false" customHeight="false" outlineLevel="0" collapsed="false">
      <c r="A213" s="7"/>
      <c r="B213" s="7"/>
      <c r="C213" s="46"/>
      <c r="D213" s="7"/>
      <c r="E213" s="47"/>
      <c r="F213" s="46"/>
      <c r="G213" s="46"/>
      <c r="H213" s="7"/>
      <c r="I213" s="7"/>
      <c r="J213" s="47"/>
      <c r="K213" s="47"/>
      <c r="L213" s="47"/>
      <c r="M213" s="47"/>
      <c r="N213" s="10"/>
      <c r="O213" s="47"/>
      <c r="P213" s="47"/>
      <c r="Q213" s="47"/>
      <c r="R213" s="48" t="str">
        <f aca="false">IF(Q213="","",IF(Q213=0,"below 5:00",IF(Q213&gt;=66,"16:00 or above",INT((60+2*Q213)/12)&amp;":"&amp;TEXT(MOD(60+2*Q213,12),"00"))))</f>
        <v/>
      </c>
      <c r="S213" s="47"/>
      <c r="T213" s="47"/>
      <c r="U213" s="47"/>
      <c r="V213" s="47"/>
      <c r="W213" s="47"/>
      <c r="X213" s="47"/>
      <c r="Y213" s="47"/>
      <c r="Z213" s="47"/>
      <c r="AA213" s="47"/>
      <c r="AB213" s="47"/>
      <c r="AC213" s="47"/>
      <c r="AD213" s="47"/>
      <c r="AE213" s="47"/>
      <c r="AF213" s="47"/>
      <c r="AG213" s="47"/>
      <c r="AH213" s="47"/>
      <c r="AI213" s="46"/>
      <c r="AJ213" s="46"/>
      <c r="AK213" s="46"/>
      <c r="AL213" s="7"/>
      <c r="AM213" s="49" t="str">
        <f aca="false">IF(OR(C213="",G213=""),"",IFERROR(DATEDIF(C213,G213,"m"),""))</f>
        <v/>
      </c>
      <c r="AN213" s="49" t="str">
        <f aca="false">IF(OR(Q213="",AM213=""),"",60+2*Q213-AM213)</f>
        <v/>
      </c>
      <c r="AO213" s="49" t="str">
        <f aca="false">IF(OR(G213="",AJ213=""),"",AJ213-G213)</f>
        <v/>
      </c>
      <c r="AP213" s="50" t="str">
        <f aca="false">IF(AND(A213="",B213=""),"",IF(J213="","Status needed",IF(OR(J213="Applied",J213="Visit booked",J213="Withdrawn"),"OK",IF(G213="","Date assessed needed",IF(C213="","Date of birth needed",IF(COUNTA(L213,M213,P213,U213,V213,X213,AB213)&lt;7,"Band missing",IF(AND(OR(J213="Decision confirmed",J213="Family told",J213="Enrolled"),AG213=""),"Recommendation needed",IF(AND(OR(J213="Family told",J213="Enrolled"),AJ213=""),"Date family told needed","OK"))))))))</f>
        <v/>
      </c>
    </row>
    <row r="214" customFormat="false" ht="15" hidden="false" customHeight="false" outlineLevel="0" collapsed="false">
      <c r="A214" s="7"/>
      <c r="B214" s="7"/>
      <c r="C214" s="46"/>
      <c r="D214" s="7"/>
      <c r="E214" s="47"/>
      <c r="F214" s="46"/>
      <c r="G214" s="46"/>
      <c r="H214" s="7"/>
      <c r="I214" s="7"/>
      <c r="J214" s="47"/>
      <c r="K214" s="47"/>
      <c r="L214" s="47"/>
      <c r="M214" s="47"/>
      <c r="N214" s="10"/>
      <c r="O214" s="47"/>
      <c r="P214" s="47"/>
      <c r="Q214" s="47"/>
      <c r="R214" s="48" t="str">
        <f aca="false">IF(Q214="","",IF(Q214=0,"below 5:00",IF(Q214&gt;=66,"16:00 or above",INT((60+2*Q214)/12)&amp;":"&amp;TEXT(MOD(60+2*Q214,12),"00"))))</f>
        <v/>
      </c>
      <c r="S214" s="47"/>
      <c r="T214" s="47"/>
      <c r="U214" s="47"/>
      <c r="V214" s="47"/>
      <c r="W214" s="47"/>
      <c r="X214" s="47"/>
      <c r="Y214" s="47"/>
      <c r="Z214" s="47"/>
      <c r="AA214" s="47"/>
      <c r="AB214" s="47"/>
      <c r="AC214" s="47"/>
      <c r="AD214" s="47"/>
      <c r="AE214" s="47"/>
      <c r="AF214" s="47"/>
      <c r="AG214" s="47"/>
      <c r="AH214" s="47"/>
      <c r="AI214" s="46"/>
      <c r="AJ214" s="46"/>
      <c r="AK214" s="46"/>
      <c r="AL214" s="7"/>
      <c r="AM214" s="49" t="str">
        <f aca="false">IF(OR(C214="",G214=""),"",IFERROR(DATEDIF(C214,G214,"m"),""))</f>
        <v/>
      </c>
      <c r="AN214" s="49" t="str">
        <f aca="false">IF(OR(Q214="",AM214=""),"",60+2*Q214-AM214)</f>
        <v/>
      </c>
      <c r="AO214" s="49" t="str">
        <f aca="false">IF(OR(G214="",AJ214=""),"",AJ214-G214)</f>
        <v/>
      </c>
      <c r="AP214" s="50" t="str">
        <f aca="false">IF(AND(A214="",B214=""),"",IF(J214="","Status needed",IF(OR(J214="Applied",J214="Visit booked",J214="Withdrawn"),"OK",IF(G214="","Date assessed needed",IF(C214="","Date of birth needed",IF(COUNTA(L214,M214,P214,U214,V214,X214,AB214)&lt;7,"Band missing",IF(AND(OR(J214="Decision confirmed",J214="Family told",J214="Enrolled"),AG214=""),"Recommendation needed",IF(AND(OR(J214="Family told",J214="Enrolled"),AJ214=""),"Date family told needed","OK"))))))))</f>
        <v/>
      </c>
    </row>
    <row r="215" customFormat="false" ht="15" hidden="false" customHeight="false" outlineLevel="0" collapsed="false">
      <c r="A215" s="7"/>
      <c r="B215" s="7"/>
      <c r="C215" s="46"/>
      <c r="D215" s="7"/>
      <c r="E215" s="47"/>
      <c r="F215" s="46"/>
      <c r="G215" s="46"/>
      <c r="H215" s="7"/>
      <c r="I215" s="7"/>
      <c r="J215" s="47"/>
      <c r="K215" s="47"/>
      <c r="L215" s="47"/>
      <c r="M215" s="47"/>
      <c r="N215" s="10"/>
      <c r="O215" s="47"/>
      <c r="P215" s="47"/>
      <c r="Q215" s="47"/>
      <c r="R215" s="48" t="str">
        <f aca="false">IF(Q215="","",IF(Q215=0,"below 5:00",IF(Q215&gt;=66,"16:00 or above",INT((60+2*Q215)/12)&amp;":"&amp;TEXT(MOD(60+2*Q215,12),"00"))))</f>
        <v/>
      </c>
      <c r="S215" s="47"/>
      <c r="T215" s="47"/>
      <c r="U215" s="47"/>
      <c r="V215" s="47"/>
      <c r="W215" s="47"/>
      <c r="X215" s="47"/>
      <c r="Y215" s="47"/>
      <c r="Z215" s="47"/>
      <c r="AA215" s="47"/>
      <c r="AB215" s="47"/>
      <c r="AC215" s="47"/>
      <c r="AD215" s="47"/>
      <c r="AE215" s="47"/>
      <c r="AF215" s="47"/>
      <c r="AG215" s="47"/>
      <c r="AH215" s="47"/>
      <c r="AI215" s="46"/>
      <c r="AJ215" s="46"/>
      <c r="AK215" s="46"/>
      <c r="AL215" s="7"/>
      <c r="AM215" s="49" t="str">
        <f aca="false">IF(OR(C215="",G215=""),"",IFERROR(DATEDIF(C215,G215,"m"),""))</f>
        <v/>
      </c>
      <c r="AN215" s="49" t="str">
        <f aca="false">IF(OR(Q215="",AM215=""),"",60+2*Q215-AM215)</f>
        <v/>
      </c>
      <c r="AO215" s="49" t="str">
        <f aca="false">IF(OR(G215="",AJ215=""),"",AJ215-G215)</f>
        <v/>
      </c>
      <c r="AP215" s="50" t="str">
        <f aca="false">IF(AND(A215="",B215=""),"",IF(J215="","Status needed",IF(OR(J215="Applied",J215="Visit booked",J215="Withdrawn"),"OK",IF(G215="","Date assessed needed",IF(C215="","Date of birth needed",IF(COUNTA(L215,M215,P215,U215,V215,X215,AB215)&lt;7,"Band missing",IF(AND(OR(J215="Decision confirmed",J215="Family told",J215="Enrolled"),AG215=""),"Recommendation needed",IF(AND(OR(J215="Family told",J215="Enrolled"),AJ215=""),"Date family told needed","OK"))))))))</f>
        <v/>
      </c>
    </row>
    <row r="216" customFormat="false" ht="15" hidden="false" customHeight="false" outlineLevel="0" collapsed="false">
      <c r="A216" s="7"/>
      <c r="B216" s="7"/>
      <c r="C216" s="46"/>
      <c r="D216" s="7"/>
      <c r="E216" s="47"/>
      <c r="F216" s="46"/>
      <c r="G216" s="46"/>
      <c r="H216" s="7"/>
      <c r="I216" s="7"/>
      <c r="J216" s="47"/>
      <c r="K216" s="47"/>
      <c r="L216" s="47"/>
      <c r="M216" s="47"/>
      <c r="N216" s="10"/>
      <c r="O216" s="47"/>
      <c r="P216" s="47"/>
      <c r="Q216" s="47"/>
      <c r="R216" s="48" t="str">
        <f aca="false">IF(Q216="","",IF(Q216=0,"below 5:00",IF(Q216&gt;=66,"16:00 or above",INT((60+2*Q216)/12)&amp;":"&amp;TEXT(MOD(60+2*Q216,12),"00"))))</f>
        <v/>
      </c>
      <c r="S216" s="47"/>
      <c r="T216" s="47"/>
      <c r="U216" s="47"/>
      <c r="V216" s="47"/>
      <c r="W216" s="47"/>
      <c r="X216" s="47"/>
      <c r="Y216" s="47"/>
      <c r="Z216" s="47"/>
      <c r="AA216" s="47"/>
      <c r="AB216" s="47"/>
      <c r="AC216" s="47"/>
      <c r="AD216" s="47"/>
      <c r="AE216" s="47"/>
      <c r="AF216" s="47"/>
      <c r="AG216" s="47"/>
      <c r="AH216" s="47"/>
      <c r="AI216" s="46"/>
      <c r="AJ216" s="46"/>
      <c r="AK216" s="46"/>
      <c r="AL216" s="7"/>
      <c r="AM216" s="49" t="str">
        <f aca="false">IF(OR(C216="",G216=""),"",IFERROR(DATEDIF(C216,G216,"m"),""))</f>
        <v/>
      </c>
      <c r="AN216" s="49" t="str">
        <f aca="false">IF(OR(Q216="",AM216=""),"",60+2*Q216-AM216)</f>
        <v/>
      </c>
      <c r="AO216" s="49" t="str">
        <f aca="false">IF(OR(G216="",AJ216=""),"",AJ216-G216)</f>
        <v/>
      </c>
      <c r="AP216" s="50" t="str">
        <f aca="false">IF(AND(A216="",B216=""),"",IF(J216="","Status needed",IF(OR(J216="Applied",J216="Visit booked",J216="Withdrawn"),"OK",IF(G216="","Date assessed needed",IF(C216="","Date of birth needed",IF(COUNTA(L216,M216,P216,U216,V216,X216,AB216)&lt;7,"Band missing",IF(AND(OR(J216="Decision confirmed",J216="Family told",J216="Enrolled"),AG216=""),"Recommendation needed",IF(AND(OR(J216="Family told",J216="Enrolled"),AJ216=""),"Date family told needed","OK"))))))))</f>
        <v/>
      </c>
    </row>
    <row r="217" customFormat="false" ht="15" hidden="false" customHeight="false" outlineLevel="0" collapsed="false">
      <c r="A217" s="7"/>
      <c r="B217" s="7"/>
      <c r="C217" s="46"/>
      <c r="D217" s="7"/>
      <c r="E217" s="47"/>
      <c r="F217" s="46"/>
      <c r="G217" s="46"/>
      <c r="H217" s="7"/>
      <c r="I217" s="7"/>
      <c r="J217" s="47"/>
      <c r="K217" s="47"/>
      <c r="L217" s="47"/>
      <c r="M217" s="47"/>
      <c r="N217" s="10"/>
      <c r="O217" s="47"/>
      <c r="P217" s="47"/>
      <c r="Q217" s="47"/>
      <c r="R217" s="48" t="str">
        <f aca="false">IF(Q217="","",IF(Q217=0,"below 5:00",IF(Q217&gt;=66,"16:00 or above",INT((60+2*Q217)/12)&amp;":"&amp;TEXT(MOD(60+2*Q217,12),"00"))))</f>
        <v/>
      </c>
      <c r="S217" s="47"/>
      <c r="T217" s="47"/>
      <c r="U217" s="47"/>
      <c r="V217" s="47"/>
      <c r="W217" s="47"/>
      <c r="X217" s="47"/>
      <c r="Y217" s="47"/>
      <c r="Z217" s="47"/>
      <c r="AA217" s="47"/>
      <c r="AB217" s="47"/>
      <c r="AC217" s="47"/>
      <c r="AD217" s="47"/>
      <c r="AE217" s="47"/>
      <c r="AF217" s="47"/>
      <c r="AG217" s="47"/>
      <c r="AH217" s="47"/>
      <c r="AI217" s="46"/>
      <c r="AJ217" s="46"/>
      <c r="AK217" s="46"/>
      <c r="AL217" s="7"/>
      <c r="AM217" s="49" t="str">
        <f aca="false">IF(OR(C217="",G217=""),"",IFERROR(DATEDIF(C217,G217,"m"),""))</f>
        <v/>
      </c>
      <c r="AN217" s="49" t="str">
        <f aca="false">IF(OR(Q217="",AM217=""),"",60+2*Q217-AM217)</f>
        <v/>
      </c>
      <c r="AO217" s="49" t="str">
        <f aca="false">IF(OR(G217="",AJ217=""),"",AJ217-G217)</f>
        <v/>
      </c>
      <c r="AP217" s="50" t="str">
        <f aca="false">IF(AND(A217="",B217=""),"",IF(J217="","Status needed",IF(OR(J217="Applied",J217="Visit booked",J217="Withdrawn"),"OK",IF(G217="","Date assessed needed",IF(C217="","Date of birth needed",IF(COUNTA(L217,M217,P217,U217,V217,X217,AB217)&lt;7,"Band missing",IF(AND(OR(J217="Decision confirmed",J217="Family told",J217="Enrolled"),AG217=""),"Recommendation needed",IF(AND(OR(J217="Family told",J217="Enrolled"),AJ217=""),"Date family told needed","OK"))))))))</f>
        <v/>
      </c>
    </row>
    <row r="218" customFormat="false" ht="15" hidden="false" customHeight="false" outlineLevel="0" collapsed="false">
      <c r="A218" s="7"/>
      <c r="B218" s="7"/>
      <c r="C218" s="46"/>
      <c r="D218" s="7"/>
      <c r="E218" s="47"/>
      <c r="F218" s="46"/>
      <c r="G218" s="46"/>
      <c r="H218" s="7"/>
      <c r="I218" s="7"/>
      <c r="J218" s="47"/>
      <c r="K218" s="47"/>
      <c r="L218" s="47"/>
      <c r="M218" s="47"/>
      <c r="N218" s="10"/>
      <c r="O218" s="47"/>
      <c r="P218" s="47"/>
      <c r="Q218" s="47"/>
      <c r="R218" s="48" t="str">
        <f aca="false">IF(Q218="","",IF(Q218=0,"below 5:00",IF(Q218&gt;=66,"16:00 or above",INT((60+2*Q218)/12)&amp;":"&amp;TEXT(MOD(60+2*Q218,12),"00"))))</f>
        <v/>
      </c>
      <c r="S218" s="47"/>
      <c r="T218" s="47"/>
      <c r="U218" s="47"/>
      <c r="V218" s="47"/>
      <c r="W218" s="47"/>
      <c r="X218" s="47"/>
      <c r="Y218" s="47"/>
      <c r="Z218" s="47"/>
      <c r="AA218" s="47"/>
      <c r="AB218" s="47"/>
      <c r="AC218" s="47"/>
      <c r="AD218" s="47"/>
      <c r="AE218" s="47"/>
      <c r="AF218" s="47"/>
      <c r="AG218" s="47"/>
      <c r="AH218" s="47"/>
      <c r="AI218" s="46"/>
      <c r="AJ218" s="46"/>
      <c r="AK218" s="46"/>
      <c r="AL218" s="7"/>
      <c r="AM218" s="49" t="str">
        <f aca="false">IF(OR(C218="",G218=""),"",IFERROR(DATEDIF(C218,G218,"m"),""))</f>
        <v/>
      </c>
      <c r="AN218" s="49" t="str">
        <f aca="false">IF(OR(Q218="",AM218=""),"",60+2*Q218-AM218)</f>
        <v/>
      </c>
      <c r="AO218" s="49" t="str">
        <f aca="false">IF(OR(G218="",AJ218=""),"",AJ218-G218)</f>
        <v/>
      </c>
      <c r="AP218" s="50" t="str">
        <f aca="false">IF(AND(A218="",B218=""),"",IF(J218="","Status needed",IF(OR(J218="Applied",J218="Visit booked",J218="Withdrawn"),"OK",IF(G218="","Date assessed needed",IF(C218="","Date of birth needed",IF(COUNTA(L218,M218,P218,U218,V218,X218,AB218)&lt;7,"Band missing",IF(AND(OR(J218="Decision confirmed",J218="Family told",J218="Enrolled"),AG218=""),"Recommendation needed",IF(AND(OR(J218="Family told",J218="Enrolled"),AJ218=""),"Date family told needed","OK"))))))))</f>
        <v/>
      </c>
    </row>
    <row r="219" customFormat="false" ht="15" hidden="false" customHeight="false" outlineLevel="0" collapsed="false">
      <c r="A219" s="7"/>
      <c r="B219" s="7"/>
      <c r="C219" s="46"/>
      <c r="D219" s="7"/>
      <c r="E219" s="47"/>
      <c r="F219" s="46"/>
      <c r="G219" s="46"/>
      <c r="H219" s="7"/>
      <c r="I219" s="7"/>
      <c r="J219" s="47"/>
      <c r="K219" s="47"/>
      <c r="L219" s="47"/>
      <c r="M219" s="47"/>
      <c r="N219" s="10"/>
      <c r="O219" s="47"/>
      <c r="P219" s="47"/>
      <c r="Q219" s="47"/>
      <c r="R219" s="48" t="str">
        <f aca="false">IF(Q219="","",IF(Q219=0,"below 5:00",IF(Q219&gt;=66,"16:00 or above",INT((60+2*Q219)/12)&amp;":"&amp;TEXT(MOD(60+2*Q219,12),"00"))))</f>
        <v/>
      </c>
      <c r="S219" s="47"/>
      <c r="T219" s="47"/>
      <c r="U219" s="47"/>
      <c r="V219" s="47"/>
      <c r="W219" s="47"/>
      <c r="X219" s="47"/>
      <c r="Y219" s="47"/>
      <c r="Z219" s="47"/>
      <c r="AA219" s="47"/>
      <c r="AB219" s="47"/>
      <c r="AC219" s="47"/>
      <c r="AD219" s="47"/>
      <c r="AE219" s="47"/>
      <c r="AF219" s="47"/>
      <c r="AG219" s="47"/>
      <c r="AH219" s="47"/>
      <c r="AI219" s="46"/>
      <c r="AJ219" s="46"/>
      <c r="AK219" s="46"/>
      <c r="AL219" s="7"/>
      <c r="AM219" s="49" t="str">
        <f aca="false">IF(OR(C219="",G219=""),"",IFERROR(DATEDIF(C219,G219,"m"),""))</f>
        <v/>
      </c>
      <c r="AN219" s="49" t="str">
        <f aca="false">IF(OR(Q219="",AM219=""),"",60+2*Q219-AM219)</f>
        <v/>
      </c>
      <c r="AO219" s="49" t="str">
        <f aca="false">IF(OR(G219="",AJ219=""),"",AJ219-G219)</f>
        <v/>
      </c>
      <c r="AP219" s="50" t="str">
        <f aca="false">IF(AND(A219="",B219=""),"",IF(J219="","Status needed",IF(OR(J219="Applied",J219="Visit booked",J219="Withdrawn"),"OK",IF(G219="","Date assessed needed",IF(C219="","Date of birth needed",IF(COUNTA(L219,M219,P219,U219,V219,X219,AB219)&lt;7,"Band missing",IF(AND(OR(J219="Decision confirmed",J219="Family told",J219="Enrolled"),AG219=""),"Recommendation needed",IF(AND(OR(J219="Family told",J219="Enrolled"),AJ219=""),"Date family told needed","OK"))))))))</f>
        <v/>
      </c>
    </row>
    <row r="220" customFormat="false" ht="15" hidden="false" customHeight="false" outlineLevel="0" collapsed="false">
      <c r="A220" s="7"/>
      <c r="B220" s="7"/>
      <c r="C220" s="46"/>
      <c r="D220" s="7"/>
      <c r="E220" s="47"/>
      <c r="F220" s="46"/>
      <c r="G220" s="46"/>
      <c r="H220" s="7"/>
      <c r="I220" s="7"/>
      <c r="J220" s="47"/>
      <c r="K220" s="47"/>
      <c r="L220" s="47"/>
      <c r="M220" s="47"/>
      <c r="N220" s="10"/>
      <c r="O220" s="47"/>
      <c r="P220" s="47"/>
      <c r="Q220" s="47"/>
      <c r="R220" s="48" t="str">
        <f aca="false">IF(Q220="","",IF(Q220=0,"below 5:00",IF(Q220&gt;=66,"16:00 or above",INT((60+2*Q220)/12)&amp;":"&amp;TEXT(MOD(60+2*Q220,12),"00"))))</f>
        <v/>
      </c>
      <c r="S220" s="47"/>
      <c r="T220" s="47"/>
      <c r="U220" s="47"/>
      <c r="V220" s="47"/>
      <c r="W220" s="47"/>
      <c r="X220" s="47"/>
      <c r="Y220" s="47"/>
      <c r="Z220" s="47"/>
      <c r="AA220" s="47"/>
      <c r="AB220" s="47"/>
      <c r="AC220" s="47"/>
      <c r="AD220" s="47"/>
      <c r="AE220" s="47"/>
      <c r="AF220" s="47"/>
      <c r="AG220" s="47"/>
      <c r="AH220" s="47"/>
      <c r="AI220" s="46"/>
      <c r="AJ220" s="46"/>
      <c r="AK220" s="46"/>
      <c r="AL220" s="7"/>
      <c r="AM220" s="49" t="str">
        <f aca="false">IF(OR(C220="",G220=""),"",IFERROR(DATEDIF(C220,G220,"m"),""))</f>
        <v/>
      </c>
      <c r="AN220" s="49" t="str">
        <f aca="false">IF(OR(Q220="",AM220=""),"",60+2*Q220-AM220)</f>
        <v/>
      </c>
      <c r="AO220" s="49" t="str">
        <f aca="false">IF(OR(G220="",AJ220=""),"",AJ220-G220)</f>
        <v/>
      </c>
      <c r="AP220" s="50" t="str">
        <f aca="false">IF(AND(A220="",B220=""),"",IF(J220="","Status needed",IF(OR(J220="Applied",J220="Visit booked",J220="Withdrawn"),"OK",IF(G220="","Date assessed needed",IF(C220="","Date of birth needed",IF(COUNTA(L220,M220,P220,U220,V220,X220,AB220)&lt;7,"Band missing",IF(AND(OR(J220="Decision confirmed",J220="Family told",J220="Enrolled"),AG220=""),"Recommendation needed",IF(AND(OR(J220="Family told",J220="Enrolled"),AJ220=""),"Date family told needed","OK"))))))))</f>
        <v/>
      </c>
    </row>
    <row r="221" customFormat="false" ht="15" hidden="false" customHeight="false" outlineLevel="0" collapsed="false">
      <c r="A221" s="7"/>
      <c r="B221" s="7"/>
      <c r="C221" s="46"/>
      <c r="D221" s="7"/>
      <c r="E221" s="47"/>
      <c r="F221" s="46"/>
      <c r="G221" s="46"/>
      <c r="H221" s="7"/>
      <c r="I221" s="7"/>
      <c r="J221" s="47"/>
      <c r="K221" s="47"/>
      <c r="L221" s="47"/>
      <c r="M221" s="47"/>
      <c r="N221" s="10"/>
      <c r="O221" s="47"/>
      <c r="P221" s="47"/>
      <c r="Q221" s="47"/>
      <c r="R221" s="48" t="str">
        <f aca="false">IF(Q221="","",IF(Q221=0,"below 5:00",IF(Q221&gt;=66,"16:00 or above",INT((60+2*Q221)/12)&amp;":"&amp;TEXT(MOD(60+2*Q221,12),"00"))))</f>
        <v/>
      </c>
      <c r="S221" s="47"/>
      <c r="T221" s="47"/>
      <c r="U221" s="47"/>
      <c r="V221" s="47"/>
      <c r="W221" s="47"/>
      <c r="X221" s="47"/>
      <c r="Y221" s="47"/>
      <c r="Z221" s="47"/>
      <c r="AA221" s="47"/>
      <c r="AB221" s="47"/>
      <c r="AC221" s="47"/>
      <c r="AD221" s="47"/>
      <c r="AE221" s="47"/>
      <c r="AF221" s="47"/>
      <c r="AG221" s="47"/>
      <c r="AH221" s="47"/>
      <c r="AI221" s="46"/>
      <c r="AJ221" s="46"/>
      <c r="AK221" s="46"/>
      <c r="AL221" s="7"/>
      <c r="AM221" s="49" t="str">
        <f aca="false">IF(OR(C221="",G221=""),"",IFERROR(DATEDIF(C221,G221,"m"),""))</f>
        <v/>
      </c>
      <c r="AN221" s="49" t="str">
        <f aca="false">IF(OR(Q221="",AM221=""),"",60+2*Q221-AM221)</f>
        <v/>
      </c>
      <c r="AO221" s="49" t="str">
        <f aca="false">IF(OR(G221="",AJ221=""),"",AJ221-G221)</f>
        <v/>
      </c>
      <c r="AP221" s="50" t="str">
        <f aca="false">IF(AND(A221="",B221=""),"",IF(J221="","Status needed",IF(OR(J221="Applied",J221="Visit booked",J221="Withdrawn"),"OK",IF(G221="","Date assessed needed",IF(C221="","Date of birth needed",IF(COUNTA(L221,M221,P221,U221,V221,X221,AB221)&lt;7,"Band missing",IF(AND(OR(J221="Decision confirmed",J221="Family told",J221="Enrolled"),AG221=""),"Recommendation needed",IF(AND(OR(J221="Family told",J221="Enrolled"),AJ221=""),"Date family told needed","OK"))))))))</f>
        <v/>
      </c>
    </row>
    <row r="222" customFormat="false" ht="15" hidden="false" customHeight="false" outlineLevel="0" collapsed="false">
      <c r="A222" s="7"/>
      <c r="B222" s="7"/>
      <c r="C222" s="46"/>
      <c r="D222" s="7"/>
      <c r="E222" s="47"/>
      <c r="F222" s="46"/>
      <c r="G222" s="46"/>
      <c r="H222" s="7"/>
      <c r="I222" s="7"/>
      <c r="J222" s="47"/>
      <c r="K222" s="47"/>
      <c r="L222" s="47"/>
      <c r="M222" s="47"/>
      <c r="N222" s="10"/>
      <c r="O222" s="47"/>
      <c r="P222" s="47"/>
      <c r="Q222" s="47"/>
      <c r="R222" s="48" t="str">
        <f aca="false">IF(Q222="","",IF(Q222=0,"below 5:00",IF(Q222&gt;=66,"16:00 or above",INT((60+2*Q222)/12)&amp;":"&amp;TEXT(MOD(60+2*Q222,12),"00"))))</f>
        <v/>
      </c>
      <c r="S222" s="47"/>
      <c r="T222" s="47"/>
      <c r="U222" s="47"/>
      <c r="V222" s="47"/>
      <c r="W222" s="47"/>
      <c r="X222" s="47"/>
      <c r="Y222" s="47"/>
      <c r="Z222" s="47"/>
      <c r="AA222" s="47"/>
      <c r="AB222" s="47"/>
      <c r="AC222" s="47"/>
      <c r="AD222" s="47"/>
      <c r="AE222" s="47"/>
      <c r="AF222" s="47"/>
      <c r="AG222" s="47"/>
      <c r="AH222" s="47"/>
      <c r="AI222" s="46"/>
      <c r="AJ222" s="46"/>
      <c r="AK222" s="46"/>
      <c r="AL222" s="7"/>
      <c r="AM222" s="49" t="str">
        <f aca="false">IF(OR(C222="",G222=""),"",IFERROR(DATEDIF(C222,G222,"m"),""))</f>
        <v/>
      </c>
      <c r="AN222" s="49" t="str">
        <f aca="false">IF(OR(Q222="",AM222=""),"",60+2*Q222-AM222)</f>
        <v/>
      </c>
      <c r="AO222" s="49" t="str">
        <f aca="false">IF(OR(G222="",AJ222=""),"",AJ222-G222)</f>
        <v/>
      </c>
      <c r="AP222" s="50" t="str">
        <f aca="false">IF(AND(A222="",B222=""),"",IF(J222="","Status needed",IF(OR(J222="Applied",J222="Visit booked",J222="Withdrawn"),"OK",IF(G222="","Date assessed needed",IF(C222="","Date of birth needed",IF(COUNTA(L222,M222,P222,U222,V222,X222,AB222)&lt;7,"Band missing",IF(AND(OR(J222="Decision confirmed",J222="Family told",J222="Enrolled"),AG222=""),"Recommendation needed",IF(AND(OR(J222="Family told",J222="Enrolled"),AJ222=""),"Date family told needed","OK"))))))))</f>
        <v/>
      </c>
    </row>
    <row r="223" customFormat="false" ht="15" hidden="false" customHeight="false" outlineLevel="0" collapsed="false">
      <c r="A223" s="7"/>
      <c r="B223" s="7"/>
      <c r="C223" s="46"/>
      <c r="D223" s="7"/>
      <c r="E223" s="47"/>
      <c r="F223" s="46"/>
      <c r="G223" s="46"/>
      <c r="H223" s="7"/>
      <c r="I223" s="7"/>
      <c r="J223" s="47"/>
      <c r="K223" s="47"/>
      <c r="L223" s="47"/>
      <c r="M223" s="47"/>
      <c r="N223" s="10"/>
      <c r="O223" s="47"/>
      <c r="P223" s="47"/>
      <c r="Q223" s="47"/>
      <c r="R223" s="48" t="str">
        <f aca="false">IF(Q223="","",IF(Q223=0,"below 5:00",IF(Q223&gt;=66,"16:00 or above",INT((60+2*Q223)/12)&amp;":"&amp;TEXT(MOD(60+2*Q223,12),"00"))))</f>
        <v/>
      </c>
      <c r="S223" s="47"/>
      <c r="T223" s="47"/>
      <c r="U223" s="47"/>
      <c r="V223" s="47"/>
      <c r="W223" s="47"/>
      <c r="X223" s="47"/>
      <c r="Y223" s="47"/>
      <c r="Z223" s="47"/>
      <c r="AA223" s="47"/>
      <c r="AB223" s="47"/>
      <c r="AC223" s="47"/>
      <c r="AD223" s="47"/>
      <c r="AE223" s="47"/>
      <c r="AF223" s="47"/>
      <c r="AG223" s="47"/>
      <c r="AH223" s="47"/>
      <c r="AI223" s="46"/>
      <c r="AJ223" s="46"/>
      <c r="AK223" s="46"/>
      <c r="AL223" s="7"/>
      <c r="AM223" s="49" t="str">
        <f aca="false">IF(OR(C223="",G223=""),"",IFERROR(DATEDIF(C223,G223,"m"),""))</f>
        <v/>
      </c>
      <c r="AN223" s="49" t="str">
        <f aca="false">IF(OR(Q223="",AM223=""),"",60+2*Q223-AM223)</f>
        <v/>
      </c>
      <c r="AO223" s="49" t="str">
        <f aca="false">IF(OR(G223="",AJ223=""),"",AJ223-G223)</f>
        <v/>
      </c>
      <c r="AP223" s="50" t="str">
        <f aca="false">IF(AND(A223="",B223=""),"",IF(J223="","Status needed",IF(OR(J223="Applied",J223="Visit booked",J223="Withdrawn"),"OK",IF(G223="","Date assessed needed",IF(C223="","Date of birth needed",IF(COUNTA(L223,M223,P223,U223,V223,X223,AB223)&lt;7,"Band missing",IF(AND(OR(J223="Decision confirmed",J223="Family told",J223="Enrolled"),AG223=""),"Recommendation needed",IF(AND(OR(J223="Family told",J223="Enrolled"),AJ223=""),"Date family told needed","OK"))))))))</f>
        <v/>
      </c>
    </row>
    <row r="224" customFormat="false" ht="15" hidden="false" customHeight="false" outlineLevel="0" collapsed="false">
      <c r="A224" s="7"/>
      <c r="B224" s="7"/>
      <c r="C224" s="46"/>
      <c r="D224" s="7"/>
      <c r="E224" s="47"/>
      <c r="F224" s="46"/>
      <c r="G224" s="46"/>
      <c r="H224" s="7"/>
      <c r="I224" s="7"/>
      <c r="J224" s="47"/>
      <c r="K224" s="47"/>
      <c r="L224" s="47"/>
      <c r="M224" s="47"/>
      <c r="N224" s="10"/>
      <c r="O224" s="47"/>
      <c r="P224" s="47"/>
      <c r="Q224" s="47"/>
      <c r="R224" s="48" t="str">
        <f aca="false">IF(Q224="","",IF(Q224=0,"below 5:00",IF(Q224&gt;=66,"16:00 or above",INT((60+2*Q224)/12)&amp;":"&amp;TEXT(MOD(60+2*Q224,12),"00"))))</f>
        <v/>
      </c>
      <c r="S224" s="47"/>
      <c r="T224" s="47"/>
      <c r="U224" s="47"/>
      <c r="V224" s="47"/>
      <c r="W224" s="47"/>
      <c r="X224" s="47"/>
      <c r="Y224" s="47"/>
      <c r="Z224" s="47"/>
      <c r="AA224" s="47"/>
      <c r="AB224" s="47"/>
      <c r="AC224" s="47"/>
      <c r="AD224" s="47"/>
      <c r="AE224" s="47"/>
      <c r="AF224" s="47"/>
      <c r="AG224" s="47"/>
      <c r="AH224" s="47"/>
      <c r="AI224" s="46"/>
      <c r="AJ224" s="46"/>
      <c r="AK224" s="46"/>
      <c r="AL224" s="7"/>
      <c r="AM224" s="49" t="str">
        <f aca="false">IF(OR(C224="",G224=""),"",IFERROR(DATEDIF(C224,G224,"m"),""))</f>
        <v/>
      </c>
      <c r="AN224" s="49" t="str">
        <f aca="false">IF(OR(Q224="",AM224=""),"",60+2*Q224-AM224)</f>
        <v/>
      </c>
      <c r="AO224" s="49" t="str">
        <f aca="false">IF(OR(G224="",AJ224=""),"",AJ224-G224)</f>
        <v/>
      </c>
      <c r="AP224" s="50" t="str">
        <f aca="false">IF(AND(A224="",B224=""),"",IF(J224="","Status needed",IF(OR(J224="Applied",J224="Visit booked",J224="Withdrawn"),"OK",IF(G224="","Date assessed needed",IF(C224="","Date of birth needed",IF(COUNTA(L224,M224,P224,U224,V224,X224,AB224)&lt;7,"Band missing",IF(AND(OR(J224="Decision confirmed",J224="Family told",J224="Enrolled"),AG224=""),"Recommendation needed",IF(AND(OR(J224="Family told",J224="Enrolled"),AJ224=""),"Date family told needed","OK"))))))))</f>
        <v/>
      </c>
    </row>
    <row r="225" customFormat="false" ht="15" hidden="false" customHeight="false" outlineLevel="0" collapsed="false">
      <c r="A225" s="7"/>
      <c r="B225" s="7"/>
      <c r="C225" s="46"/>
      <c r="D225" s="7"/>
      <c r="E225" s="47"/>
      <c r="F225" s="46"/>
      <c r="G225" s="46"/>
      <c r="H225" s="7"/>
      <c r="I225" s="7"/>
      <c r="J225" s="47"/>
      <c r="K225" s="47"/>
      <c r="L225" s="47"/>
      <c r="M225" s="47"/>
      <c r="N225" s="10"/>
      <c r="O225" s="47"/>
      <c r="P225" s="47"/>
      <c r="Q225" s="47"/>
      <c r="R225" s="48" t="str">
        <f aca="false">IF(Q225="","",IF(Q225=0,"below 5:00",IF(Q225&gt;=66,"16:00 or above",INT((60+2*Q225)/12)&amp;":"&amp;TEXT(MOD(60+2*Q225,12),"00"))))</f>
        <v/>
      </c>
      <c r="S225" s="47"/>
      <c r="T225" s="47"/>
      <c r="U225" s="47"/>
      <c r="V225" s="47"/>
      <c r="W225" s="47"/>
      <c r="X225" s="47"/>
      <c r="Y225" s="47"/>
      <c r="Z225" s="47"/>
      <c r="AA225" s="47"/>
      <c r="AB225" s="47"/>
      <c r="AC225" s="47"/>
      <c r="AD225" s="47"/>
      <c r="AE225" s="47"/>
      <c r="AF225" s="47"/>
      <c r="AG225" s="47"/>
      <c r="AH225" s="47"/>
      <c r="AI225" s="46"/>
      <c r="AJ225" s="46"/>
      <c r="AK225" s="46"/>
      <c r="AL225" s="7"/>
      <c r="AM225" s="49" t="str">
        <f aca="false">IF(OR(C225="",G225=""),"",IFERROR(DATEDIF(C225,G225,"m"),""))</f>
        <v/>
      </c>
      <c r="AN225" s="49" t="str">
        <f aca="false">IF(OR(Q225="",AM225=""),"",60+2*Q225-AM225)</f>
        <v/>
      </c>
      <c r="AO225" s="49" t="str">
        <f aca="false">IF(OR(G225="",AJ225=""),"",AJ225-G225)</f>
        <v/>
      </c>
      <c r="AP225" s="50" t="str">
        <f aca="false">IF(AND(A225="",B225=""),"",IF(J225="","Status needed",IF(OR(J225="Applied",J225="Visit booked",J225="Withdrawn"),"OK",IF(G225="","Date assessed needed",IF(C225="","Date of birth needed",IF(COUNTA(L225,M225,P225,U225,V225,X225,AB225)&lt;7,"Band missing",IF(AND(OR(J225="Decision confirmed",J225="Family told",J225="Enrolled"),AG225=""),"Recommendation needed",IF(AND(OR(J225="Family told",J225="Enrolled"),AJ225=""),"Date family told needed","OK"))))))))</f>
        <v/>
      </c>
    </row>
    <row r="226" customFormat="false" ht="15" hidden="false" customHeight="false" outlineLevel="0" collapsed="false">
      <c r="A226" s="7"/>
      <c r="B226" s="7"/>
      <c r="C226" s="46"/>
      <c r="D226" s="7"/>
      <c r="E226" s="47"/>
      <c r="F226" s="46"/>
      <c r="G226" s="46"/>
      <c r="H226" s="7"/>
      <c r="I226" s="7"/>
      <c r="J226" s="47"/>
      <c r="K226" s="47"/>
      <c r="L226" s="47"/>
      <c r="M226" s="47"/>
      <c r="N226" s="10"/>
      <c r="O226" s="47"/>
      <c r="P226" s="47"/>
      <c r="Q226" s="47"/>
      <c r="R226" s="48" t="str">
        <f aca="false">IF(Q226="","",IF(Q226=0,"below 5:00",IF(Q226&gt;=66,"16:00 or above",INT((60+2*Q226)/12)&amp;":"&amp;TEXT(MOD(60+2*Q226,12),"00"))))</f>
        <v/>
      </c>
      <c r="S226" s="47"/>
      <c r="T226" s="47"/>
      <c r="U226" s="47"/>
      <c r="V226" s="47"/>
      <c r="W226" s="47"/>
      <c r="X226" s="47"/>
      <c r="Y226" s="47"/>
      <c r="Z226" s="47"/>
      <c r="AA226" s="47"/>
      <c r="AB226" s="47"/>
      <c r="AC226" s="47"/>
      <c r="AD226" s="47"/>
      <c r="AE226" s="47"/>
      <c r="AF226" s="47"/>
      <c r="AG226" s="47"/>
      <c r="AH226" s="47"/>
      <c r="AI226" s="46"/>
      <c r="AJ226" s="46"/>
      <c r="AK226" s="46"/>
      <c r="AL226" s="7"/>
      <c r="AM226" s="49" t="str">
        <f aca="false">IF(OR(C226="",G226=""),"",IFERROR(DATEDIF(C226,G226,"m"),""))</f>
        <v/>
      </c>
      <c r="AN226" s="49" t="str">
        <f aca="false">IF(OR(Q226="",AM226=""),"",60+2*Q226-AM226)</f>
        <v/>
      </c>
      <c r="AO226" s="49" t="str">
        <f aca="false">IF(OR(G226="",AJ226=""),"",AJ226-G226)</f>
        <v/>
      </c>
      <c r="AP226" s="50" t="str">
        <f aca="false">IF(AND(A226="",B226=""),"",IF(J226="","Status needed",IF(OR(J226="Applied",J226="Visit booked",J226="Withdrawn"),"OK",IF(G226="","Date assessed needed",IF(C226="","Date of birth needed",IF(COUNTA(L226,M226,P226,U226,V226,X226,AB226)&lt;7,"Band missing",IF(AND(OR(J226="Decision confirmed",J226="Family told",J226="Enrolled"),AG226=""),"Recommendation needed",IF(AND(OR(J226="Family told",J226="Enrolled"),AJ226=""),"Date family told needed","OK"))))))))</f>
        <v/>
      </c>
    </row>
    <row r="227" customFormat="false" ht="15" hidden="false" customHeight="false" outlineLevel="0" collapsed="false">
      <c r="A227" s="7"/>
      <c r="B227" s="7"/>
      <c r="C227" s="46"/>
      <c r="D227" s="7"/>
      <c r="E227" s="47"/>
      <c r="F227" s="46"/>
      <c r="G227" s="46"/>
      <c r="H227" s="7"/>
      <c r="I227" s="7"/>
      <c r="J227" s="47"/>
      <c r="K227" s="47"/>
      <c r="L227" s="47"/>
      <c r="M227" s="47"/>
      <c r="N227" s="10"/>
      <c r="O227" s="47"/>
      <c r="P227" s="47"/>
      <c r="Q227" s="47"/>
      <c r="R227" s="48" t="str">
        <f aca="false">IF(Q227="","",IF(Q227=0,"below 5:00",IF(Q227&gt;=66,"16:00 or above",INT((60+2*Q227)/12)&amp;":"&amp;TEXT(MOD(60+2*Q227,12),"00"))))</f>
        <v/>
      </c>
      <c r="S227" s="47"/>
      <c r="T227" s="47"/>
      <c r="U227" s="47"/>
      <c r="V227" s="47"/>
      <c r="W227" s="47"/>
      <c r="X227" s="47"/>
      <c r="Y227" s="47"/>
      <c r="Z227" s="47"/>
      <c r="AA227" s="47"/>
      <c r="AB227" s="47"/>
      <c r="AC227" s="47"/>
      <c r="AD227" s="47"/>
      <c r="AE227" s="47"/>
      <c r="AF227" s="47"/>
      <c r="AG227" s="47"/>
      <c r="AH227" s="47"/>
      <c r="AI227" s="46"/>
      <c r="AJ227" s="46"/>
      <c r="AK227" s="46"/>
      <c r="AL227" s="7"/>
      <c r="AM227" s="49" t="str">
        <f aca="false">IF(OR(C227="",G227=""),"",IFERROR(DATEDIF(C227,G227,"m"),""))</f>
        <v/>
      </c>
      <c r="AN227" s="49" t="str">
        <f aca="false">IF(OR(Q227="",AM227=""),"",60+2*Q227-AM227)</f>
        <v/>
      </c>
      <c r="AO227" s="49" t="str">
        <f aca="false">IF(OR(G227="",AJ227=""),"",AJ227-G227)</f>
        <v/>
      </c>
      <c r="AP227" s="50" t="str">
        <f aca="false">IF(AND(A227="",B227=""),"",IF(J227="","Status needed",IF(OR(J227="Applied",J227="Visit booked",J227="Withdrawn"),"OK",IF(G227="","Date assessed needed",IF(C227="","Date of birth needed",IF(COUNTA(L227,M227,P227,U227,V227,X227,AB227)&lt;7,"Band missing",IF(AND(OR(J227="Decision confirmed",J227="Family told",J227="Enrolled"),AG227=""),"Recommendation needed",IF(AND(OR(J227="Family told",J227="Enrolled"),AJ227=""),"Date family told needed","OK"))))))))</f>
        <v/>
      </c>
    </row>
    <row r="228" customFormat="false" ht="15" hidden="false" customHeight="false" outlineLevel="0" collapsed="false">
      <c r="A228" s="7"/>
      <c r="B228" s="7"/>
      <c r="C228" s="46"/>
      <c r="D228" s="7"/>
      <c r="E228" s="47"/>
      <c r="F228" s="46"/>
      <c r="G228" s="46"/>
      <c r="H228" s="7"/>
      <c r="I228" s="7"/>
      <c r="J228" s="47"/>
      <c r="K228" s="47"/>
      <c r="L228" s="47"/>
      <c r="M228" s="47"/>
      <c r="N228" s="10"/>
      <c r="O228" s="47"/>
      <c r="P228" s="47"/>
      <c r="Q228" s="47"/>
      <c r="R228" s="48" t="str">
        <f aca="false">IF(Q228="","",IF(Q228=0,"below 5:00",IF(Q228&gt;=66,"16:00 or above",INT((60+2*Q228)/12)&amp;":"&amp;TEXT(MOD(60+2*Q228,12),"00"))))</f>
        <v/>
      </c>
      <c r="S228" s="47"/>
      <c r="T228" s="47"/>
      <c r="U228" s="47"/>
      <c r="V228" s="47"/>
      <c r="W228" s="47"/>
      <c r="X228" s="47"/>
      <c r="Y228" s="47"/>
      <c r="Z228" s="47"/>
      <c r="AA228" s="47"/>
      <c r="AB228" s="47"/>
      <c r="AC228" s="47"/>
      <c r="AD228" s="47"/>
      <c r="AE228" s="47"/>
      <c r="AF228" s="47"/>
      <c r="AG228" s="47"/>
      <c r="AH228" s="47"/>
      <c r="AI228" s="46"/>
      <c r="AJ228" s="46"/>
      <c r="AK228" s="46"/>
      <c r="AL228" s="7"/>
      <c r="AM228" s="49" t="str">
        <f aca="false">IF(OR(C228="",G228=""),"",IFERROR(DATEDIF(C228,G228,"m"),""))</f>
        <v/>
      </c>
      <c r="AN228" s="49" t="str">
        <f aca="false">IF(OR(Q228="",AM228=""),"",60+2*Q228-AM228)</f>
        <v/>
      </c>
      <c r="AO228" s="49" t="str">
        <f aca="false">IF(OR(G228="",AJ228=""),"",AJ228-G228)</f>
        <v/>
      </c>
      <c r="AP228" s="50" t="str">
        <f aca="false">IF(AND(A228="",B228=""),"",IF(J228="","Status needed",IF(OR(J228="Applied",J228="Visit booked",J228="Withdrawn"),"OK",IF(G228="","Date assessed needed",IF(C228="","Date of birth needed",IF(COUNTA(L228,M228,P228,U228,V228,X228,AB228)&lt;7,"Band missing",IF(AND(OR(J228="Decision confirmed",J228="Family told",J228="Enrolled"),AG228=""),"Recommendation needed",IF(AND(OR(J228="Family told",J228="Enrolled"),AJ228=""),"Date family told needed","OK"))))))))</f>
        <v/>
      </c>
    </row>
    <row r="229" customFormat="false" ht="15" hidden="false" customHeight="false" outlineLevel="0" collapsed="false">
      <c r="A229" s="7"/>
      <c r="B229" s="7"/>
      <c r="C229" s="46"/>
      <c r="D229" s="7"/>
      <c r="E229" s="47"/>
      <c r="F229" s="46"/>
      <c r="G229" s="46"/>
      <c r="H229" s="7"/>
      <c r="I229" s="7"/>
      <c r="J229" s="47"/>
      <c r="K229" s="47"/>
      <c r="L229" s="47"/>
      <c r="M229" s="47"/>
      <c r="N229" s="10"/>
      <c r="O229" s="47"/>
      <c r="P229" s="47"/>
      <c r="Q229" s="47"/>
      <c r="R229" s="48" t="str">
        <f aca="false">IF(Q229="","",IF(Q229=0,"below 5:00",IF(Q229&gt;=66,"16:00 or above",INT((60+2*Q229)/12)&amp;":"&amp;TEXT(MOD(60+2*Q229,12),"00"))))</f>
        <v/>
      </c>
      <c r="S229" s="47"/>
      <c r="T229" s="47"/>
      <c r="U229" s="47"/>
      <c r="V229" s="47"/>
      <c r="W229" s="47"/>
      <c r="X229" s="47"/>
      <c r="Y229" s="47"/>
      <c r="Z229" s="47"/>
      <c r="AA229" s="47"/>
      <c r="AB229" s="47"/>
      <c r="AC229" s="47"/>
      <c r="AD229" s="47"/>
      <c r="AE229" s="47"/>
      <c r="AF229" s="47"/>
      <c r="AG229" s="47"/>
      <c r="AH229" s="47"/>
      <c r="AI229" s="46"/>
      <c r="AJ229" s="46"/>
      <c r="AK229" s="46"/>
      <c r="AL229" s="7"/>
      <c r="AM229" s="49" t="str">
        <f aca="false">IF(OR(C229="",G229=""),"",IFERROR(DATEDIF(C229,G229,"m"),""))</f>
        <v/>
      </c>
      <c r="AN229" s="49" t="str">
        <f aca="false">IF(OR(Q229="",AM229=""),"",60+2*Q229-AM229)</f>
        <v/>
      </c>
      <c r="AO229" s="49" t="str">
        <f aca="false">IF(OR(G229="",AJ229=""),"",AJ229-G229)</f>
        <v/>
      </c>
      <c r="AP229" s="50" t="str">
        <f aca="false">IF(AND(A229="",B229=""),"",IF(J229="","Status needed",IF(OR(J229="Applied",J229="Visit booked",J229="Withdrawn"),"OK",IF(G229="","Date assessed needed",IF(C229="","Date of birth needed",IF(COUNTA(L229,M229,P229,U229,V229,X229,AB229)&lt;7,"Band missing",IF(AND(OR(J229="Decision confirmed",J229="Family told",J229="Enrolled"),AG229=""),"Recommendation needed",IF(AND(OR(J229="Family told",J229="Enrolled"),AJ229=""),"Date family told needed","OK"))))))))</f>
        <v/>
      </c>
    </row>
    <row r="230" customFormat="false" ht="15" hidden="false" customHeight="false" outlineLevel="0" collapsed="false">
      <c r="A230" s="7"/>
      <c r="B230" s="7"/>
      <c r="C230" s="46"/>
      <c r="D230" s="7"/>
      <c r="E230" s="47"/>
      <c r="F230" s="46"/>
      <c r="G230" s="46"/>
      <c r="H230" s="7"/>
      <c r="I230" s="7"/>
      <c r="J230" s="47"/>
      <c r="K230" s="47"/>
      <c r="L230" s="47"/>
      <c r="M230" s="47"/>
      <c r="N230" s="10"/>
      <c r="O230" s="47"/>
      <c r="P230" s="47"/>
      <c r="Q230" s="47"/>
      <c r="R230" s="48" t="str">
        <f aca="false">IF(Q230="","",IF(Q230=0,"below 5:00",IF(Q230&gt;=66,"16:00 or above",INT((60+2*Q230)/12)&amp;":"&amp;TEXT(MOD(60+2*Q230,12),"00"))))</f>
        <v/>
      </c>
      <c r="S230" s="47"/>
      <c r="T230" s="47"/>
      <c r="U230" s="47"/>
      <c r="V230" s="47"/>
      <c r="W230" s="47"/>
      <c r="X230" s="47"/>
      <c r="Y230" s="47"/>
      <c r="Z230" s="47"/>
      <c r="AA230" s="47"/>
      <c r="AB230" s="47"/>
      <c r="AC230" s="47"/>
      <c r="AD230" s="47"/>
      <c r="AE230" s="47"/>
      <c r="AF230" s="47"/>
      <c r="AG230" s="47"/>
      <c r="AH230" s="47"/>
      <c r="AI230" s="46"/>
      <c r="AJ230" s="46"/>
      <c r="AK230" s="46"/>
      <c r="AL230" s="7"/>
      <c r="AM230" s="49" t="str">
        <f aca="false">IF(OR(C230="",G230=""),"",IFERROR(DATEDIF(C230,G230,"m"),""))</f>
        <v/>
      </c>
      <c r="AN230" s="49" t="str">
        <f aca="false">IF(OR(Q230="",AM230=""),"",60+2*Q230-AM230)</f>
        <v/>
      </c>
      <c r="AO230" s="49" t="str">
        <f aca="false">IF(OR(G230="",AJ230=""),"",AJ230-G230)</f>
        <v/>
      </c>
      <c r="AP230" s="50" t="str">
        <f aca="false">IF(AND(A230="",B230=""),"",IF(J230="","Status needed",IF(OR(J230="Applied",J230="Visit booked",J230="Withdrawn"),"OK",IF(G230="","Date assessed needed",IF(C230="","Date of birth needed",IF(COUNTA(L230,M230,P230,U230,V230,X230,AB230)&lt;7,"Band missing",IF(AND(OR(J230="Decision confirmed",J230="Family told",J230="Enrolled"),AG230=""),"Recommendation needed",IF(AND(OR(J230="Family told",J230="Enrolled"),AJ230=""),"Date family told needed","OK"))))))))</f>
        <v/>
      </c>
    </row>
    <row r="231" customFormat="false" ht="15" hidden="false" customHeight="false" outlineLevel="0" collapsed="false">
      <c r="A231" s="7"/>
      <c r="B231" s="7"/>
      <c r="C231" s="46"/>
      <c r="D231" s="7"/>
      <c r="E231" s="47"/>
      <c r="F231" s="46"/>
      <c r="G231" s="46"/>
      <c r="H231" s="7"/>
      <c r="I231" s="7"/>
      <c r="J231" s="47"/>
      <c r="K231" s="47"/>
      <c r="L231" s="47"/>
      <c r="M231" s="47"/>
      <c r="N231" s="10"/>
      <c r="O231" s="47"/>
      <c r="P231" s="47"/>
      <c r="Q231" s="47"/>
      <c r="R231" s="48" t="str">
        <f aca="false">IF(Q231="","",IF(Q231=0,"below 5:00",IF(Q231&gt;=66,"16:00 or above",INT((60+2*Q231)/12)&amp;":"&amp;TEXT(MOD(60+2*Q231,12),"00"))))</f>
        <v/>
      </c>
      <c r="S231" s="47"/>
      <c r="T231" s="47"/>
      <c r="U231" s="47"/>
      <c r="V231" s="47"/>
      <c r="W231" s="47"/>
      <c r="X231" s="47"/>
      <c r="Y231" s="47"/>
      <c r="Z231" s="47"/>
      <c r="AA231" s="47"/>
      <c r="AB231" s="47"/>
      <c r="AC231" s="47"/>
      <c r="AD231" s="47"/>
      <c r="AE231" s="47"/>
      <c r="AF231" s="47"/>
      <c r="AG231" s="47"/>
      <c r="AH231" s="47"/>
      <c r="AI231" s="46"/>
      <c r="AJ231" s="46"/>
      <c r="AK231" s="46"/>
      <c r="AL231" s="7"/>
      <c r="AM231" s="49" t="str">
        <f aca="false">IF(OR(C231="",G231=""),"",IFERROR(DATEDIF(C231,G231,"m"),""))</f>
        <v/>
      </c>
      <c r="AN231" s="49" t="str">
        <f aca="false">IF(OR(Q231="",AM231=""),"",60+2*Q231-AM231)</f>
        <v/>
      </c>
      <c r="AO231" s="49" t="str">
        <f aca="false">IF(OR(G231="",AJ231=""),"",AJ231-G231)</f>
        <v/>
      </c>
      <c r="AP231" s="50" t="str">
        <f aca="false">IF(AND(A231="",B231=""),"",IF(J231="","Status needed",IF(OR(J231="Applied",J231="Visit booked",J231="Withdrawn"),"OK",IF(G231="","Date assessed needed",IF(C231="","Date of birth needed",IF(COUNTA(L231,M231,P231,U231,V231,X231,AB231)&lt;7,"Band missing",IF(AND(OR(J231="Decision confirmed",J231="Family told",J231="Enrolled"),AG231=""),"Recommendation needed",IF(AND(OR(J231="Family told",J231="Enrolled"),AJ231=""),"Date family told needed","OK"))))))))</f>
        <v/>
      </c>
    </row>
    <row r="232" customFormat="false" ht="15" hidden="false" customHeight="false" outlineLevel="0" collapsed="false">
      <c r="A232" s="7"/>
      <c r="B232" s="7"/>
      <c r="C232" s="46"/>
      <c r="D232" s="7"/>
      <c r="E232" s="47"/>
      <c r="F232" s="46"/>
      <c r="G232" s="46"/>
      <c r="H232" s="7"/>
      <c r="I232" s="7"/>
      <c r="J232" s="47"/>
      <c r="K232" s="47"/>
      <c r="L232" s="47"/>
      <c r="M232" s="47"/>
      <c r="N232" s="10"/>
      <c r="O232" s="47"/>
      <c r="P232" s="47"/>
      <c r="Q232" s="47"/>
      <c r="R232" s="48" t="str">
        <f aca="false">IF(Q232="","",IF(Q232=0,"below 5:00",IF(Q232&gt;=66,"16:00 or above",INT((60+2*Q232)/12)&amp;":"&amp;TEXT(MOD(60+2*Q232,12),"00"))))</f>
        <v/>
      </c>
      <c r="S232" s="47"/>
      <c r="T232" s="47"/>
      <c r="U232" s="47"/>
      <c r="V232" s="47"/>
      <c r="W232" s="47"/>
      <c r="X232" s="47"/>
      <c r="Y232" s="47"/>
      <c r="Z232" s="47"/>
      <c r="AA232" s="47"/>
      <c r="AB232" s="47"/>
      <c r="AC232" s="47"/>
      <c r="AD232" s="47"/>
      <c r="AE232" s="47"/>
      <c r="AF232" s="47"/>
      <c r="AG232" s="47"/>
      <c r="AH232" s="47"/>
      <c r="AI232" s="46"/>
      <c r="AJ232" s="46"/>
      <c r="AK232" s="46"/>
      <c r="AL232" s="7"/>
      <c r="AM232" s="49" t="str">
        <f aca="false">IF(OR(C232="",G232=""),"",IFERROR(DATEDIF(C232,G232,"m"),""))</f>
        <v/>
      </c>
      <c r="AN232" s="49" t="str">
        <f aca="false">IF(OR(Q232="",AM232=""),"",60+2*Q232-AM232)</f>
        <v/>
      </c>
      <c r="AO232" s="49" t="str">
        <f aca="false">IF(OR(G232="",AJ232=""),"",AJ232-G232)</f>
        <v/>
      </c>
      <c r="AP232" s="50" t="str">
        <f aca="false">IF(AND(A232="",B232=""),"",IF(J232="","Status needed",IF(OR(J232="Applied",J232="Visit booked",J232="Withdrawn"),"OK",IF(G232="","Date assessed needed",IF(C232="","Date of birth needed",IF(COUNTA(L232,M232,P232,U232,V232,X232,AB232)&lt;7,"Band missing",IF(AND(OR(J232="Decision confirmed",J232="Family told",J232="Enrolled"),AG232=""),"Recommendation needed",IF(AND(OR(J232="Family told",J232="Enrolled"),AJ232=""),"Date family told needed","OK"))))))))</f>
        <v/>
      </c>
    </row>
    <row r="233" customFormat="false" ht="15" hidden="false" customHeight="false" outlineLevel="0" collapsed="false">
      <c r="A233" s="7"/>
      <c r="B233" s="7"/>
      <c r="C233" s="46"/>
      <c r="D233" s="7"/>
      <c r="E233" s="47"/>
      <c r="F233" s="46"/>
      <c r="G233" s="46"/>
      <c r="H233" s="7"/>
      <c r="I233" s="7"/>
      <c r="J233" s="47"/>
      <c r="K233" s="47"/>
      <c r="L233" s="47"/>
      <c r="M233" s="47"/>
      <c r="N233" s="10"/>
      <c r="O233" s="47"/>
      <c r="P233" s="47"/>
      <c r="Q233" s="47"/>
      <c r="R233" s="48" t="str">
        <f aca="false">IF(Q233="","",IF(Q233=0,"below 5:00",IF(Q233&gt;=66,"16:00 or above",INT((60+2*Q233)/12)&amp;":"&amp;TEXT(MOD(60+2*Q233,12),"00"))))</f>
        <v/>
      </c>
      <c r="S233" s="47"/>
      <c r="T233" s="47"/>
      <c r="U233" s="47"/>
      <c r="V233" s="47"/>
      <c r="W233" s="47"/>
      <c r="X233" s="47"/>
      <c r="Y233" s="47"/>
      <c r="Z233" s="47"/>
      <c r="AA233" s="47"/>
      <c r="AB233" s="47"/>
      <c r="AC233" s="47"/>
      <c r="AD233" s="47"/>
      <c r="AE233" s="47"/>
      <c r="AF233" s="47"/>
      <c r="AG233" s="47"/>
      <c r="AH233" s="47"/>
      <c r="AI233" s="46"/>
      <c r="AJ233" s="46"/>
      <c r="AK233" s="46"/>
      <c r="AL233" s="7"/>
      <c r="AM233" s="49" t="str">
        <f aca="false">IF(OR(C233="",G233=""),"",IFERROR(DATEDIF(C233,G233,"m"),""))</f>
        <v/>
      </c>
      <c r="AN233" s="49" t="str">
        <f aca="false">IF(OR(Q233="",AM233=""),"",60+2*Q233-AM233)</f>
        <v/>
      </c>
      <c r="AO233" s="49" t="str">
        <f aca="false">IF(OR(G233="",AJ233=""),"",AJ233-G233)</f>
        <v/>
      </c>
      <c r="AP233" s="50" t="str">
        <f aca="false">IF(AND(A233="",B233=""),"",IF(J233="","Status needed",IF(OR(J233="Applied",J233="Visit booked",J233="Withdrawn"),"OK",IF(G233="","Date assessed needed",IF(C233="","Date of birth needed",IF(COUNTA(L233,M233,P233,U233,V233,X233,AB233)&lt;7,"Band missing",IF(AND(OR(J233="Decision confirmed",J233="Family told",J233="Enrolled"),AG233=""),"Recommendation needed",IF(AND(OR(J233="Family told",J233="Enrolled"),AJ233=""),"Date family told needed","OK"))))))))</f>
        <v/>
      </c>
    </row>
    <row r="234" customFormat="false" ht="15" hidden="false" customHeight="false" outlineLevel="0" collapsed="false">
      <c r="A234" s="7"/>
      <c r="B234" s="7"/>
      <c r="C234" s="46"/>
      <c r="D234" s="7"/>
      <c r="E234" s="47"/>
      <c r="F234" s="46"/>
      <c r="G234" s="46"/>
      <c r="H234" s="7"/>
      <c r="I234" s="7"/>
      <c r="J234" s="47"/>
      <c r="K234" s="47"/>
      <c r="L234" s="47"/>
      <c r="M234" s="47"/>
      <c r="N234" s="10"/>
      <c r="O234" s="47"/>
      <c r="P234" s="47"/>
      <c r="Q234" s="47"/>
      <c r="R234" s="48" t="str">
        <f aca="false">IF(Q234="","",IF(Q234=0,"below 5:00",IF(Q234&gt;=66,"16:00 or above",INT((60+2*Q234)/12)&amp;":"&amp;TEXT(MOD(60+2*Q234,12),"00"))))</f>
        <v/>
      </c>
      <c r="S234" s="47"/>
      <c r="T234" s="47"/>
      <c r="U234" s="47"/>
      <c r="V234" s="47"/>
      <c r="W234" s="47"/>
      <c r="X234" s="47"/>
      <c r="Y234" s="47"/>
      <c r="Z234" s="47"/>
      <c r="AA234" s="47"/>
      <c r="AB234" s="47"/>
      <c r="AC234" s="47"/>
      <c r="AD234" s="47"/>
      <c r="AE234" s="47"/>
      <c r="AF234" s="47"/>
      <c r="AG234" s="47"/>
      <c r="AH234" s="47"/>
      <c r="AI234" s="46"/>
      <c r="AJ234" s="46"/>
      <c r="AK234" s="46"/>
      <c r="AL234" s="7"/>
      <c r="AM234" s="49" t="str">
        <f aca="false">IF(OR(C234="",G234=""),"",IFERROR(DATEDIF(C234,G234,"m"),""))</f>
        <v/>
      </c>
      <c r="AN234" s="49" t="str">
        <f aca="false">IF(OR(Q234="",AM234=""),"",60+2*Q234-AM234)</f>
        <v/>
      </c>
      <c r="AO234" s="49" t="str">
        <f aca="false">IF(OR(G234="",AJ234=""),"",AJ234-G234)</f>
        <v/>
      </c>
      <c r="AP234" s="50" t="str">
        <f aca="false">IF(AND(A234="",B234=""),"",IF(J234="","Status needed",IF(OR(J234="Applied",J234="Visit booked",J234="Withdrawn"),"OK",IF(G234="","Date assessed needed",IF(C234="","Date of birth needed",IF(COUNTA(L234,M234,P234,U234,V234,X234,AB234)&lt;7,"Band missing",IF(AND(OR(J234="Decision confirmed",J234="Family told",J234="Enrolled"),AG234=""),"Recommendation needed",IF(AND(OR(J234="Family told",J234="Enrolled"),AJ234=""),"Date family told needed","OK"))))))))</f>
        <v/>
      </c>
    </row>
    <row r="235" customFormat="false" ht="15" hidden="false" customHeight="false" outlineLevel="0" collapsed="false">
      <c r="A235" s="7"/>
      <c r="B235" s="7"/>
      <c r="C235" s="46"/>
      <c r="D235" s="7"/>
      <c r="E235" s="47"/>
      <c r="F235" s="46"/>
      <c r="G235" s="46"/>
      <c r="H235" s="7"/>
      <c r="I235" s="7"/>
      <c r="J235" s="47"/>
      <c r="K235" s="47"/>
      <c r="L235" s="47"/>
      <c r="M235" s="47"/>
      <c r="N235" s="10"/>
      <c r="O235" s="47"/>
      <c r="P235" s="47"/>
      <c r="Q235" s="47"/>
      <c r="R235" s="48" t="str">
        <f aca="false">IF(Q235="","",IF(Q235=0,"below 5:00",IF(Q235&gt;=66,"16:00 or above",INT((60+2*Q235)/12)&amp;":"&amp;TEXT(MOD(60+2*Q235,12),"00"))))</f>
        <v/>
      </c>
      <c r="S235" s="47"/>
      <c r="T235" s="47"/>
      <c r="U235" s="47"/>
      <c r="V235" s="47"/>
      <c r="W235" s="47"/>
      <c r="X235" s="47"/>
      <c r="Y235" s="47"/>
      <c r="Z235" s="47"/>
      <c r="AA235" s="47"/>
      <c r="AB235" s="47"/>
      <c r="AC235" s="47"/>
      <c r="AD235" s="47"/>
      <c r="AE235" s="47"/>
      <c r="AF235" s="47"/>
      <c r="AG235" s="47"/>
      <c r="AH235" s="47"/>
      <c r="AI235" s="46"/>
      <c r="AJ235" s="46"/>
      <c r="AK235" s="46"/>
      <c r="AL235" s="7"/>
      <c r="AM235" s="49" t="str">
        <f aca="false">IF(OR(C235="",G235=""),"",IFERROR(DATEDIF(C235,G235,"m"),""))</f>
        <v/>
      </c>
      <c r="AN235" s="49" t="str">
        <f aca="false">IF(OR(Q235="",AM235=""),"",60+2*Q235-AM235)</f>
        <v/>
      </c>
      <c r="AO235" s="49" t="str">
        <f aca="false">IF(OR(G235="",AJ235=""),"",AJ235-G235)</f>
        <v/>
      </c>
      <c r="AP235" s="50" t="str">
        <f aca="false">IF(AND(A235="",B235=""),"",IF(J235="","Status needed",IF(OR(J235="Applied",J235="Visit booked",J235="Withdrawn"),"OK",IF(G235="","Date assessed needed",IF(C235="","Date of birth needed",IF(COUNTA(L235,M235,P235,U235,V235,X235,AB235)&lt;7,"Band missing",IF(AND(OR(J235="Decision confirmed",J235="Family told",J235="Enrolled"),AG235=""),"Recommendation needed",IF(AND(OR(J235="Family told",J235="Enrolled"),AJ235=""),"Date family told needed","OK"))))))))</f>
        <v/>
      </c>
    </row>
    <row r="236" customFormat="false" ht="15" hidden="false" customHeight="false" outlineLevel="0" collapsed="false">
      <c r="A236" s="7"/>
      <c r="B236" s="7"/>
      <c r="C236" s="46"/>
      <c r="D236" s="7"/>
      <c r="E236" s="47"/>
      <c r="F236" s="46"/>
      <c r="G236" s="46"/>
      <c r="H236" s="7"/>
      <c r="I236" s="7"/>
      <c r="J236" s="47"/>
      <c r="K236" s="47"/>
      <c r="L236" s="47"/>
      <c r="M236" s="47"/>
      <c r="N236" s="10"/>
      <c r="O236" s="47"/>
      <c r="P236" s="47"/>
      <c r="Q236" s="47"/>
      <c r="R236" s="48" t="str">
        <f aca="false">IF(Q236="","",IF(Q236=0,"below 5:00",IF(Q236&gt;=66,"16:00 or above",INT((60+2*Q236)/12)&amp;":"&amp;TEXT(MOD(60+2*Q236,12),"00"))))</f>
        <v/>
      </c>
      <c r="S236" s="47"/>
      <c r="T236" s="47"/>
      <c r="U236" s="47"/>
      <c r="V236" s="47"/>
      <c r="W236" s="47"/>
      <c r="X236" s="47"/>
      <c r="Y236" s="47"/>
      <c r="Z236" s="47"/>
      <c r="AA236" s="47"/>
      <c r="AB236" s="47"/>
      <c r="AC236" s="47"/>
      <c r="AD236" s="47"/>
      <c r="AE236" s="47"/>
      <c r="AF236" s="47"/>
      <c r="AG236" s="47"/>
      <c r="AH236" s="47"/>
      <c r="AI236" s="46"/>
      <c r="AJ236" s="46"/>
      <c r="AK236" s="46"/>
      <c r="AL236" s="7"/>
      <c r="AM236" s="49" t="str">
        <f aca="false">IF(OR(C236="",G236=""),"",IFERROR(DATEDIF(C236,G236,"m"),""))</f>
        <v/>
      </c>
      <c r="AN236" s="49" t="str">
        <f aca="false">IF(OR(Q236="",AM236=""),"",60+2*Q236-AM236)</f>
        <v/>
      </c>
      <c r="AO236" s="49" t="str">
        <f aca="false">IF(OR(G236="",AJ236=""),"",AJ236-G236)</f>
        <v/>
      </c>
      <c r="AP236" s="50" t="str">
        <f aca="false">IF(AND(A236="",B236=""),"",IF(J236="","Status needed",IF(OR(J236="Applied",J236="Visit booked",J236="Withdrawn"),"OK",IF(G236="","Date assessed needed",IF(C236="","Date of birth needed",IF(COUNTA(L236,M236,P236,U236,V236,X236,AB236)&lt;7,"Band missing",IF(AND(OR(J236="Decision confirmed",J236="Family told",J236="Enrolled"),AG236=""),"Recommendation needed",IF(AND(OR(J236="Family told",J236="Enrolled"),AJ236=""),"Date family told needed","OK"))))))))</f>
        <v/>
      </c>
    </row>
    <row r="237" customFormat="false" ht="15" hidden="false" customHeight="false" outlineLevel="0" collapsed="false">
      <c r="A237" s="7"/>
      <c r="B237" s="7"/>
      <c r="C237" s="46"/>
      <c r="D237" s="7"/>
      <c r="E237" s="47"/>
      <c r="F237" s="46"/>
      <c r="G237" s="46"/>
      <c r="H237" s="7"/>
      <c r="I237" s="7"/>
      <c r="J237" s="47"/>
      <c r="K237" s="47"/>
      <c r="L237" s="47"/>
      <c r="M237" s="47"/>
      <c r="N237" s="10"/>
      <c r="O237" s="47"/>
      <c r="P237" s="47"/>
      <c r="Q237" s="47"/>
      <c r="R237" s="48" t="str">
        <f aca="false">IF(Q237="","",IF(Q237=0,"below 5:00",IF(Q237&gt;=66,"16:00 or above",INT((60+2*Q237)/12)&amp;":"&amp;TEXT(MOD(60+2*Q237,12),"00"))))</f>
        <v/>
      </c>
      <c r="S237" s="47"/>
      <c r="T237" s="47"/>
      <c r="U237" s="47"/>
      <c r="V237" s="47"/>
      <c r="W237" s="47"/>
      <c r="X237" s="47"/>
      <c r="Y237" s="47"/>
      <c r="Z237" s="47"/>
      <c r="AA237" s="47"/>
      <c r="AB237" s="47"/>
      <c r="AC237" s="47"/>
      <c r="AD237" s="47"/>
      <c r="AE237" s="47"/>
      <c r="AF237" s="47"/>
      <c r="AG237" s="47"/>
      <c r="AH237" s="47"/>
      <c r="AI237" s="46"/>
      <c r="AJ237" s="46"/>
      <c r="AK237" s="46"/>
      <c r="AL237" s="7"/>
      <c r="AM237" s="49" t="str">
        <f aca="false">IF(OR(C237="",G237=""),"",IFERROR(DATEDIF(C237,G237,"m"),""))</f>
        <v/>
      </c>
      <c r="AN237" s="49" t="str">
        <f aca="false">IF(OR(Q237="",AM237=""),"",60+2*Q237-AM237)</f>
        <v/>
      </c>
      <c r="AO237" s="49" t="str">
        <f aca="false">IF(OR(G237="",AJ237=""),"",AJ237-G237)</f>
        <v/>
      </c>
      <c r="AP237" s="50" t="str">
        <f aca="false">IF(AND(A237="",B237=""),"",IF(J237="","Status needed",IF(OR(J237="Applied",J237="Visit booked",J237="Withdrawn"),"OK",IF(G237="","Date assessed needed",IF(C237="","Date of birth needed",IF(COUNTA(L237,M237,P237,U237,V237,X237,AB237)&lt;7,"Band missing",IF(AND(OR(J237="Decision confirmed",J237="Family told",J237="Enrolled"),AG237=""),"Recommendation needed",IF(AND(OR(J237="Family told",J237="Enrolled"),AJ237=""),"Date family told needed","OK"))))))))</f>
        <v/>
      </c>
    </row>
    <row r="238" customFormat="false" ht="15" hidden="false" customHeight="false" outlineLevel="0" collapsed="false">
      <c r="A238" s="7"/>
      <c r="B238" s="7"/>
      <c r="C238" s="46"/>
      <c r="D238" s="7"/>
      <c r="E238" s="47"/>
      <c r="F238" s="46"/>
      <c r="G238" s="46"/>
      <c r="H238" s="7"/>
      <c r="I238" s="7"/>
      <c r="J238" s="47"/>
      <c r="K238" s="47"/>
      <c r="L238" s="47"/>
      <c r="M238" s="47"/>
      <c r="N238" s="10"/>
      <c r="O238" s="47"/>
      <c r="P238" s="47"/>
      <c r="Q238" s="47"/>
      <c r="R238" s="48" t="str">
        <f aca="false">IF(Q238="","",IF(Q238=0,"below 5:00",IF(Q238&gt;=66,"16:00 or above",INT((60+2*Q238)/12)&amp;":"&amp;TEXT(MOD(60+2*Q238,12),"00"))))</f>
        <v/>
      </c>
      <c r="S238" s="47"/>
      <c r="T238" s="47"/>
      <c r="U238" s="47"/>
      <c r="V238" s="47"/>
      <c r="W238" s="47"/>
      <c r="X238" s="47"/>
      <c r="Y238" s="47"/>
      <c r="Z238" s="47"/>
      <c r="AA238" s="47"/>
      <c r="AB238" s="47"/>
      <c r="AC238" s="47"/>
      <c r="AD238" s="47"/>
      <c r="AE238" s="47"/>
      <c r="AF238" s="47"/>
      <c r="AG238" s="47"/>
      <c r="AH238" s="47"/>
      <c r="AI238" s="46"/>
      <c r="AJ238" s="46"/>
      <c r="AK238" s="46"/>
      <c r="AL238" s="7"/>
      <c r="AM238" s="49" t="str">
        <f aca="false">IF(OR(C238="",G238=""),"",IFERROR(DATEDIF(C238,G238,"m"),""))</f>
        <v/>
      </c>
      <c r="AN238" s="49" t="str">
        <f aca="false">IF(OR(Q238="",AM238=""),"",60+2*Q238-AM238)</f>
        <v/>
      </c>
      <c r="AO238" s="49" t="str">
        <f aca="false">IF(OR(G238="",AJ238=""),"",AJ238-G238)</f>
        <v/>
      </c>
      <c r="AP238" s="50" t="str">
        <f aca="false">IF(AND(A238="",B238=""),"",IF(J238="","Status needed",IF(OR(J238="Applied",J238="Visit booked",J238="Withdrawn"),"OK",IF(G238="","Date assessed needed",IF(C238="","Date of birth needed",IF(COUNTA(L238,M238,P238,U238,V238,X238,AB238)&lt;7,"Band missing",IF(AND(OR(J238="Decision confirmed",J238="Family told",J238="Enrolled"),AG238=""),"Recommendation needed",IF(AND(OR(J238="Family told",J238="Enrolled"),AJ238=""),"Date family told needed","OK"))))))))</f>
        <v/>
      </c>
    </row>
    <row r="239" customFormat="false" ht="15" hidden="false" customHeight="false" outlineLevel="0" collapsed="false">
      <c r="A239" s="7"/>
      <c r="B239" s="7"/>
      <c r="C239" s="46"/>
      <c r="D239" s="7"/>
      <c r="E239" s="47"/>
      <c r="F239" s="46"/>
      <c r="G239" s="46"/>
      <c r="H239" s="7"/>
      <c r="I239" s="7"/>
      <c r="J239" s="47"/>
      <c r="K239" s="47"/>
      <c r="L239" s="47"/>
      <c r="M239" s="47"/>
      <c r="N239" s="10"/>
      <c r="O239" s="47"/>
      <c r="P239" s="47"/>
      <c r="Q239" s="47"/>
      <c r="R239" s="48" t="str">
        <f aca="false">IF(Q239="","",IF(Q239=0,"below 5:00",IF(Q239&gt;=66,"16:00 or above",INT((60+2*Q239)/12)&amp;":"&amp;TEXT(MOD(60+2*Q239,12),"00"))))</f>
        <v/>
      </c>
      <c r="S239" s="47"/>
      <c r="T239" s="47"/>
      <c r="U239" s="47"/>
      <c r="V239" s="47"/>
      <c r="W239" s="47"/>
      <c r="X239" s="47"/>
      <c r="Y239" s="47"/>
      <c r="Z239" s="47"/>
      <c r="AA239" s="47"/>
      <c r="AB239" s="47"/>
      <c r="AC239" s="47"/>
      <c r="AD239" s="47"/>
      <c r="AE239" s="47"/>
      <c r="AF239" s="47"/>
      <c r="AG239" s="47"/>
      <c r="AH239" s="47"/>
      <c r="AI239" s="46"/>
      <c r="AJ239" s="46"/>
      <c r="AK239" s="46"/>
      <c r="AL239" s="7"/>
      <c r="AM239" s="49" t="str">
        <f aca="false">IF(OR(C239="",G239=""),"",IFERROR(DATEDIF(C239,G239,"m"),""))</f>
        <v/>
      </c>
      <c r="AN239" s="49" t="str">
        <f aca="false">IF(OR(Q239="",AM239=""),"",60+2*Q239-AM239)</f>
        <v/>
      </c>
      <c r="AO239" s="49" t="str">
        <f aca="false">IF(OR(G239="",AJ239=""),"",AJ239-G239)</f>
        <v/>
      </c>
      <c r="AP239" s="50" t="str">
        <f aca="false">IF(AND(A239="",B239=""),"",IF(J239="","Status needed",IF(OR(J239="Applied",J239="Visit booked",J239="Withdrawn"),"OK",IF(G239="","Date assessed needed",IF(C239="","Date of birth needed",IF(COUNTA(L239,M239,P239,U239,V239,X239,AB239)&lt;7,"Band missing",IF(AND(OR(J239="Decision confirmed",J239="Family told",J239="Enrolled"),AG239=""),"Recommendation needed",IF(AND(OR(J239="Family told",J239="Enrolled"),AJ239=""),"Date family told needed","OK"))))))))</f>
        <v/>
      </c>
    </row>
    <row r="240" customFormat="false" ht="15" hidden="false" customHeight="false" outlineLevel="0" collapsed="false">
      <c r="A240" s="7"/>
      <c r="B240" s="7"/>
      <c r="C240" s="46"/>
      <c r="D240" s="7"/>
      <c r="E240" s="47"/>
      <c r="F240" s="46"/>
      <c r="G240" s="46"/>
      <c r="H240" s="7"/>
      <c r="I240" s="7"/>
      <c r="J240" s="47"/>
      <c r="K240" s="47"/>
      <c r="L240" s="47"/>
      <c r="M240" s="47"/>
      <c r="N240" s="10"/>
      <c r="O240" s="47"/>
      <c r="P240" s="47"/>
      <c r="Q240" s="47"/>
      <c r="R240" s="48" t="str">
        <f aca="false">IF(Q240="","",IF(Q240=0,"below 5:00",IF(Q240&gt;=66,"16:00 or above",INT((60+2*Q240)/12)&amp;":"&amp;TEXT(MOD(60+2*Q240,12),"00"))))</f>
        <v/>
      </c>
      <c r="S240" s="47"/>
      <c r="T240" s="47"/>
      <c r="U240" s="47"/>
      <c r="V240" s="47"/>
      <c r="W240" s="47"/>
      <c r="X240" s="47"/>
      <c r="Y240" s="47"/>
      <c r="Z240" s="47"/>
      <c r="AA240" s="47"/>
      <c r="AB240" s="47"/>
      <c r="AC240" s="47"/>
      <c r="AD240" s="47"/>
      <c r="AE240" s="47"/>
      <c r="AF240" s="47"/>
      <c r="AG240" s="47"/>
      <c r="AH240" s="47"/>
      <c r="AI240" s="46"/>
      <c r="AJ240" s="46"/>
      <c r="AK240" s="46"/>
      <c r="AL240" s="7"/>
      <c r="AM240" s="49" t="str">
        <f aca="false">IF(OR(C240="",G240=""),"",IFERROR(DATEDIF(C240,G240,"m"),""))</f>
        <v/>
      </c>
      <c r="AN240" s="49" t="str">
        <f aca="false">IF(OR(Q240="",AM240=""),"",60+2*Q240-AM240)</f>
        <v/>
      </c>
      <c r="AO240" s="49" t="str">
        <f aca="false">IF(OR(G240="",AJ240=""),"",AJ240-G240)</f>
        <v/>
      </c>
      <c r="AP240" s="50" t="str">
        <f aca="false">IF(AND(A240="",B240=""),"",IF(J240="","Status needed",IF(OR(J240="Applied",J240="Visit booked",J240="Withdrawn"),"OK",IF(G240="","Date assessed needed",IF(C240="","Date of birth needed",IF(COUNTA(L240,M240,P240,U240,V240,X240,AB240)&lt;7,"Band missing",IF(AND(OR(J240="Decision confirmed",J240="Family told",J240="Enrolled"),AG240=""),"Recommendation needed",IF(AND(OR(J240="Family told",J240="Enrolled"),AJ240=""),"Date family told needed","OK"))))))))</f>
        <v/>
      </c>
    </row>
    <row r="241" customFormat="false" ht="15" hidden="false" customHeight="false" outlineLevel="0" collapsed="false">
      <c r="A241" s="7"/>
      <c r="B241" s="7"/>
      <c r="C241" s="46"/>
      <c r="D241" s="7"/>
      <c r="E241" s="47"/>
      <c r="F241" s="46"/>
      <c r="G241" s="46"/>
      <c r="H241" s="7"/>
      <c r="I241" s="7"/>
      <c r="J241" s="47"/>
      <c r="K241" s="47"/>
      <c r="L241" s="47"/>
      <c r="M241" s="47"/>
      <c r="N241" s="10"/>
      <c r="O241" s="47"/>
      <c r="P241" s="47"/>
      <c r="Q241" s="47"/>
      <c r="R241" s="48" t="str">
        <f aca="false">IF(Q241="","",IF(Q241=0,"below 5:00",IF(Q241&gt;=66,"16:00 or above",INT((60+2*Q241)/12)&amp;":"&amp;TEXT(MOD(60+2*Q241,12),"00"))))</f>
        <v/>
      </c>
      <c r="S241" s="47"/>
      <c r="T241" s="47"/>
      <c r="U241" s="47"/>
      <c r="V241" s="47"/>
      <c r="W241" s="47"/>
      <c r="X241" s="47"/>
      <c r="Y241" s="47"/>
      <c r="Z241" s="47"/>
      <c r="AA241" s="47"/>
      <c r="AB241" s="47"/>
      <c r="AC241" s="47"/>
      <c r="AD241" s="47"/>
      <c r="AE241" s="47"/>
      <c r="AF241" s="47"/>
      <c r="AG241" s="47"/>
      <c r="AH241" s="47"/>
      <c r="AI241" s="46"/>
      <c r="AJ241" s="46"/>
      <c r="AK241" s="46"/>
      <c r="AL241" s="7"/>
      <c r="AM241" s="49" t="str">
        <f aca="false">IF(OR(C241="",G241=""),"",IFERROR(DATEDIF(C241,G241,"m"),""))</f>
        <v/>
      </c>
      <c r="AN241" s="49" t="str">
        <f aca="false">IF(OR(Q241="",AM241=""),"",60+2*Q241-AM241)</f>
        <v/>
      </c>
      <c r="AO241" s="49" t="str">
        <f aca="false">IF(OR(G241="",AJ241=""),"",AJ241-G241)</f>
        <v/>
      </c>
      <c r="AP241" s="50" t="str">
        <f aca="false">IF(AND(A241="",B241=""),"",IF(J241="","Status needed",IF(OR(J241="Applied",J241="Visit booked",J241="Withdrawn"),"OK",IF(G241="","Date assessed needed",IF(C241="","Date of birth needed",IF(COUNTA(L241,M241,P241,U241,V241,X241,AB241)&lt;7,"Band missing",IF(AND(OR(J241="Decision confirmed",J241="Family told",J241="Enrolled"),AG241=""),"Recommendation needed",IF(AND(OR(J241="Family told",J241="Enrolled"),AJ241=""),"Date family told needed","OK"))))))))</f>
        <v/>
      </c>
    </row>
    <row r="242" customFormat="false" ht="15" hidden="false" customHeight="false" outlineLevel="0" collapsed="false">
      <c r="A242" s="7"/>
      <c r="B242" s="7"/>
      <c r="C242" s="46"/>
      <c r="D242" s="7"/>
      <c r="E242" s="47"/>
      <c r="F242" s="46"/>
      <c r="G242" s="46"/>
      <c r="H242" s="7"/>
      <c r="I242" s="7"/>
      <c r="J242" s="47"/>
      <c r="K242" s="47"/>
      <c r="L242" s="47"/>
      <c r="M242" s="47"/>
      <c r="N242" s="10"/>
      <c r="O242" s="47"/>
      <c r="P242" s="47"/>
      <c r="Q242" s="47"/>
      <c r="R242" s="48" t="str">
        <f aca="false">IF(Q242="","",IF(Q242=0,"below 5:00",IF(Q242&gt;=66,"16:00 or above",INT((60+2*Q242)/12)&amp;":"&amp;TEXT(MOD(60+2*Q242,12),"00"))))</f>
        <v/>
      </c>
      <c r="S242" s="47"/>
      <c r="T242" s="47"/>
      <c r="U242" s="47"/>
      <c r="V242" s="47"/>
      <c r="W242" s="47"/>
      <c r="X242" s="47"/>
      <c r="Y242" s="47"/>
      <c r="Z242" s="47"/>
      <c r="AA242" s="47"/>
      <c r="AB242" s="47"/>
      <c r="AC242" s="47"/>
      <c r="AD242" s="47"/>
      <c r="AE242" s="47"/>
      <c r="AF242" s="47"/>
      <c r="AG242" s="47"/>
      <c r="AH242" s="47"/>
      <c r="AI242" s="46"/>
      <c r="AJ242" s="46"/>
      <c r="AK242" s="46"/>
      <c r="AL242" s="7"/>
      <c r="AM242" s="49" t="str">
        <f aca="false">IF(OR(C242="",G242=""),"",IFERROR(DATEDIF(C242,G242,"m"),""))</f>
        <v/>
      </c>
      <c r="AN242" s="49" t="str">
        <f aca="false">IF(OR(Q242="",AM242=""),"",60+2*Q242-AM242)</f>
        <v/>
      </c>
      <c r="AO242" s="49" t="str">
        <f aca="false">IF(OR(G242="",AJ242=""),"",AJ242-G242)</f>
        <v/>
      </c>
      <c r="AP242" s="50" t="str">
        <f aca="false">IF(AND(A242="",B242=""),"",IF(J242="","Status needed",IF(OR(J242="Applied",J242="Visit booked",J242="Withdrawn"),"OK",IF(G242="","Date assessed needed",IF(C242="","Date of birth needed",IF(COUNTA(L242,M242,P242,U242,V242,X242,AB242)&lt;7,"Band missing",IF(AND(OR(J242="Decision confirmed",J242="Family told",J242="Enrolled"),AG242=""),"Recommendation needed",IF(AND(OR(J242="Family told",J242="Enrolled"),AJ242=""),"Date family told needed","OK"))))))))</f>
        <v/>
      </c>
    </row>
    <row r="243" customFormat="false" ht="15" hidden="false" customHeight="false" outlineLevel="0" collapsed="false">
      <c r="A243" s="7"/>
      <c r="B243" s="7"/>
      <c r="C243" s="46"/>
      <c r="D243" s="7"/>
      <c r="E243" s="47"/>
      <c r="F243" s="46"/>
      <c r="G243" s="46"/>
      <c r="H243" s="7"/>
      <c r="I243" s="7"/>
      <c r="J243" s="47"/>
      <c r="K243" s="47"/>
      <c r="L243" s="47"/>
      <c r="M243" s="47"/>
      <c r="N243" s="10"/>
      <c r="O243" s="47"/>
      <c r="P243" s="47"/>
      <c r="Q243" s="47"/>
      <c r="R243" s="48" t="str">
        <f aca="false">IF(Q243="","",IF(Q243=0,"below 5:00",IF(Q243&gt;=66,"16:00 or above",INT((60+2*Q243)/12)&amp;":"&amp;TEXT(MOD(60+2*Q243,12),"00"))))</f>
        <v/>
      </c>
      <c r="S243" s="47"/>
      <c r="T243" s="47"/>
      <c r="U243" s="47"/>
      <c r="V243" s="47"/>
      <c r="W243" s="47"/>
      <c r="X243" s="47"/>
      <c r="Y243" s="47"/>
      <c r="Z243" s="47"/>
      <c r="AA243" s="47"/>
      <c r="AB243" s="47"/>
      <c r="AC243" s="47"/>
      <c r="AD243" s="47"/>
      <c r="AE243" s="47"/>
      <c r="AF243" s="47"/>
      <c r="AG243" s="47"/>
      <c r="AH243" s="47"/>
      <c r="AI243" s="46"/>
      <c r="AJ243" s="46"/>
      <c r="AK243" s="46"/>
      <c r="AL243" s="7"/>
      <c r="AM243" s="49" t="str">
        <f aca="false">IF(OR(C243="",G243=""),"",IFERROR(DATEDIF(C243,G243,"m"),""))</f>
        <v/>
      </c>
      <c r="AN243" s="49" t="str">
        <f aca="false">IF(OR(Q243="",AM243=""),"",60+2*Q243-AM243)</f>
        <v/>
      </c>
      <c r="AO243" s="49" t="str">
        <f aca="false">IF(OR(G243="",AJ243=""),"",AJ243-G243)</f>
        <v/>
      </c>
      <c r="AP243" s="50" t="str">
        <f aca="false">IF(AND(A243="",B243=""),"",IF(J243="","Status needed",IF(OR(J243="Applied",J243="Visit booked",J243="Withdrawn"),"OK",IF(G243="","Date assessed needed",IF(C243="","Date of birth needed",IF(COUNTA(L243,M243,P243,U243,V243,X243,AB243)&lt;7,"Band missing",IF(AND(OR(J243="Decision confirmed",J243="Family told",J243="Enrolled"),AG243=""),"Recommendation needed",IF(AND(OR(J243="Family told",J243="Enrolled"),AJ243=""),"Date family told needed","OK"))))))))</f>
        <v/>
      </c>
    </row>
    <row r="244" customFormat="false" ht="15" hidden="false" customHeight="false" outlineLevel="0" collapsed="false">
      <c r="A244" s="7"/>
      <c r="B244" s="7"/>
      <c r="C244" s="46"/>
      <c r="D244" s="7"/>
      <c r="E244" s="47"/>
      <c r="F244" s="46"/>
      <c r="G244" s="46"/>
      <c r="H244" s="7"/>
      <c r="I244" s="7"/>
      <c r="J244" s="47"/>
      <c r="K244" s="47"/>
      <c r="L244" s="47"/>
      <c r="M244" s="47"/>
      <c r="N244" s="10"/>
      <c r="O244" s="47"/>
      <c r="P244" s="47"/>
      <c r="Q244" s="47"/>
      <c r="R244" s="48" t="str">
        <f aca="false">IF(Q244="","",IF(Q244=0,"below 5:00",IF(Q244&gt;=66,"16:00 or above",INT((60+2*Q244)/12)&amp;":"&amp;TEXT(MOD(60+2*Q244,12),"00"))))</f>
        <v/>
      </c>
      <c r="S244" s="47"/>
      <c r="T244" s="47"/>
      <c r="U244" s="47"/>
      <c r="V244" s="47"/>
      <c r="W244" s="47"/>
      <c r="X244" s="47"/>
      <c r="Y244" s="47"/>
      <c r="Z244" s="47"/>
      <c r="AA244" s="47"/>
      <c r="AB244" s="47"/>
      <c r="AC244" s="47"/>
      <c r="AD244" s="47"/>
      <c r="AE244" s="47"/>
      <c r="AF244" s="47"/>
      <c r="AG244" s="47"/>
      <c r="AH244" s="47"/>
      <c r="AI244" s="46"/>
      <c r="AJ244" s="46"/>
      <c r="AK244" s="46"/>
      <c r="AL244" s="7"/>
      <c r="AM244" s="49" t="str">
        <f aca="false">IF(OR(C244="",G244=""),"",IFERROR(DATEDIF(C244,G244,"m"),""))</f>
        <v/>
      </c>
      <c r="AN244" s="49" t="str">
        <f aca="false">IF(OR(Q244="",AM244=""),"",60+2*Q244-AM244)</f>
        <v/>
      </c>
      <c r="AO244" s="49" t="str">
        <f aca="false">IF(OR(G244="",AJ244=""),"",AJ244-G244)</f>
        <v/>
      </c>
      <c r="AP244" s="50" t="str">
        <f aca="false">IF(AND(A244="",B244=""),"",IF(J244="","Status needed",IF(OR(J244="Applied",J244="Visit booked",J244="Withdrawn"),"OK",IF(G244="","Date assessed needed",IF(C244="","Date of birth needed",IF(COUNTA(L244,M244,P244,U244,V244,X244,AB244)&lt;7,"Band missing",IF(AND(OR(J244="Decision confirmed",J244="Family told",J244="Enrolled"),AG244=""),"Recommendation needed",IF(AND(OR(J244="Family told",J244="Enrolled"),AJ244=""),"Date family told needed","OK"))))))))</f>
        <v/>
      </c>
    </row>
    <row r="245" customFormat="false" ht="15" hidden="false" customHeight="false" outlineLevel="0" collapsed="false">
      <c r="A245" s="7"/>
      <c r="B245" s="7"/>
      <c r="C245" s="46"/>
      <c r="D245" s="7"/>
      <c r="E245" s="47"/>
      <c r="F245" s="46"/>
      <c r="G245" s="46"/>
      <c r="H245" s="7"/>
      <c r="I245" s="7"/>
      <c r="J245" s="47"/>
      <c r="K245" s="47"/>
      <c r="L245" s="47"/>
      <c r="M245" s="47"/>
      <c r="N245" s="10"/>
      <c r="O245" s="47"/>
      <c r="P245" s="47"/>
      <c r="Q245" s="47"/>
      <c r="R245" s="48" t="str">
        <f aca="false">IF(Q245="","",IF(Q245=0,"below 5:00",IF(Q245&gt;=66,"16:00 or above",INT((60+2*Q245)/12)&amp;":"&amp;TEXT(MOD(60+2*Q245,12),"00"))))</f>
        <v/>
      </c>
      <c r="S245" s="47"/>
      <c r="T245" s="47"/>
      <c r="U245" s="47"/>
      <c r="V245" s="47"/>
      <c r="W245" s="47"/>
      <c r="X245" s="47"/>
      <c r="Y245" s="47"/>
      <c r="Z245" s="47"/>
      <c r="AA245" s="47"/>
      <c r="AB245" s="47"/>
      <c r="AC245" s="47"/>
      <c r="AD245" s="47"/>
      <c r="AE245" s="47"/>
      <c r="AF245" s="47"/>
      <c r="AG245" s="47"/>
      <c r="AH245" s="47"/>
      <c r="AI245" s="46"/>
      <c r="AJ245" s="46"/>
      <c r="AK245" s="46"/>
      <c r="AL245" s="7"/>
      <c r="AM245" s="49" t="str">
        <f aca="false">IF(OR(C245="",G245=""),"",IFERROR(DATEDIF(C245,G245,"m"),""))</f>
        <v/>
      </c>
      <c r="AN245" s="49" t="str">
        <f aca="false">IF(OR(Q245="",AM245=""),"",60+2*Q245-AM245)</f>
        <v/>
      </c>
      <c r="AO245" s="49" t="str">
        <f aca="false">IF(OR(G245="",AJ245=""),"",AJ245-G245)</f>
        <v/>
      </c>
      <c r="AP245" s="50" t="str">
        <f aca="false">IF(AND(A245="",B245=""),"",IF(J245="","Status needed",IF(OR(J245="Applied",J245="Visit booked",J245="Withdrawn"),"OK",IF(G245="","Date assessed needed",IF(C245="","Date of birth needed",IF(COUNTA(L245,M245,P245,U245,V245,X245,AB245)&lt;7,"Band missing",IF(AND(OR(J245="Decision confirmed",J245="Family told",J245="Enrolled"),AG245=""),"Recommendation needed",IF(AND(OR(J245="Family told",J245="Enrolled"),AJ245=""),"Date family told needed","OK"))))))))</f>
        <v/>
      </c>
    </row>
    <row r="246" customFormat="false" ht="15" hidden="false" customHeight="false" outlineLevel="0" collapsed="false">
      <c r="A246" s="7"/>
      <c r="B246" s="7"/>
      <c r="C246" s="46"/>
      <c r="D246" s="7"/>
      <c r="E246" s="47"/>
      <c r="F246" s="46"/>
      <c r="G246" s="46"/>
      <c r="H246" s="7"/>
      <c r="I246" s="7"/>
      <c r="J246" s="47"/>
      <c r="K246" s="47"/>
      <c r="L246" s="47"/>
      <c r="M246" s="47"/>
      <c r="N246" s="10"/>
      <c r="O246" s="47"/>
      <c r="P246" s="47"/>
      <c r="Q246" s="47"/>
      <c r="R246" s="48" t="str">
        <f aca="false">IF(Q246="","",IF(Q246=0,"below 5:00",IF(Q246&gt;=66,"16:00 or above",INT((60+2*Q246)/12)&amp;":"&amp;TEXT(MOD(60+2*Q246,12),"00"))))</f>
        <v/>
      </c>
      <c r="S246" s="47"/>
      <c r="T246" s="47"/>
      <c r="U246" s="47"/>
      <c r="V246" s="47"/>
      <c r="W246" s="47"/>
      <c r="X246" s="47"/>
      <c r="Y246" s="47"/>
      <c r="Z246" s="47"/>
      <c r="AA246" s="47"/>
      <c r="AB246" s="47"/>
      <c r="AC246" s="47"/>
      <c r="AD246" s="47"/>
      <c r="AE246" s="47"/>
      <c r="AF246" s="47"/>
      <c r="AG246" s="47"/>
      <c r="AH246" s="47"/>
      <c r="AI246" s="46"/>
      <c r="AJ246" s="46"/>
      <c r="AK246" s="46"/>
      <c r="AL246" s="7"/>
      <c r="AM246" s="49" t="str">
        <f aca="false">IF(OR(C246="",G246=""),"",IFERROR(DATEDIF(C246,G246,"m"),""))</f>
        <v/>
      </c>
      <c r="AN246" s="49" t="str">
        <f aca="false">IF(OR(Q246="",AM246=""),"",60+2*Q246-AM246)</f>
        <v/>
      </c>
      <c r="AO246" s="49" t="str">
        <f aca="false">IF(OR(G246="",AJ246=""),"",AJ246-G246)</f>
        <v/>
      </c>
      <c r="AP246" s="50" t="str">
        <f aca="false">IF(AND(A246="",B246=""),"",IF(J246="","Status needed",IF(OR(J246="Applied",J246="Visit booked",J246="Withdrawn"),"OK",IF(G246="","Date assessed needed",IF(C246="","Date of birth needed",IF(COUNTA(L246,M246,P246,U246,V246,X246,AB246)&lt;7,"Band missing",IF(AND(OR(J246="Decision confirmed",J246="Family told",J246="Enrolled"),AG246=""),"Recommendation needed",IF(AND(OR(J246="Family told",J246="Enrolled"),AJ246=""),"Date family told needed","OK"))))))))</f>
        <v/>
      </c>
    </row>
    <row r="247" customFormat="false" ht="15" hidden="false" customHeight="false" outlineLevel="0" collapsed="false">
      <c r="A247" s="7"/>
      <c r="B247" s="7"/>
      <c r="C247" s="46"/>
      <c r="D247" s="7"/>
      <c r="E247" s="47"/>
      <c r="F247" s="46"/>
      <c r="G247" s="46"/>
      <c r="H247" s="7"/>
      <c r="I247" s="7"/>
      <c r="J247" s="47"/>
      <c r="K247" s="47"/>
      <c r="L247" s="47"/>
      <c r="M247" s="47"/>
      <c r="N247" s="10"/>
      <c r="O247" s="47"/>
      <c r="P247" s="47"/>
      <c r="Q247" s="47"/>
      <c r="R247" s="48" t="str">
        <f aca="false">IF(Q247="","",IF(Q247=0,"below 5:00",IF(Q247&gt;=66,"16:00 or above",INT((60+2*Q247)/12)&amp;":"&amp;TEXT(MOD(60+2*Q247,12),"00"))))</f>
        <v/>
      </c>
      <c r="S247" s="47"/>
      <c r="T247" s="47"/>
      <c r="U247" s="47"/>
      <c r="V247" s="47"/>
      <c r="W247" s="47"/>
      <c r="X247" s="47"/>
      <c r="Y247" s="47"/>
      <c r="Z247" s="47"/>
      <c r="AA247" s="47"/>
      <c r="AB247" s="47"/>
      <c r="AC247" s="47"/>
      <c r="AD247" s="47"/>
      <c r="AE247" s="47"/>
      <c r="AF247" s="47"/>
      <c r="AG247" s="47"/>
      <c r="AH247" s="47"/>
      <c r="AI247" s="46"/>
      <c r="AJ247" s="46"/>
      <c r="AK247" s="46"/>
      <c r="AL247" s="7"/>
      <c r="AM247" s="49" t="str">
        <f aca="false">IF(OR(C247="",G247=""),"",IFERROR(DATEDIF(C247,G247,"m"),""))</f>
        <v/>
      </c>
      <c r="AN247" s="49" t="str">
        <f aca="false">IF(OR(Q247="",AM247=""),"",60+2*Q247-AM247)</f>
        <v/>
      </c>
      <c r="AO247" s="49" t="str">
        <f aca="false">IF(OR(G247="",AJ247=""),"",AJ247-G247)</f>
        <v/>
      </c>
      <c r="AP247" s="50" t="str">
        <f aca="false">IF(AND(A247="",B247=""),"",IF(J247="","Status needed",IF(OR(J247="Applied",J247="Visit booked",J247="Withdrawn"),"OK",IF(G247="","Date assessed needed",IF(C247="","Date of birth needed",IF(COUNTA(L247,M247,P247,U247,V247,X247,AB247)&lt;7,"Band missing",IF(AND(OR(J247="Decision confirmed",J247="Family told",J247="Enrolled"),AG247=""),"Recommendation needed",IF(AND(OR(J247="Family told",J247="Enrolled"),AJ247=""),"Date family told needed","OK"))))))))</f>
        <v/>
      </c>
    </row>
    <row r="248" customFormat="false" ht="15" hidden="false" customHeight="false" outlineLevel="0" collapsed="false">
      <c r="A248" s="7"/>
      <c r="B248" s="7"/>
      <c r="C248" s="46"/>
      <c r="D248" s="7"/>
      <c r="E248" s="47"/>
      <c r="F248" s="46"/>
      <c r="G248" s="46"/>
      <c r="H248" s="7"/>
      <c r="I248" s="7"/>
      <c r="J248" s="47"/>
      <c r="K248" s="47"/>
      <c r="L248" s="47"/>
      <c r="M248" s="47"/>
      <c r="N248" s="10"/>
      <c r="O248" s="47"/>
      <c r="P248" s="47"/>
      <c r="Q248" s="47"/>
      <c r="R248" s="48" t="str">
        <f aca="false">IF(Q248="","",IF(Q248=0,"below 5:00",IF(Q248&gt;=66,"16:00 or above",INT((60+2*Q248)/12)&amp;":"&amp;TEXT(MOD(60+2*Q248,12),"00"))))</f>
        <v/>
      </c>
      <c r="S248" s="47"/>
      <c r="T248" s="47"/>
      <c r="U248" s="47"/>
      <c r="V248" s="47"/>
      <c r="W248" s="47"/>
      <c r="X248" s="47"/>
      <c r="Y248" s="47"/>
      <c r="Z248" s="47"/>
      <c r="AA248" s="47"/>
      <c r="AB248" s="47"/>
      <c r="AC248" s="47"/>
      <c r="AD248" s="47"/>
      <c r="AE248" s="47"/>
      <c r="AF248" s="47"/>
      <c r="AG248" s="47"/>
      <c r="AH248" s="47"/>
      <c r="AI248" s="46"/>
      <c r="AJ248" s="46"/>
      <c r="AK248" s="46"/>
      <c r="AL248" s="7"/>
      <c r="AM248" s="49" t="str">
        <f aca="false">IF(OR(C248="",G248=""),"",IFERROR(DATEDIF(C248,G248,"m"),""))</f>
        <v/>
      </c>
      <c r="AN248" s="49" t="str">
        <f aca="false">IF(OR(Q248="",AM248=""),"",60+2*Q248-AM248)</f>
        <v/>
      </c>
      <c r="AO248" s="49" t="str">
        <f aca="false">IF(OR(G248="",AJ248=""),"",AJ248-G248)</f>
        <v/>
      </c>
      <c r="AP248" s="50" t="str">
        <f aca="false">IF(AND(A248="",B248=""),"",IF(J248="","Status needed",IF(OR(J248="Applied",J248="Visit booked",J248="Withdrawn"),"OK",IF(G248="","Date assessed needed",IF(C248="","Date of birth needed",IF(COUNTA(L248,M248,P248,U248,V248,X248,AB248)&lt;7,"Band missing",IF(AND(OR(J248="Decision confirmed",J248="Family told",J248="Enrolled"),AG248=""),"Recommendation needed",IF(AND(OR(J248="Family told",J248="Enrolled"),AJ248=""),"Date family told needed","OK"))))))))</f>
        <v/>
      </c>
    </row>
    <row r="249" customFormat="false" ht="15" hidden="false" customHeight="false" outlineLevel="0" collapsed="false">
      <c r="A249" s="7"/>
      <c r="B249" s="7"/>
      <c r="C249" s="46"/>
      <c r="D249" s="7"/>
      <c r="E249" s="47"/>
      <c r="F249" s="46"/>
      <c r="G249" s="46"/>
      <c r="H249" s="7"/>
      <c r="I249" s="7"/>
      <c r="J249" s="47"/>
      <c r="K249" s="47"/>
      <c r="L249" s="47"/>
      <c r="M249" s="47"/>
      <c r="N249" s="10"/>
      <c r="O249" s="47"/>
      <c r="P249" s="47"/>
      <c r="Q249" s="47"/>
      <c r="R249" s="48" t="str">
        <f aca="false">IF(Q249="","",IF(Q249=0,"below 5:00",IF(Q249&gt;=66,"16:00 or above",INT((60+2*Q249)/12)&amp;":"&amp;TEXT(MOD(60+2*Q249,12),"00"))))</f>
        <v/>
      </c>
      <c r="S249" s="47"/>
      <c r="T249" s="47"/>
      <c r="U249" s="47"/>
      <c r="V249" s="47"/>
      <c r="W249" s="47"/>
      <c r="X249" s="47"/>
      <c r="Y249" s="47"/>
      <c r="Z249" s="47"/>
      <c r="AA249" s="47"/>
      <c r="AB249" s="47"/>
      <c r="AC249" s="47"/>
      <c r="AD249" s="47"/>
      <c r="AE249" s="47"/>
      <c r="AF249" s="47"/>
      <c r="AG249" s="47"/>
      <c r="AH249" s="47"/>
      <c r="AI249" s="46"/>
      <c r="AJ249" s="46"/>
      <c r="AK249" s="46"/>
      <c r="AL249" s="7"/>
      <c r="AM249" s="49" t="str">
        <f aca="false">IF(OR(C249="",G249=""),"",IFERROR(DATEDIF(C249,G249,"m"),""))</f>
        <v/>
      </c>
      <c r="AN249" s="49" t="str">
        <f aca="false">IF(OR(Q249="",AM249=""),"",60+2*Q249-AM249)</f>
        <v/>
      </c>
      <c r="AO249" s="49" t="str">
        <f aca="false">IF(OR(G249="",AJ249=""),"",AJ249-G249)</f>
        <v/>
      </c>
      <c r="AP249" s="50" t="str">
        <f aca="false">IF(AND(A249="",B249=""),"",IF(J249="","Status needed",IF(OR(J249="Applied",J249="Visit booked",J249="Withdrawn"),"OK",IF(G249="","Date assessed needed",IF(C249="","Date of birth needed",IF(COUNTA(L249,M249,P249,U249,V249,X249,AB249)&lt;7,"Band missing",IF(AND(OR(J249="Decision confirmed",J249="Family told",J249="Enrolled"),AG249=""),"Recommendation needed",IF(AND(OR(J249="Family told",J249="Enrolled"),AJ249=""),"Date family told needed","OK"))))))))</f>
        <v/>
      </c>
    </row>
    <row r="250" customFormat="false" ht="15" hidden="false" customHeight="false" outlineLevel="0" collapsed="false">
      <c r="A250" s="7"/>
      <c r="B250" s="7"/>
      <c r="C250" s="46"/>
      <c r="D250" s="7"/>
      <c r="E250" s="47"/>
      <c r="F250" s="46"/>
      <c r="G250" s="46"/>
      <c r="H250" s="7"/>
      <c r="I250" s="7"/>
      <c r="J250" s="47"/>
      <c r="K250" s="47"/>
      <c r="L250" s="47"/>
      <c r="M250" s="47"/>
      <c r="N250" s="10"/>
      <c r="O250" s="47"/>
      <c r="P250" s="47"/>
      <c r="Q250" s="47"/>
      <c r="R250" s="48" t="str">
        <f aca="false">IF(Q250="","",IF(Q250=0,"below 5:00",IF(Q250&gt;=66,"16:00 or above",INT((60+2*Q250)/12)&amp;":"&amp;TEXT(MOD(60+2*Q250,12),"00"))))</f>
        <v/>
      </c>
      <c r="S250" s="47"/>
      <c r="T250" s="47"/>
      <c r="U250" s="47"/>
      <c r="V250" s="47"/>
      <c r="W250" s="47"/>
      <c r="X250" s="47"/>
      <c r="Y250" s="47"/>
      <c r="Z250" s="47"/>
      <c r="AA250" s="47"/>
      <c r="AB250" s="47"/>
      <c r="AC250" s="47"/>
      <c r="AD250" s="47"/>
      <c r="AE250" s="47"/>
      <c r="AF250" s="47"/>
      <c r="AG250" s="47"/>
      <c r="AH250" s="47"/>
      <c r="AI250" s="46"/>
      <c r="AJ250" s="46"/>
      <c r="AK250" s="46"/>
      <c r="AL250" s="7"/>
      <c r="AM250" s="49" t="str">
        <f aca="false">IF(OR(C250="",G250=""),"",IFERROR(DATEDIF(C250,G250,"m"),""))</f>
        <v/>
      </c>
      <c r="AN250" s="49" t="str">
        <f aca="false">IF(OR(Q250="",AM250=""),"",60+2*Q250-AM250)</f>
        <v/>
      </c>
      <c r="AO250" s="49" t="str">
        <f aca="false">IF(OR(G250="",AJ250=""),"",AJ250-G250)</f>
        <v/>
      </c>
      <c r="AP250" s="50" t="str">
        <f aca="false">IF(AND(A250="",B250=""),"",IF(J250="","Status needed",IF(OR(J250="Applied",J250="Visit booked",J250="Withdrawn"),"OK",IF(G250="","Date assessed needed",IF(C250="","Date of birth needed",IF(COUNTA(L250,M250,P250,U250,V250,X250,AB250)&lt;7,"Band missing",IF(AND(OR(J250="Decision confirmed",J250="Family told",J250="Enrolled"),AG250=""),"Recommendation needed",IF(AND(OR(J250="Family told",J250="Enrolled"),AJ250=""),"Date family told needed","OK"))))))))</f>
        <v/>
      </c>
    </row>
    <row r="251" customFormat="false" ht="15" hidden="false" customHeight="false" outlineLevel="0" collapsed="false">
      <c r="A251" s="7"/>
      <c r="B251" s="7"/>
      <c r="C251" s="46"/>
      <c r="D251" s="7"/>
      <c r="E251" s="47"/>
      <c r="F251" s="46"/>
      <c r="G251" s="46"/>
      <c r="H251" s="7"/>
      <c r="I251" s="7"/>
      <c r="J251" s="47"/>
      <c r="K251" s="47"/>
      <c r="L251" s="47"/>
      <c r="M251" s="47"/>
      <c r="N251" s="10"/>
      <c r="O251" s="47"/>
      <c r="P251" s="47"/>
      <c r="Q251" s="47"/>
      <c r="R251" s="48" t="str">
        <f aca="false">IF(Q251="","",IF(Q251=0,"below 5:00",IF(Q251&gt;=66,"16:00 or above",INT((60+2*Q251)/12)&amp;":"&amp;TEXT(MOD(60+2*Q251,12),"00"))))</f>
        <v/>
      </c>
      <c r="S251" s="47"/>
      <c r="T251" s="47"/>
      <c r="U251" s="47"/>
      <c r="V251" s="47"/>
      <c r="W251" s="47"/>
      <c r="X251" s="47"/>
      <c r="Y251" s="47"/>
      <c r="Z251" s="47"/>
      <c r="AA251" s="47"/>
      <c r="AB251" s="47"/>
      <c r="AC251" s="47"/>
      <c r="AD251" s="47"/>
      <c r="AE251" s="47"/>
      <c r="AF251" s="47"/>
      <c r="AG251" s="47"/>
      <c r="AH251" s="47"/>
      <c r="AI251" s="46"/>
      <c r="AJ251" s="46"/>
      <c r="AK251" s="46"/>
      <c r="AL251" s="7"/>
      <c r="AM251" s="49" t="str">
        <f aca="false">IF(OR(C251="",G251=""),"",IFERROR(DATEDIF(C251,G251,"m"),""))</f>
        <v/>
      </c>
      <c r="AN251" s="49" t="str">
        <f aca="false">IF(OR(Q251="",AM251=""),"",60+2*Q251-AM251)</f>
        <v/>
      </c>
      <c r="AO251" s="49" t="str">
        <f aca="false">IF(OR(G251="",AJ251=""),"",AJ251-G251)</f>
        <v/>
      </c>
      <c r="AP251" s="50" t="str">
        <f aca="false">IF(AND(A251="",B251=""),"",IF(J251="","Status needed",IF(OR(J251="Applied",J251="Visit booked",J251="Withdrawn"),"OK",IF(G251="","Date assessed needed",IF(C251="","Date of birth needed",IF(COUNTA(L251,M251,P251,U251,V251,X251,AB251)&lt;7,"Band missing",IF(AND(OR(J251="Decision confirmed",J251="Family told",J251="Enrolled"),AG251=""),"Recommendation needed",IF(AND(OR(J251="Family told",J251="Enrolled"),AJ251=""),"Date family told needed","OK"))))))))</f>
        <v/>
      </c>
    </row>
    <row r="252" customFormat="false" ht="15" hidden="false" customHeight="false" outlineLevel="0" collapsed="false">
      <c r="A252" s="7"/>
      <c r="B252" s="7"/>
      <c r="C252" s="46"/>
      <c r="D252" s="7"/>
      <c r="E252" s="47"/>
      <c r="F252" s="46"/>
      <c r="G252" s="46"/>
      <c r="H252" s="7"/>
      <c r="I252" s="7"/>
      <c r="J252" s="47"/>
      <c r="K252" s="47"/>
      <c r="L252" s="47"/>
      <c r="M252" s="47"/>
      <c r="N252" s="10"/>
      <c r="O252" s="47"/>
      <c r="P252" s="47"/>
      <c r="Q252" s="47"/>
      <c r="R252" s="48" t="str">
        <f aca="false">IF(Q252="","",IF(Q252=0,"below 5:00",IF(Q252&gt;=66,"16:00 or above",INT((60+2*Q252)/12)&amp;":"&amp;TEXT(MOD(60+2*Q252,12),"00"))))</f>
        <v/>
      </c>
      <c r="S252" s="47"/>
      <c r="T252" s="47"/>
      <c r="U252" s="47"/>
      <c r="V252" s="47"/>
      <c r="W252" s="47"/>
      <c r="X252" s="47"/>
      <c r="Y252" s="47"/>
      <c r="Z252" s="47"/>
      <c r="AA252" s="47"/>
      <c r="AB252" s="47"/>
      <c r="AC252" s="47"/>
      <c r="AD252" s="47"/>
      <c r="AE252" s="47"/>
      <c r="AF252" s="47"/>
      <c r="AG252" s="47"/>
      <c r="AH252" s="47"/>
      <c r="AI252" s="46"/>
      <c r="AJ252" s="46"/>
      <c r="AK252" s="46"/>
      <c r="AL252" s="7"/>
      <c r="AM252" s="49" t="str">
        <f aca="false">IF(OR(C252="",G252=""),"",IFERROR(DATEDIF(C252,G252,"m"),""))</f>
        <v/>
      </c>
      <c r="AN252" s="49" t="str">
        <f aca="false">IF(OR(Q252="",AM252=""),"",60+2*Q252-AM252)</f>
        <v/>
      </c>
      <c r="AO252" s="49" t="str">
        <f aca="false">IF(OR(G252="",AJ252=""),"",AJ252-G252)</f>
        <v/>
      </c>
      <c r="AP252" s="50" t="str">
        <f aca="false">IF(AND(A252="",B252=""),"",IF(J252="","Status needed",IF(OR(J252="Applied",J252="Visit booked",J252="Withdrawn"),"OK",IF(G252="","Date assessed needed",IF(C252="","Date of birth needed",IF(COUNTA(L252,M252,P252,U252,V252,X252,AB252)&lt;7,"Band missing",IF(AND(OR(J252="Decision confirmed",J252="Family told",J252="Enrolled"),AG252=""),"Recommendation needed",IF(AND(OR(J252="Family told",J252="Enrolled"),AJ252=""),"Date family told needed","OK"))))))))</f>
        <v/>
      </c>
    </row>
    <row r="253" customFormat="false" ht="15" hidden="false" customHeight="false" outlineLevel="0" collapsed="false">
      <c r="A253" s="7"/>
      <c r="B253" s="7"/>
      <c r="C253" s="46"/>
      <c r="D253" s="7"/>
      <c r="E253" s="47"/>
      <c r="F253" s="46"/>
      <c r="G253" s="46"/>
      <c r="H253" s="7"/>
      <c r="I253" s="7"/>
      <c r="J253" s="47"/>
      <c r="K253" s="47"/>
      <c r="L253" s="47"/>
      <c r="M253" s="47"/>
      <c r="N253" s="10"/>
      <c r="O253" s="47"/>
      <c r="P253" s="47"/>
      <c r="Q253" s="47"/>
      <c r="R253" s="48" t="str">
        <f aca="false">IF(Q253="","",IF(Q253=0,"below 5:00",IF(Q253&gt;=66,"16:00 or above",INT((60+2*Q253)/12)&amp;":"&amp;TEXT(MOD(60+2*Q253,12),"00"))))</f>
        <v/>
      </c>
      <c r="S253" s="47"/>
      <c r="T253" s="47"/>
      <c r="U253" s="47"/>
      <c r="V253" s="47"/>
      <c r="W253" s="47"/>
      <c r="X253" s="47"/>
      <c r="Y253" s="47"/>
      <c r="Z253" s="47"/>
      <c r="AA253" s="47"/>
      <c r="AB253" s="47"/>
      <c r="AC253" s="47"/>
      <c r="AD253" s="47"/>
      <c r="AE253" s="47"/>
      <c r="AF253" s="47"/>
      <c r="AG253" s="47"/>
      <c r="AH253" s="47"/>
      <c r="AI253" s="46"/>
      <c r="AJ253" s="46"/>
      <c r="AK253" s="46"/>
      <c r="AL253" s="7"/>
      <c r="AM253" s="49" t="str">
        <f aca="false">IF(OR(C253="",G253=""),"",IFERROR(DATEDIF(C253,G253,"m"),""))</f>
        <v/>
      </c>
      <c r="AN253" s="49" t="str">
        <f aca="false">IF(OR(Q253="",AM253=""),"",60+2*Q253-AM253)</f>
        <v/>
      </c>
      <c r="AO253" s="49" t="str">
        <f aca="false">IF(OR(G253="",AJ253=""),"",AJ253-G253)</f>
        <v/>
      </c>
      <c r="AP253" s="50" t="str">
        <f aca="false">IF(AND(A253="",B253=""),"",IF(J253="","Status needed",IF(OR(J253="Applied",J253="Visit booked",J253="Withdrawn"),"OK",IF(G253="","Date assessed needed",IF(C253="","Date of birth needed",IF(COUNTA(L253,M253,P253,U253,V253,X253,AB253)&lt;7,"Band missing",IF(AND(OR(J253="Decision confirmed",J253="Family told",J253="Enrolled"),AG253=""),"Recommendation needed",IF(AND(OR(J253="Family told",J253="Enrolled"),AJ253=""),"Date family told needed","OK"))))))))</f>
        <v/>
      </c>
    </row>
    <row r="254" customFormat="false" ht="15" hidden="false" customHeight="false" outlineLevel="0" collapsed="false">
      <c r="A254" s="7"/>
      <c r="B254" s="7"/>
      <c r="C254" s="46"/>
      <c r="D254" s="7"/>
      <c r="E254" s="47"/>
      <c r="F254" s="46"/>
      <c r="G254" s="46"/>
      <c r="H254" s="7"/>
      <c r="I254" s="7"/>
      <c r="J254" s="47"/>
      <c r="K254" s="47"/>
      <c r="L254" s="47"/>
      <c r="M254" s="47"/>
      <c r="N254" s="10"/>
      <c r="O254" s="47"/>
      <c r="P254" s="47"/>
      <c r="Q254" s="47"/>
      <c r="R254" s="48" t="str">
        <f aca="false">IF(Q254="","",IF(Q254=0,"below 5:00",IF(Q254&gt;=66,"16:00 or above",INT((60+2*Q254)/12)&amp;":"&amp;TEXT(MOD(60+2*Q254,12),"00"))))</f>
        <v/>
      </c>
      <c r="S254" s="47"/>
      <c r="T254" s="47"/>
      <c r="U254" s="47"/>
      <c r="V254" s="47"/>
      <c r="W254" s="47"/>
      <c r="X254" s="47"/>
      <c r="Y254" s="47"/>
      <c r="Z254" s="47"/>
      <c r="AA254" s="47"/>
      <c r="AB254" s="47"/>
      <c r="AC254" s="47"/>
      <c r="AD254" s="47"/>
      <c r="AE254" s="47"/>
      <c r="AF254" s="47"/>
      <c r="AG254" s="47"/>
      <c r="AH254" s="47"/>
      <c r="AI254" s="46"/>
      <c r="AJ254" s="46"/>
      <c r="AK254" s="46"/>
      <c r="AL254" s="7"/>
      <c r="AM254" s="49" t="str">
        <f aca="false">IF(OR(C254="",G254=""),"",IFERROR(DATEDIF(C254,G254,"m"),""))</f>
        <v/>
      </c>
      <c r="AN254" s="49" t="str">
        <f aca="false">IF(OR(Q254="",AM254=""),"",60+2*Q254-AM254)</f>
        <v/>
      </c>
      <c r="AO254" s="49" t="str">
        <f aca="false">IF(OR(G254="",AJ254=""),"",AJ254-G254)</f>
        <v/>
      </c>
      <c r="AP254" s="50" t="str">
        <f aca="false">IF(AND(A254="",B254=""),"",IF(J254="","Status needed",IF(OR(J254="Applied",J254="Visit booked",J254="Withdrawn"),"OK",IF(G254="","Date assessed needed",IF(C254="","Date of birth needed",IF(COUNTA(L254,M254,P254,U254,V254,X254,AB254)&lt;7,"Band missing",IF(AND(OR(J254="Decision confirmed",J254="Family told",J254="Enrolled"),AG254=""),"Recommendation needed",IF(AND(OR(J254="Family told",J254="Enrolled"),AJ254=""),"Date family told needed","OK"))))))))</f>
        <v/>
      </c>
    </row>
    <row r="255" customFormat="false" ht="15" hidden="false" customHeight="false" outlineLevel="0" collapsed="false">
      <c r="A255" s="7"/>
      <c r="B255" s="7"/>
      <c r="C255" s="46"/>
      <c r="D255" s="7"/>
      <c r="E255" s="47"/>
      <c r="F255" s="46"/>
      <c r="G255" s="46"/>
      <c r="H255" s="7"/>
      <c r="I255" s="7"/>
      <c r="J255" s="47"/>
      <c r="K255" s="47"/>
      <c r="L255" s="47"/>
      <c r="M255" s="47"/>
      <c r="N255" s="10"/>
      <c r="O255" s="47"/>
      <c r="P255" s="47"/>
      <c r="Q255" s="47"/>
      <c r="R255" s="48" t="str">
        <f aca="false">IF(Q255="","",IF(Q255=0,"below 5:00",IF(Q255&gt;=66,"16:00 or above",INT((60+2*Q255)/12)&amp;":"&amp;TEXT(MOD(60+2*Q255,12),"00"))))</f>
        <v/>
      </c>
      <c r="S255" s="47"/>
      <c r="T255" s="47"/>
      <c r="U255" s="47"/>
      <c r="V255" s="47"/>
      <c r="W255" s="47"/>
      <c r="X255" s="47"/>
      <c r="Y255" s="47"/>
      <c r="Z255" s="47"/>
      <c r="AA255" s="47"/>
      <c r="AB255" s="47"/>
      <c r="AC255" s="47"/>
      <c r="AD255" s="47"/>
      <c r="AE255" s="47"/>
      <c r="AF255" s="47"/>
      <c r="AG255" s="47"/>
      <c r="AH255" s="47"/>
      <c r="AI255" s="46"/>
      <c r="AJ255" s="46"/>
      <c r="AK255" s="46"/>
      <c r="AL255" s="7"/>
      <c r="AM255" s="49" t="str">
        <f aca="false">IF(OR(C255="",G255=""),"",IFERROR(DATEDIF(C255,G255,"m"),""))</f>
        <v/>
      </c>
      <c r="AN255" s="49" t="str">
        <f aca="false">IF(OR(Q255="",AM255=""),"",60+2*Q255-AM255)</f>
        <v/>
      </c>
      <c r="AO255" s="49" t="str">
        <f aca="false">IF(OR(G255="",AJ255=""),"",AJ255-G255)</f>
        <v/>
      </c>
      <c r="AP255" s="50" t="str">
        <f aca="false">IF(AND(A255="",B255=""),"",IF(J255="","Status needed",IF(OR(J255="Applied",J255="Visit booked",J255="Withdrawn"),"OK",IF(G255="","Date assessed needed",IF(C255="","Date of birth needed",IF(COUNTA(L255,M255,P255,U255,V255,X255,AB255)&lt;7,"Band missing",IF(AND(OR(J255="Decision confirmed",J255="Family told",J255="Enrolled"),AG255=""),"Recommendation needed",IF(AND(OR(J255="Family told",J255="Enrolled"),AJ255=""),"Date family told needed","OK"))))))))</f>
        <v/>
      </c>
    </row>
    <row r="256" customFormat="false" ht="15" hidden="false" customHeight="false" outlineLevel="0" collapsed="false">
      <c r="A256" s="7"/>
      <c r="B256" s="7"/>
      <c r="C256" s="46"/>
      <c r="D256" s="7"/>
      <c r="E256" s="47"/>
      <c r="F256" s="46"/>
      <c r="G256" s="46"/>
      <c r="H256" s="7"/>
      <c r="I256" s="7"/>
      <c r="J256" s="47"/>
      <c r="K256" s="47"/>
      <c r="L256" s="47"/>
      <c r="M256" s="47"/>
      <c r="N256" s="10"/>
      <c r="O256" s="47"/>
      <c r="P256" s="47"/>
      <c r="Q256" s="47"/>
      <c r="R256" s="48" t="str">
        <f aca="false">IF(Q256="","",IF(Q256=0,"below 5:00",IF(Q256&gt;=66,"16:00 or above",INT((60+2*Q256)/12)&amp;":"&amp;TEXT(MOD(60+2*Q256,12),"00"))))</f>
        <v/>
      </c>
      <c r="S256" s="47"/>
      <c r="T256" s="47"/>
      <c r="U256" s="47"/>
      <c r="V256" s="47"/>
      <c r="W256" s="47"/>
      <c r="X256" s="47"/>
      <c r="Y256" s="47"/>
      <c r="Z256" s="47"/>
      <c r="AA256" s="47"/>
      <c r="AB256" s="47"/>
      <c r="AC256" s="47"/>
      <c r="AD256" s="47"/>
      <c r="AE256" s="47"/>
      <c r="AF256" s="47"/>
      <c r="AG256" s="47"/>
      <c r="AH256" s="47"/>
      <c r="AI256" s="46"/>
      <c r="AJ256" s="46"/>
      <c r="AK256" s="46"/>
      <c r="AL256" s="7"/>
      <c r="AM256" s="49" t="str">
        <f aca="false">IF(OR(C256="",G256=""),"",IFERROR(DATEDIF(C256,G256,"m"),""))</f>
        <v/>
      </c>
      <c r="AN256" s="49" t="str">
        <f aca="false">IF(OR(Q256="",AM256=""),"",60+2*Q256-AM256)</f>
        <v/>
      </c>
      <c r="AO256" s="49" t="str">
        <f aca="false">IF(OR(G256="",AJ256=""),"",AJ256-G256)</f>
        <v/>
      </c>
      <c r="AP256" s="50" t="str">
        <f aca="false">IF(AND(A256="",B256=""),"",IF(J256="","Status needed",IF(OR(J256="Applied",J256="Visit booked",J256="Withdrawn"),"OK",IF(G256="","Date assessed needed",IF(C256="","Date of birth needed",IF(COUNTA(L256,M256,P256,U256,V256,X256,AB256)&lt;7,"Band missing",IF(AND(OR(J256="Decision confirmed",J256="Family told",J256="Enrolled"),AG256=""),"Recommendation needed",IF(AND(OR(J256="Family told",J256="Enrolled"),AJ256=""),"Date family told needed","OK"))))))))</f>
        <v/>
      </c>
    </row>
    <row r="257" customFormat="false" ht="15" hidden="false" customHeight="false" outlineLevel="0" collapsed="false">
      <c r="A257" s="7"/>
      <c r="B257" s="7"/>
      <c r="C257" s="46"/>
      <c r="D257" s="7"/>
      <c r="E257" s="47"/>
      <c r="F257" s="46"/>
      <c r="G257" s="46"/>
      <c r="H257" s="7"/>
      <c r="I257" s="7"/>
      <c r="J257" s="47"/>
      <c r="K257" s="47"/>
      <c r="L257" s="47"/>
      <c r="M257" s="47"/>
      <c r="N257" s="10"/>
      <c r="O257" s="47"/>
      <c r="P257" s="47"/>
      <c r="Q257" s="47"/>
      <c r="R257" s="48" t="str">
        <f aca="false">IF(Q257="","",IF(Q257=0,"below 5:00",IF(Q257&gt;=66,"16:00 or above",INT((60+2*Q257)/12)&amp;":"&amp;TEXT(MOD(60+2*Q257,12),"00"))))</f>
        <v/>
      </c>
      <c r="S257" s="47"/>
      <c r="T257" s="47"/>
      <c r="U257" s="47"/>
      <c r="V257" s="47"/>
      <c r="W257" s="47"/>
      <c r="X257" s="47"/>
      <c r="Y257" s="47"/>
      <c r="Z257" s="47"/>
      <c r="AA257" s="47"/>
      <c r="AB257" s="47"/>
      <c r="AC257" s="47"/>
      <c r="AD257" s="47"/>
      <c r="AE257" s="47"/>
      <c r="AF257" s="47"/>
      <c r="AG257" s="47"/>
      <c r="AH257" s="47"/>
      <c r="AI257" s="46"/>
      <c r="AJ257" s="46"/>
      <c r="AK257" s="46"/>
      <c r="AL257" s="7"/>
      <c r="AM257" s="49" t="str">
        <f aca="false">IF(OR(C257="",G257=""),"",IFERROR(DATEDIF(C257,G257,"m"),""))</f>
        <v/>
      </c>
      <c r="AN257" s="49" t="str">
        <f aca="false">IF(OR(Q257="",AM257=""),"",60+2*Q257-AM257)</f>
        <v/>
      </c>
      <c r="AO257" s="49" t="str">
        <f aca="false">IF(OR(G257="",AJ257=""),"",AJ257-G257)</f>
        <v/>
      </c>
      <c r="AP257" s="50" t="str">
        <f aca="false">IF(AND(A257="",B257=""),"",IF(J257="","Status needed",IF(OR(J257="Applied",J257="Visit booked",J257="Withdrawn"),"OK",IF(G257="","Date assessed needed",IF(C257="","Date of birth needed",IF(COUNTA(L257,M257,P257,U257,V257,X257,AB257)&lt;7,"Band missing",IF(AND(OR(J257="Decision confirmed",J257="Family told",J257="Enrolled"),AG257=""),"Recommendation needed",IF(AND(OR(J257="Family told",J257="Enrolled"),AJ257=""),"Date family told needed","OK"))))))))</f>
        <v/>
      </c>
    </row>
    <row r="258" customFormat="false" ht="15" hidden="false" customHeight="false" outlineLevel="0" collapsed="false">
      <c r="A258" s="7"/>
      <c r="B258" s="7"/>
      <c r="C258" s="46"/>
      <c r="D258" s="7"/>
      <c r="E258" s="47"/>
      <c r="F258" s="46"/>
      <c r="G258" s="46"/>
      <c r="H258" s="7"/>
      <c r="I258" s="7"/>
      <c r="J258" s="47"/>
      <c r="K258" s="47"/>
      <c r="L258" s="47"/>
      <c r="M258" s="47"/>
      <c r="N258" s="10"/>
      <c r="O258" s="47"/>
      <c r="P258" s="47"/>
      <c r="Q258" s="47"/>
      <c r="R258" s="48" t="str">
        <f aca="false">IF(Q258="","",IF(Q258=0,"below 5:00",IF(Q258&gt;=66,"16:00 or above",INT((60+2*Q258)/12)&amp;":"&amp;TEXT(MOD(60+2*Q258,12),"00"))))</f>
        <v/>
      </c>
      <c r="S258" s="47"/>
      <c r="T258" s="47"/>
      <c r="U258" s="47"/>
      <c r="V258" s="47"/>
      <c r="W258" s="47"/>
      <c r="X258" s="47"/>
      <c r="Y258" s="47"/>
      <c r="Z258" s="47"/>
      <c r="AA258" s="47"/>
      <c r="AB258" s="47"/>
      <c r="AC258" s="47"/>
      <c r="AD258" s="47"/>
      <c r="AE258" s="47"/>
      <c r="AF258" s="47"/>
      <c r="AG258" s="47"/>
      <c r="AH258" s="47"/>
      <c r="AI258" s="46"/>
      <c r="AJ258" s="46"/>
      <c r="AK258" s="46"/>
      <c r="AL258" s="7"/>
      <c r="AM258" s="49" t="str">
        <f aca="false">IF(OR(C258="",G258=""),"",IFERROR(DATEDIF(C258,G258,"m"),""))</f>
        <v/>
      </c>
      <c r="AN258" s="49" t="str">
        <f aca="false">IF(OR(Q258="",AM258=""),"",60+2*Q258-AM258)</f>
        <v/>
      </c>
      <c r="AO258" s="49" t="str">
        <f aca="false">IF(OR(G258="",AJ258=""),"",AJ258-G258)</f>
        <v/>
      </c>
      <c r="AP258" s="50" t="str">
        <f aca="false">IF(AND(A258="",B258=""),"",IF(J258="","Status needed",IF(OR(J258="Applied",J258="Visit booked",J258="Withdrawn"),"OK",IF(G258="","Date assessed needed",IF(C258="","Date of birth needed",IF(COUNTA(L258,M258,P258,U258,V258,X258,AB258)&lt;7,"Band missing",IF(AND(OR(J258="Decision confirmed",J258="Family told",J258="Enrolled"),AG258=""),"Recommendation needed",IF(AND(OR(J258="Family told",J258="Enrolled"),AJ258=""),"Date family told needed","OK"))))))))</f>
        <v/>
      </c>
    </row>
    <row r="259" customFormat="false" ht="15" hidden="false" customHeight="false" outlineLevel="0" collapsed="false">
      <c r="A259" s="7"/>
      <c r="B259" s="7"/>
      <c r="C259" s="46"/>
      <c r="D259" s="7"/>
      <c r="E259" s="47"/>
      <c r="F259" s="46"/>
      <c r="G259" s="46"/>
      <c r="H259" s="7"/>
      <c r="I259" s="7"/>
      <c r="J259" s="47"/>
      <c r="K259" s="47"/>
      <c r="L259" s="47"/>
      <c r="M259" s="47"/>
      <c r="N259" s="10"/>
      <c r="O259" s="47"/>
      <c r="P259" s="47"/>
      <c r="Q259" s="47"/>
      <c r="R259" s="48" t="str">
        <f aca="false">IF(Q259="","",IF(Q259=0,"below 5:00",IF(Q259&gt;=66,"16:00 or above",INT((60+2*Q259)/12)&amp;":"&amp;TEXT(MOD(60+2*Q259,12),"00"))))</f>
        <v/>
      </c>
      <c r="S259" s="47"/>
      <c r="T259" s="47"/>
      <c r="U259" s="47"/>
      <c r="V259" s="47"/>
      <c r="W259" s="47"/>
      <c r="X259" s="47"/>
      <c r="Y259" s="47"/>
      <c r="Z259" s="47"/>
      <c r="AA259" s="47"/>
      <c r="AB259" s="47"/>
      <c r="AC259" s="47"/>
      <c r="AD259" s="47"/>
      <c r="AE259" s="47"/>
      <c r="AF259" s="47"/>
      <c r="AG259" s="47"/>
      <c r="AH259" s="47"/>
      <c r="AI259" s="46"/>
      <c r="AJ259" s="46"/>
      <c r="AK259" s="46"/>
      <c r="AL259" s="7"/>
      <c r="AM259" s="49" t="str">
        <f aca="false">IF(OR(C259="",G259=""),"",IFERROR(DATEDIF(C259,G259,"m"),""))</f>
        <v/>
      </c>
      <c r="AN259" s="49" t="str">
        <f aca="false">IF(OR(Q259="",AM259=""),"",60+2*Q259-AM259)</f>
        <v/>
      </c>
      <c r="AO259" s="49" t="str">
        <f aca="false">IF(OR(G259="",AJ259=""),"",AJ259-G259)</f>
        <v/>
      </c>
      <c r="AP259" s="50" t="str">
        <f aca="false">IF(AND(A259="",B259=""),"",IF(J259="","Status needed",IF(OR(J259="Applied",J259="Visit booked",J259="Withdrawn"),"OK",IF(G259="","Date assessed needed",IF(C259="","Date of birth needed",IF(COUNTA(L259,M259,P259,U259,V259,X259,AB259)&lt;7,"Band missing",IF(AND(OR(J259="Decision confirmed",J259="Family told",J259="Enrolled"),AG259=""),"Recommendation needed",IF(AND(OR(J259="Family told",J259="Enrolled"),AJ259=""),"Date family told needed","OK"))))))))</f>
        <v/>
      </c>
    </row>
    <row r="260" customFormat="false" ht="15" hidden="false" customHeight="false" outlineLevel="0" collapsed="false">
      <c r="A260" s="7"/>
      <c r="B260" s="7"/>
      <c r="C260" s="46"/>
      <c r="D260" s="7"/>
      <c r="E260" s="47"/>
      <c r="F260" s="46"/>
      <c r="G260" s="46"/>
      <c r="H260" s="7"/>
      <c r="I260" s="7"/>
      <c r="J260" s="47"/>
      <c r="K260" s="47"/>
      <c r="L260" s="47"/>
      <c r="M260" s="47"/>
      <c r="N260" s="10"/>
      <c r="O260" s="47"/>
      <c r="P260" s="47"/>
      <c r="Q260" s="47"/>
      <c r="R260" s="48" t="str">
        <f aca="false">IF(Q260="","",IF(Q260=0,"below 5:00",IF(Q260&gt;=66,"16:00 or above",INT((60+2*Q260)/12)&amp;":"&amp;TEXT(MOD(60+2*Q260,12),"00"))))</f>
        <v/>
      </c>
      <c r="S260" s="47"/>
      <c r="T260" s="47"/>
      <c r="U260" s="47"/>
      <c r="V260" s="47"/>
      <c r="W260" s="47"/>
      <c r="X260" s="47"/>
      <c r="Y260" s="47"/>
      <c r="Z260" s="47"/>
      <c r="AA260" s="47"/>
      <c r="AB260" s="47"/>
      <c r="AC260" s="47"/>
      <c r="AD260" s="47"/>
      <c r="AE260" s="47"/>
      <c r="AF260" s="47"/>
      <c r="AG260" s="47"/>
      <c r="AH260" s="47"/>
      <c r="AI260" s="46"/>
      <c r="AJ260" s="46"/>
      <c r="AK260" s="46"/>
      <c r="AL260" s="7"/>
      <c r="AM260" s="49" t="str">
        <f aca="false">IF(OR(C260="",G260=""),"",IFERROR(DATEDIF(C260,G260,"m"),""))</f>
        <v/>
      </c>
      <c r="AN260" s="49" t="str">
        <f aca="false">IF(OR(Q260="",AM260=""),"",60+2*Q260-AM260)</f>
        <v/>
      </c>
      <c r="AO260" s="49" t="str">
        <f aca="false">IF(OR(G260="",AJ260=""),"",AJ260-G260)</f>
        <v/>
      </c>
      <c r="AP260" s="50" t="str">
        <f aca="false">IF(AND(A260="",B260=""),"",IF(J260="","Status needed",IF(OR(J260="Applied",J260="Visit booked",J260="Withdrawn"),"OK",IF(G260="","Date assessed needed",IF(C260="","Date of birth needed",IF(COUNTA(L260,M260,P260,U260,V260,X260,AB260)&lt;7,"Band missing",IF(AND(OR(J260="Decision confirmed",J260="Family told",J260="Enrolled"),AG260=""),"Recommendation needed",IF(AND(OR(J260="Family told",J260="Enrolled"),AJ260=""),"Date family told needed","OK"))))))))</f>
        <v/>
      </c>
    </row>
    <row r="261" customFormat="false" ht="15" hidden="false" customHeight="false" outlineLevel="0" collapsed="false">
      <c r="A261" s="7"/>
      <c r="B261" s="7"/>
      <c r="C261" s="46"/>
      <c r="D261" s="7"/>
      <c r="E261" s="47"/>
      <c r="F261" s="46"/>
      <c r="G261" s="46"/>
      <c r="H261" s="7"/>
      <c r="I261" s="7"/>
      <c r="J261" s="47"/>
      <c r="K261" s="47"/>
      <c r="L261" s="47"/>
      <c r="M261" s="47"/>
      <c r="N261" s="10"/>
      <c r="O261" s="47"/>
      <c r="P261" s="47"/>
      <c r="Q261" s="47"/>
      <c r="R261" s="48" t="str">
        <f aca="false">IF(Q261="","",IF(Q261=0,"below 5:00",IF(Q261&gt;=66,"16:00 or above",INT((60+2*Q261)/12)&amp;":"&amp;TEXT(MOD(60+2*Q261,12),"00"))))</f>
        <v/>
      </c>
      <c r="S261" s="47"/>
      <c r="T261" s="47"/>
      <c r="U261" s="47"/>
      <c r="V261" s="47"/>
      <c r="W261" s="47"/>
      <c r="X261" s="47"/>
      <c r="Y261" s="47"/>
      <c r="Z261" s="47"/>
      <c r="AA261" s="47"/>
      <c r="AB261" s="47"/>
      <c r="AC261" s="47"/>
      <c r="AD261" s="47"/>
      <c r="AE261" s="47"/>
      <c r="AF261" s="47"/>
      <c r="AG261" s="47"/>
      <c r="AH261" s="47"/>
      <c r="AI261" s="46"/>
      <c r="AJ261" s="46"/>
      <c r="AK261" s="46"/>
      <c r="AL261" s="7"/>
      <c r="AM261" s="49" t="str">
        <f aca="false">IF(OR(C261="",G261=""),"",IFERROR(DATEDIF(C261,G261,"m"),""))</f>
        <v/>
      </c>
      <c r="AN261" s="49" t="str">
        <f aca="false">IF(OR(Q261="",AM261=""),"",60+2*Q261-AM261)</f>
        <v/>
      </c>
      <c r="AO261" s="49" t="str">
        <f aca="false">IF(OR(G261="",AJ261=""),"",AJ261-G261)</f>
        <v/>
      </c>
      <c r="AP261" s="50" t="str">
        <f aca="false">IF(AND(A261="",B261=""),"",IF(J261="","Status needed",IF(OR(J261="Applied",J261="Visit booked",J261="Withdrawn"),"OK",IF(G261="","Date assessed needed",IF(C261="","Date of birth needed",IF(COUNTA(L261,M261,P261,U261,V261,X261,AB261)&lt;7,"Band missing",IF(AND(OR(J261="Decision confirmed",J261="Family told",J261="Enrolled"),AG261=""),"Recommendation needed",IF(AND(OR(J261="Family told",J261="Enrolled"),AJ261=""),"Date family told needed","OK"))))))))</f>
        <v/>
      </c>
    </row>
    <row r="262" customFormat="false" ht="15" hidden="false" customHeight="false" outlineLevel="0" collapsed="false">
      <c r="A262" s="7"/>
      <c r="B262" s="7"/>
      <c r="C262" s="46"/>
      <c r="D262" s="7"/>
      <c r="E262" s="47"/>
      <c r="F262" s="46"/>
      <c r="G262" s="46"/>
      <c r="H262" s="7"/>
      <c r="I262" s="7"/>
      <c r="J262" s="47"/>
      <c r="K262" s="47"/>
      <c r="L262" s="47"/>
      <c r="M262" s="47"/>
      <c r="N262" s="10"/>
      <c r="O262" s="47"/>
      <c r="P262" s="47"/>
      <c r="Q262" s="47"/>
      <c r="R262" s="48" t="str">
        <f aca="false">IF(Q262="","",IF(Q262=0,"below 5:00",IF(Q262&gt;=66,"16:00 or above",INT((60+2*Q262)/12)&amp;":"&amp;TEXT(MOD(60+2*Q262,12),"00"))))</f>
        <v/>
      </c>
      <c r="S262" s="47"/>
      <c r="T262" s="47"/>
      <c r="U262" s="47"/>
      <c r="V262" s="47"/>
      <c r="W262" s="47"/>
      <c r="X262" s="47"/>
      <c r="Y262" s="47"/>
      <c r="Z262" s="47"/>
      <c r="AA262" s="47"/>
      <c r="AB262" s="47"/>
      <c r="AC262" s="47"/>
      <c r="AD262" s="47"/>
      <c r="AE262" s="47"/>
      <c r="AF262" s="47"/>
      <c r="AG262" s="47"/>
      <c r="AH262" s="47"/>
      <c r="AI262" s="46"/>
      <c r="AJ262" s="46"/>
      <c r="AK262" s="46"/>
      <c r="AL262" s="7"/>
      <c r="AM262" s="49" t="str">
        <f aca="false">IF(OR(C262="",G262=""),"",IFERROR(DATEDIF(C262,G262,"m"),""))</f>
        <v/>
      </c>
      <c r="AN262" s="49" t="str">
        <f aca="false">IF(OR(Q262="",AM262=""),"",60+2*Q262-AM262)</f>
        <v/>
      </c>
      <c r="AO262" s="49" t="str">
        <f aca="false">IF(OR(G262="",AJ262=""),"",AJ262-G262)</f>
        <v/>
      </c>
      <c r="AP262" s="50" t="str">
        <f aca="false">IF(AND(A262="",B262=""),"",IF(J262="","Status needed",IF(OR(J262="Applied",J262="Visit booked",J262="Withdrawn"),"OK",IF(G262="","Date assessed needed",IF(C262="","Date of birth needed",IF(COUNTA(L262,M262,P262,U262,V262,X262,AB262)&lt;7,"Band missing",IF(AND(OR(J262="Decision confirmed",J262="Family told",J262="Enrolled"),AG262=""),"Recommendation needed",IF(AND(OR(J262="Family told",J262="Enrolled"),AJ262=""),"Date family told needed","OK"))))))))</f>
        <v/>
      </c>
    </row>
    <row r="263" customFormat="false" ht="15" hidden="false" customHeight="false" outlineLevel="0" collapsed="false">
      <c r="A263" s="7"/>
      <c r="B263" s="7"/>
      <c r="C263" s="46"/>
      <c r="D263" s="7"/>
      <c r="E263" s="47"/>
      <c r="F263" s="46"/>
      <c r="G263" s="46"/>
      <c r="H263" s="7"/>
      <c r="I263" s="7"/>
      <c r="J263" s="47"/>
      <c r="K263" s="47"/>
      <c r="L263" s="47"/>
      <c r="M263" s="47"/>
      <c r="N263" s="10"/>
      <c r="O263" s="47"/>
      <c r="P263" s="47"/>
      <c r="Q263" s="47"/>
      <c r="R263" s="48" t="str">
        <f aca="false">IF(Q263="","",IF(Q263=0,"below 5:00",IF(Q263&gt;=66,"16:00 or above",INT((60+2*Q263)/12)&amp;":"&amp;TEXT(MOD(60+2*Q263,12),"00"))))</f>
        <v/>
      </c>
      <c r="S263" s="47"/>
      <c r="T263" s="47"/>
      <c r="U263" s="47"/>
      <c r="V263" s="47"/>
      <c r="W263" s="47"/>
      <c r="X263" s="47"/>
      <c r="Y263" s="47"/>
      <c r="Z263" s="47"/>
      <c r="AA263" s="47"/>
      <c r="AB263" s="47"/>
      <c r="AC263" s="47"/>
      <c r="AD263" s="47"/>
      <c r="AE263" s="47"/>
      <c r="AF263" s="47"/>
      <c r="AG263" s="47"/>
      <c r="AH263" s="47"/>
      <c r="AI263" s="46"/>
      <c r="AJ263" s="46"/>
      <c r="AK263" s="46"/>
      <c r="AL263" s="7"/>
      <c r="AM263" s="49" t="str">
        <f aca="false">IF(OR(C263="",G263=""),"",IFERROR(DATEDIF(C263,G263,"m"),""))</f>
        <v/>
      </c>
      <c r="AN263" s="49" t="str">
        <f aca="false">IF(OR(Q263="",AM263=""),"",60+2*Q263-AM263)</f>
        <v/>
      </c>
      <c r="AO263" s="49" t="str">
        <f aca="false">IF(OR(G263="",AJ263=""),"",AJ263-G263)</f>
        <v/>
      </c>
      <c r="AP263" s="50" t="str">
        <f aca="false">IF(AND(A263="",B263=""),"",IF(J263="","Status needed",IF(OR(J263="Applied",J263="Visit booked",J263="Withdrawn"),"OK",IF(G263="","Date assessed needed",IF(C263="","Date of birth needed",IF(COUNTA(L263,M263,P263,U263,V263,X263,AB263)&lt;7,"Band missing",IF(AND(OR(J263="Decision confirmed",J263="Family told",J263="Enrolled"),AG263=""),"Recommendation needed",IF(AND(OR(J263="Family told",J263="Enrolled"),AJ263=""),"Date family told needed","OK"))))))))</f>
        <v/>
      </c>
    </row>
    <row r="264" customFormat="false" ht="15" hidden="false" customHeight="false" outlineLevel="0" collapsed="false">
      <c r="A264" s="7"/>
      <c r="B264" s="7"/>
      <c r="C264" s="46"/>
      <c r="D264" s="7"/>
      <c r="E264" s="47"/>
      <c r="F264" s="46"/>
      <c r="G264" s="46"/>
      <c r="H264" s="7"/>
      <c r="I264" s="7"/>
      <c r="J264" s="47"/>
      <c r="K264" s="47"/>
      <c r="L264" s="47"/>
      <c r="M264" s="47"/>
      <c r="N264" s="10"/>
      <c r="O264" s="47"/>
      <c r="P264" s="47"/>
      <c r="Q264" s="47"/>
      <c r="R264" s="48" t="str">
        <f aca="false">IF(Q264="","",IF(Q264=0,"below 5:00",IF(Q264&gt;=66,"16:00 or above",INT((60+2*Q264)/12)&amp;":"&amp;TEXT(MOD(60+2*Q264,12),"00"))))</f>
        <v/>
      </c>
      <c r="S264" s="47"/>
      <c r="T264" s="47"/>
      <c r="U264" s="47"/>
      <c r="V264" s="47"/>
      <c r="W264" s="47"/>
      <c r="X264" s="47"/>
      <c r="Y264" s="47"/>
      <c r="Z264" s="47"/>
      <c r="AA264" s="47"/>
      <c r="AB264" s="47"/>
      <c r="AC264" s="47"/>
      <c r="AD264" s="47"/>
      <c r="AE264" s="47"/>
      <c r="AF264" s="47"/>
      <c r="AG264" s="47"/>
      <c r="AH264" s="47"/>
      <c r="AI264" s="46"/>
      <c r="AJ264" s="46"/>
      <c r="AK264" s="46"/>
      <c r="AL264" s="7"/>
      <c r="AM264" s="49" t="str">
        <f aca="false">IF(OR(C264="",G264=""),"",IFERROR(DATEDIF(C264,G264,"m"),""))</f>
        <v/>
      </c>
      <c r="AN264" s="49" t="str">
        <f aca="false">IF(OR(Q264="",AM264=""),"",60+2*Q264-AM264)</f>
        <v/>
      </c>
      <c r="AO264" s="49" t="str">
        <f aca="false">IF(OR(G264="",AJ264=""),"",AJ264-G264)</f>
        <v/>
      </c>
      <c r="AP264" s="50" t="str">
        <f aca="false">IF(AND(A264="",B264=""),"",IF(J264="","Status needed",IF(OR(J264="Applied",J264="Visit booked",J264="Withdrawn"),"OK",IF(G264="","Date assessed needed",IF(C264="","Date of birth needed",IF(COUNTA(L264,M264,P264,U264,V264,X264,AB264)&lt;7,"Band missing",IF(AND(OR(J264="Decision confirmed",J264="Family told",J264="Enrolled"),AG264=""),"Recommendation needed",IF(AND(OR(J264="Family told",J264="Enrolled"),AJ264=""),"Date family told needed","OK"))))))))</f>
        <v/>
      </c>
    </row>
    <row r="265" customFormat="false" ht="15" hidden="false" customHeight="false" outlineLevel="0" collapsed="false">
      <c r="A265" s="7"/>
      <c r="B265" s="7"/>
      <c r="C265" s="46"/>
      <c r="D265" s="7"/>
      <c r="E265" s="47"/>
      <c r="F265" s="46"/>
      <c r="G265" s="46"/>
      <c r="H265" s="7"/>
      <c r="I265" s="7"/>
      <c r="J265" s="47"/>
      <c r="K265" s="47"/>
      <c r="L265" s="47"/>
      <c r="M265" s="47"/>
      <c r="N265" s="10"/>
      <c r="O265" s="47"/>
      <c r="P265" s="47"/>
      <c r="Q265" s="47"/>
      <c r="R265" s="48" t="str">
        <f aca="false">IF(Q265="","",IF(Q265=0,"below 5:00",IF(Q265&gt;=66,"16:00 or above",INT((60+2*Q265)/12)&amp;":"&amp;TEXT(MOD(60+2*Q265,12),"00"))))</f>
        <v/>
      </c>
      <c r="S265" s="47"/>
      <c r="T265" s="47"/>
      <c r="U265" s="47"/>
      <c r="V265" s="47"/>
      <c r="W265" s="47"/>
      <c r="X265" s="47"/>
      <c r="Y265" s="47"/>
      <c r="Z265" s="47"/>
      <c r="AA265" s="47"/>
      <c r="AB265" s="47"/>
      <c r="AC265" s="47"/>
      <c r="AD265" s="47"/>
      <c r="AE265" s="47"/>
      <c r="AF265" s="47"/>
      <c r="AG265" s="47"/>
      <c r="AH265" s="47"/>
      <c r="AI265" s="46"/>
      <c r="AJ265" s="46"/>
      <c r="AK265" s="46"/>
      <c r="AL265" s="7"/>
      <c r="AM265" s="49" t="str">
        <f aca="false">IF(OR(C265="",G265=""),"",IFERROR(DATEDIF(C265,G265,"m"),""))</f>
        <v/>
      </c>
      <c r="AN265" s="49" t="str">
        <f aca="false">IF(OR(Q265="",AM265=""),"",60+2*Q265-AM265)</f>
        <v/>
      </c>
      <c r="AO265" s="49" t="str">
        <f aca="false">IF(OR(G265="",AJ265=""),"",AJ265-G265)</f>
        <v/>
      </c>
      <c r="AP265" s="50" t="str">
        <f aca="false">IF(AND(A265="",B265=""),"",IF(J265="","Status needed",IF(OR(J265="Applied",J265="Visit booked",J265="Withdrawn"),"OK",IF(G265="","Date assessed needed",IF(C265="","Date of birth needed",IF(COUNTA(L265,M265,P265,U265,V265,X265,AB265)&lt;7,"Band missing",IF(AND(OR(J265="Decision confirmed",J265="Family told",J265="Enrolled"),AG265=""),"Recommendation needed",IF(AND(OR(J265="Family told",J265="Enrolled"),AJ265=""),"Date family told needed","OK"))))))))</f>
        <v/>
      </c>
    </row>
    <row r="266" customFormat="false" ht="15" hidden="false" customHeight="false" outlineLevel="0" collapsed="false">
      <c r="A266" s="7"/>
      <c r="B266" s="7"/>
      <c r="C266" s="46"/>
      <c r="D266" s="7"/>
      <c r="E266" s="47"/>
      <c r="F266" s="46"/>
      <c r="G266" s="46"/>
      <c r="H266" s="7"/>
      <c r="I266" s="7"/>
      <c r="J266" s="47"/>
      <c r="K266" s="47"/>
      <c r="L266" s="47"/>
      <c r="M266" s="47"/>
      <c r="N266" s="10"/>
      <c r="O266" s="47"/>
      <c r="P266" s="47"/>
      <c r="Q266" s="47"/>
      <c r="R266" s="48" t="str">
        <f aca="false">IF(Q266="","",IF(Q266=0,"below 5:00",IF(Q266&gt;=66,"16:00 or above",INT((60+2*Q266)/12)&amp;":"&amp;TEXT(MOD(60+2*Q266,12),"00"))))</f>
        <v/>
      </c>
      <c r="S266" s="47"/>
      <c r="T266" s="47"/>
      <c r="U266" s="47"/>
      <c r="V266" s="47"/>
      <c r="W266" s="47"/>
      <c r="X266" s="47"/>
      <c r="Y266" s="47"/>
      <c r="Z266" s="47"/>
      <c r="AA266" s="47"/>
      <c r="AB266" s="47"/>
      <c r="AC266" s="47"/>
      <c r="AD266" s="47"/>
      <c r="AE266" s="47"/>
      <c r="AF266" s="47"/>
      <c r="AG266" s="47"/>
      <c r="AH266" s="47"/>
      <c r="AI266" s="46"/>
      <c r="AJ266" s="46"/>
      <c r="AK266" s="46"/>
      <c r="AL266" s="7"/>
      <c r="AM266" s="49" t="str">
        <f aca="false">IF(OR(C266="",G266=""),"",IFERROR(DATEDIF(C266,G266,"m"),""))</f>
        <v/>
      </c>
      <c r="AN266" s="49" t="str">
        <f aca="false">IF(OR(Q266="",AM266=""),"",60+2*Q266-AM266)</f>
        <v/>
      </c>
      <c r="AO266" s="49" t="str">
        <f aca="false">IF(OR(G266="",AJ266=""),"",AJ266-G266)</f>
        <v/>
      </c>
      <c r="AP266" s="50" t="str">
        <f aca="false">IF(AND(A266="",B266=""),"",IF(J266="","Status needed",IF(OR(J266="Applied",J266="Visit booked",J266="Withdrawn"),"OK",IF(G266="","Date assessed needed",IF(C266="","Date of birth needed",IF(COUNTA(L266,M266,P266,U266,V266,X266,AB266)&lt;7,"Band missing",IF(AND(OR(J266="Decision confirmed",J266="Family told",J266="Enrolled"),AG266=""),"Recommendation needed",IF(AND(OR(J266="Family told",J266="Enrolled"),AJ266=""),"Date family told needed","OK"))))))))</f>
        <v/>
      </c>
    </row>
    <row r="267" customFormat="false" ht="15" hidden="false" customHeight="false" outlineLevel="0" collapsed="false">
      <c r="A267" s="7"/>
      <c r="B267" s="7"/>
      <c r="C267" s="46"/>
      <c r="D267" s="7"/>
      <c r="E267" s="47"/>
      <c r="F267" s="46"/>
      <c r="G267" s="46"/>
      <c r="H267" s="7"/>
      <c r="I267" s="7"/>
      <c r="J267" s="47"/>
      <c r="K267" s="47"/>
      <c r="L267" s="47"/>
      <c r="M267" s="47"/>
      <c r="N267" s="10"/>
      <c r="O267" s="47"/>
      <c r="P267" s="47"/>
      <c r="Q267" s="47"/>
      <c r="R267" s="48" t="str">
        <f aca="false">IF(Q267="","",IF(Q267=0,"below 5:00",IF(Q267&gt;=66,"16:00 or above",INT((60+2*Q267)/12)&amp;":"&amp;TEXT(MOD(60+2*Q267,12),"00"))))</f>
        <v/>
      </c>
      <c r="S267" s="47"/>
      <c r="T267" s="47"/>
      <c r="U267" s="47"/>
      <c r="V267" s="47"/>
      <c r="W267" s="47"/>
      <c r="X267" s="47"/>
      <c r="Y267" s="47"/>
      <c r="Z267" s="47"/>
      <c r="AA267" s="47"/>
      <c r="AB267" s="47"/>
      <c r="AC267" s="47"/>
      <c r="AD267" s="47"/>
      <c r="AE267" s="47"/>
      <c r="AF267" s="47"/>
      <c r="AG267" s="47"/>
      <c r="AH267" s="47"/>
      <c r="AI267" s="46"/>
      <c r="AJ267" s="46"/>
      <c r="AK267" s="46"/>
      <c r="AL267" s="7"/>
      <c r="AM267" s="49" t="str">
        <f aca="false">IF(OR(C267="",G267=""),"",IFERROR(DATEDIF(C267,G267,"m"),""))</f>
        <v/>
      </c>
      <c r="AN267" s="49" t="str">
        <f aca="false">IF(OR(Q267="",AM267=""),"",60+2*Q267-AM267)</f>
        <v/>
      </c>
      <c r="AO267" s="49" t="str">
        <f aca="false">IF(OR(G267="",AJ267=""),"",AJ267-G267)</f>
        <v/>
      </c>
      <c r="AP267" s="50" t="str">
        <f aca="false">IF(AND(A267="",B267=""),"",IF(J267="","Status needed",IF(OR(J267="Applied",J267="Visit booked",J267="Withdrawn"),"OK",IF(G267="","Date assessed needed",IF(C267="","Date of birth needed",IF(COUNTA(L267,M267,P267,U267,V267,X267,AB267)&lt;7,"Band missing",IF(AND(OR(J267="Decision confirmed",J267="Family told",J267="Enrolled"),AG267=""),"Recommendation needed",IF(AND(OR(J267="Family told",J267="Enrolled"),AJ267=""),"Date family told needed","OK"))))))))</f>
        <v/>
      </c>
    </row>
    <row r="268" customFormat="false" ht="15" hidden="false" customHeight="false" outlineLevel="0" collapsed="false">
      <c r="A268" s="7"/>
      <c r="B268" s="7"/>
      <c r="C268" s="46"/>
      <c r="D268" s="7"/>
      <c r="E268" s="47"/>
      <c r="F268" s="46"/>
      <c r="G268" s="46"/>
      <c r="H268" s="7"/>
      <c r="I268" s="7"/>
      <c r="J268" s="47"/>
      <c r="K268" s="47"/>
      <c r="L268" s="47"/>
      <c r="M268" s="47"/>
      <c r="N268" s="10"/>
      <c r="O268" s="47"/>
      <c r="P268" s="47"/>
      <c r="Q268" s="47"/>
      <c r="R268" s="48" t="str">
        <f aca="false">IF(Q268="","",IF(Q268=0,"below 5:00",IF(Q268&gt;=66,"16:00 or above",INT((60+2*Q268)/12)&amp;":"&amp;TEXT(MOD(60+2*Q268,12),"00"))))</f>
        <v/>
      </c>
      <c r="S268" s="47"/>
      <c r="T268" s="47"/>
      <c r="U268" s="47"/>
      <c r="V268" s="47"/>
      <c r="W268" s="47"/>
      <c r="X268" s="47"/>
      <c r="Y268" s="47"/>
      <c r="Z268" s="47"/>
      <c r="AA268" s="47"/>
      <c r="AB268" s="47"/>
      <c r="AC268" s="47"/>
      <c r="AD268" s="47"/>
      <c r="AE268" s="47"/>
      <c r="AF268" s="47"/>
      <c r="AG268" s="47"/>
      <c r="AH268" s="47"/>
      <c r="AI268" s="46"/>
      <c r="AJ268" s="46"/>
      <c r="AK268" s="46"/>
      <c r="AL268" s="7"/>
      <c r="AM268" s="49" t="str">
        <f aca="false">IF(OR(C268="",G268=""),"",IFERROR(DATEDIF(C268,G268,"m"),""))</f>
        <v/>
      </c>
      <c r="AN268" s="49" t="str">
        <f aca="false">IF(OR(Q268="",AM268=""),"",60+2*Q268-AM268)</f>
        <v/>
      </c>
      <c r="AO268" s="49" t="str">
        <f aca="false">IF(OR(G268="",AJ268=""),"",AJ268-G268)</f>
        <v/>
      </c>
      <c r="AP268" s="50" t="str">
        <f aca="false">IF(AND(A268="",B268=""),"",IF(J268="","Status needed",IF(OR(J268="Applied",J268="Visit booked",J268="Withdrawn"),"OK",IF(G268="","Date assessed needed",IF(C268="","Date of birth needed",IF(COUNTA(L268,M268,P268,U268,V268,X268,AB268)&lt;7,"Band missing",IF(AND(OR(J268="Decision confirmed",J268="Family told",J268="Enrolled"),AG268=""),"Recommendation needed",IF(AND(OR(J268="Family told",J268="Enrolled"),AJ268=""),"Date family told needed","OK"))))))))</f>
        <v/>
      </c>
    </row>
    <row r="269" customFormat="false" ht="15" hidden="false" customHeight="false" outlineLevel="0" collapsed="false">
      <c r="A269" s="7"/>
      <c r="B269" s="7"/>
      <c r="C269" s="46"/>
      <c r="D269" s="7"/>
      <c r="E269" s="47"/>
      <c r="F269" s="46"/>
      <c r="G269" s="46"/>
      <c r="H269" s="7"/>
      <c r="I269" s="7"/>
      <c r="J269" s="47"/>
      <c r="K269" s="47"/>
      <c r="L269" s="47"/>
      <c r="M269" s="47"/>
      <c r="N269" s="10"/>
      <c r="O269" s="47"/>
      <c r="P269" s="47"/>
      <c r="Q269" s="47"/>
      <c r="R269" s="48" t="str">
        <f aca="false">IF(Q269="","",IF(Q269=0,"below 5:00",IF(Q269&gt;=66,"16:00 or above",INT((60+2*Q269)/12)&amp;":"&amp;TEXT(MOD(60+2*Q269,12),"00"))))</f>
        <v/>
      </c>
      <c r="S269" s="47"/>
      <c r="T269" s="47"/>
      <c r="U269" s="47"/>
      <c r="V269" s="47"/>
      <c r="W269" s="47"/>
      <c r="X269" s="47"/>
      <c r="Y269" s="47"/>
      <c r="Z269" s="47"/>
      <c r="AA269" s="47"/>
      <c r="AB269" s="47"/>
      <c r="AC269" s="47"/>
      <c r="AD269" s="47"/>
      <c r="AE269" s="47"/>
      <c r="AF269" s="47"/>
      <c r="AG269" s="47"/>
      <c r="AH269" s="47"/>
      <c r="AI269" s="46"/>
      <c r="AJ269" s="46"/>
      <c r="AK269" s="46"/>
      <c r="AL269" s="7"/>
      <c r="AM269" s="49" t="str">
        <f aca="false">IF(OR(C269="",G269=""),"",IFERROR(DATEDIF(C269,G269,"m"),""))</f>
        <v/>
      </c>
      <c r="AN269" s="49" t="str">
        <f aca="false">IF(OR(Q269="",AM269=""),"",60+2*Q269-AM269)</f>
        <v/>
      </c>
      <c r="AO269" s="49" t="str">
        <f aca="false">IF(OR(G269="",AJ269=""),"",AJ269-G269)</f>
        <v/>
      </c>
      <c r="AP269" s="50" t="str">
        <f aca="false">IF(AND(A269="",B269=""),"",IF(J269="","Status needed",IF(OR(J269="Applied",J269="Visit booked",J269="Withdrawn"),"OK",IF(G269="","Date assessed needed",IF(C269="","Date of birth needed",IF(COUNTA(L269,M269,P269,U269,V269,X269,AB269)&lt;7,"Band missing",IF(AND(OR(J269="Decision confirmed",J269="Family told",J269="Enrolled"),AG269=""),"Recommendation needed",IF(AND(OR(J269="Family told",J269="Enrolled"),AJ269=""),"Date family told needed","OK"))))))))</f>
        <v/>
      </c>
    </row>
    <row r="270" customFormat="false" ht="15" hidden="false" customHeight="false" outlineLevel="0" collapsed="false">
      <c r="A270" s="7"/>
      <c r="B270" s="7"/>
      <c r="C270" s="46"/>
      <c r="D270" s="7"/>
      <c r="E270" s="47"/>
      <c r="F270" s="46"/>
      <c r="G270" s="46"/>
      <c r="H270" s="7"/>
      <c r="I270" s="7"/>
      <c r="J270" s="47"/>
      <c r="K270" s="47"/>
      <c r="L270" s="47"/>
      <c r="M270" s="47"/>
      <c r="N270" s="10"/>
      <c r="O270" s="47"/>
      <c r="P270" s="47"/>
      <c r="Q270" s="47"/>
      <c r="R270" s="48" t="str">
        <f aca="false">IF(Q270="","",IF(Q270=0,"below 5:00",IF(Q270&gt;=66,"16:00 or above",INT((60+2*Q270)/12)&amp;":"&amp;TEXT(MOD(60+2*Q270,12),"00"))))</f>
        <v/>
      </c>
      <c r="S270" s="47"/>
      <c r="T270" s="47"/>
      <c r="U270" s="47"/>
      <c r="V270" s="47"/>
      <c r="W270" s="47"/>
      <c r="X270" s="47"/>
      <c r="Y270" s="47"/>
      <c r="Z270" s="47"/>
      <c r="AA270" s="47"/>
      <c r="AB270" s="47"/>
      <c r="AC270" s="47"/>
      <c r="AD270" s="47"/>
      <c r="AE270" s="47"/>
      <c r="AF270" s="47"/>
      <c r="AG270" s="47"/>
      <c r="AH270" s="47"/>
      <c r="AI270" s="46"/>
      <c r="AJ270" s="46"/>
      <c r="AK270" s="46"/>
      <c r="AL270" s="7"/>
      <c r="AM270" s="49" t="str">
        <f aca="false">IF(OR(C270="",G270=""),"",IFERROR(DATEDIF(C270,G270,"m"),""))</f>
        <v/>
      </c>
      <c r="AN270" s="49" t="str">
        <f aca="false">IF(OR(Q270="",AM270=""),"",60+2*Q270-AM270)</f>
        <v/>
      </c>
      <c r="AO270" s="49" t="str">
        <f aca="false">IF(OR(G270="",AJ270=""),"",AJ270-G270)</f>
        <v/>
      </c>
      <c r="AP270" s="50" t="str">
        <f aca="false">IF(AND(A270="",B270=""),"",IF(J270="","Status needed",IF(OR(J270="Applied",J270="Visit booked",J270="Withdrawn"),"OK",IF(G270="","Date assessed needed",IF(C270="","Date of birth needed",IF(COUNTA(L270,M270,P270,U270,V270,X270,AB270)&lt;7,"Band missing",IF(AND(OR(J270="Decision confirmed",J270="Family told",J270="Enrolled"),AG270=""),"Recommendation needed",IF(AND(OR(J270="Family told",J270="Enrolled"),AJ270=""),"Date family told needed","OK"))))))))</f>
        <v/>
      </c>
    </row>
    <row r="271" customFormat="false" ht="15" hidden="false" customHeight="false" outlineLevel="0" collapsed="false">
      <c r="A271" s="7"/>
      <c r="B271" s="7"/>
      <c r="C271" s="46"/>
      <c r="D271" s="7"/>
      <c r="E271" s="47"/>
      <c r="F271" s="46"/>
      <c r="G271" s="46"/>
      <c r="H271" s="7"/>
      <c r="I271" s="7"/>
      <c r="J271" s="47"/>
      <c r="K271" s="47"/>
      <c r="L271" s="47"/>
      <c r="M271" s="47"/>
      <c r="N271" s="10"/>
      <c r="O271" s="47"/>
      <c r="P271" s="47"/>
      <c r="Q271" s="47"/>
      <c r="R271" s="48" t="str">
        <f aca="false">IF(Q271="","",IF(Q271=0,"below 5:00",IF(Q271&gt;=66,"16:00 or above",INT((60+2*Q271)/12)&amp;":"&amp;TEXT(MOD(60+2*Q271,12),"00"))))</f>
        <v/>
      </c>
      <c r="S271" s="47"/>
      <c r="T271" s="47"/>
      <c r="U271" s="47"/>
      <c r="V271" s="47"/>
      <c r="W271" s="47"/>
      <c r="X271" s="47"/>
      <c r="Y271" s="47"/>
      <c r="Z271" s="47"/>
      <c r="AA271" s="47"/>
      <c r="AB271" s="47"/>
      <c r="AC271" s="47"/>
      <c r="AD271" s="47"/>
      <c r="AE271" s="47"/>
      <c r="AF271" s="47"/>
      <c r="AG271" s="47"/>
      <c r="AH271" s="47"/>
      <c r="AI271" s="46"/>
      <c r="AJ271" s="46"/>
      <c r="AK271" s="46"/>
      <c r="AL271" s="7"/>
      <c r="AM271" s="49" t="str">
        <f aca="false">IF(OR(C271="",G271=""),"",IFERROR(DATEDIF(C271,G271,"m"),""))</f>
        <v/>
      </c>
      <c r="AN271" s="49" t="str">
        <f aca="false">IF(OR(Q271="",AM271=""),"",60+2*Q271-AM271)</f>
        <v/>
      </c>
      <c r="AO271" s="49" t="str">
        <f aca="false">IF(OR(G271="",AJ271=""),"",AJ271-G271)</f>
        <v/>
      </c>
      <c r="AP271" s="50" t="str">
        <f aca="false">IF(AND(A271="",B271=""),"",IF(J271="","Status needed",IF(OR(J271="Applied",J271="Visit booked",J271="Withdrawn"),"OK",IF(G271="","Date assessed needed",IF(C271="","Date of birth needed",IF(COUNTA(L271,M271,P271,U271,V271,X271,AB271)&lt;7,"Band missing",IF(AND(OR(J271="Decision confirmed",J271="Family told",J271="Enrolled"),AG271=""),"Recommendation needed",IF(AND(OR(J271="Family told",J271="Enrolled"),AJ271=""),"Date family told needed","OK"))))))))</f>
        <v/>
      </c>
    </row>
    <row r="272" customFormat="false" ht="15" hidden="false" customHeight="false" outlineLevel="0" collapsed="false">
      <c r="A272" s="7"/>
      <c r="B272" s="7"/>
      <c r="C272" s="46"/>
      <c r="D272" s="7"/>
      <c r="E272" s="47"/>
      <c r="F272" s="46"/>
      <c r="G272" s="46"/>
      <c r="H272" s="7"/>
      <c r="I272" s="7"/>
      <c r="J272" s="47"/>
      <c r="K272" s="47"/>
      <c r="L272" s="47"/>
      <c r="M272" s="47"/>
      <c r="N272" s="10"/>
      <c r="O272" s="47"/>
      <c r="P272" s="47"/>
      <c r="Q272" s="47"/>
      <c r="R272" s="48" t="str">
        <f aca="false">IF(Q272="","",IF(Q272=0,"below 5:00",IF(Q272&gt;=66,"16:00 or above",INT((60+2*Q272)/12)&amp;":"&amp;TEXT(MOD(60+2*Q272,12),"00"))))</f>
        <v/>
      </c>
      <c r="S272" s="47"/>
      <c r="T272" s="47"/>
      <c r="U272" s="47"/>
      <c r="V272" s="47"/>
      <c r="W272" s="47"/>
      <c r="X272" s="47"/>
      <c r="Y272" s="47"/>
      <c r="Z272" s="47"/>
      <c r="AA272" s="47"/>
      <c r="AB272" s="47"/>
      <c r="AC272" s="47"/>
      <c r="AD272" s="47"/>
      <c r="AE272" s="47"/>
      <c r="AF272" s="47"/>
      <c r="AG272" s="47"/>
      <c r="AH272" s="47"/>
      <c r="AI272" s="46"/>
      <c r="AJ272" s="46"/>
      <c r="AK272" s="46"/>
      <c r="AL272" s="7"/>
      <c r="AM272" s="49" t="str">
        <f aca="false">IF(OR(C272="",G272=""),"",IFERROR(DATEDIF(C272,G272,"m"),""))</f>
        <v/>
      </c>
      <c r="AN272" s="49" t="str">
        <f aca="false">IF(OR(Q272="",AM272=""),"",60+2*Q272-AM272)</f>
        <v/>
      </c>
      <c r="AO272" s="49" t="str">
        <f aca="false">IF(OR(G272="",AJ272=""),"",AJ272-G272)</f>
        <v/>
      </c>
      <c r="AP272" s="50" t="str">
        <f aca="false">IF(AND(A272="",B272=""),"",IF(J272="","Status needed",IF(OR(J272="Applied",J272="Visit booked",J272="Withdrawn"),"OK",IF(G272="","Date assessed needed",IF(C272="","Date of birth needed",IF(COUNTA(L272,M272,P272,U272,V272,X272,AB272)&lt;7,"Band missing",IF(AND(OR(J272="Decision confirmed",J272="Family told",J272="Enrolled"),AG272=""),"Recommendation needed",IF(AND(OR(J272="Family told",J272="Enrolled"),AJ272=""),"Date family told needed","OK"))))))))</f>
        <v/>
      </c>
    </row>
    <row r="273" customFormat="false" ht="15" hidden="false" customHeight="false" outlineLevel="0" collapsed="false">
      <c r="A273" s="7"/>
      <c r="B273" s="7"/>
      <c r="C273" s="46"/>
      <c r="D273" s="7"/>
      <c r="E273" s="47"/>
      <c r="F273" s="46"/>
      <c r="G273" s="46"/>
      <c r="H273" s="7"/>
      <c r="I273" s="7"/>
      <c r="J273" s="47"/>
      <c r="K273" s="47"/>
      <c r="L273" s="47"/>
      <c r="M273" s="47"/>
      <c r="N273" s="10"/>
      <c r="O273" s="47"/>
      <c r="P273" s="47"/>
      <c r="Q273" s="47"/>
      <c r="R273" s="48" t="str">
        <f aca="false">IF(Q273="","",IF(Q273=0,"below 5:00",IF(Q273&gt;=66,"16:00 or above",INT((60+2*Q273)/12)&amp;":"&amp;TEXT(MOD(60+2*Q273,12),"00"))))</f>
        <v/>
      </c>
      <c r="S273" s="47"/>
      <c r="T273" s="47"/>
      <c r="U273" s="47"/>
      <c r="V273" s="47"/>
      <c r="W273" s="47"/>
      <c r="X273" s="47"/>
      <c r="Y273" s="47"/>
      <c r="Z273" s="47"/>
      <c r="AA273" s="47"/>
      <c r="AB273" s="47"/>
      <c r="AC273" s="47"/>
      <c r="AD273" s="47"/>
      <c r="AE273" s="47"/>
      <c r="AF273" s="47"/>
      <c r="AG273" s="47"/>
      <c r="AH273" s="47"/>
      <c r="AI273" s="46"/>
      <c r="AJ273" s="46"/>
      <c r="AK273" s="46"/>
      <c r="AL273" s="7"/>
      <c r="AM273" s="49" t="str">
        <f aca="false">IF(OR(C273="",G273=""),"",IFERROR(DATEDIF(C273,G273,"m"),""))</f>
        <v/>
      </c>
      <c r="AN273" s="49" t="str">
        <f aca="false">IF(OR(Q273="",AM273=""),"",60+2*Q273-AM273)</f>
        <v/>
      </c>
      <c r="AO273" s="49" t="str">
        <f aca="false">IF(OR(G273="",AJ273=""),"",AJ273-G273)</f>
        <v/>
      </c>
      <c r="AP273" s="50" t="str">
        <f aca="false">IF(AND(A273="",B273=""),"",IF(J273="","Status needed",IF(OR(J273="Applied",J273="Visit booked",J273="Withdrawn"),"OK",IF(G273="","Date assessed needed",IF(C273="","Date of birth needed",IF(COUNTA(L273,M273,P273,U273,V273,X273,AB273)&lt;7,"Band missing",IF(AND(OR(J273="Decision confirmed",J273="Family told",J273="Enrolled"),AG273=""),"Recommendation needed",IF(AND(OR(J273="Family told",J273="Enrolled"),AJ273=""),"Date family told needed","OK"))))))))</f>
        <v/>
      </c>
    </row>
    <row r="274" customFormat="false" ht="15" hidden="false" customHeight="false" outlineLevel="0" collapsed="false">
      <c r="A274" s="7"/>
      <c r="B274" s="7"/>
      <c r="C274" s="46"/>
      <c r="D274" s="7"/>
      <c r="E274" s="47"/>
      <c r="F274" s="46"/>
      <c r="G274" s="46"/>
      <c r="H274" s="7"/>
      <c r="I274" s="7"/>
      <c r="J274" s="47"/>
      <c r="K274" s="47"/>
      <c r="L274" s="47"/>
      <c r="M274" s="47"/>
      <c r="N274" s="10"/>
      <c r="O274" s="47"/>
      <c r="P274" s="47"/>
      <c r="Q274" s="47"/>
      <c r="R274" s="48" t="str">
        <f aca="false">IF(Q274="","",IF(Q274=0,"below 5:00",IF(Q274&gt;=66,"16:00 or above",INT((60+2*Q274)/12)&amp;":"&amp;TEXT(MOD(60+2*Q274,12),"00"))))</f>
        <v/>
      </c>
      <c r="S274" s="47"/>
      <c r="T274" s="47"/>
      <c r="U274" s="47"/>
      <c r="V274" s="47"/>
      <c r="W274" s="47"/>
      <c r="X274" s="47"/>
      <c r="Y274" s="47"/>
      <c r="Z274" s="47"/>
      <c r="AA274" s="47"/>
      <c r="AB274" s="47"/>
      <c r="AC274" s="47"/>
      <c r="AD274" s="47"/>
      <c r="AE274" s="47"/>
      <c r="AF274" s="47"/>
      <c r="AG274" s="47"/>
      <c r="AH274" s="47"/>
      <c r="AI274" s="46"/>
      <c r="AJ274" s="46"/>
      <c r="AK274" s="46"/>
      <c r="AL274" s="7"/>
      <c r="AM274" s="49" t="str">
        <f aca="false">IF(OR(C274="",G274=""),"",IFERROR(DATEDIF(C274,G274,"m"),""))</f>
        <v/>
      </c>
      <c r="AN274" s="49" t="str">
        <f aca="false">IF(OR(Q274="",AM274=""),"",60+2*Q274-AM274)</f>
        <v/>
      </c>
      <c r="AO274" s="49" t="str">
        <f aca="false">IF(OR(G274="",AJ274=""),"",AJ274-G274)</f>
        <v/>
      </c>
      <c r="AP274" s="50" t="str">
        <f aca="false">IF(AND(A274="",B274=""),"",IF(J274="","Status needed",IF(OR(J274="Applied",J274="Visit booked",J274="Withdrawn"),"OK",IF(G274="","Date assessed needed",IF(C274="","Date of birth needed",IF(COUNTA(L274,M274,P274,U274,V274,X274,AB274)&lt;7,"Band missing",IF(AND(OR(J274="Decision confirmed",J274="Family told",J274="Enrolled"),AG274=""),"Recommendation needed",IF(AND(OR(J274="Family told",J274="Enrolled"),AJ274=""),"Date family told needed","OK"))))))))</f>
        <v/>
      </c>
    </row>
    <row r="275" customFormat="false" ht="15" hidden="false" customHeight="false" outlineLevel="0" collapsed="false">
      <c r="A275" s="7"/>
      <c r="B275" s="7"/>
      <c r="C275" s="46"/>
      <c r="D275" s="7"/>
      <c r="E275" s="47"/>
      <c r="F275" s="46"/>
      <c r="G275" s="46"/>
      <c r="H275" s="7"/>
      <c r="I275" s="7"/>
      <c r="J275" s="47"/>
      <c r="K275" s="47"/>
      <c r="L275" s="47"/>
      <c r="M275" s="47"/>
      <c r="N275" s="10"/>
      <c r="O275" s="47"/>
      <c r="P275" s="47"/>
      <c r="Q275" s="47"/>
      <c r="R275" s="48" t="str">
        <f aca="false">IF(Q275="","",IF(Q275=0,"below 5:00",IF(Q275&gt;=66,"16:00 or above",INT((60+2*Q275)/12)&amp;":"&amp;TEXT(MOD(60+2*Q275,12),"00"))))</f>
        <v/>
      </c>
      <c r="S275" s="47"/>
      <c r="T275" s="47"/>
      <c r="U275" s="47"/>
      <c r="V275" s="47"/>
      <c r="W275" s="47"/>
      <c r="X275" s="47"/>
      <c r="Y275" s="47"/>
      <c r="Z275" s="47"/>
      <c r="AA275" s="47"/>
      <c r="AB275" s="47"/>
      <c r="AC275" s="47"/>
      <c r="AD275" s="47"/>
      <c r="AE275" s="47"/>
      <c r="AF275" s="47"/>
      <c r="AG275" s="47"/>
      <c r="AH275" s="47"/>
      <c r="AI275" s="46"/>
      <c r="AJ275" s="46"/>
      <c r="AK275" s="46"/>
      <c r="AL275" s="7"/>
      <c r="AM275" s="49" t="str">
        <f aca="false">IF(OR(C275="",G275=""),"",IFERROR(DATEDIF(C275,G275,"m"),""))</f>
        <v/>
      </c>
      <c r="AN275" s="49" t="str">
        <f aca="false">IF(OR(Q275="",AM275=""),"",60+2*Q275-AM275)</f>
        <v/>
      </c>
      <c r="AO275" s="49" t="str">
        <f aca="false">IF(OR(G275="",AJ275=""),"",AJ275-G275)</f>
        <v/>
      </c>
      <c r="AP275" s="50" t="str">
        <f aca="false">IF(AND(A275="",B275=""),"",IF(J275="","Status needed",IF(OR(J275="Applied",J275="Visit booked",J275="Withdrawn"),"OK",IF(G275="","Date assessed needed",IF(C275="","Date of birth needed",IF(COUNTA(L275,M275,P275,U275,V275,X275,AB275)&lt;7,"Band missing",IF(AND(OR(J275="Decision confirmed",J275="Family told",J275="Enrolled"),AG275=""),"Recommendation needed",IF(AND(OR(J275="Family told",J275="Enrolled"),AJ275=""),"Date family told needed","OK"))))))))</f>
        <v/>
      </c>
    </row>
    <row r="276" customFormat="false" ht="15" hidden="false" customHeight="false" outlineLevel="0" collapsed="false">
      <c r="A276" s="7"/>
      <c r="B276" s="7"/>
      <c r="C276" s="46"/>
      <c r="D276" s="7"/>
      <c r="E276" s="47"/>
      <c r="F276" s="46"/>
      <c r="G276" s="46"/>
      <c r="H276" s="7"/>
      <c r="I276" s="7"/>
      <c r="J276" s="47"/>
      <c r="K276" s="47"/>
      <c r="L276" s="47"/>
      <c r="M276" s="47"/>
      <c r="N276" s="10"/>
      <c r="O276" s="47"/>
      <c r="P276" s="47"/>
      <c r="Q276" s="47"/>
      <c r="R276" s="48" t="str">
        <f aca="false">IF(Q276="","",IF(Q276=0,"below 5:00",IF(Q276&gt;=66,"16:00 or above",INT((60+2*Q276)/12)&amp;":"&amp;TEXT(MOD(60+2*Q276,12),"00"))))</f>
        <v/>
      </c>
      <c r="S276" s="47"/>
      <c r="T276" s="47"/>
      <c r="U276" s="47"/>
      <c r="V276" s="47"/>
      <c r="W276" s="47"/>
      <c r="X276" s="47"/>
      <c r="Y276" s="47"/>
      <c r="Z276" s="47"/>
      <c r="AA276" s="47"/>
      <c r="AB276" s="47"/>
      <c r="AC276" s="47"/>
      <c r="AD276" s="47"/>
      <c r="AE276" s="47"/>
      <c r="AF276" s="47"/>
      <c r="AG276" s="47"/>
      <c r="AH276" s="47"/>
      <c r="AI276" s="46"/>
      <c r="AJ276" s="46"/>
      <c r="AK276" s="46"/>
      <c r="AL276" s="7"/>
      <c r="AM276" s="49" t="str">
        <f aca="false">IF(OR(C276="",G276=""),"",IFERROR(DATEDIF(C276,G276,"m"),""))</f>
        <v/>
      </c>
      <c r="AN276" s="49" t="str">
        <f aca="false">IF(OR(Q276="",AM276=""),"",60+2*Q276-AM276)</f>
        <v/>
      </c>
      <c r="AO276" s="49" t="str">
        <f aca="false">IF(OR(G276="",AJ276=""),"",AJ276-G276)</f>
        <v/>
      </c>
      <c r="AP276" s="50" t="str">
        <f aca="false">IF(AND(A276="",B276=""),"",IF(J276="","Status needed",IF(OR(J276="Applied",J276="Visit booked",J276="Withdrawn"),"OK",IF(G276="","Date assessed needed",IF(C276="","Date of birth needed",IF(COUNTA(L276,M276,P276,U276,V276,X276,AB276)&lt;7,"Band missing",IF(AND(OR(J276="Decision confirmed",J276="Family told",J276="Enrolled"),AG276=""),"Recommendation needed",IF(AND(OR(J276="Family told",J276="Enrolled"),AJ276=""),"Date family told needed","OK"))))))))</f>
        <v/>
      </c>
    </row>
    <row r="277" customFormat="false" ht="15" hidden="false" customHeight="false" outlineLevel="0" collapsed="false">
      <c r="A277" s="7"/>
      <c r="B277" s="7"/>
      <c r="C277" s="46"/>
      <c r="D277" s="7"/>
      <c r="E277" s="47"/>
      <c r="F277" s="46"/>
      <c r="G277" s="46"/>
      <c r="H277" s="7"/>
      <c r="I277" s="7"/>
      <c r="J277" s="47"/>
      <c r="K277" s="47"/>
      <c r="L277" s="47"/>
      <c r="M277" s="47"/>
      <c r="N277" s="10"/>
      <c r="O277" s="47"/>
      <c r="P277" s="47"/>
      <c r="Q277" s="47"/>
      <c r="R277" s="48" t="str">
        <f aca="false">IF(Q277="","",IF(Q277=0,"below 5:00",IF(Q277&gt;=66,"16:00 or above",INT((60+2*Q277)/12)&amp;":"&amp;TEXT(MOD(60+2*Q277,12),"00"))))</f>
        <v/>
      </c>
      <c r="S277" s="47"/>
      <c r="T277" s="47"/>
      <c r="U277" s="47"/>
      <c r="V277" s="47"/>
      <c r="W277" s="47"/>
      <c r="X277" s="47"/>
      <c r="Y277" s="47"/>
      <c r="Z277" s="47"/>
      <c r="AA277" s="47"/>
      <c r="AB277" s="47"/>
      <c r="AC277" s="47"/>
      <c r="AD277" s="47"/>
      <c r="AE277" s="47"/>
      <c r="AF277" s="47"/>
      <c r="AG277" s="47"/>
      <c r="AH277" s="47"/>
      <c r="AI277" s="46"/>
      <c r="AJ277" s="46"/>
      <c r="AK277" s="46"/>
      <c r="AL277" s="7"/>
      <c r="AM277" s="49" t="str">
        <f aca="false">IF(OR(C277="",G277=""),"",IFERROR(DATEDIF(C277,G277,"m"),""))</f>
        <v/>
      </c>
      <c r="AN277" s="49" t="str">
        <f aca="false">IF(OR(Q277="",AM277=""),"",60+2*Q277-AM277)</f>
        <v/>
      </c>
      <c r="AO277" s="49" t="str">
        <f aca="false">IF(OR(G277="",AJ277=""),"",AJ277-G277)</f>
        <v/>
      </c>
      <c r="AP277" s="50" t="str">
        <f aca="false">IF(AND(A277="",B277=""),"",IF(J277="","Status needed",IF(OR(J277="Applied",J277="Visit booked",J277="Withdrawn"),"OK",IF(G277="","Date assessed needed",IF(C277="","Date of birth needed",IF(COUNTA(L277,M277,P277,U277,V277,X277,AB277)&lt;7,"Band missing",IF(AND(OR(J277="Decision confirmed",J277="Family told",J277="Enrolled"),AG277=""),"Recommendation needed",IF(AND(OR(J277="Family told",J277="Enrolled"),AJ277=""),"Date family told needed","OK"))))))))</f>
        <v/>
      </c>
    </row>
    <row r="278" customFormat="false" ht="15" hidden="false" customHeight="false" outlineLevel="0" collapsed="false">
      <c r="A278" s="7"/>
      <c r="B278" s="7"/>
      <c r="C278" s="46"/>
      <c r="D278" s="7"/>
      <c r="E278" s="47"/>
      <c r="F278" s="46"/>
      <c r="G278" s="46"/>
      <c r="H278" s="7"/>
      <c r="I278" s="7"/>
      <c r="J278" s="47"/>
      <c r="K278" s="47"/>
      <c r="L278" s="47"/>
      <c r="M278" s="47"/>
      <c r="N278" s="10"/>
      <c r="O278" s="47"/>
      <c r="P278" s="47"/>
      <c r="Q278" s="47"/>
      <c r="R278" s="48" t="str">
        <f aca="false">IF(Q278="","",IF(Q278=0,"below 5:00",IF(Q278&gt;=66,"16:00 or above",INT((60+2*Q278)/12)&amp;":"&amp;TEXT(MOD(60+2*Q278,12),"00"))))</f>
        <v/>
      </c>
      <c r="S278" s="47"/>
      <c r="T278" s="47"/>
      <c r="U278" s="47"/>
      <c r="V278" s="47"/>
      <c r="W278" s="47"/>
      <c r="X278" s="47"/>
      <c r="Y278" s="47"/>
      <c r="Z278" s="47"/>
      <c r="AA278" s="47"/>
      <c r="AB278" s="47"/>
      <c r="AC278" s="47"/>
      <c r="AD278" s="47"/>
      <c r="AE278" s="47"/>
      <c r="AF278" s="47"/>
      <c r="AG278" s="47"/>
      <c r="AH278" s="47"/>
      <c r="AI278" s="46"/>
      <c r="AJ278" s="46"/>
      <c r="AK278" s="46"/>
      <c r="AL278" s="7"/>
      <c r="AM278" s="49" t="str">
        <f aca="false">IF(OR(C278="",G278=""),"",IFERROR(DATEDIF(C278,G278,"m"),""))</f>
        <v/>
      </c>
      <c r="AN278" s="49" t="str">
        <f aca="false">IF(OR(Q278="",AM278=""),"",60+2*Q278-AM278)</f>
        <v/>
      </c>
      <c r="AO278" s="49" t="str">
        <f aca="false">IF(OR(G278="",AJ278=""),"",AJ278-G278)</f>
        <v/>
      </c>
      <c r="AP278" s="50" t="str">
        <f aca="false">IF(AND(A278="",B278=""),"",IF(J278="","Status needed",IF(OR(J278="Applied",J278="Visit booked",J278="Withdrawn"),"OK",IF(G278="","Date assessed needed",IF(C278="","Date of birth needed",IF(COUNTA(L278,M278,P278,U278,V278,X278,AB278)&lt;7,"Band missing",IF(AND(OR(J278="Decision confirmed",J278="Family told",J278="Enrolled"),AG278=""),"Recommendation needed",IF(AND(OR(J278="Family told",J278="Enrolled"),AJ278=""),"Date family told needed","OK"))))))))</f>
        <v/>
      </c>
    </row>
    <row r="279" customFormat="false" ht="15" hidden="false" customHeight="false" outlineLevel="0" collapsed="false">
      <c r="A279" s="7"/>
      <c r="B279" s="7"/>
      <c r="C279" s="46"/>
      <c r="D279" s="7"/>
      <c r="E279" s="47"/>
      <c r="F279" s="46"/>
      <c r="G279" s="46"/>
      <c r="H279" s="7"/>
      <c r="I279" s="7"/>
      <c r="J279" s="47"/>
      <c r="K279" s="47"/>
      <c r="L279" s="47"/>
      <c r="M279" s="47"/>
      <c r="N279" s="10"/>
      <c r="O279" s="47"/>
      <c r="P279" s="47"/>
      <c r="Q279" s="47"/>
      <c r="R279" s="48" t="str">
        <f aca="false">IF(Q279="","",IF(Q279=0,"below 5:00",IF(Q279&gt;=66,"16:00 or above",INT((60+2*Q279)/12)&amp;":"&amp;TEXT(MOD(60+2*Q279,12),"00"))))</f>
        <v/>
      </c>
      <c r="S279" s="47"/>
      <c r="T279" s="47"/>
      <c r="U279" s="47"/>
      <c r="V279" s="47"/>
      <c r="W279" s="47"/>
      <c r="X279" s="47"/>
      <c r="Y279" s="47"/>
      <c r="Z279" s="47"/>
      <c r="AA279" s="47"/>
      <c r="AB279" s="47"/>
      <c r="AC279" s="47"/>
      <c r="AD279" s="47"/>
      <c r="AE279" s="47"/>
      <c r="AF279" s="47"/>
      <c r="AG279" s="47"/>
      <c r="AH279" s="47"/>
      <c r="AI279" s="46"/>
      <c r="AJ279" s="46"/>
      <c r="AK279" s="46"/>
      <c r="AL279" s="7"/>
      <c r="AM279" s="49" t="str">
        <f aca="false">IF(OR(C279="",G279=""),"",IFERROR(DATEDIF(C279,G279,"m"),""))</f>
        <v/>
      </c>
      <c r="AN279" s="49" t="str">
        <f aca="false">IF(OR(Q279="",AM279=""),"",60+2*Q279-AM279)</f>
        <v/>
      </c>
      <c r="AO279" s="49" t="str">
        <f aca="false">IF(OR(G279="",AJ279=""),"",AJ279-G279)</f>
        <v/>
      </c>
      <c r="AP279" s="50" t="str">
        <f aca="false">IF(AND(A279="",B279=""),"",IF(J279="","Status needed",IF(OR(J279="Applied",J279="Visit booked",J279="Withdrawn"),"OK",IF(G279="","Date assessed needed",IF(C279="","Date of birth needed",IF(COUNTA(L279,M279,P279,U279,V279,X279,AB279)&lt;7,"Band missing",IF(AND(OR(J279="Decision confirmed",J279="Family told",J279="Enrolled"),AG279=""),"Recommendation needed",IF(AND(OR(J279="Family told",J279="Enrolled"),AJ279=""),"Date family told needed","OK"))))))))</f>
        <v/>
      </c>
    </row>
    <row r="280" customFormat="false" ht="15" hidden="false" customHeight="false" outlineLevel="0" collapsed="false">
      <c r="A280" s="7"/>
      <c r="B280" s="7"/>
      <c r="C280" s="46"/>
      <c r="D280" s="7"/>
      <c r="E280" s="47"/>
      <c r="F280" s="46"/>
      <c r="G280" s="46"/>
      <c r="H280" s="7"/>
      <c r="I280" s="7"/>
      <c r="J280" s="47"/>
      <c r="K280" s="47"/>
      <c r="L280" s="47"/>
      <c r="M280" s="47"/>
      <c r="N280" s="10"/>
      <c r="O280" s="47"/>
      <c r="P280" s="47"/>
      <c r="Q280" s="47"/>
      <c r="R280" s="48" t="str">
        <f aca="false">IF(Q280="","",IF(Q280=0,"below 5:00",IF(Q280&gt;=66,"16:00 or above",INT((60+2*Q280)/12)&amp;":"&amp;TEXT(MOD(60+2*Q280,12),"00"))))</f>
        <v/>
      </c>
      <c r="S280" s="47"/>
      <c r="T280" s="47"/>
      <c r="U280" s="47"/>
      <c r="V280" s="47"/>
      <c r="W280" s="47"/>
      <c r="X280" s="47"/>
      <c r="Y280" s="47"/>
      <c r="Z280" s="47"/>
      <c r="AA280" s="47"/>
      <c r="AB280" s="47"/>
      <c r="AC280" s="47"/>
      <c r="AD280" s="47"/>
      <c r="AE280" s="47"/>
      <c r="AF280" s="47"/>
      <c r="AG280" s="47"/>
      <c r="AH280" s="47"/>
      <c r="AI280" s="46"/>
      <c r="AJ280" s="46"/>
      <c r="AK280" s="46"/>
      <c r="AL280" s="7"/>
      <c r="AM280" s="49" t="str">
        <f aca="false">IF(OR(C280="",G280=""),"",IFERROR(DATEDIF(C280,G280,"m"),""))</f>
        <v/>
      </c>
      <c r="AN280" s="49" t="str">
        <f aca="false">IF(OR(Q280="",AM280=""),"",60+2*Q280-AM280)</f>
        <v/>
      </c>
      <c r="AO280" s="49" t="str">
        <f aca="false">IF(OR(G280="",AJ280=""),"",AJ280-G280)</f>
        <v/>
      </c>
      <c r="AP280" s="50" t="str">
        <f aca="false">IF(AND(A280="",B280=""),"",IF(J280="","Status needed",IF(OR(J280="Applied",J280="Visit booked",J280="Withdrawn"),"OK",IF(G280="","Date assessed needed",IF(C280="","Date of birth needed",IF(COUNTA(L280,M280,P280,U280,V280,X280,AB280)&lt;7,"Band missing",IF(AND(OR(J280="Decision confirmed",J280="Family told",J280="Enrolled"),AG280=""),"Recommendation needed",IF(AND(OR(J280="Family told",J280="Enrolled"),AJ280=""),"Date family told needed","OK"))))))))</f>
        <v/>
      </c>
    </row>
    <row r="281" customFormat="false" ht="15" hidden="false" customHeight="false" outlineLevel="0" collapsed="false">
      <c r="A281" s="7"/>
      <c r="B281" s="7"/>
      <c r="C281" s="46"/>
      <c r="D281" s="7"/>
      <c r="E281" s="47"/>
      <c r="F281" s="46"/>
      <c r="G281" s="46"/>
      <c r="H281" s="7"/>
      <c r="I281" s="7"/>
      <c r="J281" s="47"/>
      <c r="K281" s="47"/>
      <c r="L281" s="47"/>
      <c r="M281" s="47"/>
      <c r="N281" s="10"/>
      <c r="O281" s="47"/>
      <c r="P281" s="47"/>
      <c r="Q281" s="47"/>
      <c r="R281" s="48" t="str">
        <f aca="false">IF(Q281="","",IF(Q281=0,"below 5:00",IF(Q281&gt;=66,"16:00 or above",INT((60+2*Q281)/12)&amp;":"&amp;TEXT(MOD(60+2*Q281,12),"00"))))</f>
        <v/>
      </c>
      <c r="S281" s="47"/>
      <c r="T281" s="47"/>
      <c r="U281" s="47"/>
      <c r="V281" s="47"/>
      <c r="W281" s="47"/>
      <c r="X281" s="47"/>
      <c r="Y281" s="47"/>
      <c r="Z281" s="47"/>
      <c r="AA281" s="47"/>
      <c r="AB281" s="47"/>
      <c r="AC281" s="47"/>
      <c r="AD281" s="47"/>
      <c r="AE281" s="47"/>
      <c r="AF281" s="47"/>
      <c r="AG281" s="47"/>
      <c r="AH281" s="47"/>
      <c r="AI281" s="46"/>
      <c r="AJ281" s="46"/>
      <c r="AK281" s="46"/>
      <c r="AL281" s="7"/>
      <c r="AM281" s="49" t="str">
        <f aca="false">IF(OR(C281="",G281=""),"",IFERROR(DATEDIF(C281,G281,"m"),""))</f>
        <v/>
      </c>
      <c r="AN281" s="49" t="str">
        <f aca="false">IF(OR(Q281="",AM281=""),"",60+2*Q281-AM281)</f>
        <v/>
      </c>
      <c r="AO281" s="49" t="str">
        <f aca="false">IF(OR(G281="",AJ281=""),"",AJ281-G281)</f>
        <v/>
      </c>
      <c r="AP281" s="50" t="str">
        <f aca="false">IF(AND(A281="",B281=""),"",IF(J281="","Status needed",IF(OR(J281="Applied",J281="Visit booked",J281="Withdrawn"),"OK",IF(G281="","Date assessed needed",IF(C281="","Date of birth needed",IF(COUNTA(L281,M281,P281,U281,V281,X281,AB281)&lt;7,"Band missing",IF(AND(OR(J281="Decision confirmed",J281="Family told",J281="Enrolled"),AG281=""),"Recommendation needed",IF(AND(OR(J281="Family told",J281="Enrolled"),AJ281=""),"Date family told needed","OK"))))))))</f>
        <v/>
      </c>
    </row>
    <row r="282" customFormat="false" ht="15" hidden="false" customHeight="false" outlineLevel="0" collapsed="false">
      <c r="A282" s="7"/>
      <c r="B282" s="7"/>
      <c r="C282" s="46"/>
      <c r="D282" s="7"/>
      <c r="E282" s="47"/>
      <c r="F282" s="46"/>
      <c r="G282" s="46"/>
      <c r="H282" s="7"/>
      <c r="I282" s="7"/>
      <c r="J282" s="47"/>
      <c r="K282" s="47"/>
      <c r="L282" s="47"/>
      <c r="M282" s="47"/>
      <c r="N282" s="10"/>
      <c r="O282" s="47"/>
      <c r="P282" s="47"/>
      <c r="Q282" s="47"/>
      <c r="R282" s="48" t="str">
        <f aca="false">IF(Q282="","",IF(Q282=0,"below 5:00",IF(Q282&gt;=66,"16:00 or above",INT((60+2*Q282)/12)&amp;":"&amp;TEXT(MOD(60+2*Q282,12),"00"))))</f>
        <v/>
      </c>
      <c r="S282" s="47"/>
      <c r="T282" s="47"/>
      <c r="U282" s="47"/>
      <c r="V282" s="47"/>
      <c r="W282" s="47"/>
      <c r="X282" s="47"/>
      <c r="Y282" s="47"/>
      <c r="Z282" s="47"/>
      <c r="AA282" s="47"/>
      <c r="AB282" s="47"/>
      <c r="AC282" s="47"/>
      <c r="AD282" s="47"/>
      <c r="AE282" s="47"/>
      <c r="AF282" s="47"/>
      <c r="AG282" s="47"/>
      <c r="AH282" s="47"/>
      <c r="AI282" s="46"/>
      <c r="AJ282" s="46"/>
      <c r="AK282" s="46"/>
      <c r="AL282" s="7"/>
      <c r="AM282" s="49" t="str">
        <f aca="false">IF(OR(C282="",G282=""),"",IFERROR(DATEDIF(C282,G282,"m"),""))</f>
        <v/>
      </c>
      <c r="AN282" s="49" t="str">
        <f aca="false">IF(OR(Q282="",AM282=""),"",60+2*Q282-AM282)</f>
        <v/>
      </c>
      <c r="AO282" s="49" t="str">
        <f aca="false">IF(OR(G282="",AJ282=""),"",AJ282-G282)</f>
        <v/>
      </c>
      <c r="AP282" s="50" t="str">
        <f aca="false">IF(AND(A282="",B282=""),"",IF(J282="","Status needed",IF(OR(J282="Applied",J282="Visit booked",J282="Withdrawn"),"OK",IF(G282="","Date assessed needed",IF(C282="","Date of birth needed",IF(COUNTA(L282,M282,P282,U282,V282,X282,AB282)&lt;7,"Band missing",IF(AND(OR(J282="Decision confirmed",J282="Family told",J282="Enrolled"),AG282=""),"Recommendation needed",IF(AND(OR(J282="Family told",J282="Enrolled"),AJ282=""),"Date family told needed","OK"))))))))</f>
        <v/>
      </c>
    </row>
    <row r="283" customFormat="false" ht="15" hidden="false" customHeight="false" outlineLevel="0" collapsed="false">
      <c r="A283" s="7"/>
      <c r="B283" s="7"/>
      <c r="C283" s="46"/>
      <c r="D283" s="7"/>
      <c r="E283" s="47"/>
      <c r="F283" s="46"/>
      <c r="G283" s="46"/>
      <c r="H283" s="7"/>
      <c r="I283" s="7"/>
      <c r="J283" s="47"/>
      <c r="K283" s="47"/>
      <c r="L283" s="47"/>
      <c r="M283" s="47"/>
      <c r="N283" s="10"/>
      <c r="O283" s="47"/>
      <c r="P283" s="47"/>
      <c r="Q283" s="47"/>
      <c r="R283" s="48" t="str">
        <f aca="false">IF(Q283="","",IF(Q283=0,"below 5:00",IF(Q283&gt;=66,"16:00 or above",INT((60+2*Q283)/12)&amp;":"&amp;TEXT(MOD(60+2*Q283,12),"00"))))</f>
        <v/>
      </c>
      <c r="S283" s="47"/>
      <c r="T283" s="47"/>
      <c r="U283" s="47"/>
      <c r="V283" s="47"/>
      <c r="W283" s="47"/>
      <c r="X283" s="47"/>
      <c r="Y283" s="47"/>
      <c r="Z283" s="47"/>
      <c r="AA283" s="47"/>
      <c r="AB283" s="47"/>
      <c r="AC283" s="47"/>
      <c r="AD283" s="47"/>
      <c r="AE283" s="47"/>
      <c r="AF283" s="47"/>
      <c r="AG283" s="47"/>
      <c r="AH283" s="47"/>
      <c r="AI283" s="46"/>
      <c r="AJ283" s="46"/>
      <c r="AK283" s="46"/>
      <c r="AL283" s="7"/>
      <c r="AM283" s="49" t="str">
        <f aca="false">IF(OR(C283="",G283=""),"",IFERROR(DATEDIF(C283,G283,"m"),""))</f>
        <v/>
      </c>
      <c r="AN283" s="49" t="str">
        <f aca="false">IF(OR(Q283="",AM283=""),"",60+2*Q283-AM283)</f>
        <v/>
      </c>
      <c r="AO283" s="49" t="str">
        <f aca="false">IF(OR(G283="",AJ283=""),"",AJ283-G283)</f>
        <v/>
      </c>
      <c r="AP283" s="50" t="str">
        <f aca="false">IF(AND(A283="",B283=""),"",IF(J283="","Status needed",IF(OR(J283="Applied",J283="Visit booked",J283="Withdrawn"),"OK",IF(G283="","Date assessed needed",IF(C283="","Date of birth needed",IF(COUNTA(L283,M283,P283,U283,V283,X283,AB283)&lt;7,"Band missing",IF(AND(OR(J283="Decision confirmed",J283="Family told",J283="Enrolled"),AG283=""),"Recommendation needed",IF(AND(OR(J283="Family told",J283="Enrolled"),AJ283=""),"Date family told needed","OK"))))))))</f>
        <v/>
      </c>
    </row>
    <row r="284" customFormat="false" ht="15" hidden="false" customHeight="false" outlineLevel="0" collapsed="false">
      <c r="A284" s="7"/>
      <c r="B284" s="7"/>
      <c r="C284" s="46"/>
      <c r="D284" s="7"/>
      <c r="E284" s="47"/>
      <c r="F284" s="46"/>
      <c r="G284" s="46"/>
      <c r="H284" s="7"/>
      <c r="I284" s="7"/>
      <c r="J284" s="47"/>
      <c r="K284" s="47"/>
      <c r="L284" s="47"/>
      <c r="M284" s="47"/>
      <c r="N284" s="10"/>
      <c r="O284" s="47"/>
      <c r="P284" s="47"/>
      <c r="Q284" s="47"/>
      <c r="R284" s="48" t="str">
        <f aca="false">IF(Q284="","",IF(Q284=0,"below 5:00",IF(Q284&gt;=66,"16:00 or above",INT((60+2*Q284)/12)&amp;":"&amp;TEXT(MOD(60+2*Q284,12),"00"))))</f>
        <v/>
      </c>
      <c r="S284" s="47"/>
      <c r="T284" s="47"/>
      <c r="U284" s="47"/>
      <c r="V284" s="47"/>
      <c r="W284" s="47"/>
      <c r="X284" s="47"/>
      <c r="Y284" s="47"/>
      <c r="Z284" s="47"/>
      <c r="AA284" s="47"/>
      <c r="AB284" s="47"/>
      <c r="AC284" s="47"/>
      <c r="AD284" s="47"/>
      <c r="AE284" s="47"/>
      <c r="AF284" s="47"/>
      <c r="AG284" s="47"/>
      <c r="AH284" s="47"/>
      <c r="AI284" s="46"/>
      <c r="AJ284" s="46"/>
      <c r="AK284" s="46"/>
      <c r="AL284" s="7"/>
      <c r="AM284" s="49" t="str">
        <f aca="false">IF(OR(C284="",G284=""),"",IFERROR(DATEDIF(C284,G284,"m"),""))</f>
        <v/>
      </c>
      <c r="AN284" s="49" t="str">
        <f aca="false">IF(OR(Q284="",AM284=""),"",60+2*Q284-AM284)</f>
        <v/>
      </c>
      <c r="AO284" s="49" t="str">
        <f aca="false">IF(OR(G284="",AJ284=""),"",AJ284-G284)</f>
        <v/>
      </c>
      <c r="AP284" s="50" t="str">
        <f aca="false">IF(AND(A284="",B284=""),"",IF(J284="","Status needed",IF(OR(J284="Applied",J284="Visit booked",J284="Withdrawn"),"OK",IF(G284="","Date assessed needed",IF(C284="","Date of birth needed",IF(COUNTA(L284,M284,P284,U284,V284,X284,AB284)&lt;7,"Band missing",IF(AND(OR(J284="Decision confirmed",J284="Family told",J284="Enrolled"),AG284=""),"Recommendation needed",IF(AND(OR(J284="Family told",J284="Enrolled"),AJ284=""),"Date family told needed","OK"))))))))</f>
        <v/>
      </c>
    </row>
    <row r="285" customFormat="false" ht="15" hidden="false" customHeight="false" outlineLevel="0" collapsed="false">
      <c r="A285" s="7"/>
      <c r="B285" s="7"/>
      <c r="C285" s="46"/>
      <c r="D285" s="7"/>
      <c r="E285" s="47"/>
      <c r="F285" s="46"/>
      <c r="G285" s="46"/>
      <c r="H285" s="7"/>
      <c r="I285" s="7"/>
      <c r="J285" s="47"/>
      <c r="K285" s="47"/>
      <c r="L285" s="47"/>
      <c r="M285" s="47"/>
      <c r="N285" s="10"/>
      <c r="O285" s="47"/>
      <c r="P285" s="47"/>
      <c r="Q285" s="47"/>
      <c r="R285" s="48" t="str">
        <f aca="false">IF(Q285="","",IF(Q285=0,"below 5:00",IF(Q285&gt;=66,"16:00 or above",INT((60+2*Q285)/12)&amp;":"&amp;TEXT(MOD(60+2*Q285,12),"00"))))</f>
        <v/>
      </c>
      <c r="S285" s="47"/>
      <c r="T285" s="47"/>
      <c r="U285" s="47"/>
      <c r="V285" s="47"/>
      <c r="W285" s="47"/>
      <c r="X285" s="47"/>
      <c r="Y285" s="47"/>
      <c r="Z285" s="47"/>
      <c r="AA285" s="47"/>
      <c r="AB285" s="47"/>
      <c r="AC285" s="47"/>
      <c r="AD285" s="47"/>
      <c r="AE285" s="47"/>
      <c r="AF285" s="47"/>
      <c r="AG285" s="47"/>
      <c r="AH285" s="47"/>
      <c r="AI285" s="46"/>
      <c r="AJ285" s="46"/>
      <c r="AK285" s="46"/>
      <c r="AL285" s="7"/>
      <c r="AM285" s="49" t="str">
        <f aca="false">IF(OR(C285="",G285=""),"",IFERROR(DATEDIF(C285,G285,"m"),""))</f>
        <v/>
      </c>
      <c r="AN285" s="49" t="str">
        <f aca="false">IF(OR(Q285="",AM285=""),"",60+2*Q285-AM285)</f>
        <v/>
      </c>
      <c r="AO285" s="49" t="str">
        <f aca="false">IF(OR(G285="",AJ285=""),"",AJ285-G285)</f>
        <v/>
      </c>
      <c r="AP285" s="50" t="str">
        <f aca="false">IF(AND(A285="",B285=""),"",IF(J285="","Status needed",IF(OR(J285="Applied",J285="Visit booked",J285="Withdrawn"),"OK",IF(G285="","Date assessed needed",IF(C285="","Date of birth needed",IF(COUNTA(L285,M285,P285,U285,V285,X285,AB285)&lt;7,"Band missing",IF(AND(OR(J285="Decision confirmed",J285="Family told",J285="Enrolled"),AG285=""),"Recommendation needed",IF(AND(OR(J285="Family told",J285="Enrolled"),AJ285=""),"Date family told needed","OK"))))))))</f>
        <v/>
      </c>
    </row>
    <row r="286" customFormat="false" ht="15" hidden="false" customHeight="false" outlineLevel="0" collapsed="false">
      <c r="A286" s="7"/>
      <c r="B286" s="7"/>
      <c r="C286" s="46"/>
      <c r="D286" s="7"/>
      <c r="E286" s="47"/>
      <c r="F286" s="46"/>
      <c r="G286" s="46"/>
      <c r="H286" s="7"/>
      <c r="I286" s="7"/>
      <c r="J286" s="47"/>
      <c r="K286" s="47"/>
      <c r="L286" s="47"/>
      <c r="M286" s="47"/>
      <c r="N286" s="10"/>
      <c r="O286" s="47"/>
      <c r="P286" s="47"/>
      <c r="Q286" s="47"/>
      <c r="R286" s="48" t="str">
        <f aca="false">IF(Q286="","",IF(Q286=0,"below 5:00",IF(Q286&gt;=66,"16:00 or above",INT((60+2*Q286)/12)&amp;":"&amp;TEXT(MOD(60+2*Q286,12),"00"))))</f>
        <v/>
      </c>
      <c r="S286" s="47"/>
      <c r="T286" s="47"/>
      <c r="U286" s="47"/>
      <c r="V286" s="47"/>
      <c r="W286" s="47"/>
      <c r="X286" s="47"/>
      <c r="Y286" s="47"/>
      <c r="Z286" s="47"/>
      <c r="AA286" s="47"/>
      <c r="AB286" s="47"/>
      <c r="AC286" s="47"/>
      <c r="AD286" s="47"/>
      <c r="AE286" s="47"/>
      <c r="AF286" s="47"/>
      <c r="AG286" s="47"/>
      <c r="AH286" s="47"/>
      <c r="AI286" s="46"/>
      <c r="AJ286" s="46"/>
      <c r="AK286" s="46"/>
      <c r="AL286" s="7"/>
      <c r="AM286" s="49" t="str">
        <f aca="false">IF(OR(C286="",G286=""),"",IFERROR(DATEDIF(C286,G286,"m"),""))</f>
        <v/>
      </c>
      <c r="AN286" s="49" t="str">
        <f aca="false">IF(OR(Q286="",AM286=""),"",60+2*Q286-AM286)</f>
        <v/>
      </c>
      <c r="AO286" s="49" t="str">
        <f aca="false">IF(OR(G286="",AJ286=""),"",AJ286-G286)</f>
        <v/>
      </c>
      <c r="AP286" s="50" t="str">
        <f aca="false">IF(AND(A286="",B286=""),"",IF(J286="","Status needed",IF(OR(J286="Applied",J286="Visit booked",J286="Withdrawn"),"OK",IF(G286="","Date assessed needed",IF(C286="","Date of birth needed",IF(COUNTA(L286,M286,P286,U286,V286,X286,AB286)&lt;7,"Band missing",IF(AND(OR(J286="Decision confirmed",J286="Family told",J286="Enrolled"),AG286=""),"Recommendation needed",IF(AND(OR(J286="Family told",J286="Enrolled"),AJ286=""),"Date family told needed","OK"))))))))</f>
        <v/>
      </c>
    </row>
    <row r="287" customFormat="false" ht="15" hidden="false" customHeight="false" outlineLevel="0" collapsed="false">
      <c r="A287" s="7"/>
      <c r="B287" s="7"/>
      <c r="C287" s="46"/>
      <c r="D287" s="7"/>
      <c r="E287" s="47"/>
      <c r="F287" s="46"/>
      <c r="G287" s="46"/>
      <c r="H287" s="7"/>
      <c r="I287" s="7"/>
      <c r="J287" s="47"/>
      <c r="K287" s="47"/>
      <c r="L287" s="47"/>
      <c r="M287" s="47"/>
      <c r="N287" s="10"/>
      <c r="O287" s="47"/>
      <c r="P287" s="47"/>
      <c r="Q287" s="47"/>
      <c r="R287" s="48" t="str">
        <f aca="false">IF(Q287="","",IF(Q287=0,"below 5:00",IF(Q287&gt;=66,"16:00 or above",INT((60+2*Q287)/12)&amp;":"&amp;TEXT(MOD(60+2*Q287,12),"00"))))</f>
        <v/>
      </c>
      <c r="S287" s="47"/>
      <c r="T287" s="47"/>
      <c r="U287" s="47"/>
      <c r="V287" s="47"/>
      <c r="W287" s="47"/>
      <c r="X287" s="47"/>
      <c r="Y287" s="47"/>
      <c r="Z287" s="47"/>
      <c r="AA287" s="47"/>
      <c r="AB287" s="47"/>
      <c r="AC287" s="47"/>
      <c r="AD287" s="47"/>
      <c r="AE287" s="47"/>
      <c r="AF287" s="47"/>
      <c r="AG287" s="47"/>
      <c r="AH287" s="47"/>
      <c r="AI287" s="46"/>
      <c r="AJ287" s="46"/>
      <c r="AK287" s="46"/>
      <c r="AL287" s="7"/>
      <c r="AM287" s="49" t="str">
        <f aca="false">IF(OR(C287="",G287=""),"",IFERROR(DATEDIF(C287,G287,"m"),""))</f>
        <v/>
      </c>
      <c r="AN287" s="49" t="str">
        <f aca="false">IF(OR(Q287="",AM287=""),"",60+2*Q287-AM287)</f>
        <v/>
      </c>
      <c r="AO287" s="49" t="str">
        <f aca="false">IF(OR(G287="",AJ287=""),"",AJ287-G287)</f>
        <v/>
      </c>
      <c r="AP287" s="50" t="str">
        <f aca="false">IF(AND(A287="",B287=""),"",IF(J287="","Status needed",IF(OR(J287="Applied",J287="Visit booked",J287="Withdrawn"),"OK",IF(G287="","Date assessed needed",IF(C287="","Date of birth needed",IF(COUNTA(L287,M287,P287,U287,V287,X287,AB287)&lt;7,"Band missing",IF(AND(OR(J287="Decision confirmed",J287="Family told",J287="Enrolled"),AG287=""),"Recommendation needed",IF(AND(OR(J287="Family told",J287="Enrolled"),AJ287=""),"Date family told needed","OK"))))))))</f>
        <v/>
      </c>
    </row>
    <row r="288" customFormat="false" ht="15" hidden="false" customHeight="false" outlineLevel="0" collapsed="false">
      <c r="A288" s="7"/>
      <c r="B288" s="7"/>
      <c r="C288" s="46"/>
      <c r="D288" s="7"/>
      <c r="E288" s="47"/>
      <c r="F288" s="46"/>
      <c r="G288" s="46"/>
      <c r="H288" s="7"/>
      <c r="I288" s="7"/>
      <c r="J288" s="47"/>
      <c r="K288" s="47"/>
      <c r="L288" s="47"/>
      <c r="M288" s="47"/>
      <c r="N288" s="10"/>
      <c r="O288" s="47"/>
      <c r="P288" s="47"/>
      <c r="Q288" s="47"/>
      <c r="R288" s="48" t="str">
        <f aca="false">IF(Q288="","",IF(Q288=0,"below 5:00",IF(Q288&gt;=66,"16:00 or above",INT((60+2*Q288)/12)&amp;":"&amp;TEXT(MOD(60+2*Q288,12),"00"))))</f>
        <v/>
      </c>
      <c r="S288" s="47"/>
      <c r="T288" s="47"/>
      <c r="U288" s="47"/>
      <c r="V288" s="47"/>
      <c r="W288" s="47"/>
      <c r="X288" s="47"/>
      <c r="Y288" s="47"/>
      <c r="Z288" s="47"/>
      <c r="AA288" s="47"/>
      <c r="AB288" s="47"/>
      <c r="AC288" s="47"/>
      <c r="AD288" s="47"/>
      <c r="AE288" s="47"/>
      <c r="AF288" s="47"/>
      <c r="AG288" s="47"/>
      <c r="AH288" s="47"/>
      <c r="AI288" s="46"/>
      <c r="AJ288" s="46"/>
      <c r="AK288" s="46"/>
      <c r="AL288" s="7"/>
      <c r="AM288" s="49" t="str">
        <f aca="false">IF(OR(C288="",G288=""),"",IFERROR(DATEDIF(C288,G288,"m"),""))</f>
        <v/>
      </c>
      <c r="AN288" s="49" t="str">
        <f aca="false">IF(OR(Q288="",AM288=""),"",60+2*Q288-AM288)</f>
        <v/>
      </c>
      <c r="AO288" s="49" t="str">
        <f aca="false">IF(OR(G288="",AJ288=""),"",AJ288-G288)</f>
        <v/>
      </c>
      <c r="AP288" s="50" t="str">
        <f aca="false">IF(AND(A288="",B288=""),"",IF(J288="","Status needed",IF(OR(J288="Applied",J288="Visit booked",J288="Withdrawn"),"OK",IF(G288="","Date assessed needed",IF(C288="","Date of birth needed",IF(COUNTA(L288,M288,P288,U288,V288,X288,AB288)&lt;7,"Band missing",IF(AND(OR(J288="Decision confirmed",J288="Family told",J288="Enrolled"),AG288=""),"Recommendation needed",IF(AND(OR(J288="Family told",J288="Enrolled"),AJ288=""),"Date family told needed","OK"))))))))</f>
        <v/>
      </c>
    </row>
    <row r="289" customFormat="false" ht="15" hidden="false" customHeight="false" outlineLevel="0" collapsed="false">
      <c r="A289" s="7"/>
      <c r="B289" s="7"/>
      <c r="C289" s="46"/>
      <c r="D289" s="7"/>
      <c r="E289" s="47"/>
      <c r="F289" s="46"/>
      <c r="G289" s="46"/>
      <c r="H289" s="7"/>
      <c r="I289" s="7"/>
      <c r="J289" s="47"/>
      <c r="K289" s="47"/>
      <c r="L289" s="47"/>
      <c r="M289" s="47"/>
      <c r="N289" s="10"/>
      <c r="O289" s="47"/>
      <c r="P289" s="47"/>
      <c r="Q289" s="47"/>
      <c r="R289" s="48" t="str">
        <f aca="false">IF(Q289="","",IF(Q289=0,"below 5:00",IF(Q289&gt;=66,"16:00 or above",INT((60+2*Q289)/12)&amp;":"&amp;TEXT(MOD(60+2*Q289,12),"00"))))</f>
        <v/>
      </c>
      <c r="S289" s="47"/>
      <c r="T289" s="47"/>
      <c r="U289" s="47"/>
      <c r="V289" s="47"/>
      <c r="W289" s="47"/>
      <c r="X289" s="47"/>
      <c r="Y289" s="47"/>
      <c r="Z289" s="47"/>
      <c r="AA289" s="47"/>
      <c r="AB289" s="47"/>
      <c r="AC289" s="47"/>
      <c r="AD289" s="47"/>
      <c r="AE289" s="47"/>
      <c r="AF289" s="47"/>
      <c r="AG289" s="47"/>
      <c r="AH289" s="47"/>
      <c r="AI289" s="46"/>
      <c r="AJ289" s="46"/>
      <c r="AK289" s="46"/>
      <c r="AL289" s="7"/>
      <c r="AM289" s="49" t="str">
        <f aca="false">IF(OR(C289="",G289=""),"",IFERROR(DATEDIF(C289,G289,"m"),""))</f>
        <v/>
      </c>
      <c r="AN289" s="49" t="str">
        <f aca="false">IF(OR(Q289="",AM289=""),"",60+2*Q289-AM289)</f>
        <v/>
      </c>
      <c r="AO289" s="49" t="str">
        <f aca="false">IF(OR(G289="",AJ289=""),"",AJ289-G289)</f>
        <v/>
      </c>
      <c r="AP289" s="50" t="str">
        <f aca="false">IF(AND(A289="",B289=""),"",IF(J289="","Status needed",IF(OR(J289="Applied",J289="Visit booked",J289="Withdrawn"),"OK",IF(G289="","Date assessed needed",IF(C289="","Date of birth needed",IF(COUNTA(L289,M289,P289,U289,V289,X289,AB289)&lt;7,"Band missing",IF(AND(OR(J289="Decision confirmed",J289="Family told",J289="Enrolled"),AG289=""),"Recommendation needed",IF(AND(OR(J289="Family told",J289="Enrolled"),AJ289=""),"Date family told needed","OK"))))))))</f>
        <v/>
      </c>
    </row>
    <row r="290" customFormat="false" ht="15" hidden="false" customHeight="false" outlineLevel="0" collapsed="false">
      <c r="A290" s="7"/>
      <c r="B290" s="7"/>
      <c r="C290" s="46"/>
      <c r="D290" s="7"/>
      <c r="E290" s="47"/>
      <c r="F290" s="46"/>
      <c r="G290" s="46"/>
      <c r="H290" s="7"/>
      <c r="I290" s="7"/>
      <c r="J290" s="47"/>
      <c r="K290" s="47"/>
      <c r="L290" s="47"/>
      <c r="M290" s="47"/>
      <c r="N290" s="10"/>
      <c r="O290" s="47"/>
      <c r="P290" s="47"/>
      <c r="Q290" s="47"/>
      <c r="R290" s="48" t="str">
        <f aca="false">IF(Q290="","",IF(Q290=0,"below 5:00",IF(Q290&gt;=66,"16:00 or above",INT((60+2*Q290)/12)&amp;":"&amp;TEXT(MOD(60+2*Q290,12),"00"))))</f>
        <v/>
      </c>
      <c r="S290" s="47"/>
      <c r="T290" s="47"/>
      <c r="U290" s="47"/>
      <c r="V290" s="47"/>
      <c r="W290" s="47"/>
      <c r="X290" s="47"/>
      <c r="Y290" s="47"/>
      <c r="Z290" s="47"/>
      <c r="AA290" s="47"/>
      <c r="AB290" s="47"/>
      <c r="AC290" s="47"/>
      <c r="AD290" s="47"/>
      <c r="AE290" s="47"/>
      <c r="AF290" s="47"/>
      <c r="AG290" s="47"/>
      <c r="AH290" s="47"/>
      <c r="AI290" s="46"/>
      <c r="AJ290" s="46"/>
      <c r="AK290" s="46"/>
      <c r="AL290" s="7"/>
      <c r="AM290" s="49" t="str">
        <f aca="false">IF(OR(C290="",G290=""),"",IFERROR(DATEDIF(C290,G290,"m"),""))</f>
        <v/>
      </c>
      <c r="AN290" s="49" t="str">
        <f aca="false">IF(OR(Q290="",AM290=""),"",60+2*Q290-AM290)</f>
        <v/>
      </c>
      <c r="AO290" s="49" t="str">
        <f aca="false">IF(OR(G290="",AJ290=""),"",AJ290-G290)</f>
        <v/>
      </c>
      <c r="AP290" s="50" t="str">
        <f aca="false">IF(AND(A290="",B290=""),"",IF(J290="","Status needed",IF(OR(J290="Applied",J290="Visit booked",J290="Withdrawn"),"OK",IF(G290="","Date assessed needed",IF(C290="","Date of birth needed",IF(COUNTA(L290,M290,P290,U290,V290,X290,AB290)&lt;7,"Band missing",IF(AND(OR(J290="Decision confirmed",J290="Family told",J290="Enrolled"),AG290=""),"Recommendation needed",IF(AND(OR(J290="Family told",J290="Enrolled"),AJ290=""),"Date family told needed","OK"))))))))</f>
        <v/>
      </c>
    </row>
    <row r="291" customFormat="false" ht="15" hidden="false" customHeight="false" outlineLevel="0" collapsed="false">
      <c r="A291" s="7"/>
      <c r="B291" s="7"/>
      <c r="C291" s="46"/>
      <c r="D291" s="7"/>
      <c r="E291" s="47"/>
      <c r="F291" s="46"/>
      <c r="G291" s="46"/>
      <c r="H291" s="7"/>
      <c r="I291" s="7"/>
      <c r="J291" s="47"/>
      <c r="K291" s="47"/>
      <c r="L291" s="47"/>
      <c r="M291" s="47"/>
      <c r="N291" s="10"/>
      <c r="O291" s="47"/>
      <c r="P291" s="47"/>
      <c r="Q291" s="47"/>
      <c r="R291" s="48" t="str">
        <f aca="false">IF(Q291="","",IF(Q291=0,"below 5:00",IF(Q291&gt;=66,"16:00 or above",INT((60+2*Q291)/12)&amp;":"&amp;TEXT(MOD(60+2*Q291,12),"00"))))</f>
        <v/>
      </c>
      <c r="S291" s="47"/>
      <c r="T291" s="47"/>
      <c r="U291" s="47"/>
      <c r="V291" s="47"/>
      <c r="W291" s="47"/>
      <c r="X291" s="47"/>
      <c r="Y291" s="47"/>
      <c r="Z291" s="47"/>
      <c r="AA291" s="47"/>
      <c r="AB291" s="47"/>
      <c r="AC291" s="47"/>
      <c r="AD291" s="47"/>
      <c r="AE291" s="47"/>
      <c r="AF291" s="47"/>
      <c r="AG291" s="47"/>
      <c r="AH291" s="47"/>
      <c r="AI291" s="46"/>
      <c r="AJ291" s="46"/>
      <c r="AK291" s="46"/>
      <c r="AL291" s="7"/>
      <c r="AM291" s="49" t="str">
        <f aca="false">IF(OR(C291="",G291=""),"",IFERROR(DATEDIF(C291,G291,"m"),""))</f>
        <v/>
      </c>
      <c r="AN291" s="49" t="str">
        <f aca="false">IF(OR(Q291="",AM291=""),"",60+2*Q291-AM291)</f>
        <v/>
      </c>
      <c r="AO291" s="49" t="str">
        <f aca="false">IF(OR(G291="",AJ291=""),"",AJ291-G291)</f>
        <v/>
      </c>
      <c r="AP291" s="50" t="str">
        <f aca="false">IF(AND(A291="",B291=""),"",IF(J291="","Status needed",IF(OR(J291="Applied",J291="Visit booked",J291="Withdrawn"),"OK",IF(G291="","Date assessed needed",IF(C291="","Date of birth needed",IF(COUNTA(L291,M291,P291,U291,V291,X291,AB291)&lt;7,"Band missing",IF(AND(OR(J291="Decision confirmed",J291="Family told",J291="Enrolled"),AG291=""),"Recommendation needed",IF(AND(OR(J291="Family told",J291="Enrolled"),AJ291=""),"Date family told needed","OK"))))))))</f>
        <v/>
      </c>
    </row>
    <row r="292" customFormat="false" ht="15" hidden="false" customHeight="false" outlineLevel="0" collapsed="false">
      <c r="A292" s="7"/>
      <c r="B292" s="7"/>
      <c r="C292" s="46"/>
      <c r="D292" s="7"/>
      <c r="E292" s="47"/>
      <c r="F292" s="46"/>
      <c r="G292" s="46"/>
      <c r="H292" s="7"/>
      <c r="I292" s="7"/>
      <c r="J292" s="47"/>
      <c r="K292" s="47"/>
      <c r="L292" s="47"/>
      <c r="M292" s="47"/>
      <c r="N292" s="10"/>
      <c r="O292" s="47"/>
      <c r="P292" s="47"/>
      <c r="Q292" s="47"/>
      <c r="R292" s="48" t="str">
        <f aca="false">IF(Q292="","",IF(Q292=0,"below 5:00",IF(Q292&gt;=66,"16:00 or above",INT((60+2*Q292)/12)&amp;":"&amp;TEXT(MOD(60+2*Q292,12),"00"))))</f>
        <v/>
      </c>
      <c r="S292" s="47"/>
      <c r="T292" s="47"/>
      <c r="U292" s="47"/>
      <c r="V292" s="47"/>
      <c r="W292" s="47"/>
      <c r="X292" s="47"/>
      <c r="Y292" s="47"/>
      <c r="Z292" s="47"/>
      <c r="AA292" s="47"/>
      <c r="AB292" s="47"/>
      <c r="AC292" s="47"/>
      <c r="AD292" s="47"/>
      <c r="AE292" s="47"/>
      <c r="AF292" s="47"/>
      <c r="AG292" s="47"/>
      <c r="AH292" s="47"/>
      <c r="AI292" s="46"/>
      <c r="AJ292" s="46"/>
      <c r="AK292" s="46"/>
      <c r="AL292" s="7"/>
      <c r="AM292" s="49" t="str">
        <f aca="false">IF(OR(C292="",G292=""),"",IFERROR(DATEDIF(C292,G292,"m"),""))</f>
        <v/>
      </c>
      <c r="AN292" s="49" t="str">
        <f aca="false">IF(OR(Q292="",AM292=""),"",60+2*Q292-AM292)</f>
        <v/>
      </c>
      <c r="AO292" s="49" t="str">
        <f aca="false">IF(OR(G292="",AJ292=""),"",AJ292-G292)</f>
        <v/>
      </c>
      <c r="AP292" s="50" t="str">
        <f aca="false">IF(AND(A292="",B292=""),"",IF(J292="","Status needed",IF(OR(J292="Applied",J292="Visit booked",J292="Withdrawn"),"OK",IF(G292="","Date assessed needed",IF(C292="","Date of birth needed",IF(COUNTA(L292,M292,P292,U292,V292,X292,AB292)&lt;7,"Band missing",IF(AND(OR(J292="Decision confirmed",J292="Family told",J292="Enrolled"),AG292=""),"Recommendation needed",IF(AND(OR(J292="Family told",J292="Enrolled"),AJ292=""),"Date family told needed","OK"))))))))</f>
        <v/>
      </c>
    </row>
    <row r="293" customFormat="false" ht="15" hidden="false" customHeight="false" outlineLevel="0" collapsed="false">
      <c r="A293" s="7"/>
      <c r="B293" s="7"/>
      <c r="C293" s="46"/>
      <c r="D293" s="7"/>
      <c r="E293" s="47"/>
      <c r="F293" s="46"/>
      <c r="G293" s="46"/>
      <c r="H293" s="7"/>
      <c r="I293" s="7"/>
      <c r="J293" s="47"/>
      <c r="K293" s="47"/>
      <c r="L293" s="47"/>
      <c r="M293" s="47"/>
      <c r="N293" s="10"/>
      <c r="O293" s="47"/>
      <c r="P293" s="47"/>
      <c r="Q293" s="47"/>
      <c r="R293" s="48" t="str">
        <f aca="false">IF(Q293="","",IF(Q293=0,"below 5:00",IF(Q293&gt;=66,"16:00 or above",INT((60+2*Q293)/12)&amp;":"&amp;TEXT(MOD(60+2*Q293,12),"00"))))</f>
        <v/>
      </c>
      <c r="S293" s="47"/>
      <c r="T293" s="47"/>
      <c r="U293" s="47"/>
      <c r="V293" s="47"/>
      <c r="W293" s="47"/>
      <c r="X293" s="47"/>
      <c r="Y293" s="47"/>
      <c r="Z293" s="47"/>
      <c r="AA293" s="47"/>
      <c r="AB293" s="47"/>
      <c r="AC293" s="47"/>
      <c r="AD293" s="47"/>
      <c r="AE293" s="47"/>
      <c r="AF293" s="47"/>
      <c r="AG293" s="47"/>
      <c r="AH293" s="47"/>
      <c r="AI293" s="46"/>
      <c r="AJ293" s="46"/>
      <c r="AK293" s="46"/>
      <c r="AL293" s="7"/>
      <c r="AM293" s="49" t="str">
        <f aca="false">IF(OR(C293="",G293=""),"",IFERROR(DATEDIF(C293,G293,"m"),""))</f>
        <v/>
      </c>
      <c r="AN293" s="49" t="str">
        <f aca="false">IF(OR(Q293="",AM293=""),"",60+2*Q293-AM293)</f>
        <v/>
      </c>
      <c r="AO293" s="49" t="str">
        <f aca="false">IF(OR(G293="",AJ293=""),"",AJ293-G293)</f>
        <v/>
      </c>
      <c r="AP293" s="50" t="str">
        <f aca="false">IF(AND(A293="",B293=""),"",IF(J293="","Status needed",IF(OR(J293="Applied",J293="Visit booked",J293="Withdrawn"),"OK",IF(G293="","Date assessed needed",IF(C293="","Date of birth needed",IF(COUNTA(L293,M293,P293,U293,V293,X293,AB293)&lt;7,"Band missing",IF(AND(OR(J293="Decision confirmed",J293="Family told",J293="Enrolled"),AG293=""),"Recommendation needed",IF(AND(OR(J293="Family told",J293="Enrolled"),AJ293=""),"Date family told needed","OK"))))))))</f>
        <v/>
      </c>
    </row>
    <row r="294" customFormat="false" ht="15" hidden="false" customHeight="false" outlineLevel="0" collapsed="false">
      <c r="A294" s="7"/>
      <c r="B294" s="7"/>
      <c r="C294" s="46"/>
      <c r="D294" s="7"/>
      <c r="E294" s="47"/>
      <c r="F294" s="46"/>
      <c r="G294" s="46"/>
      <c r="H294" s="7"/>
      <c r="I294" s="7"/>
      <c r="J294" s="47"/>
      <c r="K294" s="47"/>
      <c r="L294" s="47"/>
      <c r="M294" s="47"/>
      <c r="N294" s="10"/>
      <c r="O294" s="47"/>
      <c r="P294" s="47"/>
      <c r="Q294" s="47"/>
      <c r="R294" s="48" t="str">
        <f aca="false">IF(Q294="","",IF(Q294=0,"below 5:00",IF(Q294&gt;=66,"16:00 or above",INT((60+2*Q294)/12)&amp;":"&amp;TEXT(MOD(60+2*Q294,12),"00"))))</f>
        <v/>
      </c>
      <c r="S294" s="47"/>
      <c r="T294" s="47"/>
      <c r="U294" s="47"/>
      <c r="V294" s="47"/>
      <c r="W294" s="47"/>
      <c r="X294" s="47"/>
      <c r="Y294" s="47"/>
      <c r="Z294" s="47"/>
      <c r="AA294" s="47"/>
      <c r="AB294" s="47"/>
      <c r="AC294" s="47"/>
      <c r="AD294" s="47"/>
      <c r="AE294" s="47"/>
      <c r="AF294" s="47"/>
      <c r="AG294" s="47"/>
      <c r="AH294" s="47"/>
      <c r="AI294" s="46"/>
      <c r="AJ294" s="46"/>
      <c r="AK294" s="46"/>
      <c r="AL294" s="7"/>
      <c r="AM294" s="49" t="str">
        <f aca="false">IF(OR(C294="",G294=""),"",IFERROR(DATEDIF(C294,G294,"m"),""))</f>
        <v/>
      </c>
      <c r="AN294" s="49" t="str">
        <f aca="false">IF(OR(Q294="",AM294=""),"",60+2*Q294-AM294)</f>
        <v/>
      </c>
      <c r="AO294" s="49" t="str">
        <f aca="false">IF(OR(G294="",AJ294=""),"",AJ294-G294)</f>
        <v/>
      </c>
      <c r="AP294" s="50" t="str">
        <f aca="false">IF(AND(A294="",B294=""),"",IF(J294="","Status needed",IF(OR(J294="Applied",J294="Visit booked",J294="Withdrawn"),"OK",IF(G294="","Date assessed needed",IF(C294="","Date of birth needed",IF(COUNTA(L294,M294,P294,U294,V294,X294,AB294)&lt;7,"Band missing",IF(AND(OR(J294="Decision confirmed",J294="Family told",J294="Enrolled"),AG294=""),"Recommendation needed",IF(AND(OR(J294="Family told",J294="Enrolled"),AJ294=""),"Date family told needed","OK"))))))))</f>
        <v/>
      </c>
    </row>
    <row r="295" customFormat="false" ht="15" hidden="false" customHeight="false" outlineLevel="0" collapsed="false">
      <c r="A295" s="7"/>
      <c r="B295" s="7"/>
      <c r="C295" s="46"/>
      <c r="D295" s="7"/>
      <c r="E295" s="47"/>
      <c r="F295" s="46"/>
      <c r="G295" s="46"/>
      <c r="H295" s="7"/>
      <c r="I295" s="7"/>
      <c r="J295" s="47"/>
      <c r="K295" s="47"/>
      <c r="L295" s="47"/>
      <c r="M295" s="47"/>
      <c r="N295" s="10"/>
      <c r="O295" s="47"/>
      <c r="P295" s="47"/>
      <c r="Q295" s="47"/>
      <c r="R295" s="48" t="str">
        <f aca="false">IF(Q295="","",IF(Q295=0,"below 5:00",IF(Q295&gt;=66,"16:00 or above",INT((60+2*Q295)/12)&amp;":"&amp;TEXT(MOD(60+2*Q295,12),"00"))))</f>
        <v/>
      </c>
      <c r="S295" s="47"/>
      <c r="T295" s="47"/>
      <c r="U295" s="47"/>
      <c r="V295" s="47"/>
      <c r="W295" s="47"/>
      <c r="X295" s="47"/>
      <c r="Y295" s="47"/>
      <c r="Z295" s="47"/>
      <c r="AA295" s="47"/>
      <c r="AB295" s="47"/>
      <c r="AC295" s="47"/>
      <c r="AD295" s="47"/>
      <c r="AE295" s="47"/>
      <c r="AF295" s="47"/>
      <c r="AG295" s="47"/>
      <c r="AH295" s="47"/>
      <c r="AI295" s="46"/>
      <c r="AJ295" s="46"/>
      <c r="AK295" s="46"/>
      <c r="AL295" s="7"/>
      <c r="AM295" s="49" t="str">
        <f aca="false">IF(OR(C295="",G295=""),"",IFERROR(DATEDIF(C295,G295,"m"),""))</f>
        <v/>
      </c>
      <c r="AN295" s="49" t="str">
        <f aca="false">IF(OR(Q295="",AM295=""),"",60+2*Q295-AM295)</f>
        <v/>
      </c>
      <c r="AO295" s="49" t="str">
        <f aca="false">IF(OR(G295="",AJ295=""),"",AJ295-G295)</f>
        <v/>
      </c>
      <c r="AP295" s="50" t="str">
        <f aca="false">IF(AND(A295="",B295=""),"",IF(J295="","Status needed",IF(OR(J295="Applied",J295="Visit booked",J295="Withdrawn"),"OK",IF(G295="","Date assessed needed",IF(C295="","Date of birth needed",IF(COUNTA(L295,M295,P295,U295,V295,X295,AB295)&lt;7,"Band missing",IF(AND(OR(J295="Decision confirmed",J295="Family told",J295="Enrolled"),AG295=""),"Recommendation needed",IF(AND(OR(J295="Family told",J295="Enrolled"),AJ295=""),"Date family told needed","OK"))))))))</f>
        <v/>
      </c>
    </row>
    <row r="296" customFormat="false" ht="15" hidden="false" customHeight="false" outlineLevel="0" collapsed="false">
      <c r="A296" s="7"/>
      <c r="B296" s="7"/>
      <c r="C296" s="46"/>
      <c r="D296" s="7"/>
      <c r="E296" s="47"/>
      <c r="F296" s="46"/>
      <c r="G296" s="46"/>
      <c r="H296" s="7"/>
      <c r="I296" s="7"/>
      <c r="J296" s="47"/>
      <c r="K296" s="47"/>
      <c r="L296" s="47"/>
      <c r="M296" s="47"/>
      <c r="N296" s="10"/>
      <c r="O296" s="47"/>
      <c r="P296" s="47"/>
      <c r="Q296" s="47"/>
      <c r="R296" s="48" t="str">
        <f aca="false">IF(Q296="","",IF(Q296=0,"below 5:00",IF(Q296&gt;=66,"16:00 or above",INT((60+2*Q296)/12)&amp;":"&amp;TEXT(MOD(60+2*Q296,12),"00"))))</f>
        <v/>
      </c>
      <c r="S296" s="47"/>
      <c r="T296" s="47"/>
      <c r="U296" s="47"/>
      <c r="V296" s="47"/>
      <c r="W296" s="47"/>
      <c r="X296" s="47"/>
      <c r="Y296" s="47"/>
      <c r="Z296" s="47"/>
      <c r="AA296" s="47"/>
      <c r="AB296" s="47"/>
      <c r="AC296" s="47"/>
      <c r="AD296" s="47"/>
      <c r="AE296" s="47"/>
      <c r="AF296" s="47"/>
      <c r="AG296" s="47"/>
      <c r="AH296" s="47"/>
      <c r="AI296" s="46"/>
      <c r="AJ296" s="46"/>
      <c r="AK296" s="46"/>
      <c r="AL296" s="7"/>
      <c r="AM296" s="49" t="str">
        <f aca="false">IF(OR(C296="",G296=""),"",IFERROR(DATEDIF(C296,G296,"m"),""))</f>
        <v/>
      </c>
      <c r="AN296" s="49" t="str">
        <f aca="false">IF(OR(Q296="",AM296=""),"",60+2*Q296-AM296)</f>
        <v/>
      </c>
      <c r="AO296" s="49" t="str">
        <f aca="false">IF(OR(G296="",AJ296=""),"",AJ296-G296)</f>
        <v/>
      </c>
      <c r="AP296" s="50" t="str">
        <f aca="false">IF(AND(A296="",B296=""),"",IF(J296="","Status needed",IF(OR(J296="Applied",J296="Visit booked",J296="Withdrawn"),"OK",IF(G296="","Date assessed needed",IF(C296="","Date of birth needed",IF(COUNTA(L296,M296,P296,U296,V296,X296,AB296)&lt;7,"Band missing",IF(AND(OR(J296="Decision confirmed",J296="Family told",J296="Enrolled"),AG296=""),"Recommendation needed",IF(AND(OR(J296="Family told",J296="Enrolled"),AJ296=""),"Date family told needed","OK"))))))))</f>
        <v/>
      </c>
    </row>
    <row r="297" customFormat="false" ht="15" hidden="false" customHeight="false" outlineLevel="0" collapsed="false">
      <c r="A297" s="7"/>
      <c r="B297" s="7"/>
      <c r="C297" s="46"/>
      <c r="D297" s="7"/>
      <c r="E297" s="47"/>
      <c r="F297" s="46"/>
      <c r="G297" s="46"/>
      <c r="H297" s="7"/>
      <c r="I297" s="7"/>
      <c r="J297" s="47"/>
      <c r="K297" s="47"/>
      <c r="L297" s="47"/>
      <c r="M297" s="47"/>
      <c r="N297" s="10"/>
      <c r="O297" s="47"/>
      <c r="P297" s="47"/>
      <c r="Q297" s="47"/>
      <c r="R297" s="48" t="str">
        <f aca="false">IF(Q297="","",IF(Q297=0,"below 5:00",IF(Q297&gt;=66,"16:00 or above",INT((60+2*Q297)/12)&amp;":"&amp;TEXT(MOD(60+2*Q297,12),"00"))))</f>
        <v/>
      </c>
      <c r="S297" s="47"/>
      <c r="T297" s="47"/>
      <c r="U297" s="47"/>
      <c r="V297" s="47"/>
      <c r="W297" s="47"/>
      <c r="X297" s="47"/>
      <c r="Y297" s="47"/>
      <c r="Z297" s="47"/>
      <c r="AA297" s="47"/>
      <c r="AB297" s="47"/>
      <c r="AC297" s="47"/>
      <c r="AD297" s="47"/>
      <c r="AE297" s="47"/>
      <c r="AF297" s="47"/>
      <c r="AG297" s="47"/>
      <c r="AH297" s="47"/>
      <c r="AI297" s="46"/>
      <c r="AJ297" s="46"/>
      <c r="AK297" s="46"/>
      <c r="AL297" s="7"/>
      <c r="AM297" s="49" t="str">
        <f aca="false">IF(OR(C297="",G297=""),"",IFERROR(DATEDIF(C297,G297,"m"),""))</f>
        <v/>
      </c>
      <c r="AN297" s="49" t="str">
        <f aca="false">IF(OR(Q297="",AM297=""),"",60+2*Q297-AM297)</f>
        <v/>
      </c>
      <c r="AO297" s="49" t="str">
        <f aca="false">IF(OR(G297="",AJ297=""),"",AJ297-G297)</f>
        <v/>
      </c>
      <c r="AP297" s="50" t="str">
        <f aca="false">IF(AND(A297="",B297=""),"",IF(J297="","Status needed",IF(OR(J297="Applied",J297="Visit booked",J297="Withdrawn"),"OK",IF(G297="","Date assessed needed",IF(C297="","Date of birth needed",IF(COUNTA(L297,M297,P297,U297,V297,X297,AB297)&lt;7,"Band missing",IF(AND(OR(J297="Decision confirmed",J297="Family told",J297="Enrolled"),AG297=""),"Recommendation needed",IF(AND(OR(J297="Family told",J297="Enrolled"),AJ297=""),"Date family told needed","OK"))))))))</f>
        <v/>
      </c>
    </row>
    <row r="298" customFormat="false" ht="15" hidden="false" customHeight="false" outlineLevel="0" collapsed="false">
      <c r="A298" s="7"/>
      <c r="B298" s="7"/>
      <c r="C298" s="46"/>
      <c r="D298" s="7"/>
      <c r="E298" s="47"/>
      <c r="F298" s="46"/>
      <c r="G298" s="46"/>
      <c r="H298" s="7"/>
      <c r="I298" s="7"/>
      <c r="J298" s="47"/>
      <c r="K298" s="47"/>
      <c r="L298" s="47"/>
      <c r="M298" s="47"/>
      <c r="N298" s="10"/>
      <c r="O298" s="47"/>
      <c r="P298" s="47"/>
      <c r="Q298" s="47"/>
      <c r="R298" s="48" t="str">
        <f aca="false">IF(Q298="","",IF(Q298=0,"below 5:00",IF(Q298&gt;=66,"16:00 or above",INT((60+2*Q298)/12)&amp;":"&amp;TEXT(MOD(60+2*Q298,12),"00"))))</f>
        <v/>
      </c>
      <c r="S298" s="47"/>
      <c r="T298" s="47"/>
      <c r="U298" s="47"/>
      <c r="V298" s="47"/>
      <c r="W298" s="47"/>
      <c r="X298" s="47"/>
      <c r="Y298" s="47"/>
      <c r="Z298" s="47"/>
      <c r="AA298" s="47"/>
      <c r="AB298" s="47"/>
      <c r="AC298" s="47"/>
      <c r="AD298" s="47"/>
      <c r="AE298" s="47"/>
      <c r="AF298" s="47"/>
      <c r="AG298" s="47"/>
      <c r="AH298" s="47"/>
      <c r="AI298" s="46"/>
      <c r="AJ298" s="46"/>
      <c r="AK298" s="46"/>
      <c r="AL298" s="7"/>
      <c r="AM298" s="49" t="str">
        <f aca="false">IF(OR(C298="",G298=""),"",IFERROR(DATEDIF(C298,G298,"m"),""))</f>
        <v/>
      </c>
      <c r="AN298" s="49" t="str">
        <f aca="false">IF(OR(Q298="",AM298=""),"",60+2*Q298-AM298)</f>
        <v/>
      </c>
      <c r="AO298" s="49" t="str">
        <f aca="false">IF(OR(G298="",AJ298=""),"",AJ298-G298)</f>
        <v/>
      </c>
      <c r="AP298" s="50" t="str">
        <f aca="false">IF(AND(A298="",B298=""),"",IF(J298="","Status needed",IF(OR(J298="Applied",J298="Visit booked",J298="Withdrawn"),"OK",IF(G298="","Date assessed needed",IF(C298="","Date of birth needed",IF(COUNTA(L298,M298,P298,U298,V298,X298,AB298)&lt;7,"Band missing",IF(AND(OR(J298="Decision confirmed",J298="Family told",J298="Enrolled"),AG298=""),"Recommendation needed",IF(AND(OR(J298="Family told",J298="Enrolled"),AJ298=""),"Date family told needed","OK"))))))))</f>
        <v/>
      </c>
    </row>
    <row r="299" customFormat="false" ht="15" hidden="false" customHeight="false" outlineLevel="0" collapsed="false">
      <c r="A299" s="7"/>
      <c r="B299" s="7"/>
      <c r="C299" s="46"/>
      <c r="D299" s="7"/>
      <c r="E299" s="47"/>
      <c r="F299" s="46"/>
      <c r="G299" s="46"/>
      <c r="H299" s="7"/>
      <c r="I299" s="7"/>
      <c r="J299" s="47"/>
      <c r="K299" s="47"/>
      <c r="L299" s="47"/>
      <c r="M299" s="47"/>
      <c r="N299" s="10"/>
      <c r="O299" s="47"/>
      <c r="P299" s="47"/>
      <c r="Q299" s="47"/>
      <c r="R299" s="48" t="str">
        <f aca="false">IF(Q299="","",IF(Q299=0,"below 5:00",IF(Q299&gt;=66,"16:00 or above",INT((60+2*Q299)/12)&amp;":"&amp;TEXT(MOD(60+2*Q299,12),"00"))))</f>
        <v/>
      </c>
      <c r="S299" s="47"/>
      <c r="T299" s="47"/>
      <c r="U299" s="47"/>
      <c r="V299" s="47"/>
      <c r="W299" s="47"/>
      <c r="X299" s="47"/>
      <c r="Y299" s="47"/>
      <c r="Z299" s="47"/>
      <c r="AA299" s="47"/>
      <c r="AB299" s="47"/>
      <c r="AC299" s="47"/>
      <c r="AD299" s="47"/>
      <c r="AE299" s="47"/>
      <c r="AF299" s="47"/>
      <c r="AG299" s="47"/>
      <c r="AH299" s="47"/>
      <c r="AI299" s="46"/>
      <c r="AJ299" s="46"/>
      <c r="AK299" s="46"/>
      <c r="AL299" s="7"/>
      <c r="AM299" s="49" t="str">
        <f aca="false">IF(OR(C299="",G299=""),"",IFERROR(DATEDIF(C299,G299,"m"),""))</f>
        <v/>
      </c>
      <c r="AN299" s="49" t="str">
        <f aca="false">IF(OR(Q299="",AM299=""),"",60+2*Q299-AM299)</f>
        <v/>
      </c>
      <c r="AO299" s="49" t="str">
        <f aca="false">IF(OR(G299="",AJ299=""),"",AJ299-G299)</f>
        <v/>
      </c>
      <c r="AP299" s="50" t="str">
        <f aca="false">IF(AND(A299="",B299=""),"",IF(J299="","Status needed",IF(OR(J299="Applied",J299="Visit booked",J299="Withdrawn"),"OK",IF(G299="","Date assessed needed",IF(C299="","Date of birth needed",IF(COUNTA(L299,M299,P299,U299,V299,X299,AB299)&lt;7,"Band missing",IF(AND(OR(J299="Decision confirmed",J299="Family told",J299="Enrolled"),AG299=""),"Recommendation needed",IF(AND(OR(J299="Family told",J299="Enrolled"),AJ299=""),"Date family told needed","OK"))))))))</f>
        <v/>
      </c>
    </row>
    <row r="300" customFormat="false" ht="15" hidden="false" customHeight="false" outlineLevel="0" collapsed="false">
      <c r="A300" s="7"/>
      <c r="B300" s="7"/>
      <c r="C300" s="46"/>
      <c r="D300" s="7"/>
      <c r="E300" s="47"/>
      <c r="F300" s="46"/>
      <c r="G300" s="46"/>
      <c r="H300" s="7"/>
      <c r="I300" s="7"/>
      <c r="J300" s="47"/>
      <c r="K300" s="47"/>
      <c r="L300" s="47"/>
      <c r="M300" s="47"/>
      <c r="N300" s="10"/>
      <c r="O300" s="47"/>
      <c r="P300" s="47"/>
      <c r="Q300" s="47"/>
      <c r="R300" s="48" t="str">
        <f aca="false">IF(Q300="","",IF(Q300=0,"below 5:00",IF(Q300&gt;=66,"16:00 or above",INT((60+2*Q300)/12)&amp;":"&amp;TEXT(MOD(60+2*Q300,12),"00"))))</f>
        <v/>
      </c>
      <c r="S300" s="47"/>
      <c r="T300" s="47"/>
      <c r="U300" s="47"/>
      <c r="V300" s="47"/>
      <c r="W300" s="47"/>
      <c r="X300" s="47"/>
      <c r="Y300" s="47"/>
      <c r="Z300" s="47"/>
      <c r="AA300" s="47"/>
      <c r="AB300" s="47"/>
      <c r="AC300" s="47"/>
      <c r="AD300" s="47"/>
      <c r="AE300" s="47"/>
      <c r="AF300" s="47"/>
      <c r="AG300" s="47"/>
      <c r="AH300" s="47"/>
      <c r="AI300" s="46"/>
      <c r="AJ300" s="46"/>
      <c r="AK300" s="46"/>
      <c r="AL300" s="7"/>
      <c r="AM300" s="49" t="str">
        <f aca="false">IF(OR(C300="",G300=""),"",IFERROR(DATEDIF(C300,G300,"m"),""))</f>
        <v/>
      </c>
      <c r="AN300" s="49" t="str">
        <f aca="false">IF(OR(Q300="",AM300=""),"",60+2*Q300-AM300)</f>
        <v/>
      </c>
      <c r="AO300" s="49" t="str">
        <f aca="false">IF(OR(G300="",AJ300=""),"",AJ300-G300)</f>
        <v/>
      </c>
      <c r="AP300" s="50" t="str">
        <f aca="false">IF(AND(A300="",B300=""),"",IF(J300="","Status needed",IF(OR(J300="Applied",J300="Visit booked",J300="Withdrawn"),"OK",IF(G300="","Date assessed needed",IF(C300="","Date of birth needed",IF(COUNTA(L300,M300,P300,U300,V300,X300,AB300)&lt;7,"Band missing",IF(AND(OR(J300="Decision confirmed",J300="Family told",J300="Enrolled"),AG300=""),"Recommendation needed",IF(AND(OR(J300="Family told",J300="Enrolled"),AJ300=""),"Date family told needed","OK"))))))))</f>
        <v/>
      </c>
    </row>
    <row r="301" customFormat="false" ht="15" hidden="false" customHeight="false" outlineLevel="0" collapsed="false">
      <c r="A301" s="7"/>
      <c r="B301" s="7"/>
      <c r="C301" s="46"/>
      <c r="D301" s="7"/>
      <c r="E301" s="47"/>
      <c r="F301" s="46"/>
      <c r="G301" s="46"/>
      <c r="H301" s="7"/>
      <c r="I301" s="7"/>
      <c r="J301" s="47"/>
      <c r="K301" s="47"/>
      <c r="L301" s="47"/>
      <c r="M301" s="47"/>
      <c r="N301" s="10"/>
      <c r="O301" s="47"/>
      <c r="P301" s="47"/>
      <c r="Q301" s="47"/>
      <c r="R301" s="48" t="str">
        <f aca="false">IF(Q301="","",IF(Q301=0,"below 5:00",IF(Q301&gt;=66,"16:00 or above",INT((60+2*Q301)/12)&amp;":"&amp;TEXT(MOD(60+2*Q301,12),"00"))))</f>
        <v/>
      </c>
      <c r="S301" s="47"/>
      <c r="T301" s="47"/>
      <c r="U301" s="47"/>
      <c r="V301" s="47"/>
      <c r="W301" s="47"/>
      <c r="X301" s="47"/>
      <c r="Y301" s="47"/>
      <c r="Z301" s="47"/>
      <c r="AA301" s="47"/>
      <c r="AB301" s="47"/>
      <c r="AC301" s="47"/>
      <c r="AD301" s="47"/>
      <c r="AE301" s="47"/>
      <c r="AF301" s="47"/>
      <c r="AG301" s="47"/>
      <c r="AH301" s="47"/>
      <c r="AI301" s="46"/>
      <c r="AJ301" s="46"/>
      <c r="AK301" s="46"/>
      <c r="AL301" s="7"/>
      <c r="AM301" s="49" t="str">
        <f aca="false">IF(OR(C301="",G301=""),"",IFERROR(DATEDIF(C301,G301,"m"),""))</f>
        <v/>
      </c>
      <c r="AN301" s="49" t="str">
        <f aca="false">IF(OR(Q301="",AM301=""),"",60+2*Q301-AM301)</f>
        <v/>
      </c>
      <c r="AO301" s="49" t="str">
        <f aca="false">IF(OR(G301="",AJ301=""),"",AJ301-G301)</f>
        <v/>
      </c>
      <c r="AP301" s="50" t="str">
        <f aca="false">IF(AND(A301="",B301=""),"",IF(J301="","Status needed",IF(OR(J301="Applied",J301="Visit booked",J301="Withdrawn"),"OK",IF(G301="","Date assessed needed",IF(C301="","Date of birth needed",IF(COUNTA(L301,M301,P301,U301,V301,X301,AB301)&lt;7,"Band missing",IF(AND(OR(J301="Decision confirmed",J301="Family told",J301="Enrolled"),AG301=""),"Recommendation needed",IF(AND(OR(J301="Family told",J301="Enrolled"),AJ301=""),"Date family told needed","OK"))))))))</f>
        <v/>
      </c>
    </row>
    <row r="302" customFormat="false" ht="15" hidden="false" customHeight="false" outlineLevel="0" collapsed="false">
      <c r="A302" s="7"/>
      <c r="B302" s="7"/>
      <c r="C302" s="46"/>
      <c r="D302" s="7"/>
      <c r="E302" s="47"/>
      <c r="F302" s="46"/>
      <c r="G302" s="46"/>
      <c r="H302" s="7"/>
      <c r="I302" s="7"/>
      <c r="J302" s="47"/>
      <c r="K302" s="47"/>
      <c r="L302" s="47"/>
      <c r="M302" s="47"/>
      <c r="N302" s="10"/>
      <c r="O302" s="47"/>
      <c r="P302" s="47"/>
      <c r="Q302" s="47"/>
      <c r="R302" s="48" t="str">
        <f aca="false">IF(Q302="","",IF(Q302=0,"below 5:00",IF(Q302&gt;=66,"16:00 or above",INT((60+2*Q302)/12)&amp;":"&amp;TEXT(MOD(60+2*Q302,12),"00"))))</f>
        <v/>
      </c>
      <c r="S302" s="47"/>
      <c r="T302" s="47"/>
      <c r="U302" s="47"/>
      <c r="V302" s="47"/>
      <c r="W302" s="47"/>
      <c r="X302" s="47"/>
      <c r="Y302" s="47"/>
      <c r="Z302" s="47"/>
      <c r="AA302" s="47"/>
      <c r="AB302" s="47"/>
      <c r="AC302" s="47"/>
      <c r="AD302" s="47"/>
      <c r="AE302" s="47"/>
      <c r="AF302" s="47"/>
      <c r="AG302" s="47"/>
      <c r="AH302" s="47"/>
      <c r="AI302" s="46"/>
      <c r="AJ302" s="46"/>
      <c r="AK302" s="46"/>
      <c r="AL302" s="7"/>
      <c r="AM302" s="49" t="str">
        <f aca="false">IF(OR(C302="",G302=""),"",IFERROR(DATEDIF(C302,G302,"m"),""))</f>
        <v/>
      </c>
      <c r="AN302" s="49" t="str">
        <f aca="false">IF(OR(Q302="",AM302=""),"",60+2*Q302-AM302)</f>
        <v/>
      </c>
      <c r="AO302" s="49" t="str">
        <f aca="false">IF(OR(G302="",AJ302=""),"",AJ302-G302)</f>
        <v/>
      </c>
      <c r="AP302" s="50" t="str">
        <f aca="false">IF(AND(A302="",B302=""),"",IF(J302="","Status needed",IF(OR(J302="Applied",J302="Visit booked",J302="Withdrawn"),"OK",IF(G302="","Date assessed needed",IF(C302="","Date of birth needed",IF(COUNTA(L302,M302,P302,U302,V302,X302,AB302)&lt;7,"Band missing",IF(AND(OR(J302="Decision confirmed",J302="Family told",J302="Enrolled"),AG302=""),"Recommendation needed",IF(AND(OR(J302="Family told",J302="Enrolled"),AJ302=""),"Date family told needed","OK"))))))))</f>
        <v/>
      </c>
    </row>
    <row r="303" customFormat="false" ht="15" hidden="false" customHeight="false" outlineLevel="0" collapsed="false">
      <c r="A303" s="7"/>
      <c r="B303" s="7"/>
      <c r="C303" s="46"/>
      <c r="D303" s="7"/>
      <c r="E303" s="47"/>
      <c r="F303" s="46"/>
      <c r="G303" s="46"/>
      <c r="H303" s="7"/>
      <c r="I303" s="7"/>
      <c r="J303" s="47"/>
      <c r="K303" s="47"/>
      <c r="L303" s="47"/>
      <c r="M303" s="47"/>
      <c r="N303" s="10"/>
      <c r="O303" s="47"/>
      <c r="P303" s="47"/>
      <c r="Q303" s="47"/>
      <c r="R303" s="48" t="str">
        <f aca="false">IF(Q303="","",IF(Q303=0,"below 5:00",IF(Q303&gt;=66,"16:00 or above",INT((60+2*Q303)/12)&amp;":"&amp;TEXT(MOD(60+2*Q303,12),"00"))))</f>
        <v/>
      </c>
      <c r="S303" s="47"/>
      <c r="T303" s="47"/>
      <c r="U303" s="47"/>
      <c r="V303" s="47"/>
      <c r="W303" s="47"/>
      <c r="X303" s="47"/>
      <c r="Y303" s="47"/>
      <c r="Z303" s="47"/>
      <c r="AA303" s="47"/>
      <c r="AB303" s="47"/>
      <c r="AC303" s="47"/>
      <c r="AD303" s="47"/>
      <c r="AE303" s="47"/>
      <c r="AF303" s="47"/>
      <c r="AG303" s="47"/>
      <c r="AH303" s="47"/>
      <c r="AI303" s="46"/>
      <c r="AJ303" s="46"/>
      <c r="AK303" s="46"/>
      <c r="AL303" s="7"/>
      <c r="AM303" s="49" t="str">
        <f aca="false">IF(OR(C303="",G303=""),"",IFERROR(DATEDIF(C303,G303,"m"),""))</f>
        <v/>
      </c>
      <c r="AN303" s="49" t="str">
        <f aca="false">IF(OR(Q303="",AM303=""),"",60+2*Q303-AM303)</f>
        <v/>
      </c>
      <c r="AO303" s="49" t="str">
        <f aca="false">IF(OR(G303="",AJ303=""),"",AJ303-G303)</f>
        <v/>
      </c>
      <c r="AP303" s="50" t="str">
        <f aca="false">IF(AND(A303="",B303=""),"",IF(J303="","Status needed",IF(OR(J303="Applied",J303="Visit booked",J303="Withdrawn"),"OK",IF(G303="","Date assessed needed",IF(C303="","Date of birth needed",IF(COUNTA(L303,M303,P303,U303,V303,X303,AB303)&lt;7,"Band missing",IF(AND(OR(J303="Decision confirmed",J303="Family told",J303="Enrolled"),AG303=""),"Recommendation needed",IF(AND(OR(J303="Family told",J303="Enrolled"),AJ303=""),"Date family told needed","OK"))))))))</f>
        <v/>
      </c>
    </row>
    <row r="304" customFormat="false" ht="15" hidden="false" customHeight="false" outlineLevel="0" collapsed="false">
      <c r="A304" s="7"/>
      <c r="B304" s="7"/>
      <c r="C304" s="46"/>
      <c r="D304" s="7"/>
      <c r="E304" s="47"/>
      <c r="F304" s="46"/>
      <c r="G304" s="46"/>
      <c r="H304" s="7"/>
      <c r="I304" s="7"/>
      <c r="J304" s="47"/>
      <c r="K304" s="47"/>
      <c r="L304" s="47"/>
      <c r="M304" s="47"/>
      <c r="N304" s="10"/>
      <c r="O304" s="47"/>
      <c r="P304" s="47"/>
      <c r="Q304" s="47"/>
      <c r="R304" s="48" t="str">
        <f aca="false">IF(Q304="","",IF(Q304=0,"below 5:00",IF(Q304&gt;=66,"16:00 or above",INT((60+2*Q304)/12)&amp;":"&amp;TEXT(MOD(60+2*Q304,12),"00"))))</f>
        <v/>
      </c>
      <c r="S304" s="47"/>
      <c r="T304" s="47"/>
      <c r="U304" s="47"/>
      <c r="V304" s="47"/>
      <c r="W304" s="47"/>
      <c r="X304" s="47"/>
      <c r="Y304" s="47"/>
      <c r="Z304" s="47"/>
      <c r="AA304" s="47"/>
      <c r="AB304" s="47"/>
      <c r="AC304" s="47"/>
      <c r="AD304" s="47"/>
      <c r="AE304" s="47"/>
      <c r="AF304" s="47"/>
      <c r="AG304" s="47"/>
      <c r="AH304" s="47"/>
      <c r="AI304" s="46"/>
      <c r="AJ304" s="46"/>
      <c r="AK304" s="46"/>
      <c r="AL304" s="7"/>
      <c r="AM304" s="49" t="str">
        <f aca="false">IF(OR(C304="",G304=""),"",IFERROR(DATEDIF(C304,G304,"m"),""))</f>
        <v/>
      </c>
      <c r="AN304" s="49" t="str">
        <f aca="false">IF(OR(Q304="",AM304=""),"",60+2*Q304-AM304)</f>
        <v/>
      </c>
      <c r="AO304" s="49" t="str">
        <f aca="false">IF(OR(G304="",AJ304=""),"",AJ304-G304)</f>
        <v/>
      </c>
      <c r="AP304" s="50" t="str">
        <f aca="false">IF(AND(A304="",B304=""),"",IF(J304="","Status needed",IF(OR(J304="Applied",J304="Visit booked",J304="Withdrawn"),"OK",IF(G304="","Date assessed needed",IF(C304="","Date of birth needed",IF(COUNTA(L304,M304,P304,U304,V304,X304,AB304)&lt;7,"Band missing",IF(AND(OR(J304="Decision confirmed",J304="Family told",J304="Enrolled"),AG304=""),"Recommendation needed",IF(AND(OR(J304="Family told",J304="Enrolled"),AJ304=""),"Date family told needed","OK"))))))))</f>
        <v/>
      </c>
    </row>
    <row r="305" customFormat="false" ht="15" hidden="false" customHeight="false" outlineLevel="0" collapsed="false">
      <c r="A305" s="7"/>
      <c r="B305" s="7"/>
      <c r="C305" s="46"/>
      <c r="D305" s="7"/>
      <c r="E305" s="47"/>
      <c r="F305" s="46"/>
      <c r="G305" s="46"/>
      <c r="H305" s="7"/>
      <c r="I305" s="7"/>
      <c r="J305" s="47"/>
      <c r="K305" s="47"/>
      <c r="L305" s="47"/>
      <c r="M305" s="47"/>
      <c r="N305" s="10"/>
      <c r="O305" s="47"/>
      <c r="P305" s="47"/>
      <c r="Q305" s="47"/>
      <c r="R305" s="48" t="str">
        <f aca="false">IF(Q305="","",IF(Q305=0,"below 5:00",IF(Q305&gt;=66,"16:00 or above",INT((60+2*Q305)/12)&amp;":"&amp;TEXT(MOD(60+2*Q305,12),"00"))))</f>
        <v/>
      </c>
      <c r="S305" s="47"/>
      <c r="T305" s="47"/>
      <c r="U305" s="47"/>
      <c r="V305" s="47"/>
      <c r="W305" s="47"/>
      <c r="X305" s="47"/>
      <c r="Y305" s="47"/>
      <c r="Z305" s="47"/>
      <c r="AA305" s="47"/>
      <c r="AB305" s="47"/>
      <c r="AC305" s="47"/>
      <c r="AD305" s="47"/>
      <c r="AE305" s="47"/>
      <c r="AF305" s="47"/>
      <c r="AG305" s="47"/>
      <c r="AH305" s="47"/>
      <c r="AI305" s="46"/>
      <c r="AJ305" s="46"/>
      <c r="AK305" s="46"/>
      <c r="AL305" s="7"/>
      <c r="AM305" s="49" t="str">
        <f aca="false">IF(OR(C305="",G305=""),"",IFERROR(DATEDIF(C305,G305,"m"),""))</f>
        <v/>
      </c>
      <c r="AN305" s="49" t="str">
        <f aca="false">IF(OR(Q305="",AM305=""),"",60+2*Q305-AM305)</f>
        <v/>
      </c>
      <c r="AO305" s="49" t="str">
        <f aca="false">IF(OR(G305="",AJ305=""),"",AJ305-G305)</f>
        <v/>
      </c>
      <c r="AP305" s="50" t="str">
        <f aca="false">IF(AND(A305="",B305=""),"",IF(J305="","Status needed",IF(OR(J305="Applied",J305="Visit booked",J305="Withdrawn"),"OK",IF(G305="","Date assessed needed",IF(C305="","Date of birth needed",IF(COUNTA(L305,M305,P305,U305,V305,X305,AB305)&lt;7,"Band missing",IF(AND(OR(J305="Decision confirmed",J305="Family told",J305="Enrolled"),AG305=""),"Recommendation needed",IF(AND(OR(J305="Family told",J305="Enrolled"),AJ305=""),"Date family told needed","OK"))))))))</f>
        <v/>
      </c>
    </row>
  </sheetData>
  <autoFilter ref="A5:AP305"/>
  <mergeCells count="7">
    <mergeCell ref="A4:E4"/>
    <mergeCell ref="F4:J4"/>
    <mergeCell ref="K4:V4"/>
    <mergeCell ref="W4:AB4"/>
    <mergeCell ref="AC4:AF4"/>
    <mergeCell ref="AG4:AL4"/>
    <mergeCell ref="AM4:AP4"/>
  </mergeCells>
  <conditionalFormatting sqref="L6:L305">
    <cfRule type="cellIs" priority="2" operator="equal" aboveAverage="0" equalAverage="0" bottom="0" percent="0" rank="0" text="" dxfId="13">
      <formula>"A"</formula>
    </cfRule>
    <cfRule type="cellIs" priority="3" operator="equal" aboveAverage="0" equalAverage="0" bottom="0" percent="0" rank="0" text="" dxfId="14">
      <formula>"B"</formula>
    </cfRule>
    <cfRule type="cellIs" priority="4" operator="equal" aboveAverage="0" equalAverage="0" bottom="0" percent="0" rank="0" text="" dxfId="15">
      <formula>"C"</formula>
    </cfRule>
    <cfRule type="cellIs" priority="5" operator="equal" aboveAverage="0" equalAverage="0" bottom="0" percent="0" rank="0" text="" dxfId="16">
      <formula>"D"</formula>
    </cfRule>
    <cfRule type="cellIs" priority="6" operator="equal" aboveAverage="0" equalAverage="0" bottom="0" percent="0" rank="0" text="" dxfId="17">
      <formula>"E"</formula>
    </cfRule>
  </conditionalFormatting>
  <conditionalFormatting sqref="M6:M305">
    <cfRule type="cellIs" priority="7" operator="equal" aboveAverage="0" equalAverage="0" bottom="0" percent="0" rank="0" text="" dxfId="13">
      <formula>"A"</formula>
    </cfRule>
    <cfRule type="cellIs" priority="8" operator="equal" aboveAverage="0" equalAverage="0" bottom="0" percent="0" rank="0" text="" dxfId="14">
      <formula>"B"</formula>
    </cfRule>
    <cfRule type="cellIs" priority="9" operator="equal" aboveAverage="0" equalAverage="0" bottom="0" percent="0" rank="0" text="" dxfId="15">
      <formula>"C"</formula>
    </cfRule>
    <cfRule type="cellIs" priority="10" operator="equal" aboveAverage="0" equalAverage="0" bottom="0" percent="0" rank="0" text="" dxfId="16">
      <formula>"D"</formula>
    </cfRule>
    <cfRule type="cellIs" priority="11" operator="equal" aboveAverage="0" equalAverage="0" bottom="0" percent="0" rank="0" text="" dxfId="17">
      <formula>"E"</formula>
    </cfRule>
  </conditionalFormatting>
  <conditionalFormatting sqref="P6:P305">
    <cfRule type="cellIs" priority="12" operator="equal" aboveAverage="0" equalAverage="0" bottom="0" percent="0" rank="0" text="" dxfId="13">
      <formula>"A"</formula>
    </cfRule>
    <cfRule type="cellIs" priority="13" operator="equal" aboveAverage="0" equalAverage="0" bottom="0" percent="0" rank="0" text="" dxfId="14">
      <formula>"B"</formula>
    </cfRule>
    <cfRule type="cellIs" priority="14" operator="equal" aboveAverage="0" equalAverage="0" bottom="0" percent="0" rank="0" text="" dxfId="15">
      <formula>"C"</formula>
    </cfRule>
    <cfRule type="cellIs" priority="15" operator="equal" aboveAverage="0" equalAverage="0" bottom="0" percent="0" rank="0" text="" dxfId="16">
      <formula>"D"</formula>
    </cfRule>
    <cfRule type="cellIs" priority="16" operator="equal" aboveAverage="0" equalAverage="0" bottom="0" percent="0" rank="0" text="" dxfId="17">
      <formula>"E"</formula>
    </cfRule>
  </conditionalFormatting>
  <conditionalFormatting sqref="S6:S305">
    <cfRule type="cellIs" priority="17" operator="equal" aboveAverage="0" equalAverage="0" bottom="0" percent="0" rank="0" text="" dxfId="13">
      <formula>"A"</formula>
    </cfRule>
    <cfRule type="cellIs" priority="18" operator="equal" aboveAverage="0" equalAverage="0" bottom="0" percent="0" rank="0" text="" dxfId="14">
      <formula>"B"</formula>
    </cfRule>
    <cfRule type="cellIs" priority="19" operator="equal" aboveAverage="0" equalAverage="0" bottom="0" percent="0" rank="0" text="" dxfId="15">
      <formula>"C"</formula>
    </cfRule>
    <cfRule type="cellIs" priority="20" operator="equal" aboveAverage="0" equalAverage="0" bottom="0" percent="0" rank="0" text="" dxfId="16">
      <formula>"D"</formula>
    </cfRule>
    <cfRule type="cellIs" priority="21" operator="equal" aboveAverage="0" equalAverage="0" bottom="0" percent="0" rank="0" text="" dxfId="17">
      <formula>"E"</formula>
    </cfRule>
  </conditionalFormatting>
  <conditionalFormatting sqref="U6:U305">
    <cfRule type="cellIs" priority="22" operator="equal" aboveAverage="0" equalAverage="0" bottom="0" percent="0" rank="0" text="" dxfId="13">
      <formula>"A"</formula>
    </cfRule>
    <cfRule type="cellIs" priority="23" operator="equal" aboveAverage="0" equalAverage="0" bottom="0" percent="0" rank="0" text="" dxfId="14">
      <formula>"B"</formula>
    </cfRule>
    <cfRule type="cellIs" priority="24" operator="equal" aboveAverage="0" equalAverage="0" bottom="0" percent="0" rank="0" text="" dxfId="15">
      <formula>"C"</formula>
    </cfRule>
    <cfRule type="cellIs" priority="25" operator="equal" aboveAverage="0" equalAverage="0" bottom="0" percent="0" rank="0" text="" dxfId="16">
      <formula>"D"</formula>
    </cfRule>
    <cfRule type="cellIs" priority="26" operator="equal" aboveAverage="0" equalAverage="0" bottom="0" percent="0" rank="0" text="" dxfId="17">
      <formula>"E"</formula>
    </cfRule>
  </conditionalFormatting>
  <conditionalFormatting sqref="V6:V305">
    <cfRule type="cellIs" priority="27" operator="equal" aboveAverage="0" equalAverage="0" bottom="0" percent="0" rank="0" text="" dxfId="13">
      <formula>"A"</formula>
    </cfRule>
    <cfRule type="cellIs" priority="28" operator="equal" aboveAverage="0" equalAverage="0" bottom="0" percent="0" rank="0" text="" dxfId="14">
      <formula>"B"</formula>
    </cfRule>
    <cfRule type="cellIs" priority="29" operator="equal" aboveAverage="0" equalAverage="0" bottom="0" percent="0" rank="0" text="" dxfId="15">
      <formula>"C"</formula>
    </cfRule>
    <cfRule type="cellIs" priority="30" operator="equal" aboveAverage="0" equalAverage="0" bottom="0" percent="0" rank="0" text="" dxfId="16">
      <formula>"D"</formula>
    </cfRule>
    <cfRule type="cellIs" priority="31" operator="equal" aboveAverage="0" equalAverage="0" bottom="0" percent="0" rank="0" text="" dxfId="17">
      <formula>"E"</formula>
    </cfRule>
  </conditionalFormatting>
  <conditionalFormatting sqref="X6:X305">
    <cfRule type="cellIs" priority="32" operator="equal" aboveAverage="0" equalAverage="0" bottom="0" percent="0" rank="0" text="" dxfId="13">
      <formula>1</formula>
    </cfRule>
    <cfRule type="cellIs" priority="33" operator="equal" aboveAverage="0" equalAverage="0" bottom="0" percent="0" rank="0" text="" dxfId="14">
      <formula>2</formula>
    </cfRule>
    <cfRule type="cellIs" priority="34" operator="equal" aboveAverage="0" equalAverage="0" bottom="0" percent="0" rank="0" text="" dxfId="16">
      <formula>3</formula>
    </cfRule>
    <cfRule type="cellIs" priority="35" operator="equal" aboveAverage="0" equalAverage="0" bottom="0" percent="0" rank="0" text="" dxfId="17">
      <formula>4</formula>
    </cfRule>
  </conditionalFormatting>
  <conditionalFormatting sqref="AB6:AB305">
    <cfRule type="cellIs" priority="36" operator="equal" aboveAverage="0" equalAverage="0" bottom="0" percent="0" rank="0" text="" dxfId="13">
      <formula>1</formula>
    </cfRule>
    <cfRule type="cellIs" priority="37" operator="equal" aboveAverage="0" equalAverage="0" bottom="0" percent="0" rank="0" text="" dxfId="14">
      <formula>2</formula>
    </cfRule>
    <cfRule type="cellIs" priority="38" operator="equal" aboveAverage="0" equalAverage="0" bottom="0" percent="0" rank="0" text="" dxfId="16">
      <formula>3</formula>
    </cfRule>
    <cfRule type="cellIs" priority="39" operator="equal" aboveAverage="0" equalAverage="0" bottom="0" percent="0" rank="0" text="" dxfId="17">
      <formula>4</formula>
    </cfRule>
  </conditionalFormatting>
  <conditionalFormatting sqref="AC6:AC305">
    <cfRule type="cellIs" priority="40" operator="equal" aboveAverage="0" equalAverage="0" bottom="0" percent="0" rank="0" text="" dxfId="13">
      <formula>1</formula>
    </cfRule>
    <cfRule type="cellIs" priority="41" operator="equal" aboveAverage="0" equalAverage="0" bottom="0" percent="0" rank="0" text="" dxfId="14">
      <formula>2</formula>
    </cfRule>
  </conditionalFormatting>
  <conditionalFormatting sqref="AD6:AD305">
    <cfRule type="cellIs" priority="42" operator="equal" aboveAverage="0" equalAverage="0" bottom="0" percent="0" rank="0" text="" dxfId="14">
      <formula>"Y"</formula>
    </cfRule>
  </conditionalFormatting>
  <conditionalFormatting sqref="AE6:AE305">
    <cfRule type="cellIs" priority="43" operator="equal" aboveAverage="0" equalAverage="0" bottom="0" percent="0" rank="0" text="" dxfId="14">
      <formula>"Y"</formula>
    </cfRule>
  </conditionalFormatting>
  <conditionalFormatting sqref="AF6:AF305">
    <cfRule type="cellIs" priority="44" operator="equal" aboveAverage="0" equalAverage="0" bottom="0" percent="0" rank="0" text="" dxfId="14">
      <formula>"Y"</formula>
    </cfRule>
  </conditionalFormatting>
  <conditionalFormatting sqref="Z6:Z305">
    <cfRule type="cellIs" priority="45" operator="equal" aboveAverage="0" equalAverage="0" bottom="0" percent="0" rank="0" text="" dxfId="14">
      <formula>"Yes"</formula>
    </cfRule>
  </conditionalFormatting>
  <conditionalFormatting sqref="AN6:AN305">
    <cfRule type="cellIs" priority="46" operator="lessThanOrEqual" aboveAverage="0" equalAverage="0" bottom="0" percent="0" rank="0" text="" dxfId="14">
      <formula>-12</formula>
    </cfRule>
  </conditionalFormatting>
  <conditionalFormatting sqref="J6:J305">
    <cfRule type="cellIs" priority="47" operator="equal" aboveAverage="0" equalAverage="0" bottom="0" percent="0" rank="0" text="" dxfId="18">
      <formula>"Withdrawn"</formula>
    </cfRule>
  </conditionalFormatting>
  <conditionalFormatting sqref="AP6:AP305">
    <cfRule type="expression" priority="48" aboveAverage="0" equalAverage="0" bottom="0" percent="0" rank="0" text="" dxfId="19">
      <formula>AND(AP6&lt;&gt;"",AP6&lt;&gt;"OK")</formula>
    </cfRule>
    <cfRule type="expression" priority="49" aboveAverage="0" equalAverage="0" bottom="0" percent="0" rank="0" text="" dxfId="20">
      <formula>AP6="OK"</formula>
    </cfRule>
  </conditionalFormatting>
  <dataValidations count="25">
    <dataValidation allowBlank="true" error="Enter a date, day first, for example 14/10/2026." errorStyle="stop" errorTitle="Date" operator="between" showDropDown="false" showErrorMessage="true" showInputMessage="false" sqref="C6:C305 F6:G305 AI6:AK305" type="date">
      <formula1>36526</formula1>
      <formula2>73050</formula2>
    </dataValidation>
    <dataValidation allowBlank="true" error="Enter the lowest strand rating on the Interview sheet: 1, 2, 3 or 4." errorStyle="stop" errorTitle="Rating" operator="between" showDropDown="false" showErrorMessage="true" showInputMessage="false" sqref="AC6:AC305" type="whole">
      <formula1>1</formula1>
      <formula2>4</formula2>
    </dataValidation>
    <dataValidation allowBlank="true" error="Enter Y or N, or leave blank." errorStyle="stop" errorTitle="Y or N" operator="between" showDropDown="false" showErrorMessage="true" showInputMessage="false" sqref="E6:E305" type="list">
      <formula1>"Y,N"</formula1>
      <formula2>0</formula2>
    </dataValidation>
    <dataValidation allowBlank="true" error="Choose a status from the list." errorStyle="stop" errorTitle="Status" operator="between" showDropDown="false" showErrorMessage="true" showInputMessage="false" sqref="J6:J305" type="list">
      <formula1>Lists!$A$2:$A$8</formula1>
      <formula2>0</formula2>
    </dataValidation>
    <dataValidation allowBlank="true" error="Enter a whole number from 0 to the maximum shown in row 3 of this column." errorStyle="stop" errorTitle="Score" operator="between" showDropDown="false" showErrorMessage="true" showInputMessage="false" sqref="K6:K305" type="whole">
      <formula1>0</formula1>
      <formula2>$K$3</formula2>
    </dataValidation>
    <dataValidation allowBlank="true" error="Enter a band from the list: A, B, C, D or E." errorStyle="stop" errorTitle="Band" operator="between" showDropDown="false" showErrorMessage="true" showInputMessage="false" sqref="L6:L305" type="list">
      <formula1>"A,B,C,D,E"</formula1>
      <formula2>0</formula2>
    </dataValidation>
    <dataValidation allowBlank="true" error="Enter a band from the list: A, B, C, D or E." errorStyle="stop" errorTitle="Band" operator="between" showDropDown="false" showErrorMessage="true" showInputMessage="false" sqref="M6:M305" type="list">
      <formula1>"A,B,C,D,E"</formula1>
      <formula2>0</formula2>
    </dataValidation>
    <dataValidation allowBlank="true" error="Enter a whole number from 0 to the maximum shown in row 3 of this column." errorStyle="stop" errorTitle="Score" operator="between" showDropDown="false" showErrorMessage="true" showInputMessage="false" sqref="O6:O305" type="whole">
      <formula1>0</formula1>
      <formula2>$O$3</formula2>
    </dataValidation>
    <dataValidation allowBlank="true" error="Enter a band from the list: A, B, C, D or E." errorStyle="stop" errorTitle="Band" operator="between" showDropDown="false" showErrorMessage="true" showInputMessage="false" sqref="P6:P305" type="list">
      <formula1>"A,B,C,D,E"</formula1>
      <formula2>0</formula2>
    </dataValidation>
    <dataValidation allowBlank="true" error="Enter a whole number from 0 to the maximum shown in row 3 of this column." errorStyle="stop" errorTitle="Score" operator="between" showDropDown="false" showErrorMessage="true" showInputMessage="false" sqref="Q6:Q305" type="whole">
      <formula1>0</formula1>
      <formula2>$Q$3</formula2>
    </dataValidation>
    <dataValidation allowBlank="true" error="Enter a band from the list: A, B, C, D or E." errorStyle="stop" errorTitle="Band" operator="between" showDropDown="false" showErrorMessage="true" showInputMessage="false" sqref="S6:S305" type="list">
      <formula1>"A,B,C,D,E"</formula1>
      <formula2>0</formula2>
    </dataValidation>
    <dataValidation allowBlank="true" error="Enter a whole number from 0 to the maximum shown in row 3 of this column." errorStyle="stop" errorTitle="Score" operator="between" showDropDown="false" showErrorMessage="true" showInputMessage="false" sqref="T6:T305" type="whole">
      <formula1>0</formula1>
      <formula2>$T$3</formula2>
    </dataValidation>
    <dataValidation allowBlank="true" error="Enter a band from the list: A, B, C, D or E." errorStyle="stop" errorTitle="Band" operator="between" showDropDown="false" showErrorMessage="true" showInputMessage="false" sqref="U6:U305" type="list">
      <formula1>"A,B,C,D,E"</formula1>
      <formula2>0</formula2>
    </dataValidation>
    <dataValidation allowBlank="true" error="Enter a band from the list: A, B, C, D or E." errorStyle="stop" errorTitle="Band" operator="between" showDropDown="false" showErrorMessage="true" showInputMessage="false" sqref="V6:V305" type="list">
      <formula1>"A,B,C,D,E"</formula1>
      <formula2>0</formula2>
    </dataValidation>
    <dataValidation allowBlank="true" error="Enter a whole number from 0 to the maximum shown in row 3 of this column." errorStyle="stop" errorTitle="Score" operator="between" showDropDown="false" showErrorMessage="true" showInputMessage="false" sqref="W6:W305" type="whole">
      <formula1>0</formula1>
      <formula2>$W$3</formula2>
    </dataValidation>
    <dataValidation allowBlank="true" error="Enter a band from the list: 1, 2, 3 or 4." errorStyle="stop" errorTitle="Band" operator="between" showDropDown="false" showErrorMessage="true" showInputMessage="false" sqref="X6:X305" type="list">
      <formula1>"1,2,3,4"</formula1>
      <formula2>0</formula2>
    </dataValidation>
    <dataValidation allowBlank="true" error="Enter a whole number from 0 to the maximum shown in row 3 of this column." errorStyle="stop" errorTitle="Score" operator="between" showDropDown="false" showErrorMessage="true" showInputMessage="false" sqref="Y6:Y305" type="whole">
      <formula1>0</formula1>
      <formula2>$Y$3</formula2>
    </dataValidation>
    <dataValidation allowBlank="true" error="Choose Yes, No or Unsure." errorStyle="stop" errorTitle="English barrier in maths" operator="between" showDropDown="false" showErrorMessage="true" showInputMessage="false" sqref="Z6:Z305" type="list">
      <formula1>Lists!$E$2:$E$4</formula1>
      <formula2>0</formula2>
    </dataValidation>
    <dataValidation allowBlank="true" error="Enter a whole number from 0 to the maximum shown in row 3 of this column." errorStyle="stop" errorTitle="Score" operator="between" showDropDown="false" showErrorMessage="true" showInputMessage="false" sqref="AA6:AA305" type="whole">
      <formula1>0</formula1>
      <formula2>$AA$3</formula2>
    </dataValidation>
    <dataValidation allowBlank="true" error="Enter a band from the list: 1, 2, 3 or 4." errorStyle="stop" errorTitle="Band" operator="between" showDropDown="false" showErrorMessage="true" showInputMessage="false" sqref="AB6:AB305" type="list">
      <formula1>"1,2,3,4"</formula1>
      <formula2>0</formula2>
    </dataValidation>
    <dataValidation allowBlank="true" error="Enter Y or N, or leave blank." errorStyle="stop" errorTitle="Y or N" operator="between" showDropDown="false" showErrorMessage="true" showInputMessage="false" sqref="AD6:AD305" type="list">
      <formula1>"Y,N"</formula1>
      <formula2>0</formula2>
    </dataValidation>
    <dataValidation allowBlank="true" error="Enter Y or N, or leave blank." errorStyle="stop" errorTitle="Y or N" operator="between" showDropDown="false" showErrorMessage="true" showInputMessage="false" sqref="AE6:AE305" type="list">
      <formula1>"Y,N"</formula1>
      <formula2>0</formula2>
    </dataValidation>
    <dataValidation allowBlank="true" error="Enter Y or N, or leave blank." errorStyle="stop" errorTitle="Y or N" operator="between" showDropDown="false" showErrorMessage="true" showInputMessage="false" sqref="AF6:AF305" type="list">
      <formula1>"Y,N"</formula1>
      <formula2>0</formula2>
    </dataValidation>
    <dataValidation allowBlank="true" error="Choose a recommendation from the list." errorStyle="stop" errorTitle="Recommendation" operator="between" showDropDown="false" showErrorMessage="true" showInputMessage="false" sqref="AG6:AG305" type="list">
      <formula1>Lists!$B$2:$B$6</formula1>
      <formula2>0</formula2>
    </dataValidation>
    <dataValidation allowBlank="true" error="Choose a support level from the list." errorStyle="stop" errorTitle="English support level" operator="between" showDropDown="false" showErrorMessage="true" showInputMessage="false" sqref="AH6:AH305" type="list">
      <formula1>Lists!$C$2:$C$5</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78D6"/>
    <pageSetUpPr fitToPage="true"/>
  </sheetPr>
  <dimension ref="A1:AP3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4"/>
    <col collapsed="false" customWidth="true" hidden="false" outlineLevel="0" max="3" min="3" style="0" width="12"/>
    <col collapsed="false" customWidth="true" hidden="false" outlineLevel="0" max="4" min="4" style="0" width="24"/>
    <col collapsed="false" customWidth="true" hidden="false" outlineLevel="0" max="5" min="5" style="0" width="9"/>
    <col collapsed="false" customWidth="true" hidden="false" outlineLevel="0" max="7" min="6" style="0" width="12"/>
    <col collapsed="false" customWidth="true" hidden="false" outlineLevel="0" max="8" min="8" style="0" width="10"/>
    <col collapsed="false" customWidth="true" hidden="false" outlineLevel="0" max="9" min="9" style="0" width="9"/>
    <col collapsed="false" customWidth="true" hidden="false" outlineLevel="0" max="10" min="10" style="0" width="18"/>
    <col collapsed="false" customWidth="true" hidden="false" outlineLevel="0" max="13" min="11" style="0" width="9"/>
    <col collapsed="false" customWidth="true" hidden="false" outlineLevel="0" max="14" min="14" style="0" width="17"/>
    <col collapsed="false" customWidth="true" hidden="false" outlineLevel="0" max="15" min="15" style="0" width="10"/>
    <col collapsed="false" customWidth="true" hidden="false" outlineLevel="0" max="16" min="16" style="0" width="9"/>
    <col collapsed="false" customWidth="true" hidden="false" outlineLevel="0" max="17" min="17" style="0" width="10"/>
    <col collapsed="false" customWidth="true" hidden="false" outlineLevel="0" max="18" min="18" style="0" width="11"/>
    <col collapsed="false" customWidth="true" hidden="false" outlineLevel="0" max="19" min="19" style="0" width="10"/>
    <col collapsed="false" customWidth="true" hidden="false" outlineLevel="0" max="24" min="20" style="0" width="9"/>
    <col collapsed="false" customWidth="true" hidden="false" outlineLevel="0" max="25" min="25" style="0" width="10"/>
    <col collapsed="false" customWidth="true" hidden="false" outlineLevel="0" max="26" min="26" style="0" width="11"/>
    <col collapsed="false" customWidth="true" hidden="false" outlineLevel="0" max="28" min="27" style="0" width="9"/>
    <col collapsed="false" customWidth="true" hidden="false" outlineLevel="0" max="29" min="29" style="0" width="11"/>
    <col collapsed="false" customWidth="true" hidden="false" outlineLevel="0" max="31" min="30" style="0" width="10"/>
    <col collapsed="false" customWidth="true" hidden="false" outlineLevel="0" max="32" min="32" style="0" width="11"/>
    <col collapsed="false" customWidth="true" hidden="false" outlineLevel="0" max="33" min="33" style="0" width="32"/>
    <col collapsed="false" customWidth="true" hidden="false" outlineLevel="0" max="34" min="34" style="0" width="28"/>
    <col collapsed="false" customWidth="true" hidden="false" outlineLevel="0" max="37" min="35" style="0" width="12"/>
    <col collapsed="false" customWidth="true" hidden="false" outlineLevel="0" max="38" min="38" style="0" width="36"/>
    <col collapsed="false" customWidth="true" hidden="false" outlineLevel="0" max="39" min="39" style="0" width="11"/>
    <col collapsed="false" customWidth="true" hidden="false" outlineLevel="0" max="41" min="40" style="0" width="12"/>
    <col collapsed="false" customWidth="true" hidden="false" outlineLevel="0" max="42" min="42" style="0" width="26"/>
  </cols>
  <sheetData>
    <row r="1" customFormat="false" ht="17.35" hidden="false" customHeight="false" outlineLevel="0" collapsed="false">
      <c r="A1" s="38" t="s">
        <v>437</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row>
    <row r="2" customFormat="false" ht="15" hidden="false" customHeight="false" outlineLevel="0" collapsed="false">
      <c r="A2" s="18" t="s">
        <v>286</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row>
    <row r="3" customFormat="false" ht="15" hidden="false" customHeight="false" outlineLevel="0" collapsed="false">
      <c r="A3" s="1"/>
      <c r="B3" s="39" t="s">
        <v>438</v>
      </c>
      <c r="C3" s="1"/>
      <c r="D3" s="1"/>
      <c r="E3" s="1"/>
      <c r="F3" s="1"/>
      <c r="G3" s="1"/>
      <c r="H3" s="1"/>
      <c r="I3" s="1"/>
      <c r="J3" s="1"/>
      <c r="K3" s="40" t="n">
        <v>16</v>
      </c>
      <c r="L3" s="1"/>
      <c r="M3" s="1"/>
      <c r="N3" s="41" t="s">
        <v>288</v>
      </c>
      <c r="O3" s="40" t="n">
        <v>16</v>
      </c>
      <c r="P3" s="1"/>
      <c r="Q3" s="40" t="n">
        <v>72</v>
      </c>
      <c r="R3" s="1"/>
      <c r="S3" s="1"/>
      <c r="T3" s="40" t="n">
        <v>16</v>
      </c>
      <c r="U3" s="1"/>
      <c r="V3" s="1"/>
      <c r="W3" s="40" t="n">
        <v>30</v>
      </c>
      <c r="X3" s="1"/>
      <c r="Y3" s="40" t="n">
        <v>8</v>
      </c>
      <c r="Z3" s="1"/>
      <c r="AA3" s="40" t="n">
        <v>10</v>
      </c>
      <c r="AB3" s="1"/>
      <c r="AC3" s="1"/>
      <c r="AD3" s="1"/>
      <c r="AE3" s="1"/>
      <c r="AF3" s="1"/>
      <c r="AG3" s="1"/>
      <c r="AH3" s="1"/>
      <c r="AI3" s="1"/>
      <c r="AJ3" s="1"/>
      <c r="AK3" s="1"/>
      <c r="AL3" s="1"/>
      <c r="AM3" s="1"/>
      <c r="AN3" s="1"/>
      <c r="AO3" s="1"/>
      <c r="AP3" s="1"/>
    </row>
    <row r="4" customFormat="false" ht="19.5" hidden="false" customHeight="true" outlineLevel="0" collapsed="false">
      <c r="A4" s="42" t="s">
        <v>289</v>
      </c>
      <c r="B4" s="42"/>
      <c r="C4" s="42"/>
      <c r="D4" s="42"/>
      <c r="E4" s="42"/>
      <c r="F4" s="42" t="s">
        <v>290</v>
      </c>
      <c r="G4" s="42"/>
      <c r="H4" s="42"/>
      <c r="I4" s="42"/>
      <c r="J4" s="42"/>
      <c r="K4" s="42" t="s">
        <v>291</v>
      </c>
      <c r="L4" s="42"/>
      <c r="M4" s="42"/>
      <c r="N4" s="42"/>
      <c r="O4" s="42"/>
      <c r="P4" s="42"/>
      <c r="Q4" s="42"/>
      <c r="R4" s="42"/>
      <c r="S4" s="42"/>
      <c r="T4" s="42"/>
      <c r="U4" s="42"/>
      <c r="V4" s="42"/>
      <c r="W4" s="42" t="s">
        <v>292</v>
      </c>
      <c r="X4" s="42"/>
      <c r="Y4" s="42"/>
      <c r="Z4" s="42"/>
      <c r="AA4" s="42"/>
      <c r="AB4" s="42"/>
      <c r="AC4" s="42" t="s">
        <v>293</v>
      </c>
      <c r="AD4" s="42"/>
      <c r="AE4" s="42"/>
      <c r="AF4" s="42"/>
      <c r="AG4" s="42" t="s">
        <v>294</v>
      </c>
      <c r="AH4" s="42"/>
      <c r="AI4" s="42"/>
      <c r="AJ4" s="42"/>
      <c r="AK4" s="42"/>
      <c r="AL4" s="42"/>
      <c r="AM4" s="43" t="s">
        <v>295</v>
      </c>
      <c r="AN4" s="43"/>
      <c r="AO4" s="43"/>
      <c r="AP4" s="43"/>
    </row>
    <row r="5" customFormat="false" ht="61.5" hidden="false" customHeight="true" outlineLevel="0" collapsed="false">
      <c r="A5" s="44" t="s">
        <v>55</v>
      </c>
      <c r="B5" s="44" t="s">
        <v>59</v>
      </c>
      <c r="C5" s="44" t="s">
        <v>62</v>
      </c>
      <c r="D5" s="44" t="s">
        <v>65</v>
      </c>
      <c r="E5" s="44" t="s">
        <v>68</v>
      </c>
      <c r="F5" s="44" t="s">
        <v>72</v>
      </c>
      <c r="G5" s="44" t="s">
        <v>76</v>
      </c>
      <c r="H5" s="44" t="s">
        <v>79</v>
      </c>
      <c r="I5" s="44" t="s">
        <v>83</v>
      </c>
      <c r="J5" s="44" t="s">
        <v>86</v>
      </c>
      <c r="K5" s="44" t="s">
        <v>88</v>
      </c>
      <c r="L5" s="44" t="s">
        <v>91</v>
      </c>
      <c r="M5" s="44" t="s">
        <v>95</v>
      </c>
      <c r="N5" s="45" t="s">
        <v>98</v>
      </c>
      <c r="O5" s="44" t="s">
        <v>102</v>
      </c>
      <c r="P5" s="44" t="s">
        <v>106</v>
      </c>
      <c r="Q5" s="44" t="s">
        <v>109</v>
      </c>
      <c r="R5" s="44" t="s">
        <v>113</v>
      </c>
      <c r="S5" s="44" t="s">
        <v>117</v>
      </c>
      <c r="T5" s="44" t="s">
        <v>120</v>
      </c>
      <c r="U5" s="44" t="s">
        <v>123</v>
      </c>
      <c r="V5" s="44" t="s">
        <v>125</v>
      </c>
      <c r="W5" s="44" t="s">
        <v>127</v>
      </c>
      <c r="X5" s="44" t="s">
        <v>130</v>
      </c>
      <c r="Y5" s="44" t="s">
        <v>134</v>
      </c>
      <c r="Z5" s="44" t="s">
        <v>136</v>
      </c>
      <c r="AA5" s="44" t="s">
        <v>139</v>
      </c>
      <c r="AB5" s="44" t="s">
        <v>141</v>
      </c>
      <c r="AC5" s="44" t="s">
        <v>143</v>
      </c>
      <c r="AD5" s="44" t="s">
        <v>146</v>
      </c>
      <c r="AE5" s="44" t="s">
        <v>149</v>
      </c>
      <c r="AF5" s="44" t="s">
        <v>151</v>
      </c>
      <c r="AG5" s="44" t="s">
        <v>48</v>
      </c>
      <c r="AH5" s="44" t="s">
        <v>156</v>
      </c>
      <c r="AI5" s="44" t="s">
        <v>160</v>
      </c>
      <c r="AJ5" s="44" t="s">
        <v>164</v>
      </c>
      <c r="AK5" s="44" t="s">
        <v>167</v>
      </c>
      <c r="AL5" s="44" t="s">
        <v>170</v>
      </c>
      <c r="AM5" s="44" t="s">
        <v>173</v>
      </c>
      <c r="AN5" s="44" t="s">
        <v>176</v>
      </c>
      <c r="AO5" s="44" t="s">
        <v>179</v>
      </c>
      <c r="AP5" s="44" t="s">
        <v>181</v>
      </c>
    </row>
    <row r="6" customFormat="false" ht="15" hidden="false" customHeight="false" outlineLevel="0" collapsed="false">
      <c r="A6" s="7" t="s">
        <v>439</v>
      </c>
      <c r="B6" s="7" t="s">
        <v>440</v>
      </c>
      <c r="C6" s="46" t="n">
        <v>41870</v>
      </c>
      <c r="D6" s="7" t="s">
        <v>423</v>
      </c>
      <c r="E6" s="47" t="s">
        <v>69</v>
      </c>
      <c r="F6" s="46" t="n">
        <v>46264</v>
      </c>
      <c r="G6" s="46" t="n">
        <v>46294</v>
      </c>
      <c r="H6" s="7" t="s">
        <v>314</v>
      </c>
      <c r="I6" s="7" t="s">
        <v>84</v>
      </c>
      <c r="J6" s="47" t="s">
        <v>35</v>
      </c>
      <c r="K6" s="47" t="n">
        <v>5</v>
      </c>
      <c r="L6" s="47" t="s">
        <v>221</v>
      </c>
      <c r="M6" s="47" t="s">
        <v>221</v>
      </c>
      <c r="N6" s="10"/>
      <c r="O6" s="47" t="n">
        <v>3</v>
      </c>
      <c r="P6" s="47" t="s">
        <v>220</v>
      </c>
      <c r="Q6" s="47" t="n">
        <v>27</v>
      </c>
      <c r="R6" s="48" t="str">
        <f aca="false">IF(Q6="","",IF(Q6=0,"below 5:00",IF(Q6&gt;=66,"16:00 or above",INT((60+2*Q6)/12)&amp;":"&amp;TEXT(MOD(60+2*Q6,12),"00"))))</f>
        <v>9:06</v>
      </c>
      <c r="S6" s="47" t="s">
        <v>92</v>
      </c>
      <c r="T6" s="47" t="n">
        <v>5</v>
      </c>
      <c r="U6" s="47" t="s">
        <v>221</v>
      </c>
      <c r="V6" s="47" t="s">
        <v>221</v>
      </c>
      <c r="W6" s="47" t="n">
        <v>23</v>
      </c>
      <c r="X6" s="47" t="n">
        <v>3</v>
      </c>
      <c r="Y6" s="47" t="n">
        <v>5</v>
      </c>
      <c r="Z6" s="47" t="s">
        <v>426</v>
      </c>
      <c r="AA6" s="47" t="n">
        <v>7</v>
      </c>
      <c r="AB6" s="47" t="n">
        <v>3</v>
      </c>
      <c r="AC6" s="47" t="n">
        <v>3</v>
      </c>
      <c r="AD6" s="47" t="s">
        <v>311</v>
      </c>
      <c r="AE6" s="47"/>
      <c r="AF6" s="47"/>
      <c r="AG6" s="47" t="s">
        <v>153</v>
      </c>
      <c r="AH6" s="47" t="s">
        <v>252</v>
      </c>
      <c r="AI6" s="46" t="n">
        <v>46299</v>
      </c>
      <c r="AJ6" s="46"/>
      <c r="AK6" s="46"/>
      <c r="AL6" s="7"/>
      <c r="AM6" s="49" t="n">
        <f aca="false">IF(OR(C6="",G6=""),"",IFERROR(DATEDIF(C6,G6,"m"),""))</f>
        <v>145</v>
      </c>
      <c r="AN6" s="49" t="n">
        <f aca="false">IF(OR(Q6="",AM6=""),"",60+2*Q6-AM6)</f>
        <v>-31</v>
      </c>
      <c r="AO6" s="49" t="str">
        <f aca="false">IF(OR(G6="",AJ6=""),"",AJ6-G6)</f>
        <v/>
      </c>
      <c r="AP6" s="50" t="str">
        <f aca="false">IF(AND(A6="",B6=""),"",IF(J6="","Status needed",IF(OR(J6="Applied",J6="Visit booked",J6="Withdrawn"),"OK",IF(G6="","Date assessed needed",IF(C6="","Date of birth needed",IF(COUNTA(L6,M6,P6,U6,V6,X6,AB6)&lt;7,"Band missing",IF(AND(OR(J6="Decision confirmed",J6="Family told",J6="Enrolled"),AG6=""),"Recommendation needed",IF(AND(OR(J6="Family told",J6="Enrolled"),AJ6=""),"Date family told needed","OK"))))))))</f>
        <v>Date family told needed</v>
      </c>
    </row>
    <row r="7" customFormat="false" ht="15" hidden="false" customHeight="false" outlineLevel="0" collapsed="false">
      <c r="A7" s="7" t="s">
        <v>441</v>
      </c>
      <c r="B7" s="7" t="s">
        <v>442</v>
      </c>
      <c r="C7" s="46" t="n">
        <v>41534</v>
      </c>
      <c r="D7" s="7" t="s">
        <v>298</v>
      </c>
      <c r="E7" s="47" t="s">
        <v>311</v>
      </c>
      <c r="F7" s="46" t="n">
        <v>46226</v>
      </c>
      <c r="G7" s="46"/>
      <c r="H7" s="7"/>
      <c r="I7" s="7" t="s">
        <v>84</v>
      </c>
      <c r="J7" s="47" t="s">
        <v>27</v>
      </c>
      <c r="K7" s="47"/>
      <c r="L7" s="47"/>
      <c r="M7" s="47"/>
      <c r="N7" s="10"/>
      <c r="O7" s="47"/>
      <c r="P7" s="47"/>
      <c r="Q7" s="47"/>
      <c r="R7" s="48" t="str">
        <f aca="false">IF(Q7="","",IF(Q7=0,"below 5:00",IF(Q7&gt;=66,"16:00 or above",INT((60+2*Q7)/12)&amp;":"&amp;TEXT(MOD(60+2*Q7,12),"00"))))</f>
        <v/>
      </c>
      <c r="S7" s="47"/>
      <c r="T7" s="47"/>
      <c r="U7" s="47"/>
      <c r="V7" s="47"/>
      <c r="W7" s="47"/>
      <c r="X7" s="47"/>
      <c r="Y7" s="47"/>
      <c r="Z7" s="47"/>
      <c r="AA7" s="47"/>
      <c r="AB7" s="47"/>
      <c r="AC7" s="47"/>
      <c r="AD7" s="47"/>
      <c r="AE7" s="47"/>
      <c r="AF7" s="47"/>
      <c r="AG7" s="47"/>
      <c r="AH7" s="47"/>
      <c r="AI7" s="46"/>
      <c r="AJ7" s="46"/>
      <c r="AK7" s="46"/>
      <c r="AL7" s="7"/>
      <c r="AM7" s="49" t="str">
        <f aca="false">IF(OR(C7="",G7=""),"",IFERROR(DATEDIF(C7,G7,"m"),""))</f>
        <v/>
      </c>
      <c r="AN7" s="49" t="str">
        <f aca="false">IF(OR(Q7="",AM7=""),"",60+2*Q7-AM7)</f>
        <v/>
      </c>
      <c r="AO7" s="49" t="str">
        <f aca="false">IF(OR(G7="",AJ7=""),"",AJ7-G7)</f>
        <v/>
      </c>
      <c r="AP7" s="50" t="str">
        <f aca="false">IF(AND(A7="",B7=""),"",IF(J7="","Status needed",IF(OR(J7="Applied",J7="Visit booked",J7="Withdrawn"),"OK",IF(G7="","Date assessed needed",IF(C7="","Date of birth needed",IF(COUNTA(L7,M7,P7,U7,V7,X7,AB7)&lt;7,"Band missing",IF(AND(OR(J7="Decision confirmed",J7="Family told",J7="Enrolled"),AG7=""),"Recommendation needed",IF(AND(OR(J7="Family told",J7="Enrolled"),AJ7=""),"Date family told needed","OK"))))))))</f>
        <v>OK</v>
      </c>
    </row>
    <row r="8" customFormat="false" ht="15" hidden="false" customHeight="false" outlineLevel="0" collapsed="false">
      <c r="A8" s="7" t="s">
        <v>443</v>
      </c>
      <c r="B8" s="7" t="s">
        <v>444</v>
      </c>
      <c r="C8" s="46" t="n">
        <v>41825</v>
      </c>
      <c r="D8" s="7" t="s">
        <v>361</v>
      </c>
      <c r="E8" s="47" t="s">
        <v>69</v>
      </c>
      <c r="F8" s="46" t="n">
        <v>46227</v>
      </c>
      <c r="G8" s="46" t="n">
        <v>46290</v>
      </c>
      <c r="H8" s="7" t="s">
        <v>314</v>
      </c>
      <c r="I8" s="7" t="s">
        <v>84</v>
      </c>
      <c r="J8" s="47" t="s">
        <v>35</v>
      </c>
      <c r="K8" s="47" t="n">
        <v>9</v>
      </c>
      <c r="L8" s="47" t="s">
        <v>92</v>
      </c>
      <c r="M8" s="47" t="s">
        <v>92</v>
      </c>
      <c r="N8" s="10"/>
      <c r="O8" s="47" t="n">
        <v>11</v>
      </c>
      <c r="P8" s="47" t="s">
        <v>118</v>
      </c>
      <c r="Q8" s="47" t="n">
        <v>48</v>
      </c>
      <c r="R8" s="48" t="str">
        <f aca="false">IF(Q8="","",IF(Q8=0,"below 5:00",IF(Q8&gt;=66,"16:00 or above",INT((60+2*Q8)/12)&amp;":"&amp;TEXT(MOD(60+2*Q8,12),"00"))))</f>
        <v>13:00</v>
      </c>
      <c r="S8" s="47" t="s">
        <v>222</v>
      </c>
      <c r="T8" s="47" t="n">
        <v>9</v>
      </c>
      <c r="U8" s="47" t="s">
        <v>92</v>
      </c>
      <c r="V8" s="47" t="s">
        <v>92</v>
      </c>
      <c r="W8" s="47" t="n">
        <v>11</v>
      </c>
      <c r="X8" s="47" t="n">
        <v>2</v>
      </c>
      <c r="Y8" s="47" t="n">
        <v>0</v>
      </c>
      <c r="Z8" s="47" t="s">
        <v>382</v>
      </c>
      <c r="AA8" s="47" t="n">
        <v>3</v>
      </c>
      <c r="AB8" s="47" t="n">
        <v>2</v>
      </c>
      <c r="AC8" s="47" t="n">
        <v>3</v>
      </c>
      <c r="AD8" s="47"/>
      <c r="AE8" s="47"/>
      <c r="AF8" s="47"/>
      <c r="AG8" s="47" t="s">
        <v>153</v>
      </c>
      <c r="AH8" s="47" t="s">
        <v>157</v>
      </c>
      <c r="AI8" s="46" t="n">
        <v>46294</v>
      </c>
      <c r="AJ8" s="46" t="n">
        <v>46298</v>
      </c>
      <c r="AK8" s="46" t="n">
        <v>46298</v>
      </c>
      <c r="AL8" s="7"/>
      <c r="AM8" s="49" t="n">
        <f aca="false">IF(OR(C8="",G8=""),"",IFERROR(DATEDIF(C8,G8,"m"),""))</f>
        <v>146</v>
      </c>
      <c r="AN8" s="49" t="n">
        <f aca="false">IF(OR(Q8="",AM8=""),"",60+2*Q8-AM8)</f>
        <v>10</v>
      </c>
      <c r="AO8" s="49" t="n">
        <f aca="false">IF(OR(G8="",AJ8=""),"",AJ8-G8)</f>
        <v>8</v>
      </c>
      <c r="AP8" s="50" t="str">
        <f aca="false">IF(AND(A8="",B8=""),"",IF(J8="","Status needed",IF(OR(J8="Applied",J8="Visit booked",J8="Withdrawn"),"OK",IF(G8="","Date assessed needed",IF(C8="","Date of birth needed",IF(COUNTA(L8,M8,P8,U8,V8,X8,AB8)&lt;7,"Band missing",IF(AND(OR(J8="Decision confirmed",J8="Family told",J8="Enrolled"),AG8=""),"Recommendation needed",IF(AND(OR(J8="Family told",J8="Enrolled"),AJ8=""),"Date family told needed","OK"))))))))</f>
        <v>OK</v>
      </c>
    </row>
    <row r="9" customFormat="false" ht="15" hidden="false" customHeight="false" outlineLevel="0" collapsed="false">
      <c r="A9" s="7" t="s">
        <v>445</v>
      </c>
      <c r="B9" s="7" t="s">
        <v>446</v>
      </c>
      <c r="C9" s="46" t="n">
        <v>41636</v>
      </c>
      <c r="D9" s="7" t="s">
        <v>423</v>
      </c>
      <c r="E9" s="47" t="s">
        <v>311</v>
      </c>
      <c r="F9" s="46" t="n">
        <v>46247</v>
      </c>
      <c r="G9" s="46" t="n">
        <v>46289</v>
      </c>
      <c r="H9" s="7" t="s">
        <v>80</v>
      </c>
      <c r="I9" s="7" t="s">
        <v>84</v>
      </c>
      <c r="J9" s="47" t="s">
        <v>37</v>
      </c>
      <c r="K9" s="47" t="n">
        <v>5</v>
      </c>
      <c r="L9" s="47" t="s">
        <v>221</v>
      </c>
      <c r="M9" s="47" t="s">
        <v>221</v>
      </c>
      <c r="N9" s="10"/>
      <c r="O9" s="47" t="n">
        <v>5</v>
      </c>
      <c r="P9" s="47" t="s">
        <v>221</v>
      </c>
      <c r="Q9" s="47" t="n">
        <v>43</v>
      </c>
      <c r="R9" s="48" t="str">
        <f aca="false">IF(Q9="","",IF(Q9=0,"below 5:00",IF(Q9&gt;=66,"16:00 or above",INT((60+2*Q9)/12)&amp;":"&amp;TEXT(MOD(60+2*Q9,12),"00"))))</f>
        <v>12:02</v>
      </c>
      <c r="S9" s="47" t="s">
        <v>222</v>
      </c>
      <c r="T9" s="47" t="n">
        <v>9</v>
      </c>
      <c r="U9" s="47" t="s">
        <v>92</v>
      </c>
      <c r="V9" s="47" t="s">
        <v>221</v>
      </c>
      <c r="W9" s="47" t="n">
        <v>17</v>
      </c>
      <c r="X9" s="47" t="n">
        <v>3</v>
      </c>
      <c r="Y9" s="47" t="n">
        <v>4</v>
      </c>
      <c r="Z9" s="47" t="s">
        <v>137</v>
      </c>
      <c r="AA9" s="47" t="n">
        <v>5</v>
      </c>
      <c r="AB9" s="47" t="n">
        <v>2</v>
      </c>
      <c r="AC9" s="47" t="n">
        <v>3</v>
      </c>
      <c r="AD9" s="47"/>
      <c r="AE9" s="47"/>
      <c r="AF9" s="47"/>
      <c r="AG9" s="47" t="s">
        <v>153</v>
      </c>
      <c r="AH9" s="47" t="s">
        <v>252</v>
      </c>
      <c r="AI9" s="46" t="n">
        <v>46294</v>
      </c>
      <c r="AJ9" s="46" t="n">
        <v>46296</v>
      </c>
      <c r="AK9" s="46" t="n">
        <v>46296</v>
      </c>
      <c r="AL9" s="7"/>
      <c r="AM9" s="49" t="n">
        <f aca="false">IF(OR(C9="",G9=""),"",IFERROR(DATEDIF(C9,G9,"m"),""))</f>
        <v>152</v>
      </c>
      <c r="AN9" s="49" t="n">
        <f aca="false">IF(OR(Q9="",AM9=""),"",60+2*Q9-AM9)</f>
        <v>-6</v>
      </c>
      <c r="AO9" s="49" t="n">
        <f aca="false">IF(OR(G9="",AJ9=""),"",AJ9-G9)</f>
        <v>7</v>
      </c>
      <c r="AP9" s="50" t="str">
        <f aca="false">IF(AND(A9="",B9=""),"",IF(J9="","Status needed",IF(OR(J9="Applied",J9="Visit booked",J9="Withdrawn"),"OK",IF(G9="","Date assessed needed",IF(C9="","Date of birth needed",IF(COUNTA(L9,M9,P9,U9,V9,X9,AB9)&lt;7,"Band missing",IF(AND(OR(J9="Decision confirmed",J9="Family told",J9="Enrolled"),AG9=""),"Recommendation needed",IF(AND(OR(J9="Family told",J9="Enrolled"),AJ9=""),"Date family told needed","OK"))))))))</f>
        <v>OK</v>
      </c>
    </row>
    <row r="10" customFormat="false" ht="15" hidden="false" customHeight="false" outlineLevel="0" collapsed="false">
      <c r="A10" s="7" t="s">
        <v>447</v>
      </c>
      <c r="B10" s="7" t="s">
        <v>448</v>
      </c>
      <c r="C10" s="46" t="n">
        <v>41726</v>
      </c>
      <c r="D10" s="7" t="s">
        <v>298</v>
      </c>
      <c r="E10" s="47" t="s">
        <v>69</v>
      </c>
      <c r="F10" s="46" t="n">
        <v>46207</v>
      </c>
      <c r="G10" s="46" t="n">
        <v>46276</v>
      </c>
      <c r="H10" s="7" t="s">
        <v>80</v>
      </c>
      <c r="I10" s="7" t="s">
        <v>84</v>
      </c>
      <c r="J10" s="47" t="s">
        <v>37</v>
      </c>
      <c r="K10" s="47" t="n">
        <v>8</v>
      </c>
      <c r="L10" s="47" t="s">
        <v>92</v>
      </c>
      <c r="M10" s="47" t="s">
        <v>92</v>
      </c>
      <c r="N10" s="10"/>
      <c r="O10" s="47" t="n">
        <v>9</v>
      </c>
      <c r="P10" s="47" t="s">
        <v>92</v>
      </c>
      <c r="Q10" s="47" t="n">
        <v>49</v>
      </c>
      <c r="R10" s="48" t="str">
        <f aca="false">IF(Q10="","",IF(Q10=0,"below 5:00",IF(Q10&gt;=66,"16:00 or above",INT((60+2*Q10)/12)&amp;":"&amp;TEXT(MOD(60+2*Q10,12),"00"))))</f>
        <v>13:02</v>
      </c>
      <c r="S10" s="47" t="s">
        <v>222</v>
      </c>
      <c r="T10" s="47" t="n">
        <v>9</v>
      </c>
      <c r="U10" s="47" t="s">
        <v>92</v>
      </c>
      <c r="V10" s="47" t="s">
        <v>92</v>
      </c>
      <c r="W10" s="47" t="n">
        <v>18</v>
      </c>
      <c r="X10" s="47" t="n">
        <v>3</v>
      </c>
      <c r="Y10" s="47" t="n">
        <v>4</v>
      </c>
      <c r="Z10" s="47" t="s">
        <v>137</v>
      </c>
      <c r="AA10" s="47" t="n">
        <v>5</v>
      </c>
      <c r="AB10" s="47" t="n">
        <v>2</v>
      </c>
      <c r="AC10" s="47" t="n">
        <v>2</v>
      </c>
      <c r="AD10" s="47" t="s">
        <v>311</v>
      </c>
      <c r="AE10" s="47"/>
      <c r="AF10" s="47"/>
      <c r="AG10" s="47" t="s">
        <v>153</v>
      </c>
      <c r="AH10" s="47" t="s">
        <v>157</v>
      </c>
      <c r="AI10" s="46" t="n">
        <v>46279</v>
      </c>
      <c r="AJ10" s="46" t="n">
        <v>46281</v>
      </c>
      <c r="AK10" s="46" t="n">
        <v>46281</v>
      </c>
      <c r="AL10" s="7"/>
      <c r="AM10" s="49" t="n">
        <f aca="false">IF(OR(C10="",G10=""),"",IFERROR(DATEDIF(C10,G10,"m"),""))</f>
        <v>149</v>
      </c>
      <c r="AN10" s="49" t="n">
        <f aca="false">IF(OR(Q10="",AM10=""),"",60+2*Q10-AM10)</f>
        <v>9</v>
      </c>
      <c r="AO10" s="49" t="n">
        <f aca="false">IF(OR(G10="",AJ10=""),"",AJ10-G10)</f>
        <v>5</v>
      </c>
      <c r="AP10" s="50" t="str">
        <f aca="false">IF(AND(A10="",B10=""),"",IF(J10="","Status needed",IF(OR(J10="Applied",J10="Visit booked",J10="Withdrawn"),"OK",IF(G10="","Date assessed needed",IF(C10="","Date of birth needed",IF(COUNTA(L10,M10,P10,U10,V10,X10,AB10)&lt;7,"Band missing",IF(AND(OR(J10="Decision confirmed",J10="Family told",J10="Enrolled"),AG10=""),"Recommendation needed",IF(AND(OR(J10="Family told",J10="Enrolled"),AJ10=""),"Date family told needed","OK"))))))))</f>
        <v>OK</v>
      </c>
    </row>
    <row r="11" customFormat="false" ht="15" hidden="false" customHeight="false" outlineLevel="0" collapsed="false">
      <c r="A11" s="7" t="s">
        <v>449</v>
      </c>
      <c r="B11" s="7" t="s">
        <v>450</v>
      </c>
      <c r="C11" s="46" t="n">
        <v>41589</v>
      </c>
      <c r="D11" s="7" t="s">
        <v>423</v>
      </c>
      <c r="E11" s="47" t="s">
        <v>69</v>
      </c>
      <c r="F11" s="46" t="n">
        <v>46218</v>
      </c>
      <c r="G11" s="46" t="n">
        <v>46286</v>
      </c>
      <c r="H11" s="7" t="s">
        <v>314</v>
      </c>
      <c r="I11" s="7" t="s">
        <v>84</v>
      </c>
      <c r="J11" s="47" t="s">
        <v>35</v>
      </c>
      <c r="K11" s="47" t="n">
        <v>9</v>
      </c>
      <c r="L11" s="47" t="s">
        <v>92</v>
      </c>
      <c r="M11" s="47" t="s">
        <v>92</v>
      </c>
      <c r="N11" s="10"/>
      <c r="O11" s="47" t="n">
        <v>11</v>
      </c>
      <c r="P11" s="47" t="s">
        <v>118</v>
      </c>
      <c r="Q11" s="47" t="n">
        <v>54</v>
      </c>
      <c r="R11" s="48" t="str">
        <f aca="false">IF(Q11="","",IF(Q11=0,"below 5:00",IF(Q11&gt;=66,"16:00 or above",INT((60+2*Q11)/12)&amp;":"&amp;TEXT(MOD(60+2*Q11,12),"00"))))</f>
        <v>14:00</v>
      </c>
      <c r="S11" s="47" t="s">
        <v>222</v>
      </c>
      <c r="T11" s="47" t="n">
        <v>9</v>
      </c>
      <c r="U11" s="47" t="s">
        <v>92</v>
      </c>
      <c r="V11" s="47" t="s">
        <v>92</v>
      </c>
      <c r="W11" s="47" t="n">
        <v>15</v>
      </c>
      <c r="X11" s="47" t="n">
        <v>2</v>
      </c>
      <c r="Y11" s="47" t="n">
        <v>7</v>
      </c>
      <c r="Z11" s="47" t="s">
        <v>137</v>
      </c>
      <c r="AA11" s="47" t="n">
        <v>6</v>
      </c>
      <c r="AB11" s="47" t="n">
        <v>3</v>
      </c>
      <c r="AC11" s="47" t="n">
        <v>2</v>
      </c>
      <c r="AD11" s="47"/>
      <c r="AE11" s="47"/>
      <c r="AF11" s="47"/>
      <c r="AG11" s="47" t="s">
        <v>153</v>
      </c>
      <c r="AH11" s="47" t="s">
        <v>157</v>
      </c>
      <c r="AI11" s="46" t="n">
        <v>46290</v>
      </c>
      <c r="AJ11" s="46" t="n">
        <v>46292</v>
      </c>
      <c r="AK11" s="46" t="n">
        <v>46292</v>
      </c>
      <c r="AL11" s="7"/>
      <c r="AM11" s="49" t="n">
        <f aca="false">IF(OR(C11="",G11=""),"",IFERROR(DATEDIF(C11,G11,"m"),""))</f>
        <v>154</v>
      </c>
      <c r="AN11" s="49" t="n">
        <f aca="false">IF(OR(Q11="",AM11=""),"",60+2*Q11-AM11)</f>
        <v>14</v>
      </c>
      <c r="AO11" s="49" t="n">
        <f aca="false">IF(OR(G11="",AJ11=""),"",AJ11-G11)</f>
        <v>6</v>
      </c>
      <c r="AP11" s="50" t="str">
        <f aca="false">IF(AND(A11="",B11=""),"",IF(J11="","Status needed",IF(OR(J11="Applied",J11="Visit booked",J11="Withdrawn"),"OK",IF(G11="","Date assessed needed",IF(C11="","Date of birth needed",IF(COUNTA(L11,M11,P11,U11,V11,X11,AB11)&lt;7,"Band missing",IF(AND(OR(J11="Decision confirmed",J11="Family told",J11="Enrolled"),AG11=""),"Recommendation needed",IF(AND(OR(J11="Family told",J11="Enrolled"),AJ11=""),"Date family told needed","OK"))))))))</f>
        <v>OK</v>
      </c>
    </row>
    <row r="12" customFormat="false" ht="15" hidden="false" customHeight="false" outlineLevel="0" collapsed="false">
      <c r="A12" s="7" t="s">
        <v>451</v>
      </c>
      <c r="B12" s="7" t="s">
        <v>452</v>
      </c>
      <c r="C12" s="46" t="n">
        <v>41596</v>
      </c>
      <c r="D12" s="7" t="s">
        <v>423</v>
      </c>
      <c r="E12" s="47" t="s">
        <v>311</v>
      </c>
      <c r="F12" s="46" t="n">
        <v>46303</v>
      </c>
      <c r="G12" s="46"/>
      <c r="H12" s="7" t="s">
        <v>314</v>
      </c>
      <c r="I12" s="7" t="s">
        <v>84</v>
      </c>
      <c r="J12" s="47" t="s">
        <v>29</v>
      </c>
      <c r="K12" s="47"/>
      <c r="L12" s="47"/>
      <c r="M12" s="47"/>
      <c r="N12" s="10"/>
      <c r="O12" s="47"/>
      <c r="P12" s="47"/>
      <c r="Q12" s="47"/>
      <c r="R12" s="48" t="str">
        <f aca="false">IF(Q12="","",IF(Q12=0,"below 5:00",IF(Q12&gt;=66,"16:00 or above",INT((60+2*Q12)/12)&amp;":"&amp;TEXT(MOD(60+2*Q12,12),"00"))))</f>
        <v/>
      </c>
      <c r="S12" s="47"/>
      <c r="T12" s="47"/>
      <c r="U12" s="47"/>
      <c r="V12" s="47"/>
      <c r="W12" s="47"/>
      <c r="X12" s="47"/>
      <c r="Y12" s="47"/>
      <c r="Z12" s="47"/>
      <c r="AA12" s="47"/>
      <c r="AB12" s="47"/>
      <c r="AC12" s="47"/>
      <c r="AD12" s="47"/>
      <c r="AE12" s="47"/>
      <c r="AF12" s="47"/>
      <c r="AG12" s="47"/>
      <c r="AH12" s="47"/>
      <c r="AI12" s="46"/>
      <c r="AJ12" s="46"/>
      <c r="AK12" s="46"/>
      <c r="AL12" s="7"/>
      <c r="AM12" s="49" t="str">
        <f aca="false">IF(OR(C12="",G12=""),"",IFERROR(DATEDIF(C12,G12,"m"),""))</f>
        <v/>
      </c>
      <c r="AN12" s="49" t="str">
        <f aca="false">IF(OR(Q12="",AM12=""),"",60+2*Q12-AM12)</f>
        <v/>
      </c>
      <c r="AO12" s="49" t="str">
        <f aca="false">IF(OR(G12="",AJ12=""),"",AJ12-G12)</f>
        <v/>
      </c>
      <c r="AP12" s="50" t="str">
        <f aca="false">IF(AND(A12="",B12=""),"",IF(J12="","Status needed",IF(OR(J12="Applied",J12="Visit booked",J12="Withdrawn"),"OK",IF(G12="","Date assessed needed",IF(C12="","Date of birth needed",IF(COUNTA(L12,M12,P12,U12,V12,X12,AB12)&lt;7,"Band missing",IF(AND(OR(J12="Decision confirmed",J12="Family told",J12="Enrolled"),AG12=""),"Recommendation needed",IF(AND(OR(J12="Family told",J12="Enrolled"),AJ12=""),"Date family told needed","OK"))))))))</f>
        <v>OK</v>
      </c>
    </row>
    <row r="13" customFormat="false" ht="15" hidden="false" customHeight="false" outlineLevel="0" collapsed="false">
      <c r="A13" s="7" t="s">
        <v>453</v>
      </c>
      <c r="B13" s="7" t="s">
        <v>454</v>
      </c>
      <c r="C13" s="46" t="n">
        <v>41595</v>
      </c>
      <c r="D13" s="7" t="s">
        <v>298</v>
      </c>
      <c r="E13" s="47" t="s">
        <v>69</v>
      </c>
      <c r="F13" s="46" t="n">
        <v>46277</v>
      </c>
      <c r="G13" s="46" t="n">
        <v>46290</v>
      </c>
      <c r="H13" s="7" t="s">
        <v>80</v>
      </c>
      <c r="I13" s="7" t="s">
        <v>84</v>
      </c>
      <c r="J13" s="47" t="s">
        <v>35</v>
      </c>
      <c r="K13" s="47" t="n">
        <v>5</v>
      </c>
      <c r="L13" s="47" t="s">
        <v>221</v>
      </c>
      <c r="M13" s="47" t="s">
        <v>220</v>
      </c>
      <c r="N13" s="10"/>
      <c r="O13" s="47" t="n">
        <v>0</v>
      </c>
      <c r="P13" s="47" t="s">
        <v>220</v>
      </c>
      <c r="Q13" s="47" t="n">
        <v>18</v>
      </c>
      <c r="R13" s="48" t="str">
        <f aca="false">IF(Q13="","",IF(Q13=0,"below 5:00",IF(Q13&gt;=66,"16:00 or above",INT((60+2*Q13)/12)&amp;":"&amp;TEXT(MOD(60+2*Q13,12),"00"))))</f>
        <v>8:00</v>
      </c>
      <c r="S13" s="47" t="s">
        <v>221</v>
      </c>
      <c r="T13" s="47" t="n">
        <v>6</v>
      </c>
      <c r="U13" s="47" t="s">
        <v>221</v>
      </c>
      <c r="V13" s="47" t="s">
        <v>220</v>
      </c>
      <c r="W13" s="47" t="n">
        <v>9</v>
      </c>
      <c r="X13" s="47" t="n">
        <v>1</v>
      </c>
      <c r="Y13" s="47" t="n">
        <v>2</v>
      </c>
      <c r="Z13" s="47" t="s">
        <v>137</v>
      </c>
      <c r="AA13" s="47" t="n">
        <v>2</v>
      </c>
      <c r="AB13" s="47" t="n">
        <v>1</v>
      </c>
      <c r="AC13" s="47" t="n">
        <v>2</v>
      </c>
      <c r="AD13" s="47"/>
      <c r="AE13" s="47"/>
      <c r="AF13" s="47"/>
      <c r="AG13" s="47" t="s">
        <v>232</v>
      </c>
      <c r="AH13" s="47"/>
      <c r="AI13" s="46" t="n">
        <v>46292</v>
      </c>
      <c r="AJ13" s="46" t="n">
        <v>46295</v>
      </c>
      <c r="AK13" s="46" t="n">
        <v>46295</v>
      </c>
      <c r="AL13" s="7"/>
      <c r="AM13" s="49" t="n">
        <f aca="false">IF(OR(C13="",G13=""),"",IFERROR(DATEDIF(C13,G13,"m"),""))</f>
        <v>154</v>
      </c>
      <c r="AN13" s="49" t="n">
        <f aca="false">IF(OR(Q13="",AM13=""),"",60+2*Q13-AM13)</f>
        <v>-58</v>
      </c>
      <c r="AO13" s="49" t="n">
        <f aca="false">IF(OR(G13="",AJ13=""),"",AJ13-G13)</f>
        <v>5</v>
      </c>
      <c r="AP13" s="50" t="str">
        <f aca="false">IF(AND(A13="",B13=""),"",IF(J13="","Status needed",IF(OR(J13="Applied",J13="Visit booked",J13="Withdrawn"),"OK",IF(G13="","Date assessed needed",IF(C13="","Date of birth needed",IF(COUNTA(L13,M13,P13,U13,V13,X13,AB13)&lt;7,"Band missing",IF(AND(OR(J13="Decision confirmed",J13="Family told",J13="Enrolled"),AG13=""),"Recommendation needed",IF(AND(OR(J13="Family told",J13="Enrolled"),AJ13=""),"Date family told needed","OK"))))))))</f>
        <v>OK</v>
      </c>
    </row>
    <row r="14" customFormat="false" ht="15" hidden="false" customHeight="false" outlineLevel="0" collapsed="false">
      <c r="A14" s="7"/>
      <c r="B14" s="7"/>
      <c r="C14" s="46"/>
      <c r="D14" s="7"/>
      <c r="E14" s="47"/>
      <c r="F14" s="46"/>
      <c r="G14" s="46"/>
      <c r="H14" s="7"/>
      <c r="I14" s="7"/>
      <c r="J14" s="47"/>
      <c r="K14" s="47"/>
      <c r="L14" s="47"/>
      <c r="M14" s="47"/>
      <c r="N14" s="10"/>
      <c r="O14" s="47"/>
      <c r="P14" s="47"/>
      <c r="Q14" s="47"/>
      <c r="R14" s="48" t="str">
        <f aca="false">IF(Q14="","",IF(Q14=0,"below 5:00",IF(Q14&gt;=66,"16:00 or above",INT((60+2*Q14)/12)&amp;":"&amp;TEXT(MOD(60+2*Q14,12),"00"))))</f>
        <v/>
      </c>
      <c r="S14" s="47"/>
      <c r="T14" s="47"/>
      <c r="U14" s="47"/>
      <c r="V14" s="47"/>
      <c r="W14" s="47"/>
      <c r="X14" s="47"/>
      <c r="Y14" s="47"/>
      <c r="Z14" s="47"/>
      <c r="AA14" s="47"/>
      <c r="AB14" s="47"/>
      <c r="AC14" s="47"/>
      <c r="AD14" s="47"/>
      <c r="AE14" s="47"/>
      <c r="AF14" s="47"/>
      <c r="AG14" s="47"/>
      <c r="AH14" s="47"/>
      <c r="AI14" s="46"/>
      <c r="AJ14" s="46"/>
      <c r="AK14" s="46"/>
      <c r="AL14" s="7"/>
      <c r="AM14" s="49" t="str">
        <f aca="false">IF(OR(C14="",G14=""),"",IFERROR(DATEDIF(C14,G14,"m"),""))</f>
        <v/>
      </c>
      <c r="AN14" s="49" t="str">
        <f aca="false">IF(OR(Q14="",AM14=""),"",60+2*Q14-AM14)</f>
        <v/>
      </c>
      <c r="AO14" s="49" t="str">
        <f aca="false">IF(OR(G14="",AJ14=""),"",AJ14-G14)</f>
        <v/>
      </c>
      <c r="AP14" s="50" t="str">
        <f aca="false">IF(AND(A14="",B14=""),"",IF(J14="","Status needed",IF(OR(J14="Applied",J14="Visit booked",J14="Withdrawn"),"OK",IF(G14="","Date assessed needed",IF(C14="","Date of birth needed",IF(COUNTA(L14,M14,P14,U14,V14,X14,AB14)&lt;7,"Band missing",IF(AND(OR(J14="Decision confirmed",J14="Family told",J14="Enrolled"),AG14=""),"Recommendation needed",IF(AND(OR(J14="Family told",J14="Enrolled"),AJ14=""),"Date family told needed","OK"))))))))</f>
        <v/>
      </c>
    </row>
    <row r="15" customFormat="false" ht="15" hidden="false" customHeight="false" outlineLevel="0" collapsed="false">
      <c r="A15" s="7"/>
      <c r="B15" s="7"/>
      <c r="C15" s="46"/>
      <c r="D15" s="7"/>
      <c r="E15" s="47"/>
      <c r="F15" s="46"/>
      <c r="G15" s="46"/>
      <c r="H15" s="7"/>
      <c r="I15" s="7"/>
      <c r="J15" s="47"/>
      <c r="K15" s="47"/>
      <c r="L15" s="47"/>
      <c r="M15" s="47"/>
      <c r="N15" s="10"/>
      <c r="O15" s="47"/>
      <c r="P15" s="47"/>
      <c r="Q15" s="47"/>
      <c r="R15" s="48" t="str">
        <f aca="false">IF(Q15="","",IF(Q15=0,"below 5:00",IF(Q15&gt;=66,"16:00 or above",INT((60+2*Q15)/12)&amp;":"&amp;TEXT(MOD(60+2*Q15,12),"00"))))</f>
        <v/>
      </c>
      <c r="S15" s="47"/>
      <c r="T15" s="47"/>
      <c r="U15" s="47"/>
      <c r="V15" s="47"/>
      <c r="W15" s="47"/>
      <c r="X15" s="47"/>
      <c r="Y15" s="47"/>
      <c r="Z15" s="47"/>
      <c r="AA15" s="47"/>
      <c r="AB15" s="47"/>
      <c r="AC15" s="47"/>
      <c r="AD15" s="47"/>
      <c r="AE15" s="47"/>
      <c r="AF15" s="47"/>
      <c r="AG15" s="47"/>
      <c r="AH15" s="47"/>
      <c r="AI15" s="46"/>
      <c r="AJ15" s="46"/>
      <c r="AK15" s="46"/>
      <c r="AL15" s="7"/>
      <c r="AM15" s="49" t="str">
        <f aca="false">IF(OR(C15="",G15=""),"",IFERROR(DATEDIF(C15,G15,"m"),""))</f>
        <v/>
      </c>
      <c r="AN15" s="49" t="str">
        <f aca="false">IF(OR(Q15="",AM15=""),"",60+2*Q15-AM15)</f>
        <v/>
      </c>
      <c r="AO15" s="49" t="str">
        <f aca="false">IF(OR(G15="",AJ15=""),"",AJ15-G15)</f>
        <v/>
      </c>
      <c r="AP15" s="50" t="str">
        <f aca="false">IF(AND(A15="",B15=""),"",IF(J15="","Status needed",IF(OR(J15="Applied",J15="Visit booked",J15="Withdrawn"),"OK",IF(G15="","Date assessed needed",IF(C15="","Date of birth needed",IF(COUNTA(L15,M15,P15,U15,V15,X15,AB15)&lt;7,"Band missing",IF(AND(OR(J15="Decision confirmed",J15="Family told",J15="Enrolled"),AG15=""),"Recommendation needed",IF(AND(OR(J15="Family told",J15="Enrolled"),AJ15=""),"Date family told needed","OK"))))))))</f>
        <v/>
      </c>
    </row>
    <row r="16" customFormat="false" ht="15" hidden="false" customHeight="false" outlineLevel="0" collapsed="false">
      <c r="A16" s="7"/>
      <c r="B16" s="7"/>
      <c r="C16" s="46"/>
      <c r="D16" s="7"/>
      <c r="E16" s="47"/>
      <c r="F16" s="46"/>
      <c r="G16" s="46"/>
      <c r="H16" s="7"/>
      <c r="I16" s="7"/>
      <c r="J16" s="47"/>
      <c r="K16" s="47"/>
      <c r="L16" s="47"/>
      <c r="M16" s="47"/>
      <c r="N16" s="10"/>
      <c r="O16" s="47"/>
      <c r="P16" s="47"/>
      <c r="Q16" s="47"/>
      <c r="R16" s="48" t="str">
        <f aca="false">IF(Q16="","",IF(Q16=0,"below 5:00",IF(Q16&gt;=66,"16:00 or above",INT((60+2*Q16)/12)&amp;":"&amp;TEXT(MOD(60+2*Q16,12),"00"))))</f>
        <v/>
      </c>
      <c r="S16" s="47"/>
      <c r="T16" s="47"/>
      <c r="U16" s="47"/>
      <c r="V16" s="47"/>
      <c r="W16" s="47"/>
      <c r="X16" s="47"/>
      <c r="Y16" s="47"/>
      <c r="Z16" s="47"/>
      <c r="AA16" s="47"/>
      <c r="AB16" s="47"/>
      <c r="AC16" s="47"/>
      <c r="AD16" s="47"/>
      <c r="AE16" s="47"/>
      <c r="AF16" s="47"/>
      <c r="AG16" s="47"/>
      <c r="AH16" s="47"/>
      <c r="AI16" s="46"/>
      <c r="AJ16" s="46"/>
      <c r="AK16" s="46"/>
      <c r="AL16" s="7"/>
      <c r="AM16" s="49" t="str">
        <f aca="false">IF(OR(C16="",G16=""),"",IFERROR(DATEDIF(C16,G16,"m"),""))</f>
        <v/>
      </c>
      <c r="AN16" s="49" t="str">
        <f aca="false">IF(OR(Q16="",AM16=""),"",60+2*Q16-AM16)</f>
        <v/>
      </c>
      <c r="AO16" s="49" t="str">
        <f aca="false">IF(OR(G16="",AJ16=""),"",AJ16-G16)</f>
        <v/>
      </c>
      <c r="AP16" s="50" t="str">
        <f aca="false">IF(AND(A16="",B16=""),"",IF(J16="","Status needed",IF(OR(J16="Applied",J16="Visit booked",J16="Withdrawn"),"OK",IF(G16="","Date assessed needed",IF(C16="","Date of birth needed",IF(COUNTA(L16,M16,P16,U16,V16,X16,AB16)&lt;7,"Band missing",IF(AND(OR(J16="Decision confirmed",J16="Family told",J16="Enrolled"),AG16=""),"Recommendation needed",IF(AND(OR(J16="Family told",J16="Enrolled"),AJ16=""),"Date family told needed","OK"))))))))</f>
        <v/>
      </c>
    </row>
    <row r="17" customFormat="false" ht="15" hidden="false" customHeight="false" outlineLevel="0" collapsed="false">
      <c r="A17" s="7"/>
      <c r="B17" s="7"/>
      <c r="C17" s="46"/>
      <c r="D17" s="7"/>
      <c r="E17" s="47"/>
      <c r="F17" s="46"/>
      <c r="G17" s="46"/>
      <c r="H17" s="7"/>
      <c r="I17" s="7"/>
      <c r="J17" s="47"/>
      <c r="K17" s="47"/>
      <c r="L17" s="47"/>
      <c r="M17" s="47"/>
      <c r="N17" s="10"/>
      <c r="O17" s="47"/>
      <c r="P17" s="47"/>
      <c r="Q17" s="47"/>
      <c r="R17" s="48" t="str">
        <f aca="false">IF(Q17="","",IF(Q17=0,"below 5:00",IF(Q17&gt;=66,"16:00 or above",INT((60+2*Q17)/12)&amp;":"&amp;TEXT(MOD(60+2*Q17,12),"00"))))</f>
        <v/>
      </c>
      <c r="S17" s="47"/>
      <c r="T17" s="47"/>
      <c r="U17" s="47"/>
      <c r="V17" s="47"/>
      <c r="W17" s="47"/>
      <c r="X17" s="47"/>
      <c r="Y17" s="47"/>
      <c r="Z17" s="47"/>
      <c r="AA17" s="47"/>
      <c r="AB17" s="47"/>
      <c r="AC17" s="47"/>
      <c r="AD17" s="47"/>
      <c r="AE17" s="47"/>
      <c r="AF17" s="47"/>
      <c r="AG17" s="47"/>
      <c r="AH17" s="47"/>
      <c r="AI17" s="46"/>
      <c r="AJ17" s="46"/>
      <c r="AK17" s="46"/>
      <c r="AL17" s="7"/>
      <c r="AM17" s="49" t="str">
        <f aca="false">IF(OR(C17="",G17=""),"",IFERROR(DATEDIF(C17,G17,"m"),""))</f>
        <v/>
      </c>
      <c r="AN17" s="49" t="str">
        <f aca="false">IF(OR(Q17="",AM17=""),"",60+2*Q17-AM17)</f>
        <v/>
      </c>
      <c r="AO17" s="49" t="str">
        <f aca="false">IF(OR(G17="",AJ17=""),"",AJ17-G17)</f>
        <v/>
      </c>
      <c r="AP17" s="50" t="str">
        <f aca="false">IF(AND(A17="",B17=""),"",IF(J17="","Status needed",IF(OR(J17="Applied",J17="Visit booked",J17="Withdrawn"),"OK",IF(G17="","Date assessed needed",IF(C17="","Date of birth needed",IF(COUNTA(L17,M17,P17,U17,V17,X17,AB17)&lt;7,"Band missing",IF(AND(OR(J17="Decision confirmed",J17="Family told",J17="Enrolled"),AG17=""),"Recommendation needed",IF(AND(OR(J17="Family told",J17="Enrolled"),AJ17=""),"Date family told needed","OK"))))))))</f>
        <v/>
      </c>
    </row>
    <row r="18" customFormat="false" ht="15" hidden="false" customHeight="false" outlineLevel="0" collapsed="false">
      <c r="A18" s="7"/>
      <c r="B18" s="7"/>
      <c r="C18" s="46"/>
      <c r="D18" s="7"/>
      <c r="E18" s="47"/>
      <c r="F18" s="46"/>
      <c r="G18" s="46"/>
      <c r="H18" s="7"/>
      <c r="I18" s="7"/>
      <c r="J18" s="47"/>
      <c r="K18" s="47"/>
      <c r="L18" s="47"/>
      <c r="M18" s="47"/>
      <c r="N18" s="10"/>
      <c r="O18" s="47"/>
      <c r="P18" s="47"/>
      <c r="Q18" s="47"/>
      <c r="R18" s="48" t="str">
        <f aca="false">IF(Q18="","",IF(Q18=0,"below 5:00",IF(Q18&gt;=66,"16:00 or above",INT((60+2*Q18)/12)&amp;":"&amp;TEXT(MOD(60+2*Q18,12),"00"))))</f>
        <v/>
      </c>
      <c r="S18" s="47"/>
      <c r="T18" s="47"/>
      <c r="U18" s="47"/>
      <c r="V18" s="47"/>
      <c r="W18" s="47"/>
      <c r="X18" s="47"/>
      <c r="Y18" s="47"/>
      <c r="Z18" s="47"/>
      <c r="AA18" s="47"/>
      <c r="AB18" s="47"/>
      <c r="AC18" s="47"/>
      <c r="AD18" s="47"/>
      <c r="AE18" s="47"/>
      <c r="AF18" s="47"/>
      <c r="AG18" s="47"/>
      <c r="AH18" s="47"/>
      <c r="AI18" s="46"/>
      <c r="AJ18" s="46"/>
      <c r="AK18" s="46"/>
      <c r="AL18" s="7"/>
      <c r="AM18" s="49" t="str">
        <f aca="false">IF(OR(C18="",G18=""),"",IFERROR(DATEDIF(C18,G18,"m"),""))</f>
        <v/>
      </c>
      <c r="AN18" s="49" t="str">
        <f aca="false">IF(OR(Q18="",AM18=""),"",60+2*Q18-AM18)</f>
        <v/>
      </c>
      <c r="AO18" s="49" t="str">
        <f aca="false">IF(OR(G18="",AJ18=""),"",AJ18-G18)</f>
        <v/>
      </c>
      <c r="AP18" s="50" t="str">
        <f aca="false">IF(AND(A18="",B18=""),"",IF(J18="","Status needed",IF(OR(J18="Applied",J18="Visit booked",J18="Withdrawn"),"OK",IF(G18="","Date assessed needed",IF(C18="","Date of birth needed",IF(COUNTA(L18,M18,P18,U18,V18,X18,AB18)&lt;7,"Band missing",IF(AND(OR(J18="Decision confirmed",J18="Family told",J18="Enrolled"),AG18=""),"Recommendation needed",IF(AND(OR(J18="Family told",J18="Enrolled"),AJ18=""),"Date family told needed","OK"))))))))</f>
        <v/>
      </c>
    </row>
    <row r="19" customFormat="false" ht="15" hidden="false" customHeight="false" outlineLevel="0" collapsed="false">
      <c r="A19" s="7"/>
      <c r="B19" s="7"/>
      <c r="C19" s="46"/>
      <c r="D19" s="7"/>
      <c r="E19" s="47"/>
      <c r="F19" s="46"/>
      <c r="G19" s="46"/>
      <c r="H19" s="7"/>
      <c r="I19" s="7"/>
      <c r="J19" s="47"/>
      <c r="K19" s="47"/>
      <c r="L19" s="47"/>
      <c r="M19" s="47"/>
      <c r="N19" s="10"/>
      <c r="O19" s="47"/>
      <c r="P19" s="47"/>
      <c r="Q19" s="47"/>
      <c r="R19" s="48" t="str">
        <f aca="false">IF(Q19="","",IF(Q19=0,"below 5:00",IF(Q19&gt;=66,"16:00 or above",INT((60+2*Q19)/12)&amp;":"&amp;TEXT(MOD(60+2*Q19,12),"00"))))</f>
        <v/>
      </c>
      <c r="S19" s="47"/>
      <c r="T19" s="47"/>
      <c r="U19" s="47"/>
      <c r="V19" s="47"/>
      <c r="W19" s="47"/>
      <c r="X19" s="47"/>
      <c r="Y19" s="47"/>
      <c r="Z19" s="47"/>
      <c r="AA19" s="47"/>
      <c r="AB19" s="47"/>
      <c r="AC19" s="47"/>
      <c r="AD19" s="47"/>
      <c r="AE19" s="47"/>
      <c r="AF19" s="47"/>
      <c r="AG19" s="47"/>
      <c r="AH19" s="47"/>
      <c r="AI19" s="46"/>
      <c r="AJ19" s="46"/>
      <c r="AK19" s="46"/>
      <c r="AL19" s="7"/>
      <c r="AM19" s="49" t="str">
        <f aca="false">IF(OR(C19="",G19=""),"",IFERROR(DATEDIF(C19,G19,"m"),""))</f>
        <v/>
      </c>
      <c r="AN19" s="49" t="str">
        <f aca="false">IF(OR(Q19="",AM19=""),"",60+2*Q19-AM19)</f>
        <v/>
      </c>
      <c r="AO19" s="49" t="str">
        <f aca="false">IF(OR(G19="",AJ19=""),"",AJ19-G19)</f>
        <v/>
      </c>
      <c r="AP19" s="50" t="str">
        <f aca="false">IF(AND(A19="",B19=""),"",IF(J19="","Status needed",IF(OR(J19="Applied",J19="Visit booked",J19="Withdrawn"),"OK",IF(G19="","Date assessed needed",IF(C19="","Date of birth needed",IF(COUNTA(L19,M19,P19,U19,V19,X19,AB19)&lt;7,"Band missing",IF(AND(OR(J19="Decision confirmed",J19="Family told",J19="Enrolled"),AG19=""),"Recommendation needed",IF(AND(OR(J19="Family told",J19="Enrolled"),AJ19=""),"Date family told needed","OK"))))))))</f>
        <v/>
      </c>
    </row>
    <row r="20" customFormat="false" ht="15" hidden="false" customHeight="false" outlineLevel="0" collapsed="false">
      <c r="A20" s="7"/>
      <c r="B20" s="7"/>
      <c r="C20" s="46"/>
      <c r="D20" s="7"/>
      <c r="E20" s="47"/>
      <c r="F20" s="46"/>
      <c r="G20" s="46"/>
      <c r="H20" s="7"/>
      <c r="I20" s="7"/>
      <c r="J20" s="47"/>
      <c r="K20" s="47"/>
      <c r="L20" s="47"/>
      <c r="M20" s="47"/>
      <c r="N20" s="10"/>
      <c r="O20" s="47"/>
      <c r="P20" s="47"/>
      <c r="Q20" s="47"/>
      <c r="R20" s="48" t="str">
        <f aca="false">IF(Q20="","",IF(Q20=0,"below 5:00",IF(Q20&gt;=66,"16:00 or above",INT((60+2*Q20)/12)&amp;":"&amp;TEXT(MOD(60+2*Q20,12),"00"))))</f>
        <v/>
      </c>
      <c r="S20" s="47"/>
      <c r="T20" s="47"/>
      <c r="U20" s="47"/>
      <c r="V20" s="47"/>
      <c r="W20" s="47"/>
      <c r="X20" s="47"/>
      <c r="Y20" s="47"/>
      <c r="Z20" s="47"/>
      <c r="AA20" s="47"/>
      <c r="AB20" s="47"/>
      <c r="AC20" s="47"/>
      <c r="AD20" s="47"/>
      <c r="AE20" s="47"/>
      <c r="AF20" s="47"/>
      <c r="AG20" s="47"/>
      <c r="AH20" s="47"/>
      <c r="AI20" s="46"/>
      <c r="AJ20" s="46"/>
      <c r="AK20" s="46"/>
      <c r="AL20" s="7"/>
      <c r="AM20" s="49" t="str">
        <f aca="false">IF(OR(C20="",G20=""),"",IFERROR(DATEDIF(C20,G20,"m"),""))</f>
        <v/>
      </c>
      <c r="AN20" s="49" t="str">
        <f aca="false">IF(OR(Q20="",AM20=""),"",60+2*Q20-AM20)</f>
        <v/>
      </c>
      <c r="AO20" s="49" t="str">
        <f aca="false">IF(OR(G20="",AJ20=""),"",AJ20-G20)</f>
        <v/>
      </c>
      <c r="AP20" s="50" t="str">
        <f aca="false">IF(AND(A20="",B20=""),"",IF(J20="","Status needed",IF(OR(J20="Applied",J20="Visit booked",J20="Withdrawn"),"OK",IF(G20="","Date assessed needed",IF(C20="","Date of birth needed",IF(COUNTA(L20,M20,P20,U20,V20,X20,AB20)&lt;7,"Band missing",IF(AND(OR(J20="Decision confirmed",J20="Family told",J20="Enrolled"),AG20=""),"Recommendation needed",IF(AND(OR(J20="Family told",J20="Enrolled"),AJ20=""),"Date family told needed","OK"))))))))</f>
        <v/>
      </c>
    </row>
    <row r="21" customFormat="false" ht="15" hidden="false" customHeight="false" outlineLevel="0" collapsed="false">
      <c r="A21" s="7"/>
      <c r="B21" s="7"/>
      <c r="C21" s="46"/>
      <c r="D21" s="7"/>
      <c r="E21" s="47"/>
      <c r="F21" s="46"/>
      <c r="G21" s="46"/>
      <c r="H21" s="7"/>
      <c r="I21" s="7"/>
      <c r="J21" s="47"/>
      <c r="K21" s="47"/>
      <c r="L21" s="47"/>
      <c r="M21" s="47"/>
      <c r="N21" s="10"/>
      <c r="O21" s="47"/>
      <c r="P21" s="47"/>
      <c r="Q21" s="47"/>
      <c r="R21" s="48" t="str">
        <f aca="false">IF(Q21="","",IF(Q21=0,"below 5:00",IF(Q21&gt;=66,"16:00 or above",INT((60+2*Q21)/12)&amp;":"&amp;TEXT(MOD(60+2*Q21,12),"00"))))</f>
        <v/>
      </c>
      <c r="S21" s="47"/>
      <c r="T21" s="47"/>
      <c r="U21" s="47"/>
      <c r="V21" s="47"/>
      <c r="W21" s="47"/>
      <c r="X21" s="47"/>
      <c r="Y21" s="47"/>
      <c r="Z21" s="47"/>
      <c r="AA21" s="47"/>
      <c r="AB21" s="47"/>
      <c r="AC21" s="47"/>
      <c r="AD21" s="47"/>
      <c r="AE21" s="47"/>
      <c r="AF21" s="47"/>
      <c r="AG21" s="47"/>
      <c r="AH21" s="47"/>
      <c r="AI21" s="46"/>
      <c r="AJ21" s="46"/>
      <c r="AK21" s="46"/>
      <c r="AL21" s="7"/>
      <c r="AM21" s="49" t="str">
        <f aca="false">IF(OR(C21="",G21=""),"",IFERROR(DATEDIF(C21,G21,"m"),""))</f>
        <v/>
      </c>
      <c r="AN21" s="49" t="str">
        <f aca="false">IF(OR(Q21="",AM21=""),"",60+2*Q21-AM21)</f>
        <v/>
      </c>
      <c r="AO21" s="49" t="str">
        <f aca="false">IF(OR(G21="",AJ21=""),"",AJ21-G21)</f>
        <v/>
      </c>
      <c r="AP21" s="50" t="str">
        <f aca="false">IF(AND(A21="",B21=""),"",IF(J21="","Status needed",IF(OR(J21="Applied",J21="Visit booked",J21="Withdrawn"),"OK",IF(G21="","Date assessed needed",IF(C21="","Date of birth needed",IF(COUNTA(L21,M21,P21,U21,V21,X21,AB21)&lt;7,"Band missing",IF(AND(OR(J21="Decision confirmed",J21="Family told",J21="Enrolled"),AG21=""),"Recommendation needed",IF(AND(OR(J21="Family told",J21="Enrolled"),AJ21=""),"Date family told needed","OK"))))))))</f>
        <v/>
      </c>
    </row>
    <row r="22" customFormat="false" ht="15" hidden="false" customHeight="false" outlineLevel="0" collapsed="false">
      <c r="A22" s="7"/>
      <c r="B22" s="7"/>
      <c r="C22" s="46"/>
      <c r="D22" s="7"/>
      <c r="E22" s="47"/>
      <c r="F22" s="46"/>
      <c r="G22" s="46"/>
      <c r="H22" s="7"/>
      <c r="I22" s="7"/>
      <c r="J22" s="47"/>
      <c r="K22" s="47"/>
      <c r="L22" s="47"/>
      <c r="M22" s="47"/>
      <c r="N22" s="10"/>
      <c r="O22" s="47"/>
      <c r="P22" s="47"/>
      <c r="Q22" s="47"/>
      <c r="R22" s="48" t="str">
        <f aca="false">IF(Q22="","",IF(Q22=0,"below 5:00",IF(Q22&gt;=66,"16:00 or above",INT((60+2*Q22)/12)&amp;":"&amp;TEXT(MOD(60+2*Q22,12),"00"))))</f>
        <v/>
      </c>
      <c r="S22" s="47"/>
      <c r="T22" s="47"/>
      <c r="U22" s="47"/>
      <c r="V22" s="47"/>
      <c r="W22" s="47"/>
      <c r="X22" s="47"/>
      <c r="Y22" s="47"/>
      <c r="Z22" s="47"/>
      <c r="AA22" s="47"/>
      <c r="AB22" s="47"/>
      <c r="AC22" s="47"/>
      <c r="AD22" s="47"/>
      <c r="AE22" s="47"/>
      <c r="AF22" s="47"/>
      <c r="AG22" s="47"/>
      <c r="AH22" s="47"/>
      <c r="AI22" s="46"/>
      <c r="AJ22" s="46"/>
      <c r="AK22" s="46"/>
      <c r="AL22" s="7"/>
      <c r="AM22" s="49" t="str">
        <f aca="false">IF(OR(C22="",G22=""),"",IFERROR(DATEDIF(C22,G22,"m"),""))</f>
        <v/>
      </c>
      <c r="AN22" s="49" t="str">
        <f aca="false">IF(OR(Q22="",AM22=""),"",60+2*Q22-AM22)</f>
        <v/>
      </c>
      <c r="AO22" s="49" t="str">
        <f aca="false">IF(OR(G22="",AJ22=""),"",AJ22-G22)</f>
        <v/>
      </c>
      <c r="AP22" s="50" t="str">
        <f aca="false">IF(AND(A22="",B22=""),"",IF(J22="","Status needed",IF(OR(J22="Applied",J22="Visit booked",J22="Withdrawn"),"OK",IF(G22="","Date assessed needed",IF(C22="","Date of birth needed",IF(COUNTA(L22,M22,P22,U22,V22,X22,AB22)&lt;7,"Band missing",IF(AND(OR(J22="Decision confirmed",J22="Family told",J22="Enrolled"),AG22=""),"Recommendation needed",IF(AND(OR(J22="Family told",J22="Enrolled"),AJ22=""),"Date family told needed","OK"))))))))</f>
        <v/>
      </c>
    </row>
    <row r="23" customFormat="false" ht="15" hidden="false" customHeight="false" outlineLevel="0" collapsed="false">
      <c r="A23" s="7"/>
      <c r="B23" s="7"/>
      <c r="C23" s="46"/>
      <c r="D23" s="7"/>
      <c r="E23" s="47"/>
      <c r="F23" s="46"/>
      <c r="G23" s="46"/>
      <c r="H23" s="7"/>
      <c r="I23" s="7"/>
      <c r="J23" s="47"/>
      <c r="K23" s="47"/>
      <c r="L23" s="47"/>
      <c r="M23" s="47"/>
      <c r="N23" s="10"/>
      <c r="O23" s="47"/>
      <c r="P23" s="47"/>
      <c r="Q23" s="47"/>
      <c r="R23" s="48" t="str">
        <f aca="false">IF(Q23="","",IF(Q23=0,"below 5:00",IF(Q23&gt;=66,"16:00 or above",INT((60+2*Q23)/12)&amp;":"&amp;TEXT(MOD(60+2*Q23,12),"00"))))</f>
        <v/>
      </c>
      <c r="S23" s="47"/>
      <c r="T23" s="47"/>
      <c r="U23" s="47"/>
      <c r="V23" s="47"/>
      <c r="W23" s="47"/>
      <c r="X23" s="47"/>
      <c r="Y23" s="47"/>
      <c r="Z23" s="47"/>
      <c r="AA23" s="47"/>
      <c r="AB23" s="47"/>
      <c r="AC23" s="47"/>
      <c r="AD23" s="47"/>
      <c r="AE23" s="47"/>
      <c r="AF23" s="47"/>
      <c r="AG23" s="47"/>
      <c r="AH23" s="47"/>
      <c r="AI23" s="46"/>
      <c r="AJ23" s="46"/>
      <c r="AK23" s="46"/>
      <c r="AL23" s="7"/>
      <c r="AM23" s="49" t="str">
        <f aca="false">IF(OR(C23="",G23=""),"",IFERROR(DATEDIF(C23,G23,"m"),""))</f>
        <v/>
      </c>
      <c r="AN23" s="49" t="str">
        <f aca="false">IF(OR(Q23="",AM23=""),"",60+2*Q23-AM23)</f>
        <v/>
      </c>
      <c r="AO23" s="49" t="str">
        <f aca="false">IF(OR(G23="",AJ23=""),"",AJ23-G23)</f>
        <v/>
      </c>
      <c r="AP23" s="50" t="str">
        <f aca="false">IF(AND(A23="",B23=""),"",IF(J23="","Status needed",IF(OR(J23="Applied",J23="Visit booked",J23="Withdrawn"),"OK",IF(G23="","Date assessed needed",IF(C23="","Date of birth needed",IF(COUNTA(L23,M23,P23,U23,V23,X23,AB23)&lt;7,"Band missing",IF(AND(OR(J23="Decision confirmed",J23="Family told",J23="Enrolled"),AG23=""),"Recommendation needed",IF(AND(OR(J23="Family told",J23="Enrolled"),AJ23=""),"Date family told needed","OK"))))))))</f>
        <v/>
      </c>
    </row>
    <row r="24" customFormat="false" ht="15" hidden="false" customHeight="false" outlineLevel="0" collapsed="false">
      <c r="A24" s="7"/>
      <c r="B24" s="7"/>
      <c r="C24" s="46"/>
      <c r="D24" s="7"/>
      <c r="E24" s="47"/>
      <c r="F24" s="46"/>
      <c r="G24" s="46"/>
      <c r="H24" s="7"/>
      <c r="I24" s="7"/>
      <c r="J24" s="47"/>
      <c r="K24" s="47"/>
      <c r="L24" s="47"/>
      <c r="M24" s="47"/>
      <c r="N24" s="10"/>
      <c r="O24" s="47"/>
      <c r="P24" s="47"/>
      <c r="Q24" s="47"/>
      <c r="R24" s="48" t="str">
        <f aca="false">IF(Q24="","",IF(Q24=0,"below 5:00",IF(Q24&gt;=66,"16:00 or above",INT((60+2*Q24)/12)&amp;":"&amp;TEXT(MOD(60+2*Q24,12),"00"))))</f>
        <v/>
      </c>
      <c r="S24" s="47"/>
      <c r="T24" s="47"/>
      <c r="U24" s="47"/>
      <c r="V24" s="47"/>
      <c r="W24" s="47"/>
      <c r="X24" s="47"/>
      <c r="Y24" s="47"/>
      <c r="Z24" s="47"/>
      <c r="AA24" s="47"/>
      <c r="AB24" s="47"/>
      <c r="AC24" s="47"/>
      <c r="AD24" s="47"/>
      <c r="AE24" s="47"/>
      <c r="AF24" s="47"/>
      <c r="AG24" s="47"/>
      <c r="AH24" s="47"/>
      <c r="AI24" s="46"/>
      <c r="AJ24" s="46"/>
      <c r="AK24" s="46"/>
      <c r="AL24" s="7"/>
      <c r="AM24" s="49" t="str">
        <f aca="false">IF(OR(C24="",G24=""),"",IFERROR(DATEDIF(C24,G24,"m"),""))</f>
        <v/>
      </c>
      <c r="AN24" s="49" t="str">
        <f aca="false">IF(OR(Q24="",AM24=""),"",60+2*Q24-AM24)</f>
        <v/>
      </c>
      <c r="AO24" s="49" t="str">
        <f aca="false">IF(OR(G24="",AJ24=""),"",AJ24-G24)</f>
        <v/>
      </c>
      <c r="AP24" s="50" t="str">
        <f aca="false">IF(AND(A24="",B24=""),"",IF(J24="","Status needed",IF(OR(J24="Applied",J24="Visit booked",J24="Withdrawn"),"OK",IF(G24="","Date assessed needed",IF(C24="","Date of birth needed",IF(COUNTA(L24,M24,P24,U24,V24,X24,AB24)&lt;7,"Band missing",IF(AND(OR(J24="Decision confirmed",J24="Family told",J24="Enrolled"),AG24=""),"Recommendation needed",IF(AND(OR(J24="Family told",J24="Enrolled"),AJ24=""),"Date family told needed","OK"))))))))</f>
        <v/>
      </c>
    </row>
    <row r="25" customFormat="false" ht="15" hidden="false" customHeight="false" outlineLevel="0" collapsed="false">
      <c r="A25" s="7"/>
      <c r="B25" s="7"/>
      <c r="C25" s="46"/>
      <c r="D25" s="7"/>
      <c r="E25" s="47"/>
      <c r="F25" s="46"/>
      <c r="G25" s="46"/>
      <c r="H25" s="7"/>
      <c r="I25" s="7"/>
      <c r="J25" s="47"/>
      <c r="K25" s="47"/>
      <c r="L25" s="47"/>
      <c r="M25" s="47"/>
      <c r="N25" s="10"/>
      <c r="O25" s="47"/>
      <c r="P25" s="47"/>
      <c r="Q25" s="47"/>
      <c r="R25" s="48" t="str">
        <f aca="false">IF(Q25="","",IF(Q25=0,"below 5:00",IF(Q25&gt;=66,"16:00 or above",INT((60+2*Q25)/12)&amp;":"&amp;TEXT(MOD(60+2*Q25,12),"00"))))</f>
        <v/>
      </c>
      <c r="S25" s="47"/>
      <c r="T25" s="47"/>
      <c r="U25" s="47"/>
      <c r="V25" s="47"/>
      <c r="W25" s="47"/>
      <c r="X25" s="47"/>
      <c r="Y25" s="47"/>
      <c r="Z25" s="47"/>
      <c r="AA25" s="47"/>
      <c r="AB25" s="47"/>
      <c r="AC25" s="47"/>
      <c r="AD25" s="47"/>
      <c r="AE25" s="47"/>
      <c r="AF25" s="47"/>
      <c r="AG25" s="47"/>
      <c r="AH25" s="47"/>
      <c r="AI25" s="46"/>
      <c r="AJ25" s="46"/>
      <c r="AK25" s="46"/>
      <c r="AL25" s="7"/>
      <c r="AM25" s="49" t="str">
        <f aca="false">IF(OR(C25="",G25=""),"",IFERROR(DATEDIF(C25,G25,"m"),""))</f>
        <v/>
      </c>
      <c r="AN25" s="49" t="str">
        <f aca="false">IF(OR(Q25="",AM25=""),"",60+2*Q25-AM25)</f>
        <v/>
      </c>
      <c r="AO25" s="49" t="str">
        <f aca="false">IF(OR(G25="",AJ25=""),"",AJ25-G25)</f>
        <v/>
      </c>
      <c r="AP25" s="50" t="str">
        <f aca="false">IF(AND(A25="",B25=""),"",IF(J25="","Status needed",IF(OR(J25="Applied",J25="Visit booked",J25="Withdrawn"),"OK",IF(G25="","Date assessed needed",IF(C25="","Date of birth needed",IF(COUNTA(L25,M25,P25,U25,V25,X25,AB25)&lt;7,"Band missing",IF(AND(OR(J25="Decision confirmed",J25="Family told",J25="Enrolled"),AG25=""),"Recommendation needed",IF(AND(OR(J25="Family told",J25="Enrolled"),AJ25=""),"Date family told needed","OK"))))))))</f>
        <v/>
      </c>
    </row>
    <row r="26" customFormat="false" ht="15" hidden="false" customHeight="false" outlineLevel="0" collapsed="false">
      <c r="A26" s="7"/>
      <c r="B26" s="7"/>
      <c r="C26" s="46"/>
      <c r="D26" s="7"/>
      <c r="E26" s="47"/>
      <c r="F26" s="46"/>
      <c r="G26" s="46"/>
      <c r="H26" s="7"/>
      <c r="I26" s="7"/>
      <c r="J26" s="47"/>
      <c r="K26" s="47"/>
      <c r="L26" s="47"/>
      <c r="M26" s="47"/>
      <c r="N26" s="10"/>
      <c r="O26" s="47"/>
      <c r="P26" s="47"/>
      <c r="Q26" s="47"/>
      <c r="R26" s="48" t="str">
        <f aca="false">IF(Q26="","",IF(Q26=0,"below 5:00",IF(Q26&gt;=66,"16:00 or above",INT((60+2*Q26)/12)&amp;":"&amp;TEXT(MOD(60+2*Q26,12),"00"))))</f>
        <v/>
      </c>
      <c r="S26" s="47"/>
      <c r="T26" s="47"/>
      <c r="U26" s="47"/>
      <c r="V26" s="47"/>
      <c r="W26" s="47"/>
      <c r="X26" s="47"/>
      <c r="Y26" s="47"/>
      <c r="Z26" s="47"/>
      <c r="AA26" s="47"/>
      <c r="AB26" s="47"/>
      <c r="AC26" s="47"/>
      <c r="AD26" s="47"/>
      <c r="AE26" s="47"/>
      <c r="AF26" s="47"/>
      <c r="AG26" s="47"/>
      <c r="AH26" s="47"/>
      <c r="AI26" s="46"/>
      <c r="AJ26" s="46"/>
      <c r="AK26" s="46"/>
      <c r="AL26" s="7"/>
      <c r="AM26" s="49" t="str">
        <f aca="false">IF(OR(C26="",G26=""),"",IFERROR(DATEDIF(C26,G26,"m"),""))</f>
        <v/>
      </c>
      <c r="AN26" s="49" t="str">
        <f aca="false">IF(OR(Q26="",AM26=""),"",60+2*Q26-AM26)</f>
        <v/>
      </c>
      <c r="AO26" s="49" t="str">
        <f aca="false">IF(OR(G26="",AJ26=""),"",AJ26-G26)</f>
        <v/>
      </c>
      <c r="AP26" s="50" t="str">
        <f aca="false">IF(AND(A26="",B26=""),"",IF(J26="","Status needed",IF(OR(J26="Applied",J26="Visit booked",J26="Withdrawn"),"OK",IF(G26="","Date assessed needed",IF(C26="","Date of birth needed",IF(COUNTA(L26,M26,P26,U26,V26,X26,AB26)&lt;7,"Band missing",IF(AND(OR(J26="Decision confirmed",J26="Family told",J26="Enrolled"),AG26=""),"Recommendation needed",IF(AND(OR(J26="Family told",J26="Enrolled"),AJ26=""),"Date family told needed","OK"))))))))</f>
        <v/>
      </c>
    </row>
    <row r="27" customFormat="false" ht="15" hidden="false" customHeight="false" outlineLevel="0" collapsed="false">
      <c r="A27" s="7"/>
      <c r="B27" s="7"/>
      <c r="C27" s="46"/>
      <c r="D27" s="7"/>
      <c r="E27" s="47"/>
      <c r="F27" s="46"/>
      <c r="G27" s="46"/>
      <c r="H27" s="7"/>
      <c r="I27" s="7"/>
      <c r="J27" s="47"/>
      <c r="K27" s="47"/>
      <c r="L27" s="47"/>
      <c r="M27" s="47"/>
      <c r="N27" s="10"/>
      <c r="O27" s="47"/>
      <c r="P27" s="47"/>
      <c r="Q27" s="47"/>
      <c r="R27" s="48" t="str">
        <f aca="false">IF(Q27="","",IF(Q27=0,"below 5:00",IF(Q27&gt;=66,"16:00 or above",INT((60+2*Q27)/12)&amp;":"&amp;TEXT(MOD(60+2*Q27,12),"00"))))</f>
        <v/>
      </c>
      <c r="S27" s="47"/>
      <c r="T27" s="47"/>
      <c r="U27" s="47"/>
      <c r="V27" s="47"/>
      <c r="W27" s="47"/>
      <c r="X27" s="47"/>
      <c r="Y27" s="47"/>
      <c r="Z27" s="47"/>
      <c r="AA27" s="47"/>
      <c r="AB27" s="47"/>
      <c r="AC27" s="47"/>
      <c r="AD27" s="47"/>
      <c r="AE27" s="47"/>
      <c r="AF27" s="47"/>
      <c r="AG27" s="47"/>
      <c r="AH27" s="47"/>
      <c r="AI27" s="46"/>
      <c r="AJ27" s="46"/>
      <c r="AK27" s="46"/>
      <c r="AL27" s="7"/>
      <c r="AM27" s="49" t="str">
        <f aca="false">IF(OR(C27="",G27=""),"",IFERROR(DATEDIF(C27,G27,"m"),""))</f>
        <v/>
      </c>
      <c r="AN27" s="49" t="str">
        <f aca="false">IF(OR(Q27="",AM27=""),"",60+2*Q27-AM27)</f>
        <v/>
      </c>
      <c r="AO27" s="49" t="str">
        <f aca="false">IF(OR(G27="",AJ27=""),"",AJ27-G27)</f>
        <v/>
      </c>
      <c r="AP27" s="50" t="str">
        <f aca="false">IF(AND(A27="",B27=""),"",IF(J27="","Status needed",IF(OR(J27="Applied",J27="Visit booked",J27="Withdrawn"),"OK",IF(G27="","Date assessed needed",IF(C27="","Date of birth needed",IF(COUNTA(L27,M27,P27,U27,V27,X27,AB27)&lt;7,"Band missing",IF(AND(OR(J27="Decision confirmed",J27="Family told",J27="Enrolled"),AG27=""),"Recommendation needed",IF(AND(OR(J27="Family told",J27="Enrolled"),AJ27=""),"Date family told needed","OK"))))))))</f>
        <v/>
      </c>
    </row>
    <row r="28" customFormat="false" ht="15" hidden="false" customHeight="false" outlineLevel="0" collapsed="false">
      <c r="A28" s="7"/>
      <c r="B28" s="7"/>
      <c r="C28" s="46"/>
      <c r="D28" s="7"/>
      <c r="E28" s="47"/>
      <c r="F28" s="46"/>
      <c r="G28" s="46"/>
      <c r="H28" s="7"/>
      <c r="I28" s="7"/>
      <c r="J28" s="47"/>
      <c r="K28" s="47"/>
      <c r="L28" s="47"/>
      <c r="M28" s="47"/>
      <c r="N28" s="10"/>
      <c r="O28" s="47"/>
      <c r="P28" s="47"/>
      <c r="Q28" s="47"/>
      <c r="R28" s="48" t="str">
        <f aca="false">IF(Q28="","",IF(Q28=0,"below 5:00",IF(Q28&gt;=66,"16:00 or above",INT((60+2*Q28)/12)&amp;":"&amp;TEXT(MOD(60+2*Q28,12),"00"))))</f>
        <v/>
      </c>
      <c r="S28" s="47"/>
      <c r="T28" s="47"/>
      <c r="U28" s="47"/>
      <c r="V28" s="47"/>
      <c r="W28" s="47"/>
      <c r="X28" s="47"/>
      <c r="Y28" s="47"/>
      <c r="Z28" s="47"/>
      <c r="AA28" s="47"/>
      <c r="AB28" s="47"/>
      <c r="AC28" s="47"/>
      <c r="AD28" s="47"/>
      <c r="AE28" s="47"/>
      <c r="AF28" s="47"/>
      <c r="AG28" s="47"/>
      <c r="AH28" s="47"/>
      <c r="AI28" s="46"/>
      <c r="AJ28" s="46"/>
      <c r="AK28" s="46"/>
      <c r="AL28" s="7"/>
      <c r="AM28" s="49" t="str">
        <f aca="false">IF(OR(C28="",G28=""),"",IFERROR(DATEDIF(C28,G28,"m"),""))</f>
        <v/>
      </c>
      <c r="AN28" s="49" t="str">
        <f aca="false">IF(OR(Q28="",AM28=""),"",60+2*Q28-AM28)</f>
        <v/>
      </c>
      <c r="AO28" s="49" t="str">
        <f aca="false">IF(OR(G28="",AJ28=""),"",AJ28-G28)</f>
        <v/>
      </c>
      <c r="AP28" s="50" t="str">
        <f aca="false">IF(AND(A28="",B28=""),"",IF(J28="","Status needed",IF(OR(J28="Applied",J28="Visit booked",J28="Withdrawn"),"OK",IF(G28="","Date assessed needed",IF(C28="","Date of birth needed",IF(COUNTA(L28,M28,P28,U28,V28,X28,AB28)&lt;7,"Band missing",IF(AND(OR(J28="Decision confirmed",J28="Family told",J28="Enrolled"),AG28=""),"Recommendation needed",IF(AND(OR(J28="Family told",J28="Enrolled"),AJ28=""),"Date family told needed","OK"))))))))</f>
        <v/>
      </c>
    </row>
    <row r="29" customFormat="false" ht="15" hidden="false" customHeight="false" outlineLevel="0" collapsed="false">
      <c r="A29" s="7"/>
      <c r="B29" s="7"/>
      <c r="C29" s="46"/>
      <c r="D29" s="7"/>
      <c r="E29" s="47"/>
      <c r="F29" s="46"/>
      <c r="G29" s="46"/>
      <c r="H29" s="7"/>
      <c r="I29" s="7"/>
      <c r="J29" s="47"/>
      <c r="K29" s="47"/>
      <c r="L29" s="47"/>
      <c r="M29" s="47"/>
      <c r="N29" s="10"/>
      <c r="O29" s="47"/>
      <c r="P29" s="47"/>
      <c r="Q29" s="47"/>
      <c r="R29" s="48" t="str">
        <f aca="false">IF(Q29="","",IF(Q29=0,"below 5:00",IF(Q29&gt;=66,"16:00 or above",INT((60+2*Q29)/12)&amp;":"&amp;TEXT(MOD(60+2*Q29,12),"00"))))</f>
        <v/>
      </c>
      <c r="S29" s="47"/>
      <c r="T29" s="47"/>
      <c r="U29" s="47"/>
      <c r="V29" s="47"/>
      <c r="W29" s="47"/>
      <c r="X29" s="47"/>
      <c r="Y29" s="47"/>
      <c r="Z29" s="47"/>
      <c r="AA29" s="47"/>
      <c r="AB29" s="47"/>
      <c r="AC29" s="47"/>
      <c r="AD29" s="47"/>
      <c r="AE29" s="47"/>
      <c r="AF29" s="47"/>
      <c r="AG29" s="47"/>
      <c r="AH29" s="47"/>
      <c r="AI29" s="46"/>
      <c r="AJ29" s="46"/>
      <c r="AK29" s="46"/>
      <c r="AL29" s="7"/>
      <c r="AM29" s="49" t="str">
        <f aca="false">IF(OR(C29="",G29=""),"",IFERROR(DATEDIF(C29,G29,"m"),""))</f>
        <v/>
      </c>
      <c r="AN29" s="49" t="str">
        <f aca="false">IF(OR(Q29="",AM29=""),"",60+2*Q29-AM29)</f>
        <v/>
      </c>
      <c r="AO29" s="49" t="str">
        <f aca="false">IF(OR(G29="",AJ29=""),"",AJ29-G29)</f>
        <v/>
      </c>
      <c r="AP29" s="50" t="str">
        <f aca="false">IF(AND(A29="",B29=""),"",IF(J29="","Status needed",IF(OR(J29="Applied",J29="Visit booked",J29="Withdrawn"),"OK",IF(G29="","Date assessed needed",IF(C29="","Date of birth needed",IF(COUNTA(L29,M29,P29,U29,V29,X29,AB29)&lt;7,"Band missing",IF(AND(OR(J29="Decision confirmed",J29="Family told",J29="Enrolled"),AG29=""),"Recommendation needed",IF(AND(OR(J29="Family told",J29="Enrolled"),AJ29=""),"Date family told needed","OK"))))))))</f>
        <v/>
      </c>
    </row>
    <row r="30" customFormat="false" ht="15" hidden="false" customHeight="false" outlineLevel="0" collapsed="false">
      <c r="A30" s="7"/>
      <c r="B30" s="7"/>
      <c r="C30" s="46"/>
      <c r="D30" s="7"/>
      <c r="E30" s="47"/>
      <c r="F30" s="46"/>
      <c r="G30" s="46"/>
      <c r="H30" s="7"/>
      <c r="I30" s="7"/>
      <c r="J30" s="47"/>
      <c r="K30" s="47"/>
      <c r="L30" s="47"/>
      <c r="M30" s="47"/>
      <c r="N30" s="10"/>
      <c r="O30" s="47"/>
      <c r="P30" s="47"/>
      <c r="Q30" s="47"/>
      <c r="R30" s="48" t="str">
        <f aca="false">IF(Q30="","",IF(Q30=0,"below 5:00",IF(Q30&gt;=66,"16:00 or above",INT((60+2*Q30)/12)&amp;":"&amp;TEXT(MOD(60+2*Q30,12),"00"))))</f>
        <v/>
      </c>
      <c r="S30" s="47"/>
      <c r="T30" s="47"/>
      <c r="U30" s="47"/>
      <c r="V30" s="47"/>
      <c r="W30" s="47"/>
      <c r="X30" s="47"/>
      <c r="Y30" s="47"/>
      <c r="Z30" s="47"/>
      <c r="AA30" s="47"/>
      <c r="AB30" s="47"/>
      <c r="AC30" s="47"/>
      <c r="AD30" s="47"/>
      <c r="AE30" s="47"/>
      <c r="AF30" s="47"/>
      <c r="AG30" s="47"/>
      <c r="AH30" s="47"/>
      <c r="AI30" s="46"/>
      <c r="AJ30" s="46"/>
      <c r="AK30" s="46"/>
      <c r="AL30" s="7"/>
      <c r="AM30" s="49" t="str">
        <f aca="false">IF(OR(C30="",G30=""),"",IFERROR(DATEDIF(C30,G30,"m"),""))</f>
        <v/>
      </c>
      <c r="AN30" s="49" t="str">
        <f aca="false">IF(OR(Q30="",AM30=""),"",60+2*Q30-AM30)</f>
        <v/>
      </c>
      <c r="AO30" s="49" t="str">
        <f aca="false">IF(OR(G30="",AJ30=""),"",AJ30-G30)</f>
        <v/>
      </c>
      <c r="AP30" s="50" t="str">
        <f aca="false">IF(AND(A30="",B30=""),"",IF(J30="","Status needed",IF(OR(J30="Applied",J30="Visit booked",J30="Withdrawn"),"OK",IF(G30="","Date assessed needed",IF(C30="","Date of birth needed",IF(COUNTA(L30,M30,P30,U30,V30,X30,AB30)&lt;7,"Band missing",IF(AND(OR(J30="Decision confirmed",J30="Family told",J30="Enrolled"),AG30=""),"Recommendation needed",IF(AND(OR(J30="Family told",J30="Enrolled"),AJ30=""),"Date family told needed","OK"))))))))</f>
        <v/>
      </c>
    </row>
    <row r="31" customFormat="false" ht="15" hidden="false" customHeight="false" outlineLevel="0" collapsed="false">
      <c r="A31" s="7"/>
      <c r="B31" s="7"/>
      <c r="C31" s="46"/>
      <c r="D31" s="7"/>
      <c r="E31" s="47"/>
      <c r="F31" s="46"/>
      <c r="G31" s="46"/>
      <c r="H31" s="7"/>
      <c r="I31" s="7"/>
      <c r="J31" s="47"/>
      <c r="K31" s="47"/>
      <c r="L31" s="47"/>
      <c r="M31" s="47"/>
      <c r="N31" s="10"/>
      <c r="O31" s="47"/>
      <c r="P31" s="47"/>
      <c r="Q31" s="47"/>
      <c r="R31" s="48" t="str">
        <f aca="false">IF(Q31="","",IF(Q31=0,"below 5:00",IF(Q31&gt;=66,"16:00 or above",INT((60+2*Q31)/12)&amp;":"&amp;TEXT(MOD(60+2*Q31,12),"00"))))</f>
        <v/>
      </c>
      <c r="S31" s="47"/>
      <c r="T31" s="47"/>
      <c r="U31" s="47"/>
      <c r="V31" s="47"/>
      <c r="W31" s="47"/>
      <c r="X31" s="47"/>
      <c r="Y31" s="47"/>
      <c r="Z31" s="47"/>
      <c r="AA31" s="47"/>
      <c r="AB31" s="47"/>
      <c r="AC31" s="47"/>
      <c r="AD31" s="47"/>
      <c r="AE31" s="47"/>
      <c r="AF31" s="47"/>
      <c r="AG31" s="47"/>
      <c r="AH31" s="47"/>
      <c r="AI31" s="46"/>
      <c r="AJ31" s="46"/>
      <c r="AK31" s="46"/>
      <c r="AL31" s="7"/>
      <c r="AM31" s="49" t="str">
        <f aca="false">IF(OR(C31="",G31=""),"",IFERROR(DATEDIF(C31,G31,"m"),""))</f>
        <v/>
      </c>
      <c r="AN31" s="49" t="str">
        <f aca="false">IF(OR(Q31="",AM31=""),"",60+2*Q31-AM31)</f>
        <v/>
      </c>
      <c r="AO31" s="49" t="str">
        <f aca="false">IF(OR(G31="",AJ31=""),"",AJ31-G31)</f>
        <v/>
      </c>
      <c r="AP31" s="50" t="str">
        <f aca="false">IF(AND(A31="",B31=""),"",IF(J31="","Status needed",IF(OR(J31="Applied",J31="Visit booked",J31="Withdrawn"),"OK",IF(G31="","Date assessed needed",IF(C31="","Date of birth needed",IF(COUNTA(L31,M31,P31,U31,V31,X31,AB31)&lt;7,"Band missing",IF(AND(OR(J31="Decision confirmed",J31="Family told",J31="Enrolled"),AG31=""),"Recommendation needed",IF(AND(OR(J31="Family told",J31="Enrolled"),AJ31=""),"Date family told needed","OK"))))))))</f>
        <v/>
      </c>
    </row>
    <row r="32" customFormat="false" ht="15" hidden="false" customHeight="false" outlineLevel="0" collapsed="false">
      <c r="A32" s="7"/>
      <c r="B32" s="7"/>
      <c r="C32" s="46"/>
      <c r="D32" s="7"/>
      <c r="E32" s="47"/>
      <c r="F32" s="46"/>
      <c r="G32" s="46"/>
      <c r="H32" s="7"/>
      <c r="I32" s="7"/>
      <c r="J32" s="47"/>
      <c r="K32" s="47"/>
      <c r="L32" s="47"/>
      <c r="M32" s="47"/>
      <c r="N32" s="10"/>
      <c r="O32" s="47"/>
      <c r="P32" s="47"/>
      <c r="Q32" s="47"/>
      <c r="R32" s="48" t="str">
        <f aca="false">IF(Q32="","",IF(Q32=0,"below 5:00",IF(Q32&gt;=66,"16:00 or above",INT((60+2*Q32)/12)&amp;":"&amp;TEXT(MOD(60+2*Q32,12),"00"))))</f>
        <v/>
      </c>
      <c r="S32" s="47"/>
      <c r="T32" s="47"/>
      <c r="U32" s="47"/>
      <c r="V32" s="47"/>
      <c r="W32" s="47"/>
      <c r="X32" s="47"/>
      <c r="Y32" s="47"/>
      <c r="Z32" s="47"/>
      <c r="AA32" s="47"/>
      <c r="AB32" s="47"/>
      <c r="AC32" s="47"/>
      <c r="AD32" s="47"/>
      <c r="AE32" s="47"/>
      <c r="AF32" s="47"/>
      <c r="AG32" s="47"/>
      <c r="AH32" s="47"/>
      <c r="AI32" s="46"/>
      <c r="AJ32" s="46"/>
      <c r="AK32" s="46"/>
      <c r="AL32" s="7"/>
      <c r="AM32" s="49" t="str">
        <f aca="false">IF(OR(C32="",G32=""),"",IFERROR(DATEDIF(C32,G32,"m"),""))</f>
        <v/>
      </c>
      <c r="AN32" s="49" t="str">
        <f aca="false">IF(OR(Q32="",AM32=""),"",60+2*Q32-AM32)</f>
        <v/>
      </c>
      <c r="AO32" s="49" t="str">
        <f aca="false">IF(OR(G32="",AJ32=""),"",AJ32-G32)</f>
        <v/>
      </c>
      <c r="AP32" s="50" t="str">
        <f aca="false">IF(AND(A32="",B32=""),"",IF(J32="","Status needed",IF(OR(J32="Applied",J32="Visit booked",J32="Withdrawn"),"OK",IF(G32="","Date assessed needed",IF(C32="","Date of birth needed",IF(COUNTA(L32,M32,P32,U32,V32,X32,AB32)&lt;7,"Band missing",IF(AND(OR(J32="Decision confirmed",J32="Family told",J32="Enrolled"),AG32=""),"Recommendation needed",IF(AND(OR(J32="Family told",J32="Enrolled"),AJ32=""),"Date family told needed","OK"))))))))</f>
        <v/>
      </c>
    </row>
    <row r="33" customFormat="false" ht="15" hidden="false" customHeight="false" outlineLevel="0" collapsed="false">
      <c r="A33" s="7"/>
      <c r="B33" s="7"/>
      <c r="C33" s="46"/>
      <c r="D33" s="7"/>
      <c r="E33" s="47"/>
      <c r="F33" s="46"/>
      <c r="G33" s="46"/>
      <c r="H33" s="7"/>
      <c r="I33" s="7"/>
      <c r="J33" s="47"/>
      <c r="K33" s="47"/>
      <c r="L33" s="47"/>
      <c r="M33" s="47"/>
      <c r="N33" s="10"/>
      <c r="O33" s="47"/>
      <c r="P33" s="47"/>
      <c r="Q33" s="47"/>
      <c r="R33" s="48" t="str">
        <f aca="false">IF(Q33="","",IF(Q33=0,"below 5:00",IF(Q33&gt;=66,"16:00 or above",INT((60+2*Q33)/12)&amp;":"&amp;TEXT(MOD(60+2*Q33,12),"00"))))</f>
        <v/>
      </c>
      <c r="S33" s="47"/>
      <c r="T33" s="47"/>
      <c r="U33" s="47"/>
      <c r="V33" s="47"/>
      <c r="W33" s="47"/>
      <c r="X33" s="47"/>
      <c r="Y33" s="47"/>
      <c r="Z33" s="47"/>
      <c r="AA33" s="47"/>
      <c r="AB33" s="47"/>
      <c r="AC33" s="47"/>
      <c r="AD33" s="47"/>
      <c r="AE33" s="47"/>
      <c r="AF33" s="47"/>
      <c r="AG33" s="47"/>
      <c r="AH33" s="47"/>
      <c r="AI33" s="46"/>
      <c r="AJ33" s="46"/>
      <c r="AK33" s="46"/>
      <c r="AL33" s="7"/>
      <c r="AM33" s="49" t="str">
        <f aca="false">IF(OR(C33="",G33=""),"",IFERROR(DATEDIF(C33,G33,"m"),""))</f>
        <v/>
      </c>
      <c r="AN33" s="49" t="str">
        <f aca="false">IF(OR(Q33="",AM33=""),"",60+2*Q33-AM33)</f>
        <v/>
      </c>
      <c r="AO33" s="49" t="str">
        <f aca="false">IF(OR(G33="",AJ33=""),"",AJ33-G33)</f>
        <v/>
      </c>
      <c r="AP33" s="50" t="str">
        <f aca="false">IF(AND(A33="",B33=""),"",IF(J33="","Status needed",IF(OR(J33="Applied",J33="Visit booked",J33="Withdrawn"),"OK",IF(G33="","Date assessed needed",IF(C33="","Date of birth needed",IF(COUNTA(L33,M33,P33,U33,V33,X33,AB33)&lt;7,"Band missing",IF(AND(OR(J33="Decision confirmed",J33="Family told",J33="Enrolled"),AG33=""),"Recommendation needed",IF(AND(OR(J33="Family told",J33="Enrolled"),AJ33=""),"Date family told needed","OK"))))))))</f>
        <v/>
      </c>
    </row>
    <row r="34" customFormat="false" ht="15" hidden="false" customHeight="false" outlineLevel="0" collapsed="false">
      <c r="A34" s="7"/>
      <c r="B34" s="7"/>
      <c r="C34" s="46"/>
      <c r="D34" s="7"/>
      <c r="E34" s="47"/>
      <c r="F34" s="46"/>
      <c r="G34" s="46"/>
      <c r="H34" s="7"/>
      <c r="I34" s="7"/>
      <c r="J34" s="47"/>
      <c r="K34" s="47"/>
      <c r="L34" s="47"/>
      <c r="M34" s="47"/>
      <c r="N34" s="10"/>
      <c r="O34" s="47"/>
      <c r="P34" s="47"/>
      <c r="Q34" s="47"/>
      <c r="R34" s="48" t="str">
        <f aca="false">IF(Q34="","",IF(Q34=0,"below 5:00",IF(Q34&gt;=66,"16:00 or above",INT((60+2*Q34)/12)&amp;":"&amp;TEXT(MOD(60+2*Q34,12),"00"))))</f>
        <v/>
      </c>
      <c r="S34" s="47"/>
      <c r="T34" s="47"/>
      <c r="U34" s="47"/>
      <c r="V34" s="47"/>
      <c r="W34" s="47"/>
      <c r="X34" s="47"/>
      <c r="Y34" s="47"/>
      <c r="Z34" s="47"/>
      <c r="AA34" s="47"/>
      <c r="AB34" s="47"/>
      <c r="AC34" s="47"/>
      <c r="AD34" s="47"/>
      <c r="AE34" s="47"/>
      <c r="AF34" s="47"/>
      <c r="AG34" s="47"/>
      <c r="AH34" s="47"/>
      <c r="AI34" s="46"/>
      <c r="AJ34" s="46"/>
      <c r="AK34" s="46"/>
      <c r="AL34" s="7"/>
      <c r="AM34" s="49" t="str">
        <f aca="false">IF(OR(C34="",G34=""),"",IFERROR(DATEDIF(C34,G34,"m"),""))</f>
        <v/>
      </c>
      <c r="AN34" s="49" t="str">
        <f aca="false">IF(OR(Q34="",AM34=""),"",60+2*Q34-AM34)</f>
        <v/>
      </c>
      <c r="AO34" s="49" t="str">
        <f aca="false">IF(OR(G34="",AJ34=""),"",AJ34-G34)</f>
        <v/>
      </c>
      <c r="AP34" s="50" t="str">
        <f aca="false">IF(AND(A34="",B34=""),"",IF(J34="","Status needed",IF(OR(J34="Applied",J34="Visit booked",J34="Withdrawn"),"OK",IF(G34="","Date assessed needed",IF(C34="","Date of birth needed",IF(COUNTA(L34,M34,P34,U34,V34,X34,AB34)&lt;7,"Band missing",IF(AND(OR(J34="Decision confirmed",J34="Family told",J34="Enrolled"),AG34=""),"Recommendation needed",IF(AND(OR(J34="Family told",J34="Enrolled"),AJ34=""),"Date family told needed","OK"))))))))</f>
        <v/>
      </c>
    </row>
    <row r="35" customFormat="false" ht="15" hidden="false" customHeight="false" outlineLevel="0" collapsed="false">
      <c r="A35" s="7"/>
      <c r="B35" s="7"/>
      <c r="C35" s="46"/>
      <c r="D35" s="7"/>
      <c r="E35" s="47"/>
      <c r="F35" s="46"/>
      <c r="G35" s="46"/>
      <c r="H35" s="7"/>
      <c r="I35" s="7"/>
      <c r="J35" s="47"/>
      <c r="K35" s="47"/>
      <c r="L35" s="47"/>
      <c r="M35" s="47"/>
      <c r="N35" s="10"/>
      <c r="O35" s="47"/>
      <c r="P35" s="47"/>
      <c r="Q35" s="47"/>
      <c r="R35" s="48" t="str">
        <f aca="false">IF(Q35="","",IF(Q35=0,"below 5:00",IF(Q35&gt;=66,"16:00 or above",INT((60+2*Q35)/12)&amp;":"&amp;TEXT(MOD(60+2*Q35,12),"00"))))</f>
        <v/>
      </c>
      <c r="S35" s="47"/>
      <c r="T35" s="47"/>
      <c r="U35" s="47"/>
      <c r="V35" s="47"/>
      <c r="W35" s="47"/>
      <c r="X35" s="47"/>
      <c r="Y35" s="47"/>
      <c r="Z35" s="47"/>
      <c r="AA35" s="47"/>
      <c r="AB35" s="47"/>
      <c r="AC35" s="47"/>
      <c r="AD35" s="47"/>
      <c r="AE35" s="47"/>
      <c r="AF35" s="47"/>
      <c r="AG35" s="47"/>
      <c r="AH35" s="47"/>
      <c r="AI35" s="46"/>
      <c r="AJ35" s="46"/>
      <c r="AK35" s="46"/>
      <c r="AL35" s="7"/>
      <c r="AM35" s="49" t="str">
        <f aca="false">IF(OR(C35="",G35=""),"",IFERROR(DATEDIF(C35,G35,"m"),""))</f>
        <v/>
      </c>
      <c r="AN35" s="49" t="str">
        <f aca="false">IF(OR(Q35="",AM35=""),"",60+2*Q35-AM35)</f>
        <v/>
      </c>
      <c r="AO35" s="49" t="str">
        <f aca="false">IF(OR(G35="",AJ35=""),"",AJ35-G35)</f>
        <v/>
      </c>
      <c r="AP35" s="50" t="str">
        <f aca="false">IF(AND(A35="",B35=""),"",IF(J35="","Status needed",IF(OR(J35="Applied",J35="Visit booked",J35="Withdrawn"),"OK",IF(G35="","Date assessed needed",IF(C35="","Date of birth needed",IF(COUNTA(L35,M35,P35,U35,V35,X35,AB35)&lt;7,"Band missing",IF(AND(OR(J35="Decision confirmed",J35="Family told",J35="Enrolled"),AG35=""),"Recommendation needed",IF(AND(OR(J35="Family told",J35="Enrolled"),AJ35=""),"Date family told needed","OK"))))))))</f>
        <v/>
      </c>
    </row>
    <row r="36" customFormat="false" ht="15" hidden="false" customHeight="false" outlineLevel="0" collapsed="false">
      <c r="A36" s="7"/>
      <c r="B36" s="7"/>
      <c r="C36" s="46"/>
      <c r="D36" s="7"/>
      <c r="E36" s="47"/>
      <c r="F36" s="46"/>
      <c r="G36" s="46"/>
      <c r="H36" s="7"/>
      <c r="I36" s="7"/>
      <c r="J36" s="47"/>
      <c r="K36" s="47"/>
      <c r="L36" s="47"/>
      <c r="M36" s="47"/>
      <c r="N36" s="10"/>
      <c r="O36" s="47"/>
      <c r="P36" s="47"/>
      <c r="Q36" s="47"/>
      <c r="R36" s="48" t="str">
        <f aca="false">IF(Q36="","",IF(Q36=0,"below 5:00",IF(Q36&gt;=66,"16:00 or above",INT((60+2*Q36)/12)&amp;":"&amp;TEXT(MOD(60+2*Q36,12),"00"))))</f>
        <v/>
      </c>
      <c r="S36" s="47"/>
      <c r="T36" s="47"/>
      <c r="U36" s="47"/>
      <c r="V36" s="47"/>
      <c r="W36" s="47"/>
      <c r="X36" s="47"/>
      <c r="Y36" s="47"/>
      <c r="Z36" s="47"/>
      <c r="AA36" s="47"/>
      <c r="AB36" s="47"/>
      <c r="AC36" s="47"/>
      <c r="AD36" s="47"/>
      <c r="AE36" s="47"/>
      <c r="AF36" s="47"/>
      <c r="AG36" s="47"/>
      <c r="AH36" s="47"/>
      <c r="AI36" s="46"/>
      <c r="AJ36" s="46"/>
      <c r="AK36" s="46"/>
      <c r="AL36" s="7"/>
      <c r="AM36" s="49" t="str">
        <f aca="false">IF(OR(C36="",G36=""),"",IFERROR(DATEDIF(C36,G36,"m"),""))</f>
        <v/>
      </c>
      <c r="AN36" s="49" t="str">
        <f aca="false">IF(OR(Q36="",AM36=""),"",60+2*Q36-AM36)</f>
        <v/>
      </c>
      <c r="AO36" s="49" t="str">
        <f aca="false">IF(OR(G36="",AJ36=""),"",AJ36-G36)</f>
        <v/>
      </c>
      <c r="AP36" s="50" t="str">
        <f aca="false">IF(AND(A36="",B36=""),"",IF(J36="","Status needed",IF(OR(J36="Applied",J36="Visit booked",J36="Withdrawn"),"OK",IF(G36="","Date assessed needed",IF(C36="","Date of birth needed",IF(COUNTA(L36,M36,P36,U36,V36,X36,AB36)&lt;7,"Band missing",IF(AND(OR(J36="Decision confirmed",J36="Family told",J36="Enrolled"),AG36=""),"Recommendation needed",IF(AND(OR(J36="Family told",J36="Enrolled"),AJ36=""),"Date family told needed","OK"))))))))</f>
        <v/>
      </c>
    </row>
    <row r="37" customFormat="false" ht="15" hidden="false" customHeight="false" outlineLevel="0" collapsed="false">
      <c r="A37" s="7"/>
      <c r="B37" s="7"/>
      <c r="C37" s="46"/>
      <c r="D37" s="7"/>
      <c r="E37" s="47"/>
      <c r="F37" s="46"/>
      <c r="G37" s="46"/>
      <c r="H37" s="7"/>
      <c r="I37" s="7"/>
      <c r="J37" s="47"/>
      <c r="K37" s="47"/>
      <c r="L37" s="47"/>
      <c r="M37" s="47"/>
      <c r="N37" s="10"/>
      <c r="O37" s="47"/>
      <c r="P37" s="47"/>
      <c r="Q37" s="47"/>
      <c r="R37" s="48" t="str">
        <f aca="false">IF(Q37="","",IF(Q37=0,"below 5:00",IF(Q37&gt;=66,"16:00 or above",INT((60+2*Q37)/12)&amp;":"&amp;TEXT(MOD(60+2*Q37,12),"00"))))</f>
        <v/>
      </c>
      <c r="S37" s="47"/>
      <c r="T37" s="47"/>
      <c r="U37" s="47"/>
      <c r="V37" s="47"/>
      <c r="W37" s="47"/>
      <c r="X37" s="47"/>
      <c r="Y37" s="47"/>
      <c r="Z37" s="47"/>
      <c r="AA37" s="47"/>
      <c r="AB37" s="47"/>
      <c r="AC37" s="47"/>
      <c r="AD37" s="47"/>
      <c r="AE37" s="47"/>
      <c r="AF37" s="47"/>
      <c r="AG37" s="47"/>
      <c r="AH37" s="47"/>
      <c r="AI37" s="46"/>
      <c r="AJ37" s="46"/>
      <c r="AK37" s="46"/>
      <c r="AL37" s="7"/>
      <c r="AM37" s="49" t="str">
        <f aca="false">IF(OR(C37="",G37=""),"",IFERROR(DATEDIF(C37,G37,"m"),""))</f>
        <v/>
      </c>
      <c r="AN37" s="49" t="str">
        <f aca="false">IF(OR(Q37="",AM37=""),"",60+2*Q37-AM37)</f>
        <v/>
      </c>
      <c r="AO37" s="49" t="str">
        <f aca="false">IF(OR(G37="",AJ37=""),"",AJ37-G37)</f>
        <v/>
      </c>
      <c r="AP37" s="50" t="str">
        <f aca="false">IF(AND(A37="",B37=""),"",IF(J37="","Status needed",IF(OR(J37="Applied",J37="Visit booked",J37="Withdrawn"),"OK",IF(G37="","Date assessed needed",IF(C37="","Date of birth needed",IF(COUNTA(L37,M37,P37,U37,V37,X37,AB37)&lt;7,"Band missing",IF(AND(OR(J37="Decision confirmed",J37="Family told",J37="Enrolled"),AG37=""),"Recommendation needed",IF(AND(OR(J37="Family told",J37="Enrolled"),AJ37=""),"Date family told needed","OK"))))))))</f>
        <v/>
      </c>
    </row>
    <row r="38" customFormat="false" ht="15" hidden="false" customHeight="false" outlineLevel="0" collapsed="false">
      <c r="A38" s="7"/>
      <c r="B38" s="7"/>
      <c r="C38" s="46"/>
      <c r="D38" s="7"/>
      <c r="E38" s="47"/>
      <c r="F38" s="46"/>
      <c r="G38" s="46"/>
      <c r="H38" s="7"/>
      <c r="I38" s="7"/>
      <c r="J38" s="47"/>
      <c r="K38" s="47"/>
      <c r="L38" s="47"/>
      <c r="M38" s="47"/>
      <c r="N38" s="10"/>
      <c r="O38" s="47"/>
      <c r="P38" s="47"/>
      <c r="Q38" s="47"/>
      <c r="R38" s="48" t="str">
        <f aca="false">IF(Q38="","",IF(Q38=0,"below 5:00",IF(Q38&gt;=66,"16:00 or above",INT((60+2*Q38)/12)&amp;":"&amp;TEXT(MOD(60+2*Q38,12),"00"))))</f>
        <v/>
      </c>
      <c r="S38" s="47"/>
      <c r="T38" s="47"/>
      <c r="U38" s="47"/>
      <c r="V38" s="47"/>
      <c r="W38" s="47"/>
      <c r="X38" s="47"/>
      <c r="Y38" s="47"/>
      <c r="Z38" s="47"/>
      <c r="AA38" s="47"/>
      <c r="AB38" s="47"/>
      <c r="AC38" s="47"/>
      <c r="AD38" s="47"/>
      <c r="AE38" s="47"/>
      <c r="AF38" s="47"/>
      <c r="AG38" s="47"/>
      <c r="AH38" s="47"/>
      <c r="AI38" s="46"/>
      <c r="AJ38" s="46"/>
      <c r="AK38" s="46"/>
      <c r="AL38" s="7"/>
      <c r="AM38" s="49" t="str">
        <f aca="false">IF(OR(C38="",G38=""),"",IFERROR(DATEDIF(C38,G38,"m"),""))</f>
        <v/>
      </c>
      <c r="AN38" s="49" t="str">
        <f aca="false">IF(OR(Q38="",AM38=""),"",60+2*Q38-AM38)</f>
        <v/>
      </c>
      <c r="AO38" s="49" t="str">
        <f aca="false">IF(OR(G38="",AJ38=""),"",AJ38-G38)</f>
        <v/>
      </c>
      <c r="AP38" s="50" t="str">
        <f aca="false">IF(AND(A38="",B38=""),"",IF(J38="","Status needed",IF(OR(J38="Applied",J38="Visit booked",J38="Withdrawn"),"OK",IF(G38="","Date assessed needed",IF(C38="","Date of birth needed",IF(COUNTA(L38,M38,P38,U38,V38,X38,AB38)&lt;7,"Band missing",IF(AND(OR(J38="Decision confirmed",J38="Family told",J38="Enrolled"),AG38=""),"Recommendation needed",IF(AND(OR(J38="Family told",J38="Enrolled"),AJ38=""),"Date family told needed","OK"))))))))</f>
        <v/>
      </c>
    </row>
    <row r="39" customFormat="false" ht="15" hidden="false" customHeight="false" outlineLevel="0" collapsed="false">
      <c r="A39" s="7"/>
      <c r="B39" s="7"/>
      <c r="C39" s="46"/>
      <c r="D39" s="7"/>
      <c r="E39" s="47"/>
      <c r="F39" s="46"/>
      <c r="G39" s="46"/>
      <c r="H39" s="7"/>
      <c r="I39" s="7"/>
      <c r="J39" s="47"/>
      <c r="K39" s="47"/>
      <c r="L39" s="47"/>
      <c r="M39" s="47"/>
      <c r="N39" s="10"/>
      <c r="O39" s="47"/>
      <c r="P39" s="47"/>
      <c r="Q39" s="47"/>
      <c r="R39" s="48" t="str">
        <f aca="false">IF(Q39="","",IF(Q39=0,"below 5:00",IF(Q39&gt;=66,"16:00 or above",INT((60+2*Q39)/12)&amp;":"&amp;TEXT(MOD(60+2*Q39,12),"00"))))</f>
        <v/>
      </c>
      <c r="S39" s="47"/>
      <c r="T39" s="47"/>
      <c r="U39" s="47"/>
      <c r="V39" s="47"/>
      <c r="W39" s="47"/>
      <c r="X39" s="47"/>
      <c r="Y39" s="47"/>
      <c r="Z39" s="47"/>
      <c r="AA39" s="47"/>
      <c r="AB39" s="47"/>
      <c r="AC39" s="47"/>
      <c r="AD39" s="47"/>
      <c r="AE39" s="47"/>
      <c r="AF39" s="47"/>
      <c r="AG39" s="47"/>
      <c r="AH39" s="47"/>
      <c r="AI39" s="46"/>
      <c r="AJ39" s="46"/>
      <c r="AK39" s="46"/>
      <c r="AL39" s="7"/>
      <c r="AM39" s="49" t="str">
        <f aca="false">IF(OR(C39="",G39=""),"",IFERROR(DATEDIF(C39,G39,"m"),""))</f>
        <v/>
      </c>
      <c r="AN39" s="49" t="str">
        <f aca="false">IF(OR(Q39="",AM39=""),"",60+2*Q39-AM39)</f>
        <v/>
      </c>
      <c r="AO39" s="49" t="str">
        <f aca="false">IF(OR(G39="",AJ39=""),"",AJ39-G39)</f>
        <v/>
      </c>
      <c r="AP39" s="50" t="str">
        <f aca="false">IF(AND(A39="",B39=""),"",IF(J39="","Status needed",IF(OR(J39="Applied",J39="Visit booked",J39="Withdrawn"),"OK",IF(G39="","Date assessed needed",IF(C39="","Date of birth needed",IF(COUNTA(L39,M39,P39,U39,V39,X39,AB39)&lt;7,"Band missing",IF(AND(OR(J39="Decision confirmed",J39="Family told",J39="Enrolled"),AG39=""),"Recommendation needed",IF(AND(OR(J39="Family told",J39="Enrolled"),AJ39=""),"Date family told needed","OK"))))))))</f>
        <v/>
      </c>
    </row>
    <row r="40" customFormat="false" ht="15" hidden="false" customHeight="false" outlineLevel="0" collapsed="false">
      <c r="A40" s="7"/>
      <c r="B40" s="7"/>
      <c r="C40" s="46"/>
      <c r="D40" s="7"/>
      <c r="E40" s="47"/>
      <c r="F40" s="46"/>
      <c r="G40" s="46"/>
      <c r="H40" s="7"/>
      <c r="I40" s="7"/>
      <c r="J40" s="47"/>
      <c r="K40" s="47"/>
      <c r="L40" s="47"/>
      <c r="M40" s="47"/>
      <c r="N40" s="10"/>
      <c r="O40" s="47"/>
      <c r="P40" s="47"/>
      <c r="Q40" s="47"/>
      <c r="R40" s="48" t="str">
        <f aca="false">IF(Q40="","",IF(Q40=0,"below 5:00",IF(Q40&gt;=66,"16:00 or above",INT((60+2*Q40)/12)&amp;":"&amp;TEXT(MOD(60+2*Q40,12),"00"))))</f>
        <v/>
      </c>
      <c r="S40" s="47"/>
      <c r="T40" s="47"/>
      <c r="U40" s="47"/>
      <c r="V40" s="47"/>
      <c r="W40" s="47"/>
      <c r="X40" s="47"/>
      <c r="Y40" s="47"/>
      <c r="Z40" s="47"/>
      <c r="AA40" s="47"/>
      <c r="AB40" s="47"/>
      <c r="AC40" s="47"/>
      <c r="AD40" s="47"/>
      <c r="AE40" s="47"/>
      <c r="AF40" s="47"/>
      <c r="AG40" s="47"/>
      <c r="AH40" s="47"/>
      <c r="AI40" s="46"/>
      <c r="AJ40" s="46"/>
      <c r="AK40" s="46"/>
      <c r="AL40" s="7"/>
      <c r="AM40" s="49" t="str">
        <f aca="false">IF(OR(C40="",G40=""),"",IFERROR(DATEDIF(C40,G40,"m"),""))</f>
        <v/>
      </c>
      <c r="AN40" s="49" t="str">
        <f aca="false">IF(OR(Q40="",AM40=""),"",60+2*Q40-AM40)</f>
        <v/>
      </c>
      <c r="AO40" s="49" t="str">
        <f aca="false">IF(OR(G40="",AJ40=""),"",AJ40-G40)</f>
        <v/>
      </c>
      <c r="AP40" s="50" t="str">
        <f aca="false">IF(AND(A40="",B40=""),"",IF(J40="","Status needed",IF(OR(J40="Applied",J40="Visit booked",J40="Withdrawn"),"OK",IF(G40="","Date assessed needed",IF(C40="","Date of birth needed",IF(COUNTA(L40,M40,P40,U40,V40,X40,AB40)&lt;7,"Band missing",IF(AND(OR(J40="Decision confirmed",J40="Family told",J40="Enrolled"),AG40=""),"Recommendation needed",IF(AND(OR(J40="Family told",J40="Enrolled"),AJ40=""),"Date family told needed","OK"))))))))</f>
        <v/>
      </c>
    </row>
    <row r="41" customFormat="false" ht="15" hidden="false" customHeight="false" outlineLevel="0" collapsed="false">
      <c r="A41" s="7"/>
      <c r="B41" s="7"/>
      <c r="C41" s="46"/>
      <c r="D41" s="7"/>
      <c r="E41" s="47"/>
      <c r="F41" s="46"/>
      <c r="G41" s="46"/>
      <c r="H41" s="7"/>
      <c r="I41" s="7"/>
      <c r="J41" s="47"/>
      <c r="K41" s="47"/>
      <c r="L41" s="47"/>
      <c r="M41" s="47"/>
      <c r="N41" s="10"/>
      <c r="O41" s="47"/>
      <c r="P41" s="47"/>
      <c r="Q41" s="47"/>
      <c r="R41" s="48" t="str">
        <f aca="false">IF(Q41="","",IF(Q41=0,"below 5:00",IF(Q41&gt;=66,"16:00 or above",INT((60+2*Q41)/12)&amp;":"&amp;TEXT(MOD(60+2*Q41,12),"00"))))</f>
        <v/>
      </c>
      <c r="S41" s="47"/>
      <c r="T41" s="47"/>
      <c r="U41" s="47"/>
      <c r="V41" s="47"/>
      <c r="W41" s="47"/>
      <c r="X41" s="47"/>
      <c r="Y41" s="47"/>
      <c r="Z41" s="47"/>
      <c r="AA41" s="47"/>
      <c r="AB41" s="47"/>
      <c r="AC41" s="47"/>
      <c r="AD41" s="47"/>
      <c r="AE41" s="47"/>
      <c r="AF41" s="47"/>
      <c r="AG41" s="47"/>
      <c r="AH41" s="47"/>
      <c r="AI41" s="46"/>
      <c r="AJ41" s="46"/>
      <c r="AK41" s="46"/>
      <c r="AL41" s="7"/>
      <c r="AM41" s="49" t="str">
        <f aca="false">IF(OR(C41="",G41=""),"",IFERROR(DATEDIF(C41,G41,"m"),""))</f>
        <v/>
      </c>
      <c r="AN41" s="49" t="str">
        <f aca="false">IF(OR(Q41="",AM41=""),"",60+2*Q41-AM41)</f>
        <v/>
      </c>
      <c r="AO41" s="49" t="str">
        <f aca="false">IF(OR(G41="",AJ41=""),"",AJ41-G41)</f>
        <v/>
      </c>
      <c r="AP41" s="50" t="str">
        <f aca="false">IF(AND(A41="",B41=""),"",IF(J41="","Status needed",IF(OR(J41="Applied",J41="Visit booked",J41="Withdrawn"),"OK",IF(G41="","Date assessed needed",IF(C41="","Date of birth needed",IF(COUNTA(L41,M41,P41,U41,V41,X41,AB41)&lt;7,"Band missing",IF(AND(OR(J41="Decision confirmed",J41="Family told",J41="Enrolled"),AG41=""),"Recommendation needed",IF(AND(OR(J41="Family told",J41="Enrolled"),AJ41=""),"Date family told needed","OK"))))))))</f>
        <v/>
      </c>
    </row>
    <row r="42" customFormat="false" ht="15" hidden="false" customHeight="false" outlineLevel="0" collapsed="false">
      <c r="A42" s="7"/>
      <c r="B42" s="7"/>
      <c r="C42" s="46"/>
      <c r="D42" s="7"/>
      <c r="E42" s="47"/>
      <c r="F42" s="46"/>
      <c r="G42" s="46"/>
      <c r="H42" s="7"/>
      <c r="I42" s="7"/>
      <c r="J42" s="47"/>
      <c r="K42" s="47"/>
      <c r="L42" s="47"/>
      <c r="M42" s="47"/>
      <c r="N42" s="10"/>
      <c r="O42" s="47"/>
      <c r="P42" s="47"/>
      <c r="Q42" s="47"/>
      <c r="R42" s="48" t="str">
        <f aca="false">IF(Q42="","",IF(Q42=0,"below 5:00",IF(Q42&gt;=66,"16:00 or above",INT((60+2*Q42)/12)&amp;":"&amp;TEXT(MOD(60+2*Q42,12),"00"))))</f>
        <v/>
      </c>
      <c r="S42" s="47"/>
      <c r="T42" s="47"/>
      <c r="U42" s="47"/>
      <c r="V42" s="47"/>
      <c r="W42" s="47"/>
      <c r="X42" s="47"/>
      <c r="Y42" s="47"/>
      <c r="Z42" s="47"/>
      <c r="AA42" s="47"/>
      <c r="AB42" s="47"/>
      <c r="AC42" s="47"/>
      <c r="AD42" s="47"/>
      <c r="AE42" s="47"/>
      <c r="AF42" s="47"/>
      <c r="AG42" s="47"/>
      <c r="AH42" s="47"/>
      <c r="AI42" s="46"/>
      <c r="AJ42" s="46"/>
      <c r="AK42" s="46"/>
      <c r="AL42" s="7"/>
      <c r="AM42" s="49" t="str">
        <f aca="false">IF(OR(C42="",G42=""),"",IFERROR(DATEDIF(C42,G42,"m"),""))</f>
        <v/>
      </c>
      <c r="AN42" s="49" t="str">
        <f aca="false">IF(OR(Q42="",AM42=""),"",60+2*Q42-AM42)</f>
        <v/>
      </c>
      <c r="AO42" s="49" t="str">
        <f aca="false">IF(OR(G42="",AJ42=""),"",AJ42-G42)</f>
        <v/>
      </c>
      <c r="AP42" s="50" t="str">
        <f aca="false">IF(AND(A42="",B42=""),"",IF(J42="","Status needed",IF(OR(J42="Applied",J42="Visit booked",J42="Withdrawn"),"OK",IF(G42="","Date assessed needed",IF(C42="","Date of birth needed",IF(COUNTA(L42,M42,P42,U42,V42,X42,AB42)&lt;7,"Band missing",IF(AND(OR(J42="Decision confirmed",J42="Family told",J42="Enrolled"),AG42=""),"Recommendation needed",IF(AND(OR(J42="Family told",J42="Enrolled"),AJ42=""),"Date family told needed","OK"))))))))</f>
        <v/>
      </c>
    </row>
    <row r="43" customFormat="false" ht="15" hidden="false" customHeight="false" outlineLevel="0" collapsed="false">
      <c r="A43" s="7"/>
      <c r="B43" s="7"/>
      <c r="C43" s="46"/>
      <c r="D43" s="7"/>
      <c r="E43" s="47"/>
      <c r="F43" s="46"/>
      <c r="G43" s="46"/>
      <c r="H43" s="7"/>
      <c r="I43" s="7"/>
      <c r="J43" s="47"/>
      <c r="K43" s="47"/>
      <c r="L43" s="47"/>
      <c r="M43" s="47"/>
      <c r="N43" s="10"/>
      <c r="O43" s="47"/>
      <c r="P43" s="47"/>
      <c r="Q43" s="47"/>
      <c r="R43" s="48" t="str">
        <f aca="false">IF(Q43="","",IF(Q43=0,"below 5:00",IF(Q43&gt;=66,"16:00 or above",INT((60+2*Q43)/12)&amp;":"&amp;TEXT(MOD(60+2*Q43,12),"00"))))</f>
        <v/>
      </c>
      <c r="S43" s="47"/>
      <c r="T43" s="47"/>
      <c r="U43" s="47"/>
      <c r="V43" s="47"/>
      <c r="W43" s="47"/>
      <c r="X43" s="47"/>
      <c r="Y43" s="47"/>
      <c r="Z43" s="47"/>
      <c r="AA43" s="47"/>
      <c r="AB43" s="47"/>
      <c r="AC43" s="47"/>
      <c r="AD43" s="47"/>
      <c r="AE43" s="47"/>
      <c r="AF43" s="47"/>
      <c r="AG43" s="47"/>
      <c r="AH43" s="47"/>
      <c r="AI43" s="46"/>
      <c r="AJ43" s="46"/>
      <c r="AK43" s="46"/>
      <c r="AL43" s="7"/>
      <c r="AM43" s="49" t="str">
        <f aca="false">IF(OR(C43="",G43=""),"",IFERROR(DATEDIF(C43,G43,"m"),""))</f>
        <v/>
      </c>
      <c r="AN43" s="49" t="str">
        <f aca="false">IF(OR(Q43="",AM43=""),"",60+2*Q43-AM43)</f>
        <v/>
      </c>
      <c r="AO43" s="49" t="str">
        <f aca="false">IF(OR(G43="",AJ43=""),"",AJ43-G43)</f>
        <v/>
      </c>
      <c r="AP43" s="50" t="str">
        <f aca="false">IF(AND(A43="",B43=""),"",IF(J43="","Status needed",IF(OR(J43="Applied",J43="Visit booked",J43="Withdrawn"),"OK",IF(G43="","Date assessed needed",IF(C43="","Date of birth needed",IF(COUNTA(L43,M43,P43,U43,V43,X43,AB43)&lt;7,"Band missing",IF(AND(OR(J43="Decision confirmed",J43="Family told",J43="Enrolled"),AG43=""),"Recommendation needed",IF(AND(OR(J43="Family told",J43="Enrolled"),AJ43=""),"Date family told needed","OK"))))))))</f>
        <v/>
      </c>
    </row>
    <row r="44" customFormat="false" ht="15" hidden="false" customHeight="false" outlineLevel="0" collapsed="false">
      <c r="A44" s="7"/>
      <c r="B44" s="7"/>
      <c r="C44" s="46"/>
      <c r="D44" s="7"/>
      <c r="E44" s="47"/>
      <c r="F44" s="46"/>
      <c r="G44" s="46"/>
      <c r="H44" s="7"/>
      <c r="I44" s="7"/>
      <c r="J44" s="47"/>
      <c r="K44" s="47"/>
      <c r="L44" s="47"/>
      <c r="M44" s="47"/>
      <c r="N44" s="10"/>
      <c r="O44" s="47"/>
      <c r="P44" s="47"/>
      <c r="Q44" s="47"/>
      <c r="R44" s="48" t="str">
        <f aca="false">IF(Q44="","",IF(Q44=0,"below 5:00",IF(Q44&gt;=66,"16:00 or above",INT((60+2*Q44)/12)&amp;":"&amp;TEXT(MOD(60+2*Q44,12),"00"))))</f>
        <v/>
      </c>
      <c r="S44" s="47"/>
      <c r="T44" s="47"/>
      <c r="U44" s="47"/>
      <c r="V44" s="47"/>
      <c r="W44" s="47"/>
      <c r="X44" s="47"/>
      <c r="Y44" s="47"/>
      <c r="Z44" s="47"/>
      <c r="AA44" s="47"/>
      <c r="AB44" s="47"/>
      <c r="AC44" s="47"/>
      <c r="AD44" s="47"/>
      <c r="AE44" s="47"/>
      <c r="AF44" s="47"/>
      <c r="AG44" s="47"/>
      <c r="AH44" s="47"/>
      <c r="AI44" s="46"/>
      <c r="AJ44" s="46"/>
      <c r="AK44" s="46"/>
      <c r="AL44" s="7"/>
      <c r="AM44" s="49" t="str">
        <f aca="false">IF(OR(C44="",G44=""),"",IFERROR(DATEDIF(C44,G44,"m"),""))</f>
        <v/>
      </c>
      <c r="AN44" s="49" t="str">
        <f aca="false">IF(OR(Q44="",AM44=""),"",60+2*Q44-AM44)</f>
        <v/>
      </c>
      <c r="AO44" s="49" t="str">
        <f aca="false">IF(OR(G44="",AJ44=""),"",AJ44-G44)</f>
        <v/>
      </c>
      <c r="AP44" s="50" t="str">
        <f aca="false">IF(AND(A44="",B44=""),"",IF(J44="","Status needed",IF(OR(J44="Applied",J44="Visit booked",J44="Withdrawn"),"OK",IF(G44="","Date assessed needed",IF(C44="","Date of birth needed",IF(COUNTA(L44,M44,P44,U44,V44,X44,AB44)&lt;7,"Band missing",IF(AND(OR(J44="Decision confirmed",J44="Family told",J44="Enrolled"),AG44=""),"Recommendation needed",IF(AND(OR(J44="Family told",J44="Enrolled"),AJ44=""),"Date family told needed","OK"))))))))</f>
        <v/>
      </c>
    </row>
    <row r="45" customFormat="false" ht="15" hidden="false" customHeight="false" outlineLevel="0" collapsed="false">
      <c r="A45" s="7"/>
      <c r="B45" s="7"/>
      <c r="C45" s="46"/>
      <c r="D45" s="7"/>
      <c r="E45" s="47"/>
      <c r="F45" s="46"/>
      <c r="G45" s="46"/>
      <c r="H45" s="7"/>
      <c r="I45" s="7"/>
      <c r="J45" s="47"/>
      <c r="K45" s="47"/>
      <c r="L45" s="47"/>
      <c r="M45" s="47"/>
      <c r="N45" s="10"/>
      <c r="O45" s="47"/>
      <c r="P45" s="47"/>
      <c r="Q45" s="47"/>
      <c r="R45" s="48" t="str">
        <f aca="false">IF(Q45="","",IF(Q45=0,"below 5:00",IF(Q45&gt;=66,"16:00 or above",INT((60+2*Q45)/12)&amp;":"&amp;TEXT(MOD(60+2*Q45,12),"00"))))</f>
        <v/>
      </c>
      <c r="S45" s="47"/>
      <c r="T45" s="47"/>
      <c r="U45" s="47"/>
      <c r="V45" s="47"/>
      <c r="W45" s="47"/>
      <c r="X45" s="47"/>
      <c r="Y45" s="47"/>
      <c r="Z45" s="47"/>
      <c r="AA45" s="47"/>
      <c r="AB45" s="47"/>
      <c r="AC45" s="47"/>
      <c r="AD45" s="47"/>
      <c r="AE45" s="47"/>
      <c r="AF45" s="47"/>
      <c r="AG45" s="47"/>
      <c r="AH45" s="47"/>
      <c r="AI45" s="46"/>
      <c r="AJ45" s="46"/>
      <c r="AK45" s="46"/>
      <c r="AL45" s="7"/>
      <c r="AM45" s="49" t="str">
        <f aca="false">IF(OR(C45="",G45=""),"",IFERROR(DATEDIF(C45,G45,"m"),""))</f>
        <v/>
      </c>
      <c r="AN45" s="49" t="str">
        <f aca="false">IF(OR(Q45="",AM45=""),"",60+2*Q45-AM45)</f>
        <v/>
      </c>
      <c r="AO45" s="49" t="str">
        <f aca="false">IF(OR(G45="",AJ45=""),"",AJ45-G45)</f>
        <v/>
      </c>
      <c r="AP45" s="50" t="str">
        <f aca="false">IF(AND(A45="",B45=""),"",IF(J45="","Status needed",IF(OR(J45="Applied",J45="Visit booked",J45="Withdrawn"),"OK",IF(G45="","Date assessed needed",IF(C45="","Date of birth needed",IF(COUNTA(L45,M45,P45,U45,V45,X45,AB45)&lt;7,"Band missing",IF(AND(OR(J45="Decision confirmed",J45="Family told",J45="Enrolled"),AG45=""),"Recommendation needed",IF(AND(OR(J45="Family told",J45="Enrolled"),AJ45=""),"Date family told needed","OK"))))))))</f>
        <v/>
      </c>
    </row>
    <row r="46" customFormat="false" ht="15" hidden="false" customHeight="false" outlineLevel="0" collapsed="false">
      <c r="A46" s="7"/>
      <c r="B46" s="7"/>
      <c r="C46" s="46"/>
      <c r="D46" s="7"/>
      <c r="E46" s="47"/>
      <c r="F46" s="46"/>
      <c r="G46" s="46"/>
      <c r="H46" s="7"/>
      <c r="I46" s="7"/>
      <c r="J46" s="47"/>
      <c r="K46" s="47"/>
      <c r="L46" s="47"/>
      <c r="M46" s="47"/>
      <c r="N46" s="10"/>
      <c r="O46" s="47"/>
      <c r="P46" s="47"/>
      <c r="Q46" s="47"/>
      <c r="R46" s="48" t="str">
        <f aca="false">IF(Q46="","",IF(Q46=0,"below 5:00",IF(Q46&gt;=66,"16:00 or above",INT((60+2*Q46)/12)&amp;":"&amp;TEXT(MOD(60+2*Q46,12),"00"))))</f>
        <v/>
      </c>
      <c r="S46" s="47"/>
      <c r="T46" s="47"/>
      <c r="U46" s="47"/>
      <c r="V46" s="47"/>
      <c r="W46" s="47"/>
      <c r="X46" s="47"/>
      <c r="Y46" s="47"/>
      <c r="Z46" s="47"/>
      <c r="AA46" s="47"/>
      <c r="AB46" s="47"/>
      <c r="AC46" s="47"/>
      <c r="AD46" s="47"/>
      <c r="AE46" s="47"/>
      <c r="AF46" s="47"/>
      <c r="AG46" s="47"/>
      <c r="AH46" s="47"/>
      <c r="AI46" s="46"/>
      <c r="AJ46" s="46"/>
      <c r="AK46" s="46"/>
      <c r="AL46" s="7"/>
      <c r="AM46" s="49" t="str">
        <f aca="false">IF(OR(C46="",G46=""),"",IFERROR(DATEDIF(C46,G46,"m"),""))</f>
        <v/>
      </c>
      <c r="AN46" s="49" t="str">
        <f aca="false">IF(OR(Q46="",AM46=""),"",60+2*Q46-AM46)</f>
        <v/>
      </c>
      <c r="AO46" s="49" t="str">
        <f aca="false">IF(OR(G46="",AJ46=""),"",AJ46-G46)</f>
        <v/>
      </c>
      <c r="AP46" s="50" t="str">
        <f aca="false">IF(AND(A46="",B46=""),"",IF(J46="","Status needed",IF(OR(J46="Applied",J46="Visit booked",J46="Withdrawn"),"OK",IF(G46="","Date assessed needed",IF(C46="","Date of birth needed",IF(COUNTA(L46,M46,P46,U46,V46,X46,AB46)&lt;7,"Band missing",IF(AND(OR(J46="Decision confirmed",J46="Family told",J46="Enrolled"),AG46=""),"Recommendation needed",IF(AND(OR(J46="Family told",J46="Enrolled"),AJ46=""),"Date family told needed","OK"))))))))</f>
        <v/>
      </c>
    </row>
    <row r="47" customFormat="false" ht="15" hidden="false" customHeight="false" outlineLevel="0" collapsed="false">
      <c r="A47" s="7"/>
      <c r="B47" s="7"/>
      <c r="C47" s="46"/>
      <c r="D47" s="7"/>
      <c r="E47" s="47"/>
      <c r="F47" s="46"/>
      <c r="G47" s="46"/>
      <c r="H47" s="7"/>
      <c r="I47" s="7"/>
      <c r="J47" s="47"/>
      <c r="K47" s="47"/>
      <c r="L47" s="47"/>
      <c r="M47" s="47"/>
      <c r="N47" s="10"/>
      <c r="O47" s="47"/>
      <c r="P47" s="47"/>
      <c r="Q47" s="47"/>
      <c r="R47" s="48" t="str">
        <f aca="false">IF(Q47="","",IF(Q47=0,"below 5:00",IF(Q47&gt;=66,"16:00 or above",INT((60+2*Q47)/12)&amp;":"&amp;TEXT(MOD(60+2*Q47,12),"00"))))</f>
        <v/>
      </c>
      <c r="S47" s="47"/>
      <c r="T47" s="47"/>
      <c r="U47" s="47"/>
      <c r="V47" s="47"/>
      <c r="W47" s="47"/>
      <c r="X47" s="47"/>
      <c r="Y47" s="47"/>
      <c r="Z47" s="47"/>
      <c r="AA47" s="47"/>
      <c r="AB47" s="47"/>
      <c r="AC47" s="47"/>
      <c r="AD47" s="47"/>
      <c r="AE47" s="47"/>
      <c r="AF47" s="47"/>
      <c r="AG47" s="47"/>
      <c r="AH47" s="47"/>
      <c r="AI47" s="46"/>
      <c r="AJ47" s="46"/>
      <c r="AK47" s="46"/>
      <c r="AL47" s="7"/>
      <c r="AM47" s="49" t="str">
        <f aca="false">IF(OR(C47="",G47=""),"",IFERROR(DATEDIF(C47,G47,"m"),""))</f>
        <v/>
      </c>
      <c r="AN47" s="49" t="str">
        <f aca="false">IF(OR(Q47="",AM47=""),"",60+2*Q47-AM47)</f>
        <v/>
      </c>
      <c r="AO47" s="49" t="str">
        <f aca="false">IF(OR(G47="",AJ47=""),"",AJ47-G47)</f>
        <v/>
      </c>
      <c r="AP47" s="50" t="str">
        <f aca="false">IF(AND(A47="",B47=""),"",IF(J47="","Status needed",IF(OR(J47="Applied",J47="Visit booked",J47="Withdrawn"),"OK",IF(G47="","Date assessed needed",IF(C47="","Date of birth needed",IF(COUNTA(L47,M47,P47,U47,V47,X47,AB47)&lt;7,"Band missing",IF(AND(OR(J47="Decision confirmed",J47="Family told",J47="Enrolled"),AG47=""),"Recommendation needed",IF(AND(OR(J47="Family told",J47="Enrolled"),AJ47=""),"Date family told needed","OK"))))))))</f>
        <v/>
      </c>
    </row>
    <row r="48" customFormat="false" ht="15" hidden="false" customHeight="false" outlineLevel="0" collapsed="false">
      <c r="A48" s="7"/>
      <c r="B48" s="7"/>
      <c r="C48" s="46"/>
      <c r="D48" s="7"/>
      <c r="E48" s="47"/>
      <c r="F48" s="46"/>
      <c r="G48" s="46"/>
      <c r="H48" s="7"/>
      <c r="I48" s="7"/>
      <c r="J48" s="47"/>
      <c r="K48" s="47"/>
      <c r="L48" s="47"/>
      <c r="M48" s="47"/>
      <c r="N48" s="10"/>
      <c r="O48" s="47"/>
      <c r="P48" s="47"/>
      <c r="Q48" s="47"/>
      <c r="R48" s="48" t="str">
        <f aca="false">IF(Q48="","",IF(Q48=0,"below 5:00",IF(Q48&gt;=66,"16:00 or above",INT((60+2*Q48)/12)&amp;":"&amp;TEXT(MOD(60+2*Q48,12),"00"))))</f>
        <v/>
      </c>
      <c r="S48" s="47"/>
      <c r="T48" s="47"/>
      <c r="U48" s="47"/>
      <c r="V48" s="47"/>
      <c r="W48" s="47"/>
      <c r="X48" s="47"/>
      <c r="Y48" s="47"/>
      <c r="Z48" s="47"/>
      <c r="AA48" s="47"/>
      <c r="AB48" s="47"/>
      <c r="AC48" s="47"/>
      <c r="AD48" s="47"/>
      <c r="AE48" s="47"/>
      <c r="AF48" s="47"/>
      <c r="AG48" s="47"/>
      <c r="AH48" s="47"/>
      <c r="AI48" s="46"/>
      <c r="AJ48" s="46"/>
      <c r="AK48" s="46"/>
      <c r="AL48" s="7"/>
      <c r="AM48" s="49" t="str">
        <f aca="false">IF(OR(C48="",G48=""),"",IFERROR(DATEDIF(C48,G48,"m"),""))</f>
        <v/>
      </c>
      <c r="AN48" s="49" t="str">
        <f aca="false">IF(OR(Q48="",AM48=""),"",60+2*Q48-AM48)</f>
        <v/>
      </c>
      <c r="AO48" s="49" t="str">
        <f aca="false">IF(OR(G48="",AJ48=""),"",AJ48-G48)</f>
        <v/>
      </c>
      <c r="AP48" s="50" t="str">
        <f aca="false">IF(AND(A48="",B48=""),"",IF(J48="","Status needed",IF(OR(J48="Applied",J48="Visit booked",J48="Withdrawn"),"OK",IF(G48="","Date assessed needed",IF(C48="","Date of birth needed",IF(COUNTA(L48,M48,P48,U48,V48,X48,AB48)&lt;7,"Band missing",IF(AND(OR(J48="Decision confirmed",J48="Family told",J48="Enrolled"),AG48=""),"Recommendation needed",IF(AND(OR(J48="Family told",J48="Enrolled"),AJ48=""),"Date family told needed","OK"))))))))</f>
        <v/>
      </c>
    </row>
    <row r="49" customFormat="false" ht="15" hidden="false" customHeight="false" outlineLevel="0" collapsed="false">
      <c r="A49" s="7"/>
      <c r="B49" s="7"/>
      <c r="C49" s="46"/>
      <c r="D49" s="7"/>
      <c r="E49" s="47"/>
      <c r="F49" s="46"/>
      <c r="G49" s="46"/>
      <c r="H49" s="7"/>
      <c r="I49" s="7"/>
      <c r="J49" s="47"/>
      <c r="K49" s="47"/>
      <c r="L49" s="47"/>
      <c r="M49" s="47"/>
      <c r="N49" s="10"/>
      <c r="O49" s="47"/>
      <c r="P49" s="47"/>
      <c r="Q49" s="47"/>
      <c r="R49" s="48" t="str">
        <f aca="false">IF(Q49="","",IF(Q49=0,"below 5:00",IF(Q49&gt;=66,"16:00 or above",INT((60+2*Q49)/12)&amp;":"&amp;TEXT(MOD(60+2*Q49,12),"00"))))</f>
        <v/>
      </c>
      <c r="S49" s="47"/>
      <c r="T49" s="47"/>
      <c r="U49" s="47"/>
      <c r="V49" s="47"/>
      <c r="W49" s="47"/>
      <c r="X49" s="47"/>
      <c r="Y49" s="47"/>
      <c r="Z49" s="47"/>
      <c r="AA49" s="47"/>
      <c r="AB49" s="47"/>
      <c r="AC49" s="47"/>
      <c r="AD49" s="47"/>
      <c r="AE49" s="47"/>
      <c r="AF49" s="47"/>
      <c r="AG49" s="47"/>
      <c r="AH49" s="47"/>
      <c r="AI49" s="46"/>
      <c r="AJ49" s="46"/>
      <c r="AK49" s="46"/>
      <c r="AL49" s="7"/>
      <c r="AM49" s="49" t="str">
        <f aca="false">IF(OR(C49="",G49=""),"",IFERROR(DATEDIF(C49,G49,"m"),""))</f>
        <v/>
      </c>
      <c r="AN49" s="49" t="str">
        <f aca="false">IF(OR(Q49="",AM49=""),"",60+2*Q49-AM49)</f>
        <v/>
      </c>
      <c r="AO49" s="49" t="str">
        <f aca="false">IF(OR(G49="",AJ49=""),"",AJ49-G49)</f>
        <v/>
      </c>
      <c r="AP49" s="50" t="str">
        <f aca="false">IF(AND(A49="",B49=""),"",IF(J49="","Status needed",IF(OR(J49="Applied",J49="Visit booked",J49="Withdrawn"),"OK",IF(G49="","Date assessed needed",IF(C49="","Date of birth needed",IF(COUNTA(L49,M49,P49,U49,V49,X49,AB49)&lt;7,"Band missing",IF(AND(OR(J49="Decision confirmed",J49="Family told",J49="Enrolled"),AG49=""),"Recommendation needed",IF(AND(OR(J49="Family told",J49="Enrolled"),AJ49=""),"Date family told needed","OK"))))))))</f>
        <v/>
      </c>
    </row>
    <row r="50" customFormat="false" ht="15" hidden="false" customHeight="false" outlineLevel="0" collapsed="false">
      <c r="A50" s="7"/>
      <c r="B50" s="7"/>
      <c r="C50" s="46"/>
      <c r="D50" s="7"/>
      <c r="E50" s="47"/>
      <c r="F50" s="46"/>
      <c r="G50" s="46"/>
      <c r="H50" s="7"/>
      <c r="I50" s="7"/>
      <c r="J50" s="47"/>
      <c r="K50" s="47"/>
      <c r="L50" s="47"/>
      <c r="M50" s="47"/>
      <c r="N50" s="10"/>
      <c r="O50" s="47"/>
      <c r="P50" s="47"/>
      <c r="Q50" s="47"/>
      <c r="R50" s="48" t="str">
        <f aca="false">IF(Q50="","",IF(Q50=0,"below 5:00",IF(Q50&gt;=66,"16:00 or above",INT((60+2*Q50)/12)&amp;":"&amp;TEXT(MOD(60+2*Q50,12),"00"))))</f>
        <v/>
      </c>
      <c r="S50" s="47"/>
      <c r="T50" s="47"/>
      <c r="U50" s="47"/>
      <c r="V50" s="47"/>
      <c r="W50" s="47"/>
      <c r="X50" s="47"/>
      <c r="Y50" s="47"/>
      <c r="Z50" s="47"/>
      <c r="AA50" s="47"/>
      <c r="AB50" s="47"/>
      <c r="AC50" s="47"/>
      <c r="AD50" s="47"/>
      <c r="AE50" s="47"/>
      <c r="AF50" s="47"/>
      <c r="AG50" s="47"/>
      <c r="AH50" s="47"/>
      <c r="AI50" s="46"/>
      <c r="AJ50" s="46"/>
      <c r="AK50" s="46"/>
      <c r="AL50" s="7"/>
      <c r="AM50" s="49" t="str">
        <f aca="false">IF(OR(C50="",G50=""),"",IFERROR(DATEDIF(C50,G50,"m"),""))</f>
        <v/>
      </c>
      <c r="AN50" s="49" t="str">
        <f aca="false">IF(OR(Q50="",AM50=""),"",60+2*Q50-AM50)</f>
        <v/>
      </c>
      <c r="AO50" s="49" t="str">
        <f aca="false">IF(OR(G50="",AJ50=""),"",AJ50-G50)</f>
        <v/>
      </c>
      <c r="AP50" s="50" t="str">
        <f aca="false">IF(AND(A50="",B50=""),"",IF(J50="","Status needed",IF(OR(J50="Applied",J50="Visit booked",J50="Withdrawn"),"OK",IF(G50="","Date assessed needed",IF(C50="","Date of birth needed",IF(COUNTA(L50,M50,P50,U50,V50,X50,AB50)&lt;7,"Band missing",IF(AND(OR(J50="Decision confirmed",J50="Family told",J50="Enrolled"),AG50=""),"Recommendation needed",IF(AND(OR(J50="Family told",J50="Enrolled"),AJ50=""),"Date family told needed","OK"))))))))</f>
        <v/>
      </c>
    </row>
    <row r="51" customFormat="false" ht="15" hidden="false" customHeight="false" outlineLevel="0" collapsed="false">
      <c r="A51" s="7"/>
      <c r="B51" s="7"/>
      <c r="C51" s="46"/>
      <c r="D51" s="7"/>
      <c r="E51" s="47"/>
      <c r="F51" s="46"/>
      <c r="G51" s="46"/>
      <c r="H51" s="7"/>
      <c r="I51" s="7"/>
      <c r="J51" s="47"/>
      <c r="K51" s="47"/>
      <c r="L51" s="47"/>
      <c r="M51" s="47"/>
      <c r="N51" s="10"/>
      <c r="O51" s="47"/>
      <c r="P51" s="47"/>
      <c r="Q51" s="47"/>
      <c r="R51" s="48" t="str">
        <f aca="false">IF(Q51="","",IF(Q51=0,"below 5:00",IF(Q51&gt;=66,"16:00 or above",INT((60+2*Q51)/12)&amp;":"&amp;TEXT(MOD(60+2*Q51,12),"00"))))</f>
        <v/>
      </c>
      <c r="S51" s="47"/>
      <c r="T51" s="47"/>
      <c r="U51" s="47"/>
      <c r="V51" s="47"/>
      <c r="W51" s="47"/>
      <c r="X51" s="47"/>
      <c r="Y51" s="47"/>
      <c r="Z51" s="47"/>
      <c r="AA51" s="47"/>
      <c r="AB51" s="47"/>
      <c r="AC51" s="47"/>
      <c r="AD51" s="47"/>
      <c r="AE51" s="47"/>
      <c r="AF51" s="47"/>
      <c r="AG51" s="47"/>
      <c r="AH51" s="47"/>
      <c r="AI51" s="46"/>
      <c r="AJ51" s="46"/>
      <c r="AK51" s="46"/>
      <c r="AL51" s="7"/>
      <c r="AM51" s="49" t="str">
        <f aca="false">IF(OR(C51="",G51=""),"",IFERROR(DATEDIF(C51,G51,"m"),""))</f>
        <v/>
      </c>
      <c r="AN51" s="49" t="str">
        <f aca="false">IF(OR(Q51="",AM51=""),"",60+2*Q51-AM51)</f>
        <v/>
      </c>
      <c r="AO51" s="49" t="str">
        <f aca="false">IF(OR(G51="",AJ51=""),"",AJ51-G51)</f>
        <v/>
      </c>
      <c r="AP51" s="50" t="str">
        <f aca="false">IF(AND(A51="",B51=""),"",IF(J51="","Status needed",IF(OR(J51="Applied",J51="Visit booked",J51="Withdrawn"),"OK",IF(G51="","Date assessed needed",IF(C51="","Date of birth needed",IF(COUNTA(L51,M51,P51,U51,V51,X51,AB51)&lt;7,"Band missing",IF(AND(OR(J51="Decision confirmed",J51="Family told",J51="Enrolled"),AG51=""),"Recommendation needed",IF(AND(OR(J51="Family told",J51="Enrolled"),AJ51=""),"Date family told needed","OK"))))))))</f>
        <v/>
      </c>
    </row>
    <row r="52" customFormat="false" ht="15" hidden="false" customHeight="false" outlineLevel="0" collapsed="false">
      <c r="A52" s="7"/>
      <c r="B52" s="7"/>
      <c r="C52" s="46"/>
      <c r="D52" s="7"/>
      <c r="E52" s="47"/>
      <c r="F52" s="46"/>
      <c r="G52" s="46"/>
      <c r="H52" s="7"/>
      <c r="I52" s="7"/>
      <c r="J52" s="47"/>
      <c r="K52" s="47"/>
      <c r="L52" s="47"/>
      <c r="M52" s="47"/>
      <c r="N52" s="10"/>
      <c r="O52" s="47"/>
      <c r="P52" s="47"/>
      <c r="Q52" s="47"/>
      <c r="R52" s="48" t="str">
        <f aca="false">IF(Q52="","",IF(Q52=0,"below 5:00",IF(Q52&gt;=66,"16:00 or above",INT((60+2*Q52)/12)&amp;":"&amp;TEXT(MOD(60+2*Q52,12),"00"))))</f>
        <v/>
      </c>
      <c r="S52" s="47"/>
      <c r="T52" s="47"/>
      <c r="U52" s="47"/>
      <c r="V52" s="47"/>
      <c r="W52" s="47"/>
      <c r="X52" s="47"/>
      <c r="Y52" s="47"/>
      <c r="Z52" s="47"/>
      <c r="AA52" s="47"/>
      <c r="AB52" s="47"/>
      <c r="AC52" s="47"/>
      <c r="AD52" s="47"/>
      <c r="AE52" s="47"/>
      <c r="AF52" s="47"/>
      <c r="AG52" s="47"/>
      <c r="AH52" s="47"/>
      <c r="AI52" s="46"/>
      <c r="AJ52" s="46"/>
      <c r="AK52" s="46"/>
      <c r="AL52" s="7"/>
      <c r="AM52" s="49" t="str">
        <f aca="false">IF(OR(C52="",G52=""),"",IFERROR(DATEDIF(C52,G52,"m"),""))</f>
        <v/>
      </c>
      <c r="AN52" s="49" t="str">
        <f aca="false">IF(OR(Q52="",AM52=""),"",60+2*Q52-AM52)</f>
        <v/>
      </c>
      <c r="AO52" s="49" t="str">
        <f aca="false">IF(OR(G52="",AJ52=""),"",AJ52-G52)</f>
        <v/>
      </c>
      <c r="AP52" s="50" t="str">
        <f aca="false">IF(AND(A52="",B52=""),"",IF(J52="","Status needed",IF(OR(J52="Applied",J52="Visit booked",J52="Withdrawn"),"OK",IF(G52="","Date assessed needed",IF(C52="","Date of birth needed",IF(COUNTA(L52,M52,P52,U52,V52,X52,AB52)&lt;7,"Band missing",IF(AND(OR(J52="Decision confirmed",J52="Family told",J52="Enrolled"),AG52=""),"Recommendation needed",IF(AND(OR(J52="Family told",J52="Enrolled"),AJ52=""),"Date family told needed","OK"))))))))</f>
        <v/>
      </c>
    </row>
    <row r="53" customFormat="false" ht="15" hidden="false" customHeight="false" outlineLevel="0" collapsed="false">
      <c r="A53" s="7"/>
      <c r="B53" s="7"/>
      <c r="C53" s="46"/>
      <c r="D53" s="7"/>
      <c r="E53" s="47"/>
      <c r="F53" s="46"/>
      <c r="G53" s="46"/>
      <c r="H53" s="7"/>
      <c r="I53" s="7"/>
      <c r="J53" s="47"/>
      <c r="K53" s="47"/>
      <c r="L53" s="47"/>
      <c r="M53" s="47"/>
      <c r="N53" s="10"/>
      <c r="O53" s="47"/>
      <c r="P53" s="47"/>
      <c r="Q53" s="47"/>
      <c r="R53" s="48" t="str">
        <f aca="false">IF(Q53="","",IF(Q53=0,"below 5:00",IF(Q53&gt;=66,"16:00 or above",INT((60+2*Q53)/12)&amp;":"&amp;TEXT(MOD(60+2*Q53,12),"00"))))</f>
        <v/>
      </c>
      <c r="S53" s="47"/>
      <c r="T53" s="47"/>
      <c r="U53" s="47"/>
      <c r="V53" s="47"/>
      <c r="W53" s="47"/>
      <c r="X53" s="47"/>
      <c r="Y53" s="47"/>
      <c r="Z53" s="47"/>
      <c r="AA53" s="47"/>
      <c r="AB53" s="47"/>
      <c r="AC53" s="47"/>
      <c r="AD53" s="47"/>
      <c r="AE53" s="47"/>
      <c r="AF53" s="47"/>
      <c r="AG53" s="47"/>
      <c r="AH53" s="47"/>
      <c r="AI53" s="46"/>
      <c r="AJ53" s="46"/>
      <c r="AK53" s="46"/>
      <c r="AL53" s="7"/>
      <c r="AM53" s="49" t="str">
        <f aca="false">IF(OR(C53="",G53=""),"",IFERROR(DATEDIF(C53,G53,"m"),""))</f>
        <v/>
      </c>
      <c r="AN53" s="49" t="str">
        <f aca="false">IF(OR(Q53="",AM53=""),"",60+2*Q53-AM53)</f>
        <v/>
      </c>
      <c r="AO53" s="49" t="str">
        <f aca="false">IF(OR(G53="",AJ53=""),"",AJ53-G53)</f>
        <v/>
      </c>
      <c r="AP53" s="50" t="str">
        <f aca="false">IF(AND(A53="",B53=""),"",IF(J53="","Status needed",IF(OR(J53="Applied",J53="Visit booked",J53="Withdrawn"),"OK",IF(G53="","Date assessed needed",IF(C53="","Date of birth needed",IF(COUNTA(L53,M53,P53,U53,V53,X53,AB53)&lt;7,"Band missing",IF(AND(OR(J53="Decision confirmed",J53="Family told",J53="Enrolled"),AG53=""),"Recommendation needed",IF(AND(OR(J53="Family told",J53="Enrolled"),AJ53=""),"Date family told needed","OK"))))))))</f>
        <v/>
      </c>
    </row>
    <row r="54" customFormat="false" ht="15" hidden="false" customHeight="false" outlineLevel="0" collapsed="false">
      <c r="A54" s="7"/>
      <c r="B54" s="7"/>
      <c r="C54" s="46"/>
      <c r="D54" s="7"/>
      <c r="E54" s="47"/>
      <c r="F54" s="46"/>
      <c r="G54" s="46"/>
      <c r="H54" s="7"/>
      <c r="I54" s="7"/>
      <c r="J54" s="47"/>
      <c r="K54" s="47"/>
      <c r="L54" s="47"/>
      <c r="M54" s="47"/>
      <c r="N54" s="10"/>
      <c r="O54" s="47"/>
      <c r="P54" s="47"/>
      <c r="Q54" s="47"/>
      <c r="R54" s="48" t="str">
        <f aca="false">IF(Q54="","",IF(Q54=0,"below 5:00",IF(Q54&gt;=66,"16:00 or above",INT((60+2*Q54)/12)&amp;":"&amp;TEXT(MOD(60+2*Q54,12),"00"))))</f>
        <v/>
      </c>
      <c r="S54" s="47"/>
      <c r="T54" s="47"/>
      <c r="U54" s="47"/>
      <c r="V54" s="47"/>
      <c r="W54" s="47"/>
      <c r="X54" s="47"/>
      <c r="Y54" s="47"/>
      <c r="Z54" s="47"/>
      <c r="AA54" s="47"/>
      <c r="AB54" s="47"/>
      <c r="AC54" s="47"/>
      <c r="AD54" s="47"/>
      <c r="AE54" s="47"/>
      <c r="AF54" s="47"/>
      <c r="AG54" s="47"/>
      <c r="AH54" s="47"/>
      <c r="AI54" s="46"/>
      <c r="AJ54" s="46"/>
      <c r="AK54" s="46"/>
      <c r="AL54" s="7"/>
      <c r="AM54" s="49" t="str">
        <f aca="false">IF(OR(C54="",G54=""),"",IFERROR(DATEDIF(C54,G54,"m"),""))</f>
        <v/>
      </c>
      <c r="AN54" s="49" t="str">
        <f aca="false">IF(OR(Q54="",AM54=""),"",60+2*Q54-AM54)</f>
        <v/>
      </c>
      <c r="AO54" s="49" t="str">
        <f aca="false">IF(OR(G54="",AJ54=""),"",AJ54-G54)</f>
        <v/>
      </c>
      <c r="AP54" s="50" t="str">
        <f aca="false">IF(AND(A54="",B54=""),"",IF(J54="","Status needed",IF(OR(J54="Applied",J54="Visit booked",J54="Withdrawn"),"OK",IF(G54="","Date assessed needed",IF(C54="","Date of birth needed",IF(COUNTA(L54,M54,P54,U54,V54,X54,AB54)&lt;7,"Band missing",IF(AND(OR(J54="Decision confirmed",J54="Family told",J54="Enrolled"),AG54=""),"Recommendation needed",IF(AND(OR(J54="Family told",J54="Enrolled"),AJ54=""),"Date family told needed","OK"))))))))</f>
        <v/>
      </c>
    </row>
    <row r="55" customFormat="false" ht="15" hidden="false" customHeight="false" outlineLevel="0" collapsed="false">
      <c r="A55" s="7"/>
      <c r="B55" s="7"/>
      <c r="C55" s="46"/>
      <c r="D55" s="7"/>
      <c r="E55" s="47"/>
      <c r="F55" s="46"/>
      <c r="G55" s="46"/>
      <c r="H55" s="7"/>
      <c r="I55" s="7"/>
      <c r="J55" s="47"/>
      <c r="K55" s="47"/>
      <c r="L55" s="47"/>
      <c r="M55" s="47"/>
      <c r="N55" s="10"/>
      <c r="O55" s="47"/>
      <c r="P55" s="47"/>
      <c r="Q55" s="47"/>
      <c r="R55" s="48" t="str">
        <f aca="false">IF(Q55="","",IF(Q55=0,"below 5:00",IF(Q55&gt;=66,"16:00 or above",INT((60+2*Q55)/12)&amp;":"&amp;TEXT(MOD(60+2*Q55,12),"00"))))</f>
        <v/>
      </c>
      <c r="S55" s="47"/>
      <c r="T55" s="47"/>
      <c r="U55" s="47"/>
      <c r="V55" s="47"/>
      <c r="W55" s="47"/>
      <c r="X55" s="47"/>
      <c r="Y55" s="47"/>
      <c r="Z55" s="47"/>
      <c r="AA55" s="47"/>
      <c r="AB55" s="47"/>
      <c r="AC55" s="47"/>
      <c r="AD55" s="47"/>
      <c r="AE55" s="47"/>
      <c r="AF55" s="47"/>
      <c r="AG55" s="47"/>
      <c r="AH55" s="47"/>
      <c r="AI55" s="46"/>
      <c r="AJ55" s="46"/>
      <c r="AK55" s="46"/>
      <c r="AL55" s="7"/>
      <c r="AM55" s="49" t="str">
        <f aca="false">IF(OR(C55="",G55=""),"",IFERROR(DATEDIF(C55,G55,"m"),""))</f>
        <v/>
      </c>
      <c r="AN55" s="49" t="str">
        <f aca="false">IF(OR(Q55="",AM55=""),"",60+2*Q55-AM55)</f>
        <v/>
      </c>
      <c r="AO55" s="49" t="str">
        <f aca="false">IF(OR(G55="",AJ55=""),"",AJ55-G55)</f>
        <v/>
      </c>
      <c r="AP55" s="50" t="str">
        <f aca="false">IF(AND(A55="",B55=""),"",IF(J55="","Status needed",IF(OR(J55="Applied",J55="Visit booked",J55="Withdrawn"),"OK",IF(G55="","Date assessed needed",IF(C55="","Date of birth needed",IF(COUNTA(L55,M55,P55,U55,V55,X55,AB55)&lt;7,"Band missing",IF(AND(OR(J55="Decision confirmed",J55="Family told",J55="Enrolled"),AG55=""),"Recommendation needed",IF(AND(OR(J55="Family told",J55="Enrolled"),AJ55=""),"Date family told needed","OK"))))))))</f>
        <v/>
      </c>
    </row>
    <row r="56" customFormat="false" ht="15" hidden="false" customHeight="false" outlineLevel="0" collapsed="false">
      <c r="A56" s="7"/>
      <c r="B56" s="7"/>
      <c r="C56" s="46"/>
      <c r="D56" s="7"/>
      <c r="E56" s="47"/>
      <c r="F56" s="46"/>
      <c r="G56" s="46"/>
      <c r="H56" s="7"/>
      <c r="I56" s="7"/>
      <c r="J56" s="47"/>
      <c r="K56" s="47"/>
      <c r="L56" s="47"/>
      <c r="M56" s="47"/>
      <c r="N56" s="10"/>
      <c r="O56" s="47"/>
      <c r="P56" s="47"/>
      <c r="Q56" s="47"/>
      <c r="R56" s="48" t="str">
        <f aca="false">IF(Q56="","",IF(Q56=0,"below 5:00",IF(Q56&gt;=66,"16:00 or above",INT((60+2*Q56)/12)&amp;":"&amp;TEXT(MOD(60+2*Q56,12),"00"))))</f>
        <v/>
      </c>
      <c r="S56" s="47"/>
      <c r="T56" s="47"/>
      <c r="U56" s="47"/>
      <c r="V56" s="47"/>
      <c r="W56" s="47"/>
      <c r="X56" s="47"/>
      <c r="Y56" s="47"/>
      <c r="Z56" s="47"/>
      <c r="AA56" s="47"/>
      <c r="AB56" s="47"/>
      <c r="AC56" s="47"/>
      <c r="AD56" s="47"/>
      <c r="AE56" s="47"/>
      <c r="AF56" s="47"/>
      <c r="AG56" s="47"/>
      <c r="AH56" s="47"/>
      <c r="AI56" s="46"/>
      <c r="AJ56" s="46"/>
      <c r="AK56" s="46"/>
      <c r="AL56" s="7"/>
      <c r="AM56" s="49" t="str">
        <f aca="false">IF(OR(C56="",G56=""),"",IFERROR(DATEDIF(C56,G56,"m"),""))</f>
        <v/>
      </c>
      <c r="AN56" s="49" t="str">
        <f aca="false">IF(OR(Q56="",AM56=""),"",60+2*Q56-AM56)</f>
        <v/>
      </c>
      <c r="AO56" s="49" t="str">
        <f aca="false">IF(OR(G56="",AJ56=""),"",AJ56-G56)</f>
        <v/>
      </c>
      <c r="AP56" s="50" t="str">
        <f aca="false">IF(AND(A56="",B56=""),"",IF(J56="","Status needed",IF(OR(J56="Applied",J56="Visit booked",J56="Withdrawn"),"OK",IF(G56="","Date assessed needed",IF(C56="","Date of birth needed",IF(COUNTA(L56,M56,P56,U56,V56,X56,AB56)&lt;7,"Band missing",IF(AND(OR(J56="Decision confirmed",J56="Family told",J56="Enrolled"),AG56=""),"Recommendation needed",IF(AND(OR(J56="Family told",J56="Enrolled"),AJ56=""),"Date family told needed","OK"))))))))</f>
        <v/>
      </c>
    </row>
    <row r="57" customFormat="false" ht="15" hidden="false" customHeight="false" outlineLevel="0" collapsed="false">
      <c r="A57" s="7"/>
      <c r="B57" s="7"/>
      <c r="C57" s="46"/>
      <c r="D57" s="7"/>
      <c r="E57" s="47"/>
      <c r="F57" s="46"/>
      <c r="G57" s="46"/>
      <c r="H57" s="7"/>
      <c r="I57" s="7"/>
      <c r="J57" s="47"/>
      <c r="K57" s="47"/>
      <c r="L57" s="47"/>
      <c r="M57" s="47"/>
      <c r="N57" s="10"/>
      <c r="O57" s="47"/>
      <c r="P57" s="47"/>
      <c r="Q57" s="47"/>
      <c r="R57" s="48" t="str">
        <f aca="false">IF(Q57="","",IF(Q57=0,"below 5:00",IF(Q57&gt;=66,"16:00 or above",INT((60+2*Q57)/12)&amp;":"&amp;TEXT(MOD(60+2*Q57,12),"00"))))</f>
        <v/>
      </c>
      <c r="S57" s="47"/>
      <c r="T57" s="47"/>
      <c r="U57" s="47"/>
      <c r="V57" s="47"/>
      <c r="W57" s="47"/>
      <c r="X57" s="47"/>
      <c r="Y57" s="47"/>
      <c r="Z57" s="47"/>
      <c r="AA57" s="47"/>
      <c r="AB57" s="47"/>
      <c r="AC57" s="47"/>
      <c r="AD57" s="47"/>
      <c r="AE57" s="47"/>
      <c r="AF57" s="47"/>
      <c r="AG57" s="47"/>
      <c r="AH57" s="47"/>
      <c r="AI57" s="46"/>
      <c r="AJ57" s="46"/>
      <c r="AK57" s="46"/>
      <c r="AL57" s="7"/>
      <c r="AM57" s="49" t="str">
        <f aca="false">IF(OR(C57="",G57=""),"",IFERROR(DATEDIF(C57,G57,"m"),""))</f>
        <v/>
      </c>
      <c r="AN57" s="49" t="str">
        <f aca="false">IF(OR(Q57="",AM57=""),"",60+2*Q57-AM57)</f>
        <v/>
      </c>
      <c r="AO57" s="49" t="str">
        <f aca="false">IF(OR(G57="",AJ57=""),"",AJ57-G57)</f>
        <v/>
      </c>
      <c r="AP57" s="50" t="str">
        <f aca="false">IF(AND(A57="",B57=""),"",IF(J57="","Status needed",IF(OR(J57="Applied",J57="Visit booked",J57="Withdrawn"),"OK",IF(G57="","Date assessed needed",IF(C57="","Date of birth needed",IF(COUNTA(L57,M57,P57,U57,V57,X57,AB57)&lt;7,"Band missing",IF(AND(OR(J57="Decision confirmed",J57="Family told",J57="Enrolled"),AG57=""),"Recommendation needed",IF(AND(OR(J57="Family told",J57="Enrolled"),AJ57=""),"Date family told needed","OK"))))))))</f>
        <v/>
      </c>
    </row>
    <row r="58" customFormat="false" ht="15" hidden="false" customHeight="false" outlineLevel="0" collapsed="false">
      <c r="A58" s="7"/>
      <c r="B58" s="7"/>
      <c r="C58" s="46"/>
      <c r="D58" s="7"/>
      <c r="E58" s="47"/>
      <c r="F58" s="46"/>
      <c r="G58" s="46"/>
      <c r="H58" s="7"/>
      <c r="I58" s="7"/>
      <c r="J58" s="47"/>
      <c r="K58" s="47"/>
      <c r="L58" s="47"/>
      <c r="M58" s="47"/>
      <c r="N58" s="10"/>
      <c r="O58" s="47"/>
      <c r="P58" s="47"/>
      <c r="Q58" s="47"/>
      <c r="R58" s="48" t="str">
        <f aca="false">IF(Q58="","",IF(Q58=0,"below 5:00",IF(Q58&gt;=66,"16:00 or above",INT((60+2*Q58)/12)&amp;":"&amp;TEXT(MOD(60+2*Q58,12),"00"))))</f>
        <v/>
      </c>
      <c r="S58" s="47"/>
      <c r="T58" s="47"/>
      <c r="U58" s="47"/>
      <c r="V58" s="47"/>
      <c r="W58" s="47"/>
      <c r="X58" s="47"/>
      <c r="Y58" s="47"/>
      <c r="Z58" s="47"/>
      <c r="AA58" s="47"/>
      <c r="AB58" s="47"/>
      <c r="AC58" s="47"/>
      <c r="AD58" s="47"/>
      <c r="AE58" s="47"/>
      <c r="AF58" s="47"/>
      <c r="AG58" s="47"/>
      <c r="AH58" s="47"/>
      <c r="AI58" s="46"/>
      <c r="AJ58" s="46"/>
      <c r="AK58" s="46"/>
      <c r="AL58" s="7"/>
      <c r="AM58" s="49" t="str">
        <f aca="false">IF(OR(C58="",G58=""),"",IFERROR(DATEDIF(C58,G58,"m"),""))</f>
        <v/>
      </c>
      <c r="AN58" s="49" t="str">
        <f aca="false">IF(OR(Q58="",AM58=""),"",60+2*Q58-AM58)</f>
        <v/>
      </c>
      <c r="AO58" s="49" t="str">
        <f aca="false">IF(OR(G58="",AJ58=""),"",AJ58-G58)</f>
        <v/>
      </c>
      <c r="AP58" s="50" t="str">
        <f aca="false">IF(AND(A58="",B58=""),"",IF(J58="","Status needed",IF(OR(J58="Applied",J58="Visit booked",J58="Withdrawn"),"OK",IF(G58="","Date assessed needed",IF(C58="","Date of birth needed",IF(COUNTA(L58,M58,P58,U58,V58,X58,AB58)&lt;7,"Band missing",IF(AND(OR(J58="Decision confirmed",J58="Family told",J58="Enrolled"),AG58=""),"Recommendation needed",IF(AND(OR(J58="Family told",J58="Enrolled"),AJ58=""),"Date family told needed","OK"))))))))</f>
        <v/>
      </c>
    </row>
    <row r="59" customFormat="false" ht="15" hidden="false" customHeight="false" outlineLevel="0" collapsed="false">
      <c r="A59" s="7"/>
      <c r="B59" s="7"/>
      <c r="C59" s="46"/>
      <c r="D59" s="7"/>
      <c r="E59" s="47"/>
      <c r="F59" s="46"/>
      <c r="G59" s="46"/>
      <c r="H59" s="7"/>
      <c r="I59" s="7"/>
      <c r="J59" s="47"/>
      <c r="K59" s="47"/>
      <c r="L59" s="47"/>
      <c r="M59" s="47"/>
      <c r="N59" s="10"/>
      <c r="O59" s="47"/>
      <c r="P59" s="47"/>
      <c r="Q59" s="47"/>
      <c r="R59" s="48" t="str">
        <f aca="false">IF(Q59="","",IF(Q59=0,"below 5:00",IF(Q59&gt;=66,"16:00 or above",INT((60+2*Q59)/12)&amp;":"&amp;TEXT(MOD(60+2*Q59,12),"00"))))</f>
        <v/>
      </c>
      <c r="S59" s="47"/>
      <c r="T59" s="47"/>
      <c r="U59" s="47"/>
      <c r="V59" s="47"/>
      <c r="W59" s="47"/>
      <c r="X59" s="47"/>
      <c r="Y59" s="47"/>
      <c r="Z59" s="47"/>
      <c r="AA59" s="47"/>
      <c r="AB59" s="47"/>
      <c r="AC59" s="47"/>
      <c r="AD59" s="47"/>
      <c r="AE59" s="47"/>
      <c r="AF59" s="47"/>
      <c r="AG59" s="47"/>
      <c r="AH59" s="47"/>
      <c r="AI59" s="46"/>
      <c r="AJ59" s="46"/>
      <c r="AK59" s="46"/>
      <c r="AL59" s="7"/>
      <c r="AM59" s="49" t="str">
        <f aca="false">IF(OR(C59="",G59=""),"",IFERROR(DATEDIF(C59,G59,"m"),""))</f>
        <v/>
      </c>
      <c r="AN59" s="49" t="str">
        <f aca="false">IF(OR(Q59="",AM59=""),"",60+2*Q59-AM59)</f>
        <v/>
      </c>
      <c r="AO59" s="49" t="str">
        <f aca="false">IF(OR(G59="",AJ59=""),"",AJ59-G59)</f>
        <v/>
      </c>
      <c r="AP59" s="50" t="str">
        <f aca="false">IF(AND(A59="",B59=""),"",IF(J59="","Status needed",IF(OR(J59="Applied",J59="Visit booked",J59="Withdrawn"),"OK",IF(G59="","Date assessed needed",IF(C59="","Date of birth needed",IF(COUNTA(L59,M59,P59,U59,V59,X59,AB59)&lt;7,"Band missing",IF(AND(OR(J59="Decision confirmed",J59="Family told",J59="Enrolled"),AG59=""),"Recommendation needed",IF(AND(OR(J59="Family told",J59="Enrolled"),AJ59=""),"Date family told needed","OK"))))))))</f>
        <v/>
      </c>
    </row>
    <row r="60" customFormat="false" ht="15" hidden="false" customHeight="false" outlineLevel="0" collapsed="false">
      <c r="A60" s="7"/>
      <c r="B60" s="7"/>
      <c r="C60" s="46"/>
      <c r="D60" s="7"/>
      <c r="E60" s="47"/>
      <c r="F60" s="46"/>
      <c r="G60" s="46"/>
      <c r="H60" s="7"/>
      <c r="I60" s="7"/>
      <c r="J60" s="47"/>
      <c r="K60" s="47"/>
      <c r="L60" s="47"/>
      <c r="M60" s="47"/>
      <c r="N60" s="10"/>
      <c r="O60" s="47"/>
      <c r="P60" s="47"/>
      <c r="Q60" s="47"/>
      <c r="R60" s="48" t="str">
        <f aca="false">IF(Q60="","",IF(Q60=0,"below 5:00",IF(Q60&gt;=66,"16:00 or above",INT((60+2*Q60)/12)&amp;":"&amp;TEXT(MOD(60+2*Q60,12),"00"))))</f>
        <v/>
      </c>
      <c r="S60" s="47"/>
      <c r="T60" s="47"/>
      <c r="U60" s="47"/>
      <c r="V60" s="47"/>
      <c r="W60" s="47"/>
      <c r="X60" s="47"/>
      <c r="Y60" s="47"/>
      <c r="Z60" s="47"/>
      <c r="AA60" s="47"/>
      <c r="AB60" s="47"/>
      <c r="AC60" s="47"/>
      <c r="AD60" s="47"/>
      <c r="AE60" s="47"/>
      <c r="AF60" s="47"/>
      <c r="AG60" s="47"/>
      <c r="AH60" s="47"/>
      <c r="AI60" s="46"/>
      <c r="AJ60" s="46"/>
      <c r="AK60" s="46"/>
      <c r="AL60" s="7"/>
      <c r="AM60" s="49" t="str">
        <f aca="false">IF(OR(C60="",G60=""),"",IFERROR(DATEDIF(C60,G60,"m"),""))</f>
        <v/>
      </c>
      <c r="AN60" s="49" t="str">
        <f aca="false">IF(OR(Q60="",AM60=""),"",60+2*Q60-AM60)</f>
        <v/>
      </c>
      <c r="AO60" s="49" t="str">
        <f aca="false">IF(OR(G60="",AJ60=""),"",AJ60-G60)</f>
        <v/>
      </c>
      <c r="AP60" s="50" t="str">
        <f aca="false">IF(AND(A60="",B60=""),"",IF(J60="","Status needed",IF(OR(J60="Applied",J60="Visit booked",J60="Withdrawn"),"OK",IF(G60="","Date assessed needed",IF(C60="","Date of birth needed",IF(COUNTA(L60,M60,P60,U60,V60,X60,AB60)&lt;7,"Band missing",IF(AND(OR(J60="Decision confirmed",J60="Family told",J60="Enrolled"),AG60=""),"Recommendation needed",IF(AND(OR(J60="Family told",J60="Enrolled"),AJ60=""),"Date family told needed","OK"))))))))</f>
        <v/>
      </c>
    </row>
    <row r="61" customFormat="false" ht="15" hidden="false" customHeight="false" outlineLevel="0" collapsed="false">
      <c r="A61" s="7"/>
      <c r="B61" s="7"/>
      <c r="C61" s="46"/>
      <c r="D61" s="7"/>
      <c r="E61" s="47"/>
      <c r="F61" s="46"/>
      <c r="G61" s="46"/>
      <c r="H61" s="7"/>
      <c r="I61" s="7"/>
      <c r="J61" s="47"/>
      <c r="K61" s="47"/>
      <c r="L61" s="47"/>
      <c r="M61" s="47"/>
      <c r="N61" s="10"/>
      <c r="O61" s="47"/>
      <c r="P61" s="47"/>
      <c r="Q61" s="47"/>
      <c r="R61" s="48" t="str">
        <f aca="false">IF(Q61="","",IF(Q61=0,"below 5:00",IF(Q61&gt;=66,"16:00 or above",INT((60+2*Q61)/12)&amp;":"&amp;TEXT(MOD(60+2*Q61,12),"00"))))</f>
        <v/>
      </c>
      <c r="S61" s="47"/>
      <c r="T61" s="47"/>
      <c r="U61" s="47"/>
      <c r="V61" s="47"/>
      <c r="W61" s="47"/>
      <c r="X61" s="47"/>
      <c r="Y61" s="47"/>
      <c r="Z61" s="47"/>
      <c r="AA61" s="47"/>
      <c r="AB61" s="47"/>
      <c r="AC61" s="47"/>
      <c r="AD61" s="47"/>
      <c r="AE61" s="47"/>
      <c r="AF61" s="47"/>
      <c r="AG61" s="47"/>
      <c r="AH61" s="47"/>
      <c r="AI61" s="46"/>
      <c r="AJ61" s="46"/>
      <c r="AK61" s="46"/>
      <c r="AL61" s="7"/>
      <c r="AM61" s="49" t="str">
        <f aca="false">IF(OR(C61="",G61=""),"",IFERROR(DATEDIF(C61,G61,"m"),""))</f>
        <v/>
      </c>
      <c r="AN61" s="49" t="str">
        <f aca="false">IF(OR(Q61="",AM61=""),"",60+2*Q61-AM61)</f>
        <v/>
      </c>
      <c r="AO61" s="49" t="str">
        <f aca="false">IF(OR(G61="",AJ61=""),"",AJ61-G61)</f>
        <v/>
      </c>
      <c r="AP61" s="50" t="str">
        <f aca="false">IF(AND(A61="",B61=""),"",IF(J61="","Status needed",IF(OR(J61="Applied",J61="Visit booked",J61="Withdrawn"),"OK",IF(G61="","Date assessed needed",IF(C61="","Date of birth needed",IF(COUNTA(L61,M61,P61,U61,V61,X61,AB61)&lt;7,"Band missing",IF(AND(OR(J61="Decision confirmed",J61="Family told",J61="Enrolled"),AG61=""),"Recommendation needed",IF(AND(OR(J61="Family told",J61="Enrolled"),AJ61=""),"Date family told needed","OK"))))))))</f>
        <v/>
      </c>
    </row>
    <row r="62" customFormat="false" ht="15" hidden="false" customHeight="false" outlineLevel="0" collapsed="false">
      <c r="A62" s="7"/>
      <c r="B62" s="7"/>
      <c r="C62" s="46"/>
      <c r="D62" s="7"/>
      <c r="E62" s="47"/>
      <c r="F62" s="46"/>
      <c r="G62" s="46"/>
      <c r="H62" s="7"/>
      <c r="I62" s="7"/>
      <c r="J62" s="47"/>
      <c r="K62" s="47"/>
      <c r="L62" s="47"/>
      <c r="M62" s="47"/>
      <c r="N62" s="10"/>
      <c r="O62" s="47"/>
      <c r="P62" s="47"/>
      <c r="Q62" s="47"/>
      <c r="R62" s="48" t="str">
        <f aca="false">IF(Q62="","",IF(Q62=0,"below 5:00",IF(Q62&gt;=66,"16:00 or above",INT((60+2*Q62)/12)&amp;":"&amp;TEXT(MOD(60+2*Q62,12),"00"))))</f>
        <v/>
      </c>
      <c r="S62" s="47"/>
      <c r="T62" s="47"/>
      <c r="U62" s="47"/>
      <c r="V62" s="47"/>
      <c r="W62" s="47"/>
      <c r="X62" s="47"/>
      <c r="Y62" s="47"/>
      <c r="Z62" s="47"/>
      <c r="AA62" s="47"/>
      <c r="AB62" s="47"/>
      <c r="AC62" s="47"/>
      <c r="AD62" s="47"/>
      <c r="AE62" s="47"/>
      <c r="AF62" s="47"/>
      <c r="AG62" s="47"/>
      <c r="AH62" s="47"/>
      <c r="AI62" s="46"/>
      <c r="AJ62" s="46"/>
      <c r="AK62" s="46"/>
      <c r="AL62" s="7"/>
      <c r="AM62" s="49" t="str">
        <f aca="false">IF(OR(C62="",G62=""),"",IFERROR(DATEDIF(C62,G62,"m"),""))</f>
        <v/>
      </c>
      <c r="AN62" s="49" t="str">
        <f aca="false">IF(OR(Q62="",AM62=""),"",60+2*Q62-AM62)</f>
        <v/>
      </c>
      <c r="AO62" s="49" t="str">
        <f aca="false">IF(OR(G62="",AJ62=""),"",AJ62-G62)</f>
        <v/>
      </c>
      <c r="AP62" s="50" t="str">
        <f aca="false">IF(AND(A62="",B62=""),"",IF(J62="","Status needed",IF(OR(J62="Applied",J62="Visit booked",J62="Withdrawn"),"OK",IF(G62="","Date assessed needed",IF(C62="","Date of birth needed",IF(COUNTA(L62,M62,P62,U62,V62,X62,AB62)&lt;7,"Band missing",IF(AND(OR(J62="Decision confirmed",J62="Family told",J62="Enrolled"),AG62=""),"Recommendation needed",IF(AND(OR(J62="Family told",J62="Enrolled"),AJ62=""),"Date family told needed","OK"))))))))</f>
        <v/>
      </c>
    </row>
    <row r="63" customFormat="false" ht="15" hidden="false" customHeight="false" outlineLevel="0" collapsed="false">
      <c r="A63" s="7"/>
      <c r="B63" s="7"/>
      <c r="C63" s="46"/>
      <c r="D63" s="7"/>
      <c r="E63" s="47"/>
      <c r="F63" s="46"/>
      <c r="G63" s="46"/>
      <c r="H63" s="7"/>
      <c r="I63" s="7"/>
      <c r="J63" s="47"/>
      <c r="K63" s="47"/>
      <c r="L63" s="47"/>
      <c r="M63" s="47"/>
      <c r="N63" s="10"/>
      <c r="O63" s="47"/>
      <c r="P63" s="47"/>
      <c r="Q63" s="47"/>
      <c r="R63" s="48" t="str">
        <f aca="false">IF(Q63="","",IF(Q63=0,"below 5:00",IF(Q63&gt;=66,"16:00 or above",INT((60+2*Q63)/12)&amp;":"&amp;TEXT(MOD(60+2*Q63,12),"00"))))</f>
        <v/>
      </c>
      <c r="S63" s="47"/>
      <c r="T63" s="47"/>
      <c r="U63" s="47"/>
      <c r="V63" s="47"/>
      <c r="W63" s="47"/>
      <c r="X63" s="47"/>
      <c r="Y63" s="47"/>
      <c r="Z63" s="47"/>
      <c r="AA63" s="47"/>
      <c r="AB63" s="47"/>
      <c r="AC63" s="47"/>
      <c r="AD63" s="47"/>
      <c r="AE63" s="47"/>
      <c r="AF63" s="47"/>
      <c r="AG63" s="47"/>
      <c r="AH63" s="47"/>
      <c r="AI63" s="46"/>
      <c r="AJ63" s="46"/>
      <c r="AK63" s="46"/>
      <c r="AL63" s="7"/>
      <c r="AM63" s="49" t="str">
        <f aca="false">IF(OR(C63="",G63=""),"",IFERROR(DATEDIF(C63,G63,"m"),""))</f>
        <v/>
      </c>
      <c r="AN63" s="49" t="str">
        <f aca="false">IF(OR(Q63="",AM63=""),"",60+2*Q63-AM63)</f>
        <v/>
      </c>
      <c r="AO63" s="49" t="str">
        <f aca="false">IF(OR(G63="",AJ63=""),"",AJ63-G63)</f>
        <v/>
      </c>
      <c r="AP63" s="50" t="str">
        <f aca="false">IF(AND(A63="",B63=""),"",IF(J63="","Status needed",IF(OR(J63="Applied",J63="Visit booked",J63="Withdrawn"),"OK",IF(G63="","Date assessed needed",IF(C63="","Date of birth needed",IF(COUNTA(L63,M63,P63,U63,V63,X63,AB63)&lt;7,"Band missing",IF(AND(OR(J63="Decision confirmed",J63="Family told",J63="Enrolled"),AG63=""),"Recommendation needed",IF(AND(OR(J63="Family told",J63="Enrolled"),AJ63=""),"Date family told needed","OK"))))))))</f>
        <v/>
      </c>
    </row>
    <row r="64" customFormat="false" ht="15" hidden="false" customHeight="false" outlineLevel="0" collapsed="false">
      <c r="A64" s="7"/>
      <c r="B64" s="7"/>
      <c r="C64" s="46"/>
      <c r="D64" s="7"/>
      <c r="E64" s="47"/>
      <c r="F64" s="46"/>
      <c r="G64" s="46"/>
      <c r="H64" s="7"/>
      <c r="I64" s="7"/>
      <c r="J64" s="47"/>
      <c r="K64" s="47"/>
      <c r="L64" s="47"/>
      <c r="M64" s="47"/>
      <c r="N64" s="10"/>
      <c r="O64" s="47"/>
      <c r="P64" s="47"/>
      <c r="Q64" s="47"/>
      <c r="R64" s="48" t="str">
        <f aca="false">IF(Q64="","",IF(Q64=0,"below 5:00",IF(Q64&gt;=66,"16:00 or above",INT((60+2*Q64)/12)&amp;":"&amp;TEXT(MOD(60+2*Q64,12),"00"))))</f>
        <v/>
      </c>
      <c r="S64" s="47"/>
      <c r="T64" s="47"/>
      <c r="U64" s="47"/>
      <c r="V64" s="47"/>
      <c r="W64" s="47"/>
      <c r="X64" s="47"/>
      <c r="Y64" s="47"/>
      <c r="Z64" s="47"/>
      <c r="AA64" s="47"/>
      <c r="AB64" s="47"/>
      <c r="AC64" s="47"/>
      <c r="AD64" s="47"/>
      <c r="AE64" s="47"/>
      <c r="AF64" s="47"/>
      <c r="AG64" s="47"/>
      <c r="AH64" s="47"/>
      <c r="AI64" s="46"/>
      <c r="AJ64" s="46"/>
      <c r="AK64" s="46"/>
      <c r="AL64" s="7"/>
      <c r="AM64" s="49" t="str">
        <f aca="false">IF(OR(C64="",G64=""),"",IFERROR(DATEDIF(C64,G64,"m"),""))</f>
        <v/>
      </c>
      <c r="AN64" s="49" t="str">
        <f aca="false">IF(OR(Q64="",AM64=""),"",60+2*Q64-AM64)</f>
        <v/>
      </c>
      <c r="AO64" s="49" t="str">
        <f aca="false">IF(OR(G64="",AJ64=""),"",AJ64-G64)</f>
        <v/>
      </c>
      <c r="AP64" s="50" t="str">
        <f aca="false">IF(AND(A64="",B64=""),"",IF(J64="","Status needed",IF(OR(J64="Applied",J64="Visit booked",J64="Withdrawn"),"OK",IF(G64="","Date assessed needed",IF(C64="","Date of birth needed",IF(COUNTA(L64,M64,P64,U64,V64,X64,AB64)&lt;7,"Band missing",IF(AND(OR(J64="Decision confirmed",J64="Family told",J64="Enrolled"),AG64=""),"Recommendation needed",IF(AND(OR(J64="Family told",J64="Enrolled"),AJ64=""),"Date family told needed","OK"))))))))</f>
        <v/>
      </c>
    </row>
    <row r="65" customFormat="false" ht="15" hidden="false" customHeight="false" outlineLevel="0" collapsed="false">
      <c r="A65" s="7"/>
      <c r="B65" s="7"/>
      <c r="C65" s="46"/>
      <c r="D65" s="7"/>
      <c r="E65" s="47"/>
      <c r="F65" s="46"/>
      <c r="G65" s="46"/>
      <c r="H65" s="7"/>
      <c r="I65" s="7"/>
      <c r="J65" s="47"/>
      <c r="K65" s="47"/>
      <c r="L65" s="47"/>
      <c r="M65" s="47"/>
      <c r="N65" s="10"/>
      <c r="O65" s="47"/>
      <c r="P65" s="47"/>
      <c r="Q65" s="47"/>
      <c r="R65" s="48" t="str">
        <f aca="false">IF(Q65="","",IF(Q65=0,"below 5:00",IF(Q65&gt;=66,"16:00 or above",INT((60+2*Q65)/12)&amp;":"&amp;TEXT(MOD(60+2*Q65,12),"00"))))</f>
        <v/>
      </c>
      <c r="S65" s="47"/>
      <c r="T65" s="47"/>
      <c r="U65" s="47"/>
      <c r="V65" s="47"/>
      <c r="W65" s="47"/>
      <c r="X65" s="47"/>
      <c r="Y65" s="47"/>
      <c r="Z65" s="47"/>
      <c r="AA65" s="47"/>
      <c r="AB65" s="47"/>
      <c r="AC65" s="47"/>
      <c r="AD65" s="47"/>
      <c r="AE65" s="47"/>
      <c r="AF65" s="47"/>
      <c r="AG65" s="47"/>
      <c r="AH65" s="47"/>
      <c r="AI65" s="46"/>
      <c r="AJ65" s="46"/>
      <c r="AK65" s="46"/>
      <c r="AL65" s="7"/>
      <c r="AM65" s="49" t="str">
        <f aca="false">IF(OR(C65="",G65=""),"",IFERROR(DATEDIF(C65,G65,"m"),""))</f>
        <v/>
      </c>
      <c r="AN65" s="49" t="str">
        <f aca="false">IF(OR(Q65="",AM65=""),"",60+2*Q65-AM65)</f>
        <v/>
      </c>
      <c r="AO65" s="49" t="str">
        <f aca="false">IF(OR(G65="",AJ65=""),"",AJ65-G65)</f>
        <v/>
      </c>
      <c r="AP65" s="50" t="str">
        <f aca="false">IF(AND(A65="",B65=""),"",IF(J65="","Status needed",IF(OR(J65="Applied",J65="Visit booked",J65="Withdrawn"),"OK",IF(G65="","Date assessed needed",IF(C65="","Date of birth needed",IF(COUNTA(L65,M65,P65,U65,V65,X65,AB65)&lt;7,"Band missing",IF(AND(OR(J65="Decision confirmed",J65="Family told",J65="Enrolled"),AG65=""),"Recommendation needed",IF(AND(OR(J65="Family told",J65="Enrolled"),AJ65=""),"Date family told needed","OK"))))))))</f>
        <v/>
      </c>
    </row>
    <row r="66" customFormat="false" ht="15" hidden="false" customHeight="false" outlineLevel="0" collapsed="false">
      <c r="A66" s="7"/>
      <c r="B66" s="7"/>
      <c r="C66" s="46"/>
      <c r="D66" s="7"/>
      <c r="E66" s="47"/>
      <c r="F66" s="46"/>
      <c r="G66" s="46"/>
      <c r="H66" s="7"/>
      <c r="I66" s="7"/>
      <c r="J66" s="47"/>
      <c r="K66" s="47"/>
      <c r="L66" s="47"/>
      <c r="M66" s="47"/>
      <c r="N66" s="10"/>
      <c r="O66" s="47"/>
      <c r="P66" s="47"/>
      <c r="Q66" s="47"/>
      <c r="R66" s="48" t="str">
        <f aca="false">IF(Q66="","",IF(Q66=0,"below 5:00",IF(Q66&gt;=66,"16:00 or above",INT((60+2*Q66)/12)&amp;":"&amp;TEXT(MOD(60+2*Q66,12),"00"))))</f>
        <v/>
      </c>
      <c r="S66" s="47"/>
      <c r="T66" s="47"/>
      <c r="U66" s="47"/>
      <c r="V66" s="47"/>
      <c r="W66" s="47"/>
      <c r="X66" s="47"/>
      <c r="Y66" s="47"/>
      <c r="Z66" s="47"/>
      <c r="AA66" s="47"/>
      <c r="AB66" s="47"/>
      <c r="AC66" s="47"/>
      <c r="AD66" s="47"/>
      <c r="AE66" s="47"/>
      <c r="AF66" s="47"/>
      <c r="AG66" s="47"/>
      <c r="AH66" s="47"/>
      <c r="AI66" s="46"/>
      <c r="AJ66" s="46"/>
      <c r="AK66" s="46"/>
      <c r="AL66" s="7"/>
      <c r="AM66" s="49" t="str">
        <f aca="false">IF(OR(C66="",G66=""),"",IFERROR(DATEDIF(C66,G66,"m"),""))</f>
        <v/>
      </c>
      <c r="AN66" s="49" t="str">
        <f aca="false">IF(OR(Q66="",AM66=""),"",60+2*Q66-AM66)</f>
        <v/>
      </c>
      <c r="AO66" s="49" t="str">
        <f aca="false">IF(OR(G66="",AJ66=""),"",AJ66-G66)</f>
        <v/>
      </c>
      <c r="AP66" s="50" t="str">
        <f aca="false">IF(AND(A66="",B66=""),"",IF(J66="","Status needed",IF(OR(J66="Applied",J66="Visit booked",J66="Withdrawn"),"OK",IF(G66="","Date assessed needed",IF(C66="","Date of birth needed",IF(COUNTA(L66,M66,P66,U66,V66,X66,AB66)&lt;7,"Band missing",IF(AND(OR(J66="Decision confirmed",J66="Family told",J66="Enrolled"),AG66=""),"Recommendation needed",IF(AND(OR(J66="Family told",J66="Enrolled"),AJ66=""),"Date family told needed","OK"))))))))</f>
        <v/>
      </c>
    </row>
    <row r="67" customFormat="false" ht="15" hidden="false" customHeight="false" outlineLevel="0" collapsed="false">
      <c r="A67" s="7"/>
      <c r="B67" s="7"/>
      <c r="C67" s="46"/>
      <c r="D67" s="7"/>
      <c r="E67" s="47"/>
      <c r="F67" s="46"/>
      <c r="G67" s="46"/>
      <c r="H67" s="7"/>
      <c r="I67" s="7"/>
      <c r="J67" s="47"/>
      <c r="K67" s="47"/>
      <c r="L67" s="47"/>
      <c r="M67" s="47"/>
      <c r="N67" s="10"/>
      <c r="O67" s="47"/>
      <c r="P67" s="47"/>
      <c r="Q67" s="47"/>
      <c r="R67" s="48" t="str">
        <f aca="false">IF(Q67="","",IF(Q67=0,"below 5:00",IF(Q67&gt;=66,"16:00 or above",INT((60+2*Q67)/12)&amp;":"&amp;TEXT(MOD(60+2*Q67,12),"00"))))</f>
        <v/>
      </c>
      <c r="S67" s="47"/>
      <c r="T67" s="47"/>
      <c r="U67" s="47"/>
      <c r="V67" s="47"/>
      <c r="W67" s="47"/>
      <c r="X67" s="47"/>
      <c r="Y67" s="47"/>
      <c r="Z67" s="47"/>
      <c r="AA67" s="47"/>
      <c r="AB67" s="47"/>
      <c r="AC67" s="47"/>
      <c r="AD67" s="47"/>
      <c r="AE67" s="47"/>
      <c r="AF67" s="47"/>
      <c r="AG67" s="47"/>
      <c r="AH67" s="47"/>
      <c r="AI67" s="46"/>
      <c r="AJ67" s="46"/>
      <c r="AK67" s="46"/>
      <c r="AL67" s="7"/>
      <c r="AM67" s="49" t="str">
        <f aca="false">IF(OR(C67="",G67=""),"",IFERROR(DATEDIF(C67,G67,"m"),""))</f>
        <v/>
      </c>
      <c r="AN67" s="49" t="str">
        <f aca="false">IF(OR(Q67="",AM67=""),"",60+2*Q67-AM67)</f>
        <v/>
      </c>
      <c r="AO67" s="49" t="str">
        <f aca="false">IF(OR(G67="",AJ67=""),"",AJ67-G67)</f>
        <v/>
      </c>
      <c r="AP67" s="50" t="str">
        <f aca="false">IF(AND(A67="",B67=""),"",IF(J67="","Status needed",IF(OR(J67="Applied",J67="Visit booked",J67="Withdrawn"),"OK",IF(G67="","Date assessed needed",IF(C67="","Date of birth needed",IF(COUNTA(L67,M67,P67,U67,V67,X67,AB67)&lt;7,"Band missing",IF(AND(OR(J67="Decision confirmed",J67="Family told",J67="Enrolled"),AG67=""),"Recommendation needed",IF(AND(OR(J67="Family told",J67="Enrolled"),AJ67=""),"Date family told needed","OK"))))))))</f>
        <v/>
      </c>
    </row>
    <row r="68" customFormat="false" ht="15" hidden="false" customHeight="false" outlineLevel="0" collapsed="false">
      <c r="A68" s="7"/>
      <c r="B68" s="7"/>
      <c r="C68" s="46"/>
      <c r="D68" s="7"/>
      <c r="E68" s="47"/>
      <c r="F68" s="46"/>
      <c r="G68" s="46"/>
      <c r="H68" s="7"/>
      <c r="I68" s="7"/>
      <c r="J68" s="47"/>
      <c r="K68" s="47"/>
      <c r="L68" s="47"/>
      <c r="M68" s="47"/>
      <c r="N68" s="10"/>
      <c r="O68" s="47"/>
      <c r="P68" s="47"/>
      <c r="Q68" s="47"/>
      <c r="R68" s="48" t="str">
        <f aca="false">IF(Q68="","",IF(Q68=0,"below 5:00",IF(Q68&gt;=66,"16:00 or above",INT((60+2*Q68)/12)&amp;":"&amp;TEXT(MOD(60+2*Q68,12),"00"))))</f>
        <v/>
      </c>
      <c r="S68" s="47"/>
      <c r="T68" s="47"/>
      <c r="U68" s="47"/>
      <c r="V68" s="47"/>
      <c r="W68" s="47"/>
      <c r="X68" s="47"/>
      <c r="Y68" s="47"/>
      <c r="Z68" s="47"/>
      <c r="AA68" s="47"/>
      <c r="AB68" s="47"/>
      <c r="AC68" s="47"/>
      <c r="AD68" s="47"/>
      <c r="AE68" s="47"/>
      <c r="AF68" s="47"/>
      <c r="AG68" s="47"/>
      <c r="AH68" s="47"/>
      <c r="AI68" s="46"/>
      <c r="AJ68" s="46"/>
      <c r="AK68" s="46"/>
      <c r="AL68" s="7"/>
      <c r="AM68" s="49" t="str">
        <f aca="false">IF(OR(C68="",G68=""),"",IFERROR(DATEDIF(C68,G68,"m"),""))</f>
        <v/>
      </c>
      <c r="AN68" s="49" t="str">
        <f aca="false">IF(OR(Q68="",AM68=""),"",60+2*Q68-AM68)</f>
        <v/>
      </c>
      <c r="AO68" s="49" t="str">
        <f aca="false">IF(OR(G68="",AJ68=""),"",AJ68-G68)</f>
        <v/>
      </c>
      <c r="AP68" s="50" t="str">
        <f aca="false">IF(AND(A68="",B68=""),"",IF(J68="","Status needed",IF(OR(J68="Applied",J68="Visit booked",J68="Withdrawn"),"OK",IF(G68="","Date assessed needed",IF(C68="","Date of birth needed",IF(COUNTA(L68,M68,P68,U68,V68,X68,AB68)&lt;7,"Band missing",IF(AND(OR(J68="Decision confirmed",J68="Family told",J68="Enrolled"),AG68=""),"Recommendation needed",IF(AND(OR(J68="Family told",J68="Enrolled"),AJ68=""),"Date family told needed","OK"))))))))</f>
        <v/>
      </c>
    </row>
    <row r="69" customFormat="false" ht="15" hidden="false" customHeight="false" outlineLevel="0" collapsed="false">
      <c r="A69" s="7"/>
      <c r="B69" s="7"/>
      <c r="C69" s="46"/>
      <c r="D69" s="7"/>
      <c r="E69" s="47"/>
      <c r="F69" s="46"/>
      <c r="G69" s="46"/>
      <c r="H69" s="7"/>
      <c r="I69" s="7"/>
      <c r="J69" s="47"/>
      <c r="K69" s="47"/>
      <c r="L69" s="47"/>
      <c r="M69" s="47"/>
      <c r="N69" s="10"/>
      <c r="O69" s="47"/>
      <c r="P69" s="47"/>
      <c r="Q69" s="47"/>
      <c r="R69" s="48" t="str">
        <f aca="false">IF(Q69="","",IF(Q69=0,"below 5:00",IF(Q69&gt;=66,"16:00 or above",INT((60+2*Q69)/12)&amp;":"&amp;TEXT(MOD(60+2*Q69,12),"00"))))</f>
        <v/>
      </c>
      <c r="S69" s="47"/>
      <c r="T69" s="47"/>
      <c r="U69" s="47"/>
      <c r="V69" s="47"/>
      <c r="W69" s="47"/>
      <c r="X69" s="47"/>
      <c r="Y69" s="47"/>
      <c r="Z69" s="47"/>
      <c r="AA69" s="47"/>
      <c r="AB69" s="47"/>
      <c r="AC69" s="47"/>
      <c r="AD69" s="47"/>
      <c r="AE69" s="47"/>
      <c r="AF69" s="47"/>
      <c r="AG69" s="47"/>
      <c r="AH69" s="47"/>
      <c r="AI69" s="46"/>
      <c r="AJ69" s="46"/>
      <c r="AK69" s="46"/>
      <c r="AL69" s="7"/>
      <c r="AM69" s="49" t="str">
        <f aca="false">IF(OR(C69="",G69=""),"",IFERROR(DATEDIF(C69,G69,"m"),""))</f>
        <v/>
      </c>
      <c r="AN69" s="49" t="str">
        <f aca="false">IF(OR(Q69="",AM69=""),"",60+2*Q69-AM69)</f>
        <v/>
      </c>
      <c r="AO69" s="49" t="str">
        <f aca="false">IF(OR(G69="",AJ69=""),"",AJ69-G69)</f>
        <v/>
      </c>
      <c r="AP69" s="50" t="str">
        <f aca="false">IF(AND(A69="",B69=""),"",IF(J69="","Status needed",IF(OR(J69="Applied",J69="Visit booked",J69="Withdrawn"),"OK",IF(G69="","Date assessed needed",IF(C69="","Date of birth needed",IF(COUNTA(L69,M69,P69,U69,V69,X69,AB69)&lt;7,"Band missing",IF(AND(OR(J69="Decision confirmed",J69="Family told",J69="Enrolled"),AG69=""),"Recommendation needed",IF(AND(OR(J69="Family told",J69="Enrolled"),AJ69=""),"Date family told needed","OK"))))))))</f>
        <v/>
      </c>
    </row>
    <row r="70" customFormat="false" ht="15" hidden="false" customHeight="false" outlineLevel="0" collapsed="false">
      <c r="A70" s="7"/>
      <c r="B70" s="7"/>
      <c r="C70" s="46"/>
      <c r="D70" s="7"/>
      <c r="E70" s="47"/>
      <c r="F70" s="46"/>
      <c r="G70" s="46"/>
      <c r="H70" s="7"/>
      <c r="I70" s="7"/>
      <c r="J70" s="47"/>
      <c r="K70" s="47"/>
      <c r="L70" s="47"/>
      <c r="M70" s="47"/>
      <c r="N70" s="10"/>
      <c r="O70" s="47"/>
      <c r="P70" s="47"/>
      <c r="Q70" s="47"/>
      <c r="R70" s="48" t="str">
        <f aca="false">IF(Q70="","",IF(Q70=0,"below 5:00",IF(Q70&gt;=66,"16:00 or above",INT((60+2*Q70)/12)&amp;":"&amp;TEXT(MOD(60+2*Q70,12),"00"))))</f>
        <v/>
      </c>
      <c r="S70" s="47"/>
      <c r="T70" s="47"/>
      <c r="U70" s="47"/>
      <c r="V70" s="47"/>
      <c r="W70" s="47"/>
      <c r="X70" s="47"/>
      <c r="Y70" s="47"/>
      <c r="Z70" s="47"/>
      <c r="AA70" s="47"/>
      <c r="AB70" s="47"/>
      <c r="AC70" s="47"/>
      <c r="AD70" s="47"/>
      <c r="AE70" s="47"/>
      <c r="AF70" s="47"/>
      <c r="AG70" s="47"/>
      <c r="AH70" s="47"/>
      <c r="AI70" s="46"/>
      <c r="AJ70" s="46"/>
      <c r="AK70" s="46"/>
      <c r="AL70" s="7"/>
      <c r="AM70" s="49" t="str">
        <f aca="false">IF(OR(C70="",G70=""),"",IFERROR(DATEDIF(C70,G70,"m"),""))</f>
        <v/>
      </c>
      <c r="AN70" s="49" t="str">
        <f aca="false">IF(OR(Q70="",AM70=""),"",60+2*Q70-AM70)</f>
        <v/>
      </c>
      <c r="AO70" s="49" t="str">
        <f aca="false">IF(OR(G70="",AJ70=""),"",AJ70-G70)</f>
        <v/>
      </c>
      <c r="AP70" s="50" t="str">
        <f aca="false">IF(AND(A70="",B70=""),"",IF(J70="","Status needed",IF(OR(J70="Applied",J70="Visit booked",J70="Withdrawn"),"OK",IF(G70="","Date assessed needed",IF(C70="","Date of birth needed",IF(COUNTA(L70,M70,P70,U70,V70,X70,AB70)&lt;7,"Band missing",IF(AND(OR(J70="Decision confirmed",J70="Family told",J70="Enrolled"),AG70=""),"Recommendation needed",IF(AND(OR(J70="Family told",J70="Enrolled"),AJ70=""),"Date family told needed","OK"))))))))</f>
        <v/>
      </c>
    </row>
    <row r="71" customFormat="false" ht="15" hidden="false" customHeight="false" outlineLevel="0" collapsed="false">
      <c r="A71" s="7"/>
      <c r="B71" s="7"/>
      <c r="C71" s="46"/>
      <c r="D71" s="7"/>
      <c r="E71" s="47"/>
      <c r="F71" s="46"/>
      <c r="G71" s="46"/>
      <c r="H71" s="7"/>
      <c r="I71" s="7"/>
      <c r="J71" s="47"/>
      <c r="K71" s="47"/>
      <c r="L71" s="47"/>
      <c r="M71" s="47"/>
      <c r="N71" s="10"/>
      <c r="O71" s="47"/>
      <c r="P71" s="47"/>
      <c r="Q71" s="47"/>
      <c r="R71" s="48" t="str">
        <f aca="false">IF(Q71="","",IF(Q71=0,"below 5:00",IF(Q71&gt;=66,"16:00 or above",INT((60+2*Q71)/12)&amp;":"&amp;TEXT(MOD(60+2*Q71,12),"00"))))</f>
        <v/>
      </c>
      <c r="S71" s="47"/>
      <c r="T71" s="47"/>
      <c r="U71" s="47"/>
      <c r="V71" s="47"/>
      <c r="W71" s="47"/>
      <c r="X71" s="47"/>
      <c r="Y71" s="47"/>
      <c r="Z71" s="47"/>
      <c r="AA71" s="47"/>
      <c r="AB71" s="47"/>
      <c r="AC71" s="47"/>
      <c r="AD71" s="47"/>
      <c r="AE71" s="47"/>
      <c r="AF71" s="47"/>
      <c r="AG71" s="47"/>
      <c r="AH71" s="47"/>
      <c r="AI71" s="46"/>
      <c r="AJ71" s="46"/>
      <c r="AK71" s="46"/>
      <c r="AL71" s="7"/>
      <c r="AM71" s="49" t="str">
        <f aca="false">IF(OR(C71="",G71=""),"",IFERROR(DATEDIF(C71,G71,"m"),""))</f>
        <v/>
      </c>
      <c r="AN71" s="49" t="str">
        <f aca="false">IF(OR(Q71="",AM71=""),"",60+2*Q71-AM71)</f>
        <v/>
      </c>
      <c r="AO71" s="49" t="str">
        <f aca="false">IF(OR(G71="",AJ71=""),"",AJ71-G71)</f>
        <v/>
      </c>
      <c r="AP71" s="50" t="str">
        <f aca="false">IF(AND(A71="",B71=""),"",IF(J71="","Status needed",IF(OR(J71="Applied",J71="Visit booked",J71="Withdrawn"),"OK",IF(G71="","Date assessed needed",IF(C71="","Date of birth needed",IF(COUNTA(L71,M71,P71,U71,V71,X71,AB71)&lt;7,"Band missing",IF(AND(OR(J71="Decision confirmed",J71="Family told",J71="Enrolled"),AG71=""),"Recommendation needed",IF(AND(OR(J71="Family told",J71="Enrolled"),AJ71=""),"Date family told needed","OK"))))))))</f>
        <v/>
      </c>
    </row>
    <row r="72" customFormat="false" ht="15" hidden="false" customHeight="false" outlineLevel="0" collapsed="false">
      <c r="A72" s="7"/>
      <c r="B72" s="7"/>
      <c r="C72" s="46"/>
      <c r="D72" s="7"/>
      <c r="E72" s="47"/>
      <c r="F72" s="46"/>
      <c r="G72" s="46"/>
      <c r="H72" s="7"/>
      <c r="I72" s="7"/>
      <c r="J72" s="47"/>
      <c r="K72" s="47"/>
      <c r="L72" s="47"/>
      <c r="M72" s="47"/>
      <c r="N72" s="10"/>
      <c r="O72" s="47"/>
      <c r="P72" s="47"/>
      <c r="Q72" s="47"/>
      <c r="R72" s="48" t="str">
        <f aca="false">IF(Q72="","",IF(Q72=0,"below 5:00",IF(Q72&gt;=66,"16:00 or above",INT((60+2*Q72)/12)&amp;":"&amp;TEXT(MOD(60+2*Q72,12),"00"))))</f>
        <v/>
      </c>
      <c r="S72" s="47"/>
      <c r="T72" s="47"/>
      <c r="U72" s="47"/>
      <c r="V72" s="47"/>
      <c r="W72" s="47"/>
      <c r="X72" s="47"/>
      <c r="Y72" s="47"/>
      <c r="Z72" s="47"/>
      <c r="AA72" s="47"/>
      <c r="AB72" s="47"/>
      <c r="AC72" s="47"/>
      <c r="AD72" s="47"/>
      <c r="AE72" s="47"/>
      <c r="AF72" s="47"/>
      <c r="AG72" s="47"/>
      <c r="AH72" s="47"/>
      <c r="AI72" s="46"/>
      <c r="AJ72" s="46"/>
      <c r="AK72" s="46"/>
      <c r="AL72" s="7"/>
      <c r="AM72" s="49" t="str">
        <f aca="false">IF(OR(C72="",G72=""),"",IFERROR(DATEDIF(C72,G72,"m"),""))</f>
        <v/>
      </c>
      <c r="AN72" s="49" t="str">
        <f aca="false">IF(OR(Q72="",AM72=""),"",60+2*Q72-AM72)</f>
        <v/>
      </c>
      <c r="AO72" s="49" t="str">
        <f aca="false">IF(OR(G72="",AJ72=""),"",AJ72-G72)</f>
        <v/>
      </c>
      <c r="AP72" s="50" t="str">
        <f aca="false">IF(AND(A72="",B72=""),"",IF(J72="","Status needed",IF(OR(J72="Applied",J72="Visit booked",J72="Withdrawn"),"OK",IF(G72="","Date assessed needed",IF(C72="","Date of birth needed",IF(COUNTA(L72,M72,P72,U72,V72,X72,AB72)&lt;7,"Band missing",IF(AND(OR(J72="Decision confirmed",J72="Family told",J72="Enrolled"),AG72=""),"Recommendation needed",IF(AND(OR(J72="Family told",J72="Enrolled"),AJ72=""),"Date family told needed","OK"))))))))</f>
        <v/>
      </c>
    </row>
    <row r="73" customFormat="false" ht="15" hidden="false" customHeight="false" outlineLevel="0" collapsed="false">
      <c r="A73" s="7"/>
      <c r="B73" s="7"/>
      <c r="C73" s="46"/>
      <c r="D73" s="7"/>
      <c r="E73" s="47"/>
      <c r="F73" s="46"/>
      <c r="G73" s="46"/>
      <c r="H73" s="7"/>
      <c r="I73" s="7"/>
      <c r="J73" s="47"/>
      <c r="K73" s="47"/>
      <c r="L73" s="47"/>
      <c r="M73" s="47"/>
      <c r="N73" s="10"/>
      <c r="O73" s="47"/>
      <c r="P73" s="47"/>
      <c r="Q73" s="47"/>
      <c r="R73" s="48" t="str">
        <f aca="false">IF(Q73="","",IF(Q73=0,"below 5:00",IF(Q73&gt;=66,"16:00 or above",INT((60+2*Q73)/12)&amp;":"&amp;TEXT(MOD(60+2*Q73,12),"00"))))</f>
        <v/>
      </c>
      <c r="S73" s="47"/>
      <c r="T73" s="47"/>
      <c r="U73" s="47"/>
      <c r="V73" s="47"/>
      <c r="W73" s="47"/>
      <c r="X73" s="47"/>
      <c r="Y73" s="47"/>
      <c r="Z73" s="47"/>
      <c r="AA73" s="47"/>
      <c r="AB73" s="47"/>
      <c r="AC73" s="47"/>
      <c r="AD73" s="47"/>
      <c r="AE73" s="47"/>
      <c r="AF73" s="47"/>
      <c r="AG73" s="47"/>
      <c r="AH73" s="47"/>
      <c r="AI73" s="46"/>
      <c r="AJ73" s="46"/>
      <c r="AK73" s="46"/>
      <c r="AL73" s="7"/>
      <c r="AM73" s="49" t="str">
        <f aca="false">IF(OR(C73="",G73=""),"",IFERROR(DATEDIF(C73,G73,"m"),""))</f>
        <v/>
      </c>
      <c r="AN73" s="49" t="str">
        <f aca="false">IF(OR(Q73="",AM73=""),"",60+2*Q73-AM73)</f>
        <v/>
      </c>
      <c r="AO73" s="49" t="str">
        <f aca="false">IF(OR(G73="",AJ73=""),"",AJ73-G73)</f>
        <v/>
      </c>
      <c r="AP73" s="50" t="str">
        <f aca="false">IF(AND(A73="",B73=""),"",IF(J73="","Status needed",IF(OR(J73="Applied",J73="Visit booked",J73="Withdrawn"),"OK",IF(G73="","Date assessed needed",IF(C73="","Date of birth needed",IF(COUNTA(L73,M73,P73,U73,V73,X73,AB73)&lt;7,"Band missing",IF(AND(OR(J73="Decision confirmed",J73="Family told",J73="Enrolled"),AG73=""),"Recommendation needed",IF(AND(OR(J73="Family told",J73="Enrolled"),AJ73=""),"Date family told needed","OK"))))))))</f>
        <v/>
      </c>
    </row>
    <row r="74" customFormat="false" ht="15" hidden="false" customHeight="false" outlineLevel="0" collapsed="false">
      <c r="A74" s="7"/>
      <c r="B74" s="7"/>
      <c r="C74" s="46"/>
      <c r="D74" s="7"/>
      <c r="E74" s="47"/>
      <c r="F74" s="46"/>
      <c r="G74" s="46"/>
      <c r="H74" s="7"/>
      <c r="I74" s="7"/>
      <c r="J74" s="47"/>
      <c r="K74" s="47"/>
      <c r="L74" s="47"/>
      <c r="M74" s="47"/>
      <c r="N74" s="10"/>
      <c r="O74" s="47"/>
      <c r="P74" s="47"/>
      <c r="Q74" s="47"/>
      <c r="R74" s="48" t="str">
        <f aca="false">IF(Q74="","",IF(Q74=0,"below 5:00",IF(Q74&gt;=66,"16:00 or above",INT((60+2*Q74)/12)&amp;":"&amp;TEXT(MOD(60+2*Q74,12),"00"))))</f>
        <v/>
      </c>
      <c r="S74" s="47"/>
      <c r="T74" s="47"/>
      <c r="U74" s="47"/>
      <c r="V74" s="47"/>
      <c r="W74" s="47"/>
      <c r="X74" s="47"/>
      <c r="Y74" s="47"/>
      <c r="Z74" s="47"/>
      <c r="AA74" s="47"/>
      <c r="AB74" s="47"/>
      <c r="AC74" s="47"/>
      <c r="AD74" s="47"/>
      <c r="AE74" s="47"/>
      <c r="AF74" s="47"/>
      <c r="AG74" s="47"/>
      <c r="AH74" s="47"/>
      <c r="AI74" s="46"/>
      <c r="AJ74" s="46"/>
      <c r="AK74" s="46"/>
      <c r="AL74" s="7"/>
      <c r="AM74" s="49" t="str">
        <f aca="false">IF(OR(C74="",G74=""),"",IFERROR(DATEDIF(C74,G74,"m"),""))</f>
        <v/>
      </c>
      <c r="AN74" s="49" t="str">
        <f aca="false">IF(OR(Q74="",AM74=""),"",60+2*Q74-AM74)</f>
        <v/>
      </c>
      <c r="AO74" s="49" t="str">
        <f aca="false">IF(OR(G74="",AJ74=""),"",AJ74-G74)</f>
        <v/>
      </c>
      <c r="AP74" s="50" t="str">
        <f aca="false">IF(AND(A74="",B74=""),"",IF(J74="","Status needed",IF(OR(J74="Applied",J74="Visit booked",J74="Withdrawn"),"OK",IF(G74="","Date assessed needed",IF(C74="","Date of birth needed",IF(COUNTA(L74,M74,P74,U74,V74,X74,AB74)&lt;7,"Band missing",IF(AND(OR(J74="Decision confirmed",J74="Family told",J74="Enrolled"),AG74=""),"Recommendation needed",IF(AND(OR(J74="Family told",J74="Enrolled"),AJ74=""),"Date family told needed","OK"))))))))</f>
        <v/>
      </c>
    </row>
    <row r="75" customFormat="false" ht="15" hidden="false" customHeight="false" outlineLevel="0" collapsed="false">
      <c r="A75" s="7"/>
      <c r="B75" s="7"/>
      <c r="C75" s="46"/>
      <c r="D75" s="7"/>
      <c r="E75" s="47"/>
      <c r="F75" s="46"/>
      <c r="G75" s="46"/>
      <c r="H75" s="7"/>
      <c r="I75" s="7"/>
      <c r="J75" s="47"/>
      <c r="K75" s="47"/>
      <c r="L75" s="47"/>
      <c r="M75" s="47"/>
      <c r="N75" s="10"/>
      <c r="O75" s="47"/>
      <c r="P75" s="47"/>
      <c r="Q75" s="47"/>
      <c r="R75" s="48" t="str">
        <f aca="false">IF(Q75="","",IF(Q75=0,"below 5:00",IF(Q75&gt;=66,"16:00 or above",INT((60+2*Q75)/12)&amp;":"&amp;TEXT(MOD(60+2*Q75,12),"00"))))</f>
        <v/>
      </c>
      <c r="S75" s="47"/>
      <c r="T75" s="47"/>
      <c r="U75" s="47"/>
      <c r="V75" s="47"/>
      <c r="W75" s="47"/>
      <c r="X75" s="47"/>
      <c r="Y75" s="47"/>
      <c r="Z75" s="47"/>
      <c r="AA75" s="47"/>
      <c r="AB75" s="47"/>
      <c r="AC75" s="47"/>
      <c r="AD75" s="47"/>
      <c r="AE75" s="47"/>
      <c r="AF75" s="47"/>
      <c r="AG75" s="47"/>
      <c r="AH75" s="47"/>
      <c r="AI75" s="46"/>
      <c r="AJ75" s="46"/>
      <c r="AK75" s="46"/>
      <c r="AL75" s="7"/>
      <c r="AM75" s="49" t="str">
        <f aca="false">IF(OR(C75="",G75=""),"",IFERROR(DATEDIF(C75,G75,"m"),""))</f>
        <v/>
      </c>
      <c r="AN75" s="49" t="str">
        <f aca="false">IF(OR(Q75="",AM75=""),"",60+2*Q75-AM75)</f>
        <v/>
      </c>
      <c r="AO75" s="49" t="str">
        <f aca="false">IF(OR(G75="",AJ75=""),"",AJ75-G75)</f>
        <v/>
      </c>
      <c r="AP75" s="50" t="str">
        <f aca="false">IF(AND(A75="",B75=""),"",IF(J75="","Status needed",IF(OR(J75="Applied",J75="Visit booked",J75="Withdrawn"),"OK",IF(G75="","Date assessed needed",IF(C75="","Date of birth needed",IF(COUNTA(L75,M75,P75,U75,V75,X75,AB75)&lt;7,"Band missing",IF(AND(OR(J75="Decision confirmed",J75="Family told",J75="Enrolled"),AG75=""),"Recommendation needed",IF(AND(OR(J75="Family told",J75="Enrolled"),AJ75=""),"Date family told needed","OK"))))))))</f>
        <v/>
      </c>
    </row>
    <row r="76" customFormat="false" ht="15" hidden="false" customHeight="false" outlineLevel="0" collapsed="false">
      <c r="A76" s="7"/>
      <c r="B76" s="7"/>
      <c r="C76" s="46"/>
      <c r="D76" s="7"/>
      <c r="E76" s="47"/>
      <c r="F76" s="46"/>
      <c r="G76" s="46"/>
      <c r="H76" s="7"/>
      <c r="I76" s="7"/>
      <c r="J76" s="47"/>
      <c r="K76" s="47"/>
      <c r="L76" s="47"/>
      <c r="M76" s="47"/>
      <c r="N76" s="10"/>
      <c r="O76" s="47"/>
      <c r="P76" s="47"/>
      <c r="Q76" s="47"/>
      <c r="R76" s="48" t="str">
        <f aca="false">IF(Q76="","",IF(Q76=0,"below 5:00",IF(Q76&gt;=66,"16:00 or above",INT((60+2*Q76)/12)&amp;":"&amp;TEXT(MOD(60+2*Q76,12),"00"))))</f>
        <v/>
      </c>
      <c r="S76" s="47"/>
      <c r="T76" s="47"/>
      <c r="U76" s="47"/>
      <c r="V76" s="47"/>
      <c r="W76" s="47"/>
      <c r="X76" s="47"/>
      <c r="Y76" s="47"/>
      <c r="Z76" s="47"/>
      <c r="AA76" s="47"/>
      <c r="AB76" s="47"/>
      <c r="AC76" s="47"/>
      <c r="AD76" s="47"/>
      <c r="AE76" s="47"/>
      <c r="AF76" s="47"/>
      <c r="AG76" s="47"/>
      <c r="AH76" s="47"/>
      <c r="AI76" s="46"/>
      <c r="AJ76" s="46"/>
      <c r="AK76" s="46"/>
      <c r="AL76" s="7"/>
      <c r="AM76" s="49" t="str">
        <f aca="false">IF(OR(C76="",G76=""),"",IFERROR(DATEDIF(C76,G76,"m"),""))</f>
        <v/>
      </c>
      <c r="AN76" s="49" t="str">
        <f aca="false">IF(OR(Q76="",AM76=""),"",60+2*Q76-AM76)</f>
        <v/>
      </c>
      <c r="AO76" s="49" t="str">
        <f aca="false">IF(OR(G76="",AJ76=""),"",AJ76-G76)</f>
        <v/>
      </c>
      <c r="AP76" s="50" t="str">
        <f aca="false">IF(AND(A76="",B76=""),"",IF(J76="","Status needed",IF(OR(J76="Applied",J76="Visit booked",J76="Withdrawn"),"OK",IF(G76="","Date assessed needed",IF(C76="","Date of birth needed",IF(COUNTA(L76,M76,P76,U76,V76,X76,AB76)&lt;7,"Band missing",IF(AND(OR(J76="Decision confirmed",J76="Family told",J76="Enrolled"),AG76=""),"Recommendation needed",IF(AND(OR(J76="Family told",J76="Enrolled"),AJ76=""),"Date family told needed","OK"))))))))</f>
        <v/>
      </c>
    </row>
    <row r="77" customFormat="false" ht="15" hidden="false" customHeight="false" outlineLevel="0" collapsed="false">
      <c r="A77" s="7"/>
      <c r="B77" s="7"/>
      <c r="C77" s="46"/>
      <c r="D77" s="7"/>
      <c r="E77" s="47"/>
      <c r="F77" s="46"/>
      <c r="G77" s="46"/>
      <c r="H77" s="7"/>
      <c r="I77" s="7"/>
      <c r="J77" s="47"/>
      <c r="K77" s="47"/>
      <c r="L77" s="47"/>
      <c r="M77" s="47"/>
      <c r="N77" s="10"/>
      <c r="O77" s="47"/>
      <c r="P77" s="47"/>
      <c r="Q77" s="47"/>
      <c r="R77" s="48" t="str">
        <f aca="false">IF(Q77="","",IF(Q77=0,"below 5:00",IF(Q77&gt;=66,"16:00 or above",INT((60+2*Q77)/12)&amp;":"&amp;TEXT(MOD(60+2*Q77,12),"00"))))</f>
        <v/>
      </c>
      <c r="S77" s="47"/>
      <c r="T77" s="47"/>
      <c r="U77" s="47"/>
      <c r="V77" s="47"/>
      <c r="W77" s="47"/>
      <c r="X77" s="47"/>
      <c r="Y77" s="47"/>
      <c r="Z77" s="47"/>
      <c r="AA77" s="47"/>
      <c r="AB77" s="47"/>
      <c r="AC77" s="47"/>
      <c r="AD77" s="47"/>
      <c r="AE77" s="47"/>
      <c r="AF77" s="47"/>
      <c r="AG77" s="47"/>
      <c r="AH77" s="47"/>
      <c r="AI77" s="46"/>
      <c r="AJ77" s="46"/>
      <c r="AK77" s="46"/>
      <c r="AL77" s="7"/>
      <c r="AM77" s="49" t="str">
        <f aca="false">IF(OR(C77="",G77=""),"",IFERROR(DATEDIF(C77,G77,"m"),""))</f>
        <v/>
      </c>
      <c r="AN77" s="49" t="str">
        <f aca="false">IF(OR(Q77="",AM77=""),"",60+2*Q77-AM77)</f>
        <v/>
      </c>
      <c r="AO77" s="49" t="str">
        <f aca="false">IF(OR(G77="",AJ77=""),"",AJ77-G77)</f>
        <v/>
      </c>
      <c r="AP77" s="50" t="str">
        <f aca="false">IF(AND(A77="",B77=""),"",IF(J77="","Status needed",IF(OR(J77="Applied",J77="Visit booked",J77="Withdrawn"),"OK",IF(G77="","Date assessed needed",IF(C77="","Date of birth needed",IF(COUNTA(L77,M77,P77,U77,V77,X77,AB77)&lt;7,"Band missing",IF(AND(OR(J77="Decision confirmed",J77="Family told",J77="Enrolled"),AG77=""),"Recommendation needed",IF(AND(OR(J77="Family told",J77="Enrolled"),AJ77=""),"Date family told needed","OK"))))))))</f>
        <v/>
      </c>
    </row>
    <row r="78" customFormat="false" ht="15" hidden="false" customHeight="false" outlineLevel="0" collapsed="false">
      <c r="A78" s="7"/>
      <c r="B78" s="7"/>
      <c r="C78" s="46"/>
      <c r="D78" s="7"/>
      <c r="E78" s="47"/>
      <c r="F78" s="46"/>
      <c r="G78" s="46"/>
      <c r="H78" s="7"/>
      <c r="I78" s="7"/>
      <c r="J78" s="47"/>
      <c r="K78" s="47"/>
      <c r="L78" s="47"/>
      <c r="M78" s="47"/>
      <c r="N78" s="10"/>
      <c r="O78" s="47"/>
      <c r="P78" s="47"/>
      <c r="Q78" s="47"/>
      <c r="R78" s="48" t="str">
        <f aca="false">IF(Q78="","",IF(Q78=0,"below 5:00",IF(Q78&gt;=66,"16:00 or above",INT((60+2*Q78)/12)&amp;":"&amp;TEXT(MOD(60+2*Q78,12),"00"))))</f>
        <v/>
      </c>
      <c r="S78" s="47"/>
      <c r="T78" s="47"/>
      <c r="U78" s="47"/>
      <c r="V78" s="47"/>
      <c r="W78" s="47"/>
      <c r="X78" s="47"/>
      <c r="Y78" s="47"/>
      <c r="Z78" s="47"/>
      <c r="AA78" s="47"/>
      <c r="AB78" s="47"/>
      <c r="AC78" s="47"/>
      <c r="AD78" s="47"/>
      <c r="AE78" s="47"/>
      <c r="AF78" s="47"/>
      <c r="AG78" s="47"/>
      <c r="AH78" s="47"/>
      <c r="AI78" s="46"/>
      <c r="AJ78" s="46"/>
      <c r="AK78" s="46"/>
      <c r="AL78" s="7"/>
      <c r="AM78" s="49" t="str">
        <f aca="false">IF(OR(C78="",G78=""),"",IFERROR(DATEDIF(C78,G78,"m"),""))</f>
        <v/>
      </c>
      <c r="AN78" s="49" t="str">
        <f aca="false">IF(OR(Q78="",AM78=""),"",60+2*Q78-AM78)</f>
        <v/>
      </c>
      <c r="AO78" s="49" t="str">
        <f aca="false">IF(OR(G78="",AJ78=""),"",AJ78-G78)</f>
        <v/>
      </c>
      <c r="AP78" s="50" t="str">
        <f aca="false">IF(AND(A78="",B78=""),"",IF(J78="","Status needed",IF(OR(J78="Applied",J78="Visit booked",J78="Withdrawn"),"OK",IF(G78="","Date assessed needed",IF(C78="","Date of birth needed",IF(COUNTA(L78,M78,P78,U78,V78,X78,AB78)&lt;7,"Band missing",IF(AND(OR(J78="Decision confirmed",J78="Family told",J78="Enrolled"),AG78=""),"Recommendation needed",IF(AND(OR(J78="Family told",J78="Enrolled"),AJ78=""),"Date family told needed","OK"))))))))</f>
        <v/>
      </c>
    </row>
    <row r="79" customFormat="false" ht="15" hidden="false" customHeight="false" outlineLevel="0" collapsed="false">
      <c r="A79" s="7"/>
      <c r="B79" s="7"/>
      <c r="C79" s="46"/>
      <c r="D79" s="7"/>
      <c r="E79" s="47"/>
      <c r="F79" s="46"/>
      <c r="G79" s="46"/>
      <c r="H79" s="7"/>
      <c r="I79" s="7"/>
      <c r="J79" s="47"/>
      <c r="K79" s="47"/>
      <c r="L79" s="47"/>
      <c r="M79" s="47"/>
      <c r="N79" s="10"/>
      <c r="O79" s="47"/>
      <c r="P79" s="47"/>
      <c r="Q79" s="47"/>
      <c r="R79" s="48" t="str">
        <f aca="false">IF(Q79="","",IF(Q79=0,"below 5:00",IF(Q79&gt;=66,"16:00 or above",INT((60+2*Q79)/12)&amp;":"&amp;TEXT(MOD(60+2*Q79,12),"00"))))</f>
        <v/>
      </c>
      <c r="S79" s="47"/>
      <c r="T79" s="47"/>
      <c r="U79" s="47"/>
      <c r="V79" s="47"/>
      <c r="W79" s="47"/>
      <c r="X79" s="47"/>
      <c r="Y79" s="47"/>
      <c r="Z79" s="47"/>
      <c r="AA79" s="47"/>
      <c r="AB79" s="47"/>
      <c r="AC79" s="47"/>
      <c r="AD79" s="47"/>
      <c r="AE79" s="47"/>
      <c r="AF79" s="47"/>
      <c r="AG79" s="47"/>
      <c r="AH79" s="47"/>
      <c r="AI79" s="46"/>
      <c r="AJ79" s="46"/>
      <c r="AK79" s="46"/>
      <c r="AL79" s="7"/>
      <c r="AM79" s="49" t="str">
        <f aca="false">IF(OR(C79="",G79=""),"",IFERROR(DATEDIF(C79,G79,"m"),""))</f>
        <v/>
      </c>
      <c r="AN79" s="49" t="str">
        <f aca="false">IF(OR(Q79="",AM79=""),"",60+2*Q79-AM79)</f>
        <v/>
      </c>
      <c r="AO79" s="49" t="str">
        <f aca="false">IF(OR(G79="",AJ79=""),"",AJ79-G79)</f>
        <v/>
      </c>
      <c r="AP79" s="50" t="str">
        <f aca="false">IF(AND(A79="",B79=""),"",IF(J79="","Status needed",IF(OR(J79="Applied",J79="Visit booked",J79="Withdrawn"),"OK",IF(G79="","Date assessed needed",IF(C79="","Date of birth needed",IF(COUNTA(L79,M79,P79,U79,V79,X79,AB79)&lt;7,"Band missing",IF(AND(OR(J79="Decision confirmed",J79="Family told",J79="Enrolled"),AG79=""),"Recommendation needed",IF(AND(OR(J79="Family told",J79="Enrolled"),AJ79=""),"Date family told needed","OK"))))))))</f>
        <v/>
      </c>
    </row>
    <row r="80" customFormat="false" ht="15" hidden="false" customHeight="false" outlineLevel="0" collapsed="false">
      <c r="A80" s="7"/>
      <c r="B80" s="7"/>
      <c r="C80" s="46"/>
      <c r="D80" s="7"/>
      <c r="E80" s="47"/>
      <c r="F80" s="46"/>
      <c r="G80" s="46"/>
      <c r="H80" s="7"/>
      <c r="I80" s="7"/>
      <c r="J80" s="47"/>
      <c r="K80" s="47"/>
      <c r="L80" s="47"/>
      <c r="M80" s="47"/>
      <c r="N80" s="10"/>
      <c r="O80" s="47"/>
      <c r="P80" s="47"/>
      <c r="Q80" s="47"/>
      <c r="R80" s="48" t="str">
        <f aca="false">IF(Q80="","",IF(Q80=0,"below 5:00",IF(Q80&gt;=66,"16:00 or above",INT((60+2*Q80)/12)&amp;":"&amp;TEXT(MOD(60+2*Q80,12),"00"))))</f>
        <v/>
      </c>
      <c r="S80" s="47"/>
      <c r="T80" s="47"/>
      <c r="U80" s="47"/>
      <c r="V80" s="47"/>
      <c r="W80" s="47"/>
      <c r="X80" s="47"/>
      <c r="Y80" s="47"/>
      <c r="Z80" s="47"/>
      <c r="AA80" s="47"/>
      <c r="AB80" s="47"/>
      <c r="AC80" s="47"/>
      <c r="AD80" s="47"/>
      <c r="AE80" s="47"/>
      <c r="AF80" s="47"/>
      <c r="AG80" s="47"/>
      <c r="AH80" s="47"/>
      <c r="AI80" s="46"/>
      <c r="AJ80" s="46"/>
      <c r="AK80" s="46"/>
      <c r="AL80" s="7"/>
      <c r="AM80" s="49" t="str">
        <f aca="false">IF(OR(C80="",G80=""),"",IFERROR(DATEDIF(C80,G80,"m"),""))</f>
        <v/>
      </c>
      <c r="AN80" s="49" t="str">
        <f aca="false">IF(OR(Q80="",AM80=""),"",60+2*Q80-AM80)</f>
        <v/>
      </c>
      <c r="AO80" s="49" t="str">
        <f aca="false">IF(OR(G80="",AJ80=""),"",AJ80-G80)</f>
        <v/>
      </c>
      <c r="AP80" s="50" t="str">
        <f aca="false">IF(AND(A80="",B80=""),"",IF(J80="","Status needed",IF(OR(J80="Applied",J80="Visit booked",J80="Withdrawn"),"OK",IF(G80="","Date assessed needed",IF(C80="","Date of birth needed",IF(COUNTA(L80,M80,P80,U80,V80,X80,AB80)&lt;7,"Band missing",IF(AND(OR(J80="Decision confirmed",J80="Family told",J80="Enrolled"),AG80=""),"Recommendation needed",IF(AND(OR(J80="Family told",J80="Enrolled"),AJ80=""),"Date family told needed","OK"))))))))</f>
        <v/>
      </c>
    </row>
    <row r="81" customFormat="false" ht="15" hidden="false" customHeight="false" outlineLevel="0" collapsed="false">
      <c r="A81" s="7"/>
      <c r="B81" s="7"/>
      <c r="C81" s="46"/>
      <c r="D81" s="7"/>
      <c r="E81" s="47"/>
      <c r="F81" s="46"/>
      <c r="G81" s="46"/>
      <c r="H81" s="7"/>
      <c r="I81" s="7"/>
      <c r="J81" s="47"/>
      <c r="K81" s="47"/>
      <c r="L81" s="47"/>
      <c r="M81" s="47"/>
      <c r="N81" s="10"/>
      <c r="O81" s="47"/>
      <c r="P81" s="47"/>
      <c r="Q81" s="47"/>
      <c r="R81" s="48" t="str">
        <f aca="false">IF(Q81="","",IF(Q81=0,"below 5:00",IF(Q81&gt;=66,"16:00 or above",INT((60+2*Q81)/12)&amp;":"&amp;TEXT(MOD(60+2*Q81,12),"00"))))</f>
        <v/>
      </c>
      <c r="S81" s="47"/>
      <c r="T81" s="47"/>
      <c r="U81" s="47"/>
      <c r="V81" s="47"/>
      <c r="W81" s="47"/>
      <c r="X81" s="47"/>
      <c r="Y81" s="47"/>
      <c r="Z81" s="47"/>
      <c r="AA81" s="47"/>
      <c r="AB81" s="47"/>
      <c r="AC81" s="47"/>
      <c r="AD81" s="47"/>
      <c r="AE81" s="47"/>
      <c r="AF81" s="47"/>
      <c r="AG81" s="47"/>
      <c r="AH81" s="47"/>
      <c r="AI81" s="46"/>
      <c r="AJ81" s="46"/>
      <c r="AK81" s="46"/>
      <c r="AL81" s="7"/>
      <c r="AM81" s="49" t="str">
        <f aca="false">IF(OR(C81="",G81=""),"",IFERROR(DATEDIF(C81,G81,"m"),""))</f>
        <v/>
      </c>
      <c r="AN81" s="49" t="str">
        <f aca="false">IF(OR(Q81="",AM81=""),"",60+2*Q81-AM81)</f>
        <v/>
      </c>
      <c r="AO81" s="49" t="str">
        <f aca="false">IF(OR(G81="",AJ81=""),"",AJ81-G81)</f>
        <v/>
      </c>
      <c r="AP81" s="50" t="str">
        <f aca="false">IF(AND(A81="",B81=""),"",IF(J81="","Status needed",IF(OR(J81="Applied",J81="Visit booked",J81="Withdrawn"),"OK",IF(G81="","Date assessed needed",IF(C81="","Date of birth needed",IF(COUNTA(L81,M81,P81,U81,V81,X81,AB81)&lt;7,"Band missing",IF(AND(OR(J81="Decision confirmed",J81="Family told",J81="Enrolled"),AG81=""),"Recommendation needed",IF(AND(OR(J81="Family told",J81="Enrolled"),AJ81=""),"Date family told needed","OK"))))))))</f>
        <v/>
      </c>
    </row>
    <row r="82" customFormat="false" ht="15" hidden="false" customHeight="false" outlineLevel="0" collapsed="false">
      <c r="A82" s="7"/>
      <c r="B82" s="7"/>
      <c r="C82" s="46"/>
      <c r="D82" s="7"/>
      <c r="E82" s="47"/>
      <c r="F82" s="46"/>
      <c r="G82" s="46"/>
      <c r="H82" s="7"/>
      <c r="I82" s="7"/>
      <c r="J82" s="47"/>
      <c r="K82" s="47"/>
      <c r="L82" s="47"/>
      <c r="M82" s="47"/>
      <c r="N82" s="10"/>
      <c r="O82" s="47"/>
      <c r="P82" s="47"/>
      <c r="Q82" s="47"/>
      <c r="R82" s="48" t="str">
        <f aca="false">IF(Q82="","",IF(Q82=0,"below 5:00",IF(Q82&gt;=66,"16:00 or above",INT((60+2*Q82)/12)&amp;":"&amp;TEXT(MOD(60+2*Q82,12),"00"))))</f>
        <v/>
      </c>
      <c r="S82" s="47"/>
      <c r="T82" s="47"/>
      <c r="U82" s="47"/>
      <c r="V82" s="47"/>
      <c r="W82" s="47"/>
      <c r="X82" s="47"/>
      <c r="Y82" s="47"/>
      <c r="Z82" s="47"/>
      <c r="AA82" s="47"/>
      <c r="AB82" s="47"/>
      <c r="AC82" s="47"/>
      <c r="AD82" s="47"/>
      <c r="AE82" s="47"/>
      <c r="AF82" s="47"/>
      <c r="AG82" s="47"/>
      <c r="AH82" s="47"/>
      <c r="AI82" s="46"/>
      <c r="AJ82" s="46"/>
      <c r="AK82" s="46"/>
      <c r="AL82" s="7"/>
      <c r="AM82" s="49" t="str">
        <f aca="false">IF(OR(C82="",G82=""),"",IFERROR(DATEDIF(C82,G82,"m"),""))</f>
        <v/>
      </c>
      <c r="AN82" s="49" t="str">
        <f aca="false">IF(OR(Q82="",AM82=""),"",60+2*Q82-AM82)</f>
        <v/>
      </c>
      <c r="AO82" s="49" t="str">
        <f aca="false">IF(OR(G82="",AJ82=""),"",AJ82-G82)</f>
        <v/>
      </c>
      <c r="AP82" s="50" t="str">
        <f aca="false">IF(AND(A82="",B82=""),"",IF(J82="","Status needed",IF(OR(J82="Applied",J82="Visit booked",J82="Withdrawn"),"OK",IF(G82="","Date assessed needed",IF(C82="","Date of birth needed",IF(COUNTA(L82,M82,P82,U82,V82,X82,AB82)&lt;7,"Band missing",IF(AND(OR(J82="Decision confirmed",J82="Family told",J82="Enrolled"),AG82=""),"Recommendation needed",IF(AND(OR(J82="Family told",J82="Enrolled"),AJ82=""),"Date family told needed","OK"))))))))</f>
        <v/>
      </c>
    </row>
    <row r="83" customFormat="false" ht="15" hidden="false" customHeight="false" outlineLevel="0" collapsed="false">
      <c r="A83" s="7"/>
      <c r="B83" s="7"/>
      <c r="C83" s="46"/>
      <c r="D83" s="7"/>
      <c r="E83" s="47"/>
      <c r="F83" s="46"/>
      <c r="G83" s="46"/>
      <c r="H83" s="7"/>
      <c r="I83" s="7"/>
      <c r="J83" s="47"/>
      <c r="K83" s="47"/>
      <c r="L83" s="47"/>
      <c r="M83" s="47"/>
      <c r="N83" s="10"/>
      <c r="O83" s="47"/>
      <c r="P83" s="47"/>
      <c r="Q83" s="47"/>
      <c r="R83" s="48" t="str">
        <f aca="false">IF(Q83="","",IF(Q83=0,"below 5:00",IF(Q83&gt;=66,"16:00 or above",INT((60+2*Q83)/12)&amp;":"&amp;TEXT(MOD(60+2*Q83,12),"00"))))</f>
        <v/>
      </c>
      <c r="S83" s="47"/>
      <c r="T83" s="47"/>
      <c r="U83" s="47"/>
      <c r="V83" s="47"/>
      <c r="W83" s="47"/>
      <c r="X83" s="47"/>
      <c r="Y83" s="47"/>
      <c r="Z83" s="47"/>
      <c r="AA83" s="47"/>
      <c r="AB83" s="47"/>
      <c r="AC83" s="47"/>
      <c r="AD83" s="47"/>
      <c r="AE83" s="47"/>
      <c r="AF83" s="47"/>
      <c r="AG83" s="47"/>
      <c r="AH83" s="47"/>
      <c r="AI83" s="46"/>
      <c r="AJ83" s="46"/>
      <c r="AK83" s="46"/>
      <c r="AL83" s="7"/>
      <c r="AM83" s="49" t="str">
        <f aca="false">IF(OR(C83="",G83=""),"",IFERROR(DATEDIF(C83,G83,"m"),""))</f>
        <v/>
      </c>
      <c r="AN83" s="49" t="str">
        <f aca="false">IF(OR(Q83="",AM83=""),"",60+2*Q83-AM83)</f>
        <v/>
      </c>
      <c r="AO83" s="49" t="str">
        <f aca="false">IF(OR(G83="",AJ83=""),"",AJ83-G83)</f>
        <v/>
      </c>
      <c r="AP83" s="50" t="str">
        <f aca="false">IF(AND(A83="",B83=""),"",IF(J83="","Status needed",IF(OR(J83="Applied",J83="Visit booked",J83="Withdrawn"),"OK",IF(G83="","Date assessed needed",IF(C83="","Date of birth needed",IF(COUNTA(L83,M83,P83,U83,V83,X83,AB83)&lt;7,"Band missing",IF(AND(OR(J83="Decision confirmed",J83="Family told",J83="Enrolled"),AG83=""),"Recommendation needed",IF(AND(OR(J83="Family told",J83="Enrolled"),AJ83=""),"Date family told needed","OK"))))))))</f>
        <v/>
      </c>
    </row>
    <row r="84" customFormat="false" ht="15" hidden="false" customHeight="false" outlineLevel="0" collapsed="false">
      <c r="A84" s="7"/>
      <c r="B84" s="7"/>
      <c r="C84" s="46"/>
      <c r="D84" s="7"/>
      <c r="E84" s="47"/>
      <c r="F84" s="46"/>
      <c r="G84" s="46"/>
      <c r="H84" s="7"/>
      <c r="I84" s="7"/>
      <c r="J84" s="47"/>
      <c r="K84" s="47"/>
      <c r="L84" s="47"/>
      <c r="M84" s="47"/>
      <c r="N84" s="10"/>
      <c r="O84" s="47"/>
      <c r="P84" s="47"/>
      <c r="Q84" s="47"/>
      <c r="R84" s="48" t="str">
        <f aca="false">IF(Q84="","",IF(Q84=0,"below 5:00",IF(Q84&gt;=66,"16:00 or above",INT((60+2*Q84)/12)&amp;":"&amp;TEXT(MOD(60+2*Q84,12),"00"))))</f>
        <v/>
      </c>
      <c r="S84" s="47"/>
      <c r="T84" s="47"/>
      <c r="U84" s="47"/>
      <c r="V84" s="47"/>
      <c r="W84" s="47"/>
      <c r="X84" s="47"/>
      <c r="Y84" s="47"/>
      <c r="Z84" s="47"/>
      <c r="AA84" s="47"/>
      <c r="AB84" s="47"/>
      <c r="AC84" s="47"/>
      <c r="AD84" s="47"/>
      <c r="AE84" s="47"/>
      <c r="AF84" s="47"/>
      <c r="AG84" s="47"/>
      <c r="AH84" s="47"/>
      <c r="AI84" s="46"/>
      <c r="AJ84" s="46"/>
      <c r="AK84" s="46"/>
      <c r="AL84" s="7"/>
      <c r="AM84" s="49" t="str">
        <f aca="false">IF(OR(C84="",G84=""),"",IFERROR(DATEDIF(C84,G84,"m"),""))</f>
        <v/>
      </c>
      <c r="AN84" s="49" t="str">
        <f aca="false">IF(OR(Q84="",AM84=""),"",60+2*Q84-AM84)</f>
        <v/>
      </c>
      <c r="AO84" s="49" t="str">
        <f aca="false">IF(OR(G84="",AJ84=""),"",AJ84-G84)</f>
        <v/>
      </c>
      <c r="AP84" s="50" t="str">
        <f aca="false">IF(AND(A84="",B84=""),"",IF(J84="","Status needed",IF(OR(J84="Applied",J84="Visit booked",J84="Withdrawn"),"OK",IF(G84="","Date assessed needed",IF(C84="","Date of birth needed",IF(COUNTA(L84,M84,P84,U84,V84,X84,AB84)&lt;7,"Band missing",IF(AND(OR(J84="Decision confirmed",J84="Family told",J84="Enrolled"),AG84=""),"Recommendation needed",IF(AND(OR(J84="Family told",J84="Enrolled"),AJ84=""),"Date family told needed","OK"))))))))</f>
        <v/>
      </c>
    </row>
    <row r="85" customFormat="false" ht="15" hidden="false" customHeight="false" outlineLevel="0" collapsed="false">
      <c r="A85" s="7"/>
      <c r="B85" s="7"/>
      <c r="C85" s="46"/>
      <c r="D85" s="7"/>
      <c r="E85" s="47"/>
      <c r="F85" s="46"/>
      <c r="G85" s="46"/>
      <c r="H85" s="7"/>
      <c r="I85" s="7"/>
      <c r="J85" s="47"/>
      <c r="K85" s="47"/>
      <c r="L85" s="47"/>
      <c r="M85" s="47"/>
      <c r="N85" s="10"/>
      <c r="O85" s="47"/>
      <c r="P85" s="47"/>
      <c r="Q85" s="47"/>
      <c r="R85" s="48" t="str">
        <f aca="false">IF(Q85="","",IF(Q85=0,"below 5:00",IF(Q85&gt;=66,"16:00 or above",INT((60+2*Q85)/12)&amp;":"&amp;TEXT(MOD(60+2*Q85,12),"00"))))</f>
        <v/>
      </c>
      <c r="S85" s="47"/>
      <c r="T85" s="47"/>
      <c r="U85" s="47"/>
      <c r="V85" s="47"/>
      <c r="W85" s="47"/>
      <c r="X85" s="47"/>
      <c r="Y85" s="47"/>
      <c r="Z85" s="47"/>
      <c r="AA85" s="47"/>
      <c r="AB85" s="47"/>
      <c r="AC85" s="47"/>
      <c r="AD85" s="47"/>
      <c r="AE85" s="47"/>
      <c r="AF85" s="47"/>
      <c r="AG85" s="47"/>
      <c r="AH85" s="47"/>
      <c r="AI85" s="46"/>
      <c r="AJ85" s="46"/>
      <c r="AK85" s="46"/>
      <c r="AL85" s="7"/>
      <c r="AM85" s="49" t="str">
        <f aca="false">IF(OR(C85="",G85=""),"",IFERROR(DATEDIF(C85,G85,"m"),""))</f>
        <v/>
      </c>
      <c r="AN85" s="49" t="str">
        <f aca="false">IF(OR(Q85="",AM85=""),"",60+2*Q85-AM85)</f>
        <v/>
      </c>
      <c r="AO85" s="49" t="str">
        <f aca="false">IF(OR(G85="",AJ85=""),"",AJ85-G85)</f>
        <v/>
      </c>
      <c r="AP85" s="50" t="str">
        <f aca="false">IF(AND(A85="",B85=""),"",IF(J85="","Status needed",IF(OR(J85="Applied",J85="Visit booked",J85="Withdrawn"),"OK",IF(G85="","Date assessed needed",IF(C85="","Date of birth needed",IF(COUNTA(L85,M85,P85,U85,V85,X85,AB85)&lt;7,"Band missing",IF(AND(OR(J85="Decision confirmed",J85="Family told",J85="Enrolled"),AG85=""),"Recommendation needed",IF(AND(OR(J85="Family told",J85="Enrolled"),AJ85=""),"Date family told needed","OK"))))))))</f>
        <v/>
      </c>
    </row>
    <row r="86" customFormat="false" ht="15" hidden="false" customHeight="false" outlineLevel="0" collapsed="false">
      <c r="A86" s="7"/>
      <c r="B86" s="7"/>
      <c r="C86" s="46"/>
      <c r="D86" s="7"/>
      <c r="E86" s="47"/>
      <c r="F86" s="46"/>
      <c r="G86" s="46"/>
      <c r="H86" s="7"/>
      <c r="I86" s="7"/>
      <c r="J86" s="47"/>
      <c r="K86" s="47"/>
      <c r="L86" s="47"/>
      <c r="M86" s="47"/>
      <c r="N86" s="10"/>
      <c r="O86" s="47"/>
      <c r="P86" s="47"/>
      <c r="Q86" s="47"/>
      <c r="R86" s="48" t="str">
        <f aca="false">IF(Q86="","",IF(Q86=0,"below 5:00",IF(Q86&gt;=66,"16:00 or above",INT((60+2*Q86)/12)&amp;":"&amp;TEXT(MOD(60+2*Q86,12),"00"))))</f>
        <v/>
      </c>
      <c r="S86" s="47"/>
      <c r="T86" s="47"/>
      <c r="U86" s="47"/>
      <c r="V86" s="47"/>
      <c r="W86" s="47"/>
      <c r="X86" s="47"/>
      <c r="Y86" s="47"/>
      <c r="Z86" s="47"/>
      <c r="AA86" s="47"/>
      <c r="AB86" s="47"/>
      <c r="AC86" s="47"/>
      <c r="AD86" s="47"/>
      <c r="AE86" s="47"/>
      <c r="AF86" s="47"/>
      <c r="AG86" s="47"/>
      <c r="AH86" s="47"/>
      <c r="AI86" s="46"/>
      <c r="AJ86" s="46"/>
      <c r="AK86" s="46"/>
      <c r="AL86" s="7"/>
      <c r="AM86" s="49" t="str">
        <f aca="false">IF(OR(C86="",G86=""),"",IFERROR(DATEDIF(C86,G86,"m"),""))</f>
        <v/>
      </c>
      <c r="AN86" s="49" t="str">
        <f aca="false">IF(OR(Q86="",AM86=""),"",60+2*Q86-AM86)</f>
        <v/>
      </c>
      <c r="AO86" s="49" t="str">
        <f aca="false">IF(OR(G86="",AJ86=""),"",AJ86-G86)</f>
        <v/>
      </c>
      <c r="AP86" s="50" t="str">
        <f aca="false">IF(AND(A86="",B86=""),"",IF(J86="","Status needed",IF(OR(J86="Applied",J86="Visit booked",J86="Withdrawn"),"OK",IF(G86="","Date assessed needed",IF(C86="","Date of birth needed",IF(COUNTA(L86,M86,P86,U86,V86,X86,AB86)&lt;7,"Band missing",IF(AND(OR(J86="Decision confirmed",J86="Family told",J86="Enrolled"),AG86=""),"Recommendation needed",IF(AND(OR(J86="Family told",J86="Enrolled"),AJ86=""),"Date family told needed","OK"))))))))</f>
        <v/>
      </c>
    </row>
    <row r="87" customFormat="false" ht="15" hidden="false" customHeight="false" outlineLevel="0" collapsed="false">
      <c r="A87" s="7"/>
      <c r="B87" s="7"/>
      <c r="C87" s="46"/>
      <c r="D87" s="7"/>
      <c r="E87" s="47"/>
      <c r="F87" s="46"/>
      <c r="G87" s="46"/>
      <c r="H87" s="7"/>
      <c r="I87" s="7"/>
      <c r="J87" s="47"/>
      <c r="K87" s="47"/>
      <c r="L87" s="47"/>
      <c r="M87" s="47"/>
      <c r="N87" s="10"/>
      <c r="O87" s="47"/>
      <c r="P87" s="47"/>
      <c r="Q87" s="47"/>
      <c r="R87" s="48" t="str">
        <f aca="false">IF(Q87="","",IF(Q87=0,"below 5:00",IF(Q87&gt;=66,"16:00 or above",INT((60+2*Q87)/12)&amp;":"&amp;TEXT(MOD(60+2*Q87,12),"00"))))</f>
        <v/>
      </c>
      <c r="S87" s="47"/>
      <c r="T87" s="47"/>
      <c r="U87" s="47"/>
      <c r="V87" s="47"/>
      <c r="W87" s="47"/>
      <c r="X87" s="47"/>
      <c r="Y87" s="47"/>
      <c r="Z87" s="47"/>
      <c r="AA87" s="47"/>
      <c r="AB87" s="47"/>
      <c r="AC87" s="47"/>
      <c r="AD87" s="47"/>
      <c r="AE87" s="47"/>
      <c r="AF87" s="47"/>
      <c r="AG87" s="47"/>
      <c r="AH87" s="47"/>
      <c r="AI87" s="46"/>
      <c r="AJ87" s="46"/>
      <c r="AK87" s="46"/>
      <c r="AL87" s="7"/>
      <c r="AM87" s="49" t="str">
        <f aca="false">IF(OR(C87="",G87=""),"",IFERROR(DATEDIF(C87,G87,"m"),""))</f>
        <v/>
      </c>
      <c r="AN87" s="49" t="str">
        <f aca="false">IF(OR(Q87="",AM87=""),"",60+2*Q87-AM87)</f>
        <v/>
      </c>
      <c r="AO87" s="49" t="str">
        <f aca="false">IF(OR(G87="",AJ87=""),"",AJ87-G87)</f>
        <v/>
      </c>
      <c r="AP87" s="50" t="str">
        <f aca="false">IF(AND(A87="",B87=""),"",IF(J87="","Status needed",IF(OR(J87="Applied",J87="Visit booked",J87="Withdrawn"),"OK",IF(G87="","Date assessed needed",IF(C87="","Date of birth needed",IF(COUNTA(L87,M87,P87,U87,V87,X87,AB87)&lt;7,"Band missing",IF(AND(OR(J87="Decision confirmed",J87="Family told",J87="Enrolled"),AG87=""),"Recommendation needed",IF(AND(OR(J87="Family told",J87="Enrolled"),AJ87=""),"Date family told needed","OK"))))))))</f>
        <v/>
      </c>
    </row>
    <row r="88" customFormat="false" ht="15" hidden="false" customHeight="false" outlineLevel="0" collapsed="false">
      <c r="A88" s="7"/>
      <c r="B88" s="7"/>
      <c r="C88" s="46"/>
      <c r="D88" s="7"/>
      <c r="E88" s="47"/>
      <c r="F88" s="46"/>
      <c r="G88" s="46"/>
      <c r="H88" s="7"/>
      <c r="I88" s="7"/>
      <c r="J88" s="47"/>
      <c r="K88" s="47"/>
      <c r="L88" s="47"/>
      <c r="M88" s="47"/>
      <c r="N88" s="10"/>
      <c r="O88" s="47"/>
      <c r="P88" s="47"/>
      <c r="Q88" s="47"/>
      <c r="R88" s="48" t="str">
        <f aca="false">IF(Q88="","",IF(Q88=0,"below 5:00",IF(Q88&gt;=66,"16:00 or above",INT((60+2*Q88)/12)&amp;":"&amp;TEXT(MOD(60+2*Q88,12),"00"))))</f>
        <v/>
      </c>
      <c r="S88" s="47"/>
      <c r="T88" s="47"/>
      <c r="U88" s="47"/>
      <c r="V88" s="47"/>
      <c r="W88" s="47"/>
      <c r="X88" s="47"/>
      <c r="Y88" s="47"/>
      <c r="Z88" s="47"/>
      <c r="AA88" s="47"/>
      <c r="AB88" s="47"/>
      <c r="AC88" s="47"/>
      <c r="AD88" s="47"/>
      <c r="AE88" s="47"/>
      <c r="AF88" s="47"/>
      <c r="AG88" s="47"/>
      <c r="AH88" s="47"/>
      <c r="AI88" s="46"/>
      <c r="AJ88" s="46"/>
      <c r="AK88" s="46"/>
      <c r="AL88" s="7"/>
      <c r="AM88" s="49" t="str">
        <f aca="false">IF(OR(C88="",G88=""),"",IFERROR(DATEDIF(C88,G88,"m"),""))</f>
        <v/>
      </c>
      <c r="AN88" s="49" t="str">
        <f aca="false">IF(OR(Q88="",AM88=""),"",60+2*Q88-AM88)</f>
        <v/>
      </c>
      <c r="AO88" s="49" t="str">
        <f aca="false">IF(OR(G88="",AJ88=""),"",AJ88-G88)</f>
        <v/>
      </c>
      <c r="AP88" s="50" t="str">
        <f aca="false">IF(AND(A88="",B88=""),"",IF(J88="","Status needed",IF(OR(J88="Applied",J88="Visit booked",J88="Withdrawn"),"OK",IF(G88="","Date assessed needed",IF(C88="","Date of birth needed",IF(COUNTA(L88,M88,P88,U88,V88,X88,AB88)&lt;7,"Band missing",IF(AND(OR(J88="Decision confirmed",J88="Family told",J88="Enrolled"),AG88=""),"Recommendation needed",IF(AND(OR(J88="Family told",J88="Enrolled"),AJ88=""),"Date family told needed","OK"))))))))</f>
        <v/>
      </c>
    </row>
    <row r="89" customFormat="false" ht="15" hidden="false" customHeight="false" outlineLevel="0" collapsed="false">
      <c r="A89" s="7"/>
      <c r="B89" s="7"/>
      <c r="C89" s="46"/>
      <c r="D89" s="7"/>
      <c r="E89" s="47"/>
      <c r="F89" s="46"/>
      <c r="G89" s="46"/>
      <c r="H89" s="7"/>
      <c r="I89" s="7"/>
      <c r="J89" s="47"/>
      <c r="K89" s="47"/>
      <c r="L89" s="47"/>
      <c r="M89" s="47"/>
      <c r="N89" s="10"/>
      <c r="O89" s="47"/>
      <c r="P89" s="47"/>
      <c r="Q89" s="47"/>
      <c r="R89" s="48" t="str">
        <f aca="false">IF(Q89="","",IF(Q89=0,"below 5:00",IF(Q89&gt;=66,"16:00 or above",INT((60+2*Q89)/12)&amp;":"&amp;TEXT(MOD(60+2*Q89,12),"00"))))</f>
        <v/>
      </c>
      <c r="S89" s="47"/>
      <c r="T89" s="47"/>
      <c r="U89" s="47"/>
      <c r="V89" s="47"/>
      <c r="W89" s="47"/>
      <c r="X89" s="47"/>
      <c r="Y89" s="47"/>
      <c r="Z89" s="47"/>
      <c r="AA89" s="47"/>
      <c r="AB89" s="47"/>
      <c r="AC89" s="47"/>
      <c r="AD89" s="47"/>
      <c r="AE89" s="47"/>
      <c r="AF89" s="47"/>
      <c r="AG89" s="47"/>
      <c r="AH89" s="47"/>
      <c r="AI89" s="46"/>
      <c r="AJ89" s="46"/>
      <c r="AK89" s="46"/>
      <c r="AL89" s="7"/>
      <c r="AM89" s="49" t="str">
        <f aca="false">IF(OR(C89="",G89=""),"",IFERROR(DATEDIF(C89,G89,"m"),""))</f>
        <v/>
      </c>
      <c r="AN89" s="49" t="str">
        <f aca="false">IF(OR(Q89="",AM89=""),"",60+2*Q89-AM89)</f>
        <v/>
      </c>
      <c r="AO89" s="49" t="str">
        <f aca="false">IF(OR(G89="",AJ89=""),"",AJ89-G89)</f>
        <v/>
      </c>
      <c r="AP89" s="50" t="str">
        <f aca="false">IF(AND(A89="",B89=""),"",IF(J89="","Status needed",IF(OR(J89="Applied",J89="Visit booked",J89="Withdrawn"),"OK",IF(G89="","Date assessed needed",IF(C89="","Date of birth needed",IF(COUNTA(L89,M89,P89,U89,V89,X89,AB89)&lt;7,"Band missing",IF(AND(OR(J89="Decision confirmed",J89="Family told",J89="Enrolled"),AG89=""),"Recommendation needed",IF(AND(OR(J89="Family told",J89="Enrolled"),AJ89=""),"Date family told needed","OK"))))))))</f>
        <v/>
      </c>
    </row>
    <row r="90" customFormat="false" ht="15" hidden="false" customHeight="false" outlineLevel="0" collapsed="false">
      <c r="A90" s="7"/>
      <c r="B90" s="7"/>
      <c r="C90" s="46"/>
      <c r="D90" s="7"/>
      <c r="E90" s="47"/>
      <c r="F90" s="46"/>
      <c r="G90" s="46"/>
      <c r="H90" s="7"/>
      <c r="I90" s="7"/>
      <c r="J90" s="47"/>
      <c r="K90" s="47"/>
      <c r="L90" s="47"/>
      <c r="M90" s="47"/>
      <c r="N90" s="10"/>
      <c r="O90" s="47"/>
      <c r="P90" s="47"/>
      <c r="Q90" s="47"/>
      <c r="R90" s="48" t="str">
        <f aca="false">IF(Q90="","",IF(Q90=0,"below 5:00",IF(Q90&gt;=66,"16:00 or above",INT((60+2*Q90)/12)&amp;":"&amp;TEXT(MOD(60+2*Q90,12),"00"))))</f>
        <v/>
      </c>
      <c r="S90" s="47"/>
      <c r="T90" s="47"/>
      <c r="U90" s="47"/>
      <c r="V90" s="47"/>
      <c r="W90" s="47"/>
      <c r="X90" s="47"/>
      <c r="Y90" s="47"/>
      <c r="Z90" s="47"/>
      <c r="AA90" s="47"/>
      <c r="AB90" s="47"/>
      <c r="AC90" s="47"/>
      <c r="AD90" s="47"/>
      <c r="AE90" s="47"/>
      <c r="AF90" s="47"/>
      <c r="AG90" s="47"/>
      <c r="AH90" s="47"/>
      <c r="AI90" s="46"/>
      <c r="AJ90" s="46"/>
      <c r="AK90" s="46"/>
      <c r="AL90" s="7"/>
      <c r="AM90" s="49" t="str">
        <f aca="false">IF(OR(C90="",G90=""),"",IFERROR(DATEDIF(C90,G90,"m"),""))</f>
        <v/>
      </c>
      <c r="AN90" s="49" t="str">
        <f aca="false">IF(OR(Q90="",AM90=""),"",60+2*Q90-AM90)</f>
        <v/>
      </c>
      <c r="AO90" s="49" t="str">
        <f aca="false">IF(OR(G90="",AJ90=""),"",AJ90-G90)</f>
        <v/>
      </c>
      <c r="AP90" s="50" t="str">
        <f aca="false">IF(AND(A90="",B90=""),"",IF(J90="","Status needed",IF(OR(J90="Applied",J90="Visit booked",J90="Withdrawn"),"OK",IF(G90="","Date assessed needed",IF(C90="","Date of birth needed",IF(COUNTA(L90,M90,P90,U90,V90,X90,AB90)&lt;7,"Band missing",IF(AND(OR(J90="Decision confirmed",J90="Family told",J90="Enrolled"),AG90=""),"Recommendation needed",IF(AND(OR(J90="Family told",J90="Enrolled"),AJ90=""),"Date family told needed","OK"))))))))</f>
        <v/>
      </c>
    </row>
    <row r="91" customFormat="false" ht="15" hidden="false" customHeight="false" outlineLevel="0" collapsed="false">
      <c r="A91" s="7"/>
      <c r="B91" s="7"/>
      <c r="C91" s="46"/>
      <c r="D91" s="7"/>
      <c r="E91" s="47"/>
      <c r="F91" s="46"/>
      <c r="G91" s="46"/>
      <c r="H91" s="7"/>
      <c r="I91" s="7"/>
      <c r="J91" s="47"/>
      <c r="K91" s="47"/>
      <c r="L91" s="47"/>
      <c r="M91" s="47"/>
      <c r="N91" s="10"/>
      <c r="O91" s="47"/>
      <c r="P91" s="47"/>
      <c r="Q91" s="47"/>
      <c r="R91" s="48" t="str">
        <f aca="false">IF(Q91="","",IF(Q91=0,"below 5:00",IF(Q91&gt;=66,"16:00 or above",INT((60+2*Q91)/12)&amp;":"&amp;TEXT(MOD(60+2*Q91,12),"00"))))</f>
        <v/>
      </c>
      <c r="S91" s="47"/>
      <c r="T91" s="47"/>
      <c r="U91" s="47"/>
      <c r="V91" s="47"/>
      <c r="W91" s="47"/>
      <c r="X91" s="47"/>
      <c r="Y91" s="47"/>
      <c r="Z91" s="47"/>
      <c r="AA91" s="47"/>
      <c r="AB91" s="47"/>
      <c r="AC91" s="47"/>
      <c r="AD91" s="47"/>
      <c r="AE91" s="47"/>
      <c r="AF91" s="47"/>
      <c r="AG91" s="47"/>
      <c r="AH91" s="47"/>
      <c r="AI91" s="46"/>
      <c r="AJ91" s="46"/>
      <c r="AK91" s="46"/>
      <c r="AL91" s="7"/>
      <c r="AM91" s="49" t="str">
        <f aca="false">IF(OR(C91="",G91=""),"",IFERROR(DATEDIF(C91,G91,"m"),""))</f>
        <v/>
      </c>
      <c r="AN91" s="49" t="str">
        <f aca="false">IF(OR(Q91="",AM91=""),"",60+2*Q91-AM91)</f>
        <v/>
      </c>
      <c r="AO91" s="49" t="str">
        <f aca="false">IF(OR(G91="",AJ91=""),"",AJ91-G91)</f>
        <v/>
      </c>
      <c r="AP91" s="50" t="str">
        <f aca="false">IF(AND(A91="",B91=""),"",IF(J91="","Status needed",IF(OR(J91="Applied",J91="Visit booked",J91="Withdrawn"),"OK",IF(G91="","Date assessed needed",IF(C91="","Date of birth needed",IF(COUNTA(L91,M91,P91,U91,V91,X91,AB91)&lt;7,"Band missing",IF(AND(OR(J91="Decision confirmed",J91="Family told",J91="Enrolled"),AG91=""),"Recommendation needed",IF(AND(OR(J91="Family told",J91="Enrolled"),AJ91=""),"Date family told needed","OK"))))))))</f>
        <v/>
      </c>
    </row>
    <row r="92" customFormat="false" ht="15" hidden="false" customHeight="false" outlineLevel="0" collapsed="false">
      <c r="A92" s="7"/>
      <c r="B92" s="7"/>
      <c r="C92" s="46"/>
      <c r="D92" s="7"/>
      <c r="E92" s="47"/>
      <c r="F92" s="46"/>
      <c r="G92" s="46"/>
      <c r="H92" s="7"/>
      <c r="I92" s="7"/>
      <c r="J92" s="47"/>
      <c r="K92" s="47"/>
      <c r="L92" s="47"/>
      <c r="M92" s="47"/>
      <c r="N92" s="10"/>
      <c r="O92" s="47"/>
      <c r="P92" s="47"/>
      <c r="Q92" s="47"/>
      <c r="R92" s="48" t="str">
        <f aca="false">IF(Q92="","",IF(Q92=0,"below 5:00",IF(Q92&gt;=66,"16:00 or above",INT((60+2*Q92)/12)&amp;":"&amp;TEXT(MOD(60+2*Q92,12),"00"))))</f>
        <v/>
      </c>
      <c r="S92" s="47"/>
      <c r="T92" s="47"/>
      <c r="U92" s="47"/>
      <c r="V92" s="47"/>
      <c r="W92" s="47"/>
      <c r="X92" s="47"/>
      <c r="Y92" s="47"/>
      <c r="Z92" s="47"/>
      <c r="AA92" s="47"/>
      <c r="AB92" s="47"/>
      <c r="AC92" s="47"/>
      <c r="AD92" s="47"/>
      <c r="AE92" s="47"/>
      <c r="AF92" s="47"/>
      <c r="AG92" s="47"/>
      <c r="AH92" s="47"/>
      <c r="AI92" s="46"/>
      <c r="AJ92" s="46"/>
      <c r="AK92" s="46"/>
      <c r="AL92" s="7"/>
      <c r="AM92" s="49" t="str">
        <f aca="false">IF(OR(C92="",G92=""),"",IFERROR(DATEDIF(C92,G92,"m"),""))</f>
        <v/>
      </c>
      <c r="AN92" s="49" t="str">
        <f aca="false">IF(OR(Q92="",AM92=""),"",60+2*Q92-AM92)</f>
        <v/>
      </c>
      <c r="AO92" s="49" t="str">
        <f aca="false">IF(OR(G92="",AJ92=""),"",AJ92-G92)</f>
        <v/>
      </c>
      <c r="AP92" s="50" t="str">
        <f aca="false">IF(AND(A92="",B92=""),"",IF(J92="","Status needed",IF(OR(J92="Applied",J92="Visit booked",J92="Withdrawn"),"OK",IF(G92="","Date assessed needed",IF(C92="","Date of birth needed",IF(COUNTA(L92,M92,P92,U92,V92,X92,AB92)&lt;7,"Band missing",IF(AND(OR(J92="Decision confirmed",J92="Family told",J92="Enrolled"),AG92=""),"Recommendation needed",IF(AND(OR(J92="Family told",J92="Enrolled"),AJ92=""),"Date family told needed","OK"))))))))</f>
        <v/>
      </c>
    </row>
    <row r="93" customFormat="false" ht="15" hidden="false" customHeight="false" outlineLevel="0" collapsed="false">
      <c r="A93" s="7"/>
      <c r="B93" s="7"/>
      <c r="C93" s="46"/>
      <c r="D93" s="7"/>
      <c r="E93" s="47"/>
      <c r="F93" s="46"/>
      <c r="G93" s="46"/>
      <c r="H93" s="7"/>
      <c r="I93" s="7"/>
      <c r="J93" s="47"/>
      <c r="K93" s="47"/>
      <c r="L93" s="47"/>
      <c r="M93" s="47"/>
      <c r="N93" s="10"/>
      <c r="O93" s="47"/>
      <c r="P93" s="47"/>
      <c r="Q93" s="47"/>
      <c r="R93" s="48" t="str">
        <f aca="false">IF(Q93="","",IF(Q93=0,"below 5:00",IF(Q93&gt;=66,"16:00 or above",INT((60+2*Q93)/12)&amp;":"&amp;TEXT(MOD(60+2*Q93,12),"00"))))</f>
        <v/>
      </c>
      <c r="S93" s="47"/>
      <c r="T93" s="47"/>
      <c r="U93" s="47"/>
      <c r="V93" s="47"/>
      <c r="W93" s="47"/>
      <c r="X93" s="47"/>
      <c r="Y93" s="47"/>
      <c r="Z93" s="47"/>
      <c r="AA93" s="47"/>
      <c r="AB93" s="47"/>
      <c r="AC93" s="47"/>
      <c r="AD93" s="47"/>
      <c r="AE93" s="47"/>
      <c r="AF93" s="47"/>
      <c r="AG93" s="47"/>
      <c r="AH93" s="47"/>
      <c r="AI93" s="46"/>
      <c r="AJ93" s="46"/>
      <c r="AK93" s="46"/>
      <c r="AL93" s="7"/>
      <c r="AM93" s="49" t="str">
        <f aca="false">IF(OR(C93="",G93=""),"",IFERROR(DATEDIF(C93,G93,"m"),""))</f>
        <v/>
      </c>
      <c r="AN93" s="49" t="str">
        <f aca="false">IF(OR(Q93="",AM93=""),"",60+2*Q93-AM93)</f>
        <v/>
      </c>
      <c r="AO93" s="49" t="str">
        <f aca="false">IF(OR(G93="",AJ93=""),"",AJ93-G93)</f>
        <v/>
      </c>
      <c r="AP93" s="50" t="str">
        <f aca="false">IF(AND(A93="",B93=""),"",IF(J93="","Status needed",IF(OR(J93="Applied",J93="Visit booked",J93="Withdrawn"),"OK",IF(G93="","Date assessed needed",IF(C93="","Date of birth needed",IF(COUNTA(L93,M93,P93,U93,V93,X93,AB93)&lt;7,"Band missing",IF(AND(OR(J93="Decision confirmed",J93="Family told",J93="Enrolled"),AG93=""),"Recommendation needed",IF(AND(OR(J93="Family told",J93="Enrolled"),AJ93=""),"Date family told needed","OK"))))))))</f>
        <v/>
      </c>
    </row>
    <row r="94" customFormat="false" ht="15" hidden="false" customHeight="false" outlineLevel="0" collapsed="false">
      <c r="A94" s="7"/>
      <c r="B94" s="7"/>
      <c r="C94" s="46"/>
      <c r="D94" s="7"/>
      <c r="E94" s="47"/>
      <c r="F94" s="46"/>
      <c r="G94" s="46"/>
      <c r="H94" s="7"/>
      <c r="I94" s="7"/>
      <c r="J94" s="47"/>
      <c r="K94" s="47"/>
      <c r="L94" s="47"/>
      <c r="M94" s="47"/>
      <c r="N94" s="10"/>
      <c r="O94" s="47"/>
      <c r="P94" s="47"/>
      <c r="Q94" s="47"/>
      <c r="R94" s="48" t="str">
        <f aca="false">IF(Q94="","",IF(Q94=0,"below 5:00",IF(Q94&gt;=66,"16:00 or above",INT((60+2*Q94)/12)&amp;":"&amp;TEXT(MOD(60+2*Q94,12),"00"))))</f>
        <v/>
      </c>
      <c r="S94" s="47"/>
      <c r="T94" s="47"/>
      <c r="U94" s="47"/>
      <c r="V94" s="47"/>
      <c r="W94" s="47"/>
      <c r="X94" s="47"/>
      <c r="Y94" s="47"/>
      <c r="Z94" s="47"/>
      <c r="AA94" s="47"/>
      <c r="AB94" s="47"/>
      <c r="AC94" s="47"/>
      <c r="AD94" s="47"/>
      <c r="AE94" s="47"/>
      <c r="AF94" s="47"/>
      <c r="AG94" s="47"/>
      <c r="AH94" s="47"/>
      <c r="AI94" s="46"/>
      <c r="AJ94" s="46"/>
      <c r="AK94" s="46"/>
      <c r="AL94" s="7"/>
      <c r="AM94" s="49" t="str">
        <f aca="false">IF(OR(C94="",G94=""),"",IFERROR(DATEDIF(C94,G94,"m"),""))</f>
        <v/>
      </c>
      <c r="AN94" s="49" t="str">
        <f aca="false">IF(OR(Q94="",AM94=""),"",60+2*Q94-AM94)</f>
        <v/>
      </c>
      <c r="AO94" s="49" t="str">
        <f aca="false">IF(OR(G94="",AJ94=""),"",AJ94-G94)</f>
        <v/>
      </c>
      <c r="AP94" s="50" t="str">
        <f aca="false">IF(AND(A94="",B94=""),"",IF(J94="","Status needed",IF(OR(J94="Applied",J94="Visit booked",J94="Withdrawn"),"OK",IF(G94="","Date assessed needed",IF(C94="","Date of birth needed",IF(COUNTA(L94,M94,P94,U94,V94,X94,AB94)&lt;7,"Band missing",IF(AND(OR(J94="Decision confirmed",J94="Family told",J94="Enrolled"),AG94=""),"Recommendation needed",IF(AND(OR(J94="Family told",J94="Enrolled"),AJ94=""),"Date family told needed","OK"))))))))</f>
        <v/>
      </c>
    </row>
    <row r="95" customFormat="false" ht="15" hidden="false" customHeight="false" outlineLevel="0" collapsed="false">
      <c r="A95" s="7"/>
      <c r="B95" s="7"/>
      <c r="C95" s="46"/>
      <c r="D95" s="7"/>
      <c r="E95" s="47"/>
      <c r="F95" s="46"/>
      <c r="G95" s="46"/>
      <c r="H95" s="7"/>
      <c r="I95" s="7"/>
      <c r="J95" s="47"/>
      <c r="K95" s="47"/>
      <c r="L95" s="47"/>
      <c r="M95" s="47"/>
      <c r="N95" s="10"/>
      <c r="O95" s="47"/>
      <c r="P95" s="47"/>
      <c r="Q95" s="47"/>
      <c r="R95" s="48" t="str">
        <f aca="false">IF(Q95="","",IF(Q95=0,"below 5:00",IF(Q95&gt;=66,"16:00 or above",INT((60+2*Q95)/12)&amp;":"&amp;TEXT(MOD(60+2*Q95,12),"00"))))</f>
        <v/>
      </c>
      <c r="S95" s="47"/>
      <c r="T95" s="47"/>
      <c r="U95" s="47"/>
      <c r="V95" s="47"/>
      <c r="W95" s="47"/>
      <c r="X95" s="47"/>
      <c r="Y95" s="47"/>
      <c r="Z95" s="47"/>
      <c r="AA95" s="47"/>
      <c r="AB95" s="47"/>
      <c r="AC95" s="47"/>
      <c r="AD95" s="47"/>
      <c r="AE95" s="47"/>
      <c r="AF95" s="47"/>
      <c r="AG95" s="47"/>
      <c r="AH95" s="47"/>
      <c r="AI95" s="46"/>
      <c r="AJ95" s="46"/>
      <c r="AK95" s="46"/>
      <c r="AL95" s="7"/>
      <c r="AM95" s="49" t="str">
        <f aca="false">IF(OR(C95="",G95=""),"",IFERROR(DATEDIF(C95,G95,"m"),""))</f>
        <v/>
      </c>
      <c r="AN95" s="49" t="str">
        <f aca="false">IF(OR(Q95="",AM95=""),"",60+2*Q95-AM95)</f>
        <v/>
      </c>
      <c r="AO95" s="49" t="str">
        <f aca="false">IF(OR(G95="",AJ95=""),"",AJ95-G95)</f>
        <v/>
      </c>
      <c r="AP95" s="50" t="str">
        <f aca="false">IF(AND(A95="",B95=""),"",IF(J95="","Status needed",IF(OR(J95="Applied",J95="Visit booked",J95="Withdrawn"),"OK",IF(G95="","Date assessed needed",IF(C95="","Date of birth needed",IF(COUNTA(L95,M95,P95,U95,V95,X95,AB95)&lt;7,"Band missing",IF(AND(OR(J95="Decision confirmed",J95="Family told",J95="Enrolled"),AG95=""),"Recommendation needed",IF(AND(OR(J95="Family told",J95="Enrolled"),AJ95=""),"Date family told needed","OK"))))))))</f>
        <v/>
      </c>
    </row>
    <row r="96" customFormat="false" ht="15" hidden="false" customHeight="false" outlineLevel="0" collapsed="false">
      <c r="A96" s="7"/>
      <c r="B96" s="7"/>
      <c r="C96" s="46"/>
      <c r="D96" s="7"/>
      <c r="E96" s="47"/>
      <c r="F96" s="46"/>
      <c r="G96" s="46"/>
      <c r="H96" s="7"/>
      <c r="I96" s="7"/>
      <c r="J96" s="47"/>
      <c r="K96" s="47"/>
      <c r="L96" s="47"/>
      <c r="M96" s="47"/>
      <c r="N96" s="10"/>
      <c r="O96" s="47"/>
      <c r="P96" s="47"/>
      <c r="Q96" s="47"/>
      <c r="R96" s="48" t="str">
        <f aca="false">IF(Q96="","",IF(Q96=0,"below 5:00",IF(Q96&gt;=66,"16:00 or above",INT((60+2*Q96)/12)&amp;":"&amp;TEXT(MOD(60+2*Q96,12),"00"))))</f>
        <v/>
      </c>
      <c r="S96" s="47"/>
      <c r="T96" s="47"/>
      <c r="U96" s="47"/>
      <c r="V96" s="47"/>
      <c r="W96" s="47"/>
      <c r="X96" s="47"/>
      <c r="Y96" s="47"/>
      <c r="Z96" s="47"/>
      <c r="AA96" s="47"/>
      <c r="AB96" s="47"/>
      <c r="AC96" s="47"/>
      <c r="AD96" s="47"/>
      <c r="AE96" s="47"/>
      <c r="AF96" s="47"/>
      <c r="AG96" s="47"/>
      <c r="AH96" s="47"/>
      <c r="AI96" s="46"/>
      <c r="AJ96" s="46"/>
      <c r="AK96" s="46"/>
      <c r="AL96" s="7"/>
      <c r="AM96" s="49" t="str">
        <f aca="false">IF(OR(C96="",G96=""),"",IFERROR(DATEDIF(C96,G96,"m"),""))</f>
        <v/>
      </c>
      <c r="AN96" s="49" t="str">
        <f aca="false">IF(OR(Q96="",AM96=""),"",60+2*Q96-AM96)</f>
        <v/>
      </c>
      <c r="AO96" s="49" t="str">
        <f aca="false">IF(OR(G96="",AJ96=""),"",AJ96-G96)</f>
        <v/>
      </c>
      <c r="AP96" s="50" t="str">
        <f aca="false">IF(AND(A96="",B96=""),"",IF(J96="","Status needed",IF(OR(J96="Applied",J96="Visit booked",J96="Withdrawn"),"OK",IF(G96="","Date assessed needed",IF(C96="","Date of birth needed",IF(COUNTA(L96,M96,P96,U96,V96,X96,AB96)&lt;7,"Band missing",IF(AND(OR(J96="Decision confirmed",J96="Family told",J96="Enrolled"),AG96=""),"Recommendation needed",IF(AND(OR(J96="Family told",J96="Enrolled"),AJ96=""),"Date family told needed","OK"))))))))</f>
        <v/>
      </c>
    </row>
    <row r="97" customFormat="false" ht="15" hidden="false" customHeight="false" outlineLevel="0" collapsed="false">
      <c r="A97" s="7"/>
      <c r="B97" s="7"/>
      <c r="C97" s="46"/>
      <c r="D97" s="7"/>
      <c r="E97" s="47"/>
      <c r="F97" s="46"/>
      <c r="G97" s="46"/>
      <c r="H97" s="7"/>
      <c r="I97" s="7"/>
      <c r="J97" s="47"/>
      <c r="K97" s="47"/>
      <c r="L97" s="47"/>
      <c r="M97" s="47"/>
      <c r="N97" s="10"/>
      <c r="O97" s="47"/>
      <c r="P97" s="47"/>
      <c r="Q97" s="47"/>
      <c r="R97" s="48" t="str">
        <f aca="false">IF(Q97="","",IF(Q97=0,"below 5:00",IF(Q97&gt;=66,"16:00 or above",INT((60+2*Q97)/12)&amp;":"&amp;TEXT(MOD(60+2*Q97,12),"00"))))</f>
        <v/>
      </c>
      <c r="S97" s="47"/>
      <c r="T97" s="47"/>
      <c r="U97" s="47"/>
      <c r="V97" s="47"/>
      <c r="W97" s="47"/>
      <c r="X97" s="47"/>
      <c r="Y97" s="47"/>
      <c r="Z97" s="47"/>
      <c r="AA97" s="47"/>
      <c r="AB97" s="47"/>
      <c r="AC97" s="47"/>
      <c r="AD97" s="47"/>
      <c r="AE97" s="47"/>
      <c r="AF97" s="47"/>
      <c r="AG97" s="47"/>
      <c r="AH97" s="47"/>
      <c r="AI97" s="46"/>
      <c r="AJ97" s="46"/>
      <c r="AK97" s="46"/>
      <c r="AL97" s="7"/>
      <c r="AM97" s="49" t="str">
        <f aca="false">IF(OR(C97="",G97=""),"",IFERROR(DATEDIF(C97,G97,"m"),""))</f>
        <v/>
      </c>
      <c r="AN97" s="49" t="str">
        <f aca="false">IF(OR(Q97="",AM97=""),"",60+2*Q97-AM97)</f>
        <v/>
      </c>
      <c r="AO97" s="49" t="str">
        <f aca="false">IF(OR(G97="",AJ97=""),"",AJ97-G97)</f>
        <v/>
      </c>
      <c r="AP97" s="50" t="str">
        <f aca="false">IF(AND(A97="",B97=""),"",IF(J97="","Status needed",IF(OR(J97="Applied",J97="Visit booked",J97="Withdrawn"),"OK",IF(G97="","Date assessed needed",IF(C97="","Date of birth needed",IF(COUNTA(L97,M97,P97,U97,V97,X97,AB97)&lt;7,"Band missing",IF(AND(OR(J97="Decision confirmed",J97="Family told",J97="Enrolled"),AG97=""),"Recommendation needed",IF(AND(OR(J97="Family told",J97="Enrolled"),AJ97=""),"Date family told needed","OK"))))))))</f>
        <v/>
      </c>
    </row>
    <row r="98" customFormat="false" ht="15" hidden="false" customHeight="false" outlineLevel="0" collapsed="false">
      <c r="A98" s="7"/>
      <c r="B98" s="7"/>
      <c r="C98" s="46"/>
      <c r="D98" s="7"/>
      <c r="E98" s="47"/>
      <c r="F98" s="46"/>
      <c r="G98" s="46"/>
      <c r="H98" s="7"/>
      <c r="I98" s="7"/>
      <c r="J98" s="47"/>
      <c r="K98" s="47"/>
      <c r="L98" s="47"/>
      <c r="M98" s="47"/>
      <c r="N98" s="10"/>
      <c r="O98" s="47"/>
      <c r="P98" s="47"/>
      <c r="Q98" s="47"/>
      <c r="R98" s="48" t="str">
        <f aca="false">IF(Q98="","",IF(Q98=0,"below 5:00",IF(Q98&gt;=66,"16:00 or above",INT((60+2*Q98)/12)&amp;":"&amp;TEXT(MOD(60+2*Q98,12),"00"))))</f>
        <v/>
      </c>
      <c r="S98" s="47"/>
      <c r="T98" s="47"/>
      <c r="U98" s="47"/>
      <c r="V98" s="47"/>
      <c r="W98" s="47"/>
      <c r="X98" s="47"/>
      <c r="Y98" s="47"/>
      <c r="Z98" s="47"/>
      <c r="AA98" s="47"/>
      <c r="AB98" s="47"/>
      <c r="AC98" s="47"/>
      <c r="AD98" s="47"/>
      <c r="AE98" s="47"/>
      <c r="AF98" s="47"/>
      <c r="AG98" s="47"/>
      <c r="AH98" s="47"/>
      <c r="AI98" s="46"/>
      <c r="AJ98" s="46"/>
      <c r="AK98" s="46"/>
      <c r="AL98" s="7"/>
      <c r="AM98" s="49" t="str">
        <f aca="false">IF(OR(C98="",G98=""),"",IFERROR(DATEDIF(C98,G98,"m"),""))</f>
        <v/>
      </c>
      <c r="AN98" s="49" t="str">
        <f aca="false">IF(OR(Q98="",AM98=""),"",60+2*Q98-AM98)</f>
        <v/>
      </c>
      <c r="AO98" s="49" t="str">
        <f aca="false">IF(OR(G98="",AJ98=""),"",AJ98-G98)</f>
        <v/>
      </c>
      <c r="AP98" s="50" t="str">
        <f aca="false">IF(AND(A98="",B98=""),"",IF(J98="","Status needed",IF(OR(J98="Applied",J98="Visit booked",J98="Withdrawn"),"OK",IF(G98="","Date assessed needed",IF(C98="","Date of birth needed",IF(COUNTA(L98,M98,P98,U98,V98,X98,AB98)&lt;7,"Band missing",IF(AND(OR(J98="Decision confirmed",J98="Family told",J98="Enrolled"),AG98=""),"Recommendation needed",IF(AND(OR(J98="Family told",J98="Enrolled"),AJ98=""),"Date family told needed","OK"))))))))</f>
        <v/>
      </c>
    </row>
    <row r="99" customFormat="false" ht="15" hidden="false" customHeight="false" outlineLevel="0" collapsed="false">
      <c r="A99" s="7"/>
      <c r="B99" s="7"/>
      <c r="C99" s="46"/>
      <c r="D99" s="7"/>
      <c r="E99" s="47"/>
      <c r="F99" s="46"/>
      <c r="G99" s="46"/>
      <c r="H99" s="7"/>
      <c r="I99" s="7"/>
      <c r="J99" s="47"/>
      <c r="K99" s="47"/>
      <c r="L99" s="47"/>
      <c r="M99" s="47"/>
      <c r="N99" s="10"/>
      <c r="O99" s="47"/>
      <c r="P99" s="47"/>
      <c r="Q99" s="47"/>
      <c r="R99" s="48" t="str">
        <f aca="false">IF(Q99="","",IF(Q99=0,"below 5:00",IF(Q99&gt;=66,"16:00 or above",INT((60+2*Q99)/12)&amp;":"&amp;TEXT(MOD(60+2*Q99,12),"00"))))</f>
        <v/>
      </c>
      <c r="S99" s="47"/>
      <c r="T99" s="47"/>
      <c r="U99" s="47"/>
      <c r="V99" s="47"/>
      <c r="W99" s="47"/>
      <c r="X99" s="47"/>
      <c r="Y99" s="47"/>
      <c r="Z99" s="47"/>
      <c r="AA99" s="47"/>
      <c r="AB99" s="47"/>
      <c r="AC99" s="47"/>
      <c r="AD99" s="47"/>
      <c r="AE99" s="47"/>
      <c r="AF99" s="47"/>
      <c r="AG99" s="47"/>
      <c r="AH99" s="47"/>
      <c r="AI99" s="46"/>
      <c r="AJ99" s="46"/>
      <c r="AK99" s="46"/>
      <c r="AL99" s="7"/>
      <c r="AM99" s="49" t="str">
        <f aca="false">IF(OR(C99="",G99=""),"",IFERROR(DATEDIF(C99,G99,"m"),""))</f>
        <v/>
      </c>
      <c r="AN99" s="49" t="str">
        <f aca="false">IF(OR(Q99="",AM99=""),"",60+2*Q99-AM99)</f>
        <v/>
      </c>
      <c r="AO99" s="49" t="str">
        <f aca="false">IF(OR(G99="",AJ99=""),"",AJ99-G99)</f>
        <v/>
      </c>
      <c r="AP99" s="50" t="str">
        <f aca="false">IF(AND(A99="",B99=""),"",IF(J99="","Status needed",IF(OR(J99="Applied",J99="Visit booked",J99="Withdrawn"),"OK",IF(G99="","Date assessed needed",IF(C99="","Date of birth needed",IF(COUNTA(L99,M99,P99,U99,V99,X99,AB99)&lt;7,"Band missing",IF(AND(OR(J99="Decision confirmed",J99="Family told",J99="Enrolled"),AG99=""),"Recommendation needed",IF(AND(OR(J99="Family told",J99="Enrolled"),AJ99=""),"Date family told needed","OK"))))))))</f>
        <v/>
      </c>
    </row>
    <row r="100" customFormat="false" ht="15" hidden="false" customHeight="false" outlineLevel="0" collapsed="false">
      <c r="A100" s="7"/>
      <c r="B100" s="7"/>
      <c r="C100" s="46"/>
      <c r="D100" s="7"/>
      <c r="E100" s="47"/>
      <c r="F100" s="46"/>
      <c r="G100" s="46"/>
      <c r="H100" s="7"/>
      <c r="I100" s="7"/>
      <c r="J100" s="47"/>
      <c r="K100" s="47"/>
      <c r="L100" s="47"/>
      <c r="M100" s="47"/>
      <c r="N100" s="10"/>
      <c r="O100" s="47"/>
      <c r="P100" s="47"/>
      <c r="Q100" s="47"/>
      <c r="R100" s="48" t="str">
        <f aca="false">IF(Q100="","",IF(Q100=0,"below 5:00",IF(Q100&gt;=66,"16:00 or above",INT((60+2*Q100)/12)&amp;":"&amp;TEXT(MOD(60+2*Q100,12),"00"))))</f>
        <v/>
      </c>
      <c r="S100" s="47"/>
      <c r="T100" s="47"/>
      <c r="U100" s="47"/>
      <c r="V100" s="47"/>
      <c r="W100" s="47"/>
      <c r="X100" s="47"/>
      <c r="Y100" s="47"/>
      <c r="Z100" s="47"/>
      <c r="AA100" s="47"/>
      <c r="AB100" s="47"/>
      <c r="AC100" s="47"/>
      <c r="AD100" s="47"/>
      <c r="AE100" s="47"/>
      <c r="AF100" s="47"/>
      <c r="AG100" s="47"/>
      <c r="AH100" s="47"/>
      <c r="AI100" s="46"/>
      <c r="AJ100" s="46"/>
      <c r="AK100" s="46"/>
      <c r="AL100" s="7"/>
      <c r="AM100" s="49" t="str">
        <f aca="false">IF(OR(C100="",G100=""),"",IFERROR(DATEDIF(C100,G100,"m"),""))</f>
        <v/>
      </c>
      <c r="AN100" s="49" t="str">
        <f aca="false">IF(OR(Q100="",AM100=""),"",60+2*Q100-AM100)</f>
        <v/>
      </c>
      <c r="AO100" s="49" t="str">
        <f aca="false">IF(OR(G100="",AJ100=""),"",AJ100-G100)</f>
        <v/>
      </c>
      <c r="AP100" s="50" t="str">
        <f aca="false">IF(AND(A100="",B100=""),"",IF(J100="","Status needed",IF(OR(J100="Applied",J100="Visit booked",J100="Withdrawn"),"OK",IF(G100="","Date assessed needed",IF(C100="","Date of birth needed",IF(COUNTA(L100,M100,P100,U100,V100,X100,AB100)&lt;7,"Band missing",IF(AND(OR(J100="Decision confirmed",J100="Family told",J100="Enrolled"),AG100=""),"Recommendation needed",IF(AND(OR(J100="Family told",J100="Enrolled"),AJ100=""),"Date family told needed","OK"))))))))</f>
        <v/>
      </c>
    </row>
    <row r="101" customFormat="false" ht="15" hidden="false" customHeight="false" outlineLevel="0" collapsed="false">
      <c r="A101" s="7"/>
      <c r="B101" s="7"/>
      <c r="C101" s="46"/>
      <c r="D101" s="7"/>
      <c r="E101" s="47"/>
      <c r="F101" s="46"/>
      <c r="G101" s="46"/>
      <c r="H101" s="7"/>
      <c r="I101" s="7"/>
      <c r="J101" s="47"/>
      <c r="K101" s="47"/>
      <c r="L101" s="47"/>
      <c r="M101" s="47"/>
      <c r="N101" s="10"/>
      <c r="O101" s="47"/>
      <c r="P101" s="47"/>
      <c r="Q101" s="47"/>
      <c r="R101" s="48" t="str">
        <f aca="false">IF(Q101="","",IF(Q101=0,"below 5:00",IF(Q101&gt;=66,"16:00 or above",INT((60+2*Q101)/12)&amp;":"&amp;TEXT(MOD(60+2*Q101,12),"00"))))</f>
        <v/>
      </c>
      <c r="S101" s="47"/>
      <c r="T101" s="47"/>
      <c r="U101" s="47"/>
      <c r="V101" s="47"/>
      <c r="W101" s="47"/>
      <c r="X101" s="47"/>
      <c r="Y101" s="47"/>
      <c r="Z101" s="47"/>
      <c r="AA101" s="47"/>
      <c r="AB101" s="47"/>
      <c r="AC101" s="47"/>
      <c r="AD101" s="47"/>
      <c r="AE101" s="47"/>
      <c r="AF101" s="47"/>
      <c r="AG101" s="47"/>
      <c r="AH101" s="47"/>
      <c r="AI101" s="46"/>
      <c r="AJ101" s="46"/>
      <c r="AK101" s="46"/>
      <c r="AL101" s="7"/>
      <c r="AM101" s="49" t="str">
        <f aca="false">IF(OR(C101="",G101=""),"",IFERROR(DATEDIF(C101,G101,"m"),""))</f>
        <v/>
      </c>
      <c r="AN101" s="49" t="str">
        <f aca="false">IF(OR(Q101="",AM101=""),"",60+2*Q101-AM101)</f>
        <v/>
      </c>
      <c r="AO101" s="49" t="str">
        <f aca="false">IF(OR(G101="",AJ101=""),"",AJ101-G101)</f>
        <v/>
      </c>
      <c r="AP101" s="50" t="str">
        <f aca="false">IF(AND(A101="",B101=""),"",IF(J101="","Status needed",IF(OR(J101="Applied",J101="Visit booked",J101="Withdrawn"),"OK",IF(G101="","Date assessed needed",IF(C101="","Date of birth needed",IF(COUNTA(L101,M101,P101,U101,V101,X101,AB101)&lt;7,"Band missing",IF(AND(OR(J101="Decision confirmed",J101="Family told",J101="Enrolled"),AG101=""),"Recommendation needed",IF(AND(OR(J101="Family told",J101="Enrolled"),AJ101=""),"Date family told needed","OK"))))))))</f>
        <v/>
      </c>
    </row>
    <row r="102" customFormat="false" ht="15" hidden="false" customHeight="false" outlineLevel="0" collapsed="false">
      <c r="A102" s="7"/>
      <c r="B102" s="7"/>
      <c r="C102" s="46"/>
      <c r="D102" s="7"/>
      <c r="E102" s="47"/>
      <c r="F102" s="46"/>
      <c r="G102" s="46"/>
      <c r="H102" s="7"/>
      <c r="I102" s="7"/>
      <c r="J102" s="47"/>
      <c r="K102" s="47"/>
      <c r="L102" s="47"/>
      <c r="M102" s="47"/>
      <c r="N102" s="10"/>
      <c r="O102" s="47"/>
      <c r="P102" s="47"/>
      <c r="Q102" s="47"/>
      <c r="R102" s="48" t="str">
        <f aca="false">IF(Q102="","",IF(Q102=0,"below 5:00",IF(Q102&gt;=66,"16:00 or above",INT((60+2*Q102)/12)&amp;":"&amp;TEXT(MOD(60+2*Q102,12),"00"))))</f>
        <v/>
      </c>
      <c r="S102" s="47"/>
      <c r="T102" s="47"/>
      <c r="U102" s="47"/>
      <c r="V102" s="47"/>
      <c r="W102" s="47"/>
      <c r="X102" s="47"/>
      <c r="Y102" s="47"/>
      <c r="Z102" s="47"/>
      <c r="AA102" s="47"/>
      <c r="AB102" s="47"/>
      <c r="AC102" s="47"/>
      <c r="AD102" s="47"/>
      <c r="AE102" s="47"/>
      <c r="AF102" s="47"/>
      <c r="AG102" s="47"/>
      <c r="AH102" s="47"/>
      <c r="AI102" s="46"/>
      <c r="AJ102" s="46"/>
      <c r="AK102" s="46"/>
      <c r="AL102" s="7"/>
      <c r="AM102" s="49" t="str">
        <f aca="false">IF(OR(C102="",G102=""),"",IFERROR(DATEDIF(C102,G102,"m"),""))</f>
        <v/>
      </c>
      <c r="AN102" s="49" t="str">
        <f aca="false">IF(OR(Q102="",AM102=""),"",60+2*Q102-AM102)</f>
        <v/>
      </c>
      <c r="AO102" s="49" t="str">
        <f aca="false">IF(OR(G102="",AJ102=""),"",AJ102-G102)</f>
        <v/>
      </c>
      <c r="AP102" s="50" t="str">
        <f aca="false">IF(AND(A102="",B102=""),"",IF(J102="","Status needed",IF(OR(J102="Applied",J102="Visit booked",J102="Withdrawn"),"OK",IF(G102="","Date assessed needed",IF(C102="","Date of birth needed",IF(COUNTA(L102,M102,P102,U102,V102,X102,AB102)&lt;7,"Band missing",IF(AND(OR(J102="Decision confirmed",J102="Family told",J102="Enrolled"),AG102=""),"Recommendation needed",IF(AND(OR(J102="Family told",J102="Enrolled"),AJ102=""),"Date family told needed","OK"))))))))</f>
        <v/>
      </c>
    </row>
    <row r="103" customFormat="false" ht="15" hidden="false" customHeight="false" outlineLevel="0" collapsed="false">
      <c r="A103" s="7"/>
      <c r="B103" s="7"/>
      <c r="C103" s="46"/>
      <c r="D103" s="7"/>
      <c r="E103" s="47"/>
      <c r="F103" s="46"/>
      <c r="G103" s="46"/>
      <c r="H103" s="7"/>
      <c r="I103" s="7"/>
      <c r="J103" s="47"/>
      <c r="K103" s="47"/>
      <c r="L103" s="47"/>
      <c r="M103" s="47"/>
      <c r="N103" s="10"/>
      <c r="O103" s="47"/>
      <c r="P103" s="47"/>
      <c r="Q103" s="47"/>
      <c r="R103" s="48" t="str">
        <f aca="false">IF(Q103="","",IF(Q103=0,"below 5:00",IF(Q103&gt;=66,"16:00 or above",INT((60+2*Q103)/12)&amp;":"&amp;TEXT(MOD(60+2*Q103,12),"00"))))</f>
        <v/>
      </c>
      <c r="S103" s="47"/>
      <c r="T103" s="47"/>
      <c r="U103" s="47"/>
      <c r="V103" s="47"/>
      <c r="W103" s="47"/>
      <c r="X103" s="47"/>
      <c r="Y103" s="47"/>
      <c r="Z103" s="47"/>
      <c r="AA103" s="47"/>
      <c r="AB103" s="47"/>
      <c r="AC103" s="47"/>
      <c r="AD103" s="47"/>
      <c r="AE103" s="47"/>
      <c r="AF103" s="47"/>
      <c r="AG103" s="47"/>
      <c r="AH103" s="47"/>
      <c r="AI103" s="46"/>
      <c r="AJ103" s="46"/>
      <c r="AK103" s="46"/>
      <c r="AL103" s="7"/>
      <c r="AM103" s="49" t="str">
        <f aca="false">IF(OR(C103="",G103=""),"",IFERROR(DATEDIF(C103,G103,"m"),""))</f>
        <v/>
      </c>
      <c r="AN103" s="49" t="str">
        <f aca="false">IF(OR(Q103="",AM103=""),"",60+2*Q103-AM103)</f>
        <v/>
      </c>
      <c r="AO103" s="49" t="str">
        <f aca="false">IF(OR(G103="",AJ103=""),"",AJ103-G103)</f>
        <v/>
      </c>
      <c r="AP103" s="50" t="str">
        <f aca="false">IF(AND(A103="",B103=""),"",IF(J103="","Status needed",IF(OR(J103="Applied",J103="Visit booked",J103="Withdrawn"),"OK",IF(G103="","Date assessed needed",IF(C103="","Date of birth needed",IF(COUNTA(L103,M103,P103,U103,V103,X103,AB103)&lt;7,"Band missing",IF(AND(OR(J103="Decision confirmed",J103="Family told",J103="Enrolled"),AG103=""),"Recommendation needed",IF(AND(OR(J103="Family told",J103="Enrolled"),AJ103=""),"Date family told needed","OK"))))))))</f>
        <v/>
      </c>
    </row>
    <row r="104" customFormat="false" ht="15" hidden="false" customHeight="false" outlineLevel="0" collapsed="false">
      <c r="A104" s="7"/>
      <c r="B104" s="7"/>
      <c r="C104" s="46"/>
      <c r="D104" s="7"/>
      <c r="E104" s="47"/>
      <c r="F104" s="46"/>
      <c r="G104" s="46"/>
      <c r="H104" s="7"/>
      <c r="I104" s="7"/>
      <c r="J104" s="47"/>
      <c r="K104" s="47"/>
      <c r="L104" s="47"/>
      <c r="M104" s="47"/>
      <c r="N104" s="10"/>
      <c r="O104" s="47"/>
      <c r="P104" s="47"/>
      <c r="Q104" s="47"/>
      <c r="R104" s="48" t="str">
        <f aca="false">IF(Q104="","",IF(Q104=0,"below 5:00",IF(Q104&gt;=66,"16:00 or above",INT((60+2*Q104)/12)&amp;":"&amp;TEXT(MOD(60+2*Q104,12),"00"))))</f>
        <v/>
      </c>
      <c r="S104" s="47"/>
      <c r="T104" s="47"/>
      <c r="U104" s="47"/>
      <c r="V104" s="47"/>
      <c r="W104" s="47"/>
      <c r="X104" s="47"/>
      <c r="Y104" s="47"/>
      <c r="Z104" s="47"/>
      <c r="AA104" s="47"/>
      <c r="AB104" s="47"/>
      <c r="AC104" s="47"/>
      <c r="AD104" s="47"/>
      <c r="AE104" s="47"/>
      <c r="AF104" s="47"/>
      <c r="AG104" s="47"/>
      <c r="AH104" s="47"/>
      <c r="AI104" s="46"/>
      <c r="AJ104" s="46"/>
      <c r="AK104" s="46"/>
      <c r="AL104" s="7"/>
      <c r="AM104" s="49" t="str">
        <f aca="false">IF(OR(C104="",G104=""),"",IFERROR(DATEDIF(C104,G104,"m"),""))</f>
        <v/>
      </c>
      <c r="AN104" s="49" t="str">
        <f aca="false">IF(OR(Q104="",AM104=""),"",60+2*Q104-AM104)</f>
        <v/>
      </c>
      <c r="AO104" s="49" t="str">
        <f aca="false">IF(OR(G104="",AJ104=""),"",AJ104-G104)</f>
        <v/>
      </c>
      <c r="AP104" s="50" t="str">
        <f aca="false">IF(AND(A104="",B104=""),"",IF(J104="","Status needed",IF(OR(J104="Applied",J104="Visit booked",J104="Withdrawn"),"OK",IF(G104="","Date assessed needed",IF(C104="","Date of birth needed",IF(COUNTA(L104,M104,P104,U104,V104,X104,AB104)&lt;7,"Band missing",IF(AND(OR(J104="Decision confirmed",J104="Family told",J104="Enrolled"),AG104=""),"Recommendation needed",IF(AND(OR(J104="Family told",J104="Enrolled"),AJ104=""),"Date family told needed","OK"))))))))</f>
        <v/>
      </c>
    </row>
    <row r="105" customFormat="false" ht="15" hidden="false" customHeight="false" outlineLevel="0" collapsed="false">
      <c r="A105" s="7"/>
      <c r="B105" s="7"/>
      <c r="C105" s="46"/>
      <c r="D105" s="7"/>
      <c r="E105" s="47"/>
      <c r="F105" s="46"/>
      <c r="G105" s="46"/>
      <c r="H105" s="7"/>
      <c r="I105" s="7"/>
      <c r="J105" s="47"/>
      <c r="K105" s="47"/>
      <c r="L105" s="47"/>
      <c r="M105" s="47"/>
      <c r="N105" s="10"/>
      <c r="O105" s="47"/>
      <c r="P105" s="47"/>
      <c r="Q105" s="47"/>
      <c r="R105" s="48" t="str">
        <f aca="false">IF(Q105="","",IF(Q105=0,"below 5:00",IF(Q105&gt;=66,"16:00 or above",INT((60+2*Q105)/12)&amp;":"&amp;TEXT(MOD(60+2*Q105,12),"00"))))</f>
        <v/>
      </c>
      <c r="S105" s="47"/>
      <c r="T105" s="47"/>
      <c r="U105" s="47"/>
      <c r="V105" s="47"/>
      <c r="W105" s="47"/>
      <c r="X105" s="47"/>
      <c r="Y105" s="47"/>
      <c r="Z105" s="47"/>
      <c r="AA105" s="47"/>
      <c r="AB105" s="47"/>
      <c r="AC105" s="47"/>
      <c r="AD105" s="47"/>
      <c r="AE105" s="47"/>
      <c r="AF105" s="47"/>
      <c r="AG105" s="47"/>
      <c r="AH105" s="47"/>
      <c r="AI105" s="46"/>
      <c r="AJ105" s="46"/>
      <c r="AK105" s="46"/>
      <c r="AL105" s="7"/>
      <c r="AM105" s="49" t="str">
        <f aca="false">IF(OR(C105="",G105=""),"",IFERROR(DATEDIF(C105,G105,"m"),""))</f>
        <v/>
      </c>
      <c r="AN105" s="49" t="str">
        <f aca="false">IF(OR(Q105="",AM105=""),"",60+2*Q105-AM105)</f>
        <v/>
      </c>
      <c r="AO105" s="49" t="str">
        <f aca="false">IF(OR(G105="",AJ105=""),"",AJ105-G105)</f>
        <v/>
      </c>
      <c r="AP105" s="50" t="str">
        <f aca="false">IF(AND(A105="",B105=""),"",IF(J105="","Status needed",IF(OR(J105="Applied",J105="Visit booked",J105="Withdrawn"),"OK",IF(G105="","Date assessed needed",IF(C105="","Date of birth needed",IF(COUNTA(L105,M105,P105,U105,V105,X105,AB105)&lt;7,"Band missing",IF(AND(OR(J105="Decision confirmed",J105="Family told",J105="Enrolled"),AG105=""),"Recommendation needed",IF(AND(OR(J105="Family told",J105="Enrolled"),AJ105=""),"Date family told needed","OK"))))))))</f>
        <v/>
      </c>
    </row>
    <row r="106" customFormat="false" ht="15" hidden="false" customHeight="false" outlineLevel="0" collapsed="false">
      <c r="A106" s="7"/>
      <c r="B106" s="7"/>
      <c r="C106" s="46"/>
      <c r="D106" s="7"/>
      <c r="E106" s="47"/>
      <c r="F106" s="46"/>
      <c r="G106" s="46"/>
      <c r="H106" s="7"/>
      <c r="I106" s="7"/>
      <c r="J106" s="47"/>
      <c r="K106" s="47"/>
      <c r="L106" s="47"/>
      <c r="M106" s="47"/>
      <c r="N106" s="10"/>
      <c r="O106" s="47"/>
      <c r="P106" s="47"/>
      <c r="Q106" s="47"/>
      <c r="R106" s="48" t="str">
        <f aca="false">IF(Q106="","",IF(Q106=0,"below 5:00",IF(Q106&gt;=66,"16:00 or above",INT((60+2*Q106)/12)&amp;":"&amp;TEXT(MOD(60+2*Q106,12),"00"))))</f>
        <v/>
      </c>
      <c r="S106" s="47"/>
      <c r="T106" s="47"/>
      <c r="U106" s="47"/>
      <c r="V106" s="47"/>
      <c r="W106" s="47"/>
      <c r="X106" s="47"/>
      <c r="Y106" s="47"/>
      <c r="Z106" s="47"/>
      <c r="AA106" s="47"/>
      <c r="AB106" s="47"/>
      <c r="AC106" s="47"/>
      <c r="AD106" s="47"/>
      <c r="AE106" s="47"/>
      <c r="AF106" s="47"/>
      <c r="AG106" s="47"/>
      <c r="AH106" s="47"/>
      <c r="AI106" s="46"/>
      <c r="AJ106" s="46"/>
      <c r="AK106" s="46"/>
      <c r="AL106" s="7"/>
      <c r="AM106" s="49" t="str">
        <f aca="false">IF(OR(C106="",G106=""),"",IFERROR(DATEDIF(C106,G106,"m"),""))</f>
        <v/>
      </c>
      <c r="AN106" s="49" t="str">
        <f aca="false">IF(OR(Q106="",AM106=""),"",60+2*Q106-AM106)</f>
        <v/>
      </c>
      <c r="AO106" s="49" t="str">
        <f aca="false">IF(OR(G106="",AJ106=""),"",AJ106-G106)</f>
        <v/>
      </c>
      <c r="AP106" s="50" t="str">
        <f aca="false">IF(AND(A106="",B106=""),"",IF(J106="","Status needed",IF(OR(J106="Applied",J106="Visit booked",J106="Withdrawn"),"OK",IF(G106="","Date assessed needed",IF(C106="","Date of birth needed",IF(COUNTA(L106,M106,P106,U106,V106,X106,AB106)&lt;7,"Band missing",IF(AND(OR(J106="Decision confirmed",J106="Family told",J106="Enrolled"),AG106=""),"Recommendation needed",IF(AND(OR(J106="Family told",J106="Enrolled"),AJ106=""),"Date family told needed","OK"))))))))</f>
        <v/>
      </c>
    </row>
    <row r="107" customFormat="false" ht="15" hidden="false" customHeight="false" outlineLevel="0" collapsed="false">
      <c r="A107" s="7"/>
      <c r="B107" s="7"/>
      <c r="C107" s="46"/>
      <c r="D107" s="7"/>
      <c r="E107" s="47"/>
      <c r="F107" s="46"/>
      <c r="G107" s="46"/>
      <c r="H107" s="7"/>
      <c r="I107" s="7"/>
      <c r="J107" s="47"/>
      <c r="K107" s="47"/>
      <c r="L107" s="47"/>
      <c r="M107" s="47"/>
      <c r="N107" s="10"/>
      <c r="O107" s="47"/>
      <c r="P107" s="47"/>
      <c r="Q107" s="47"/>
      <c r="R107" s="48" t="str">
        <f aca="false">IF(Q107="","",IF(Q107=0,"below 5:00",IF(Q107&gt;=66,"16:00 or above",INT((60+2*Q107)/12)&amp;":"&amp;TEXT(MOD(60+2*Q107,12),"00"))))</f>
        <v/>
      </c>
      <c r="S107" s="47"/>
      <c r="T107" s="47"/>
      <c r="U107" s="47"/>
      <c r="V107" s="47"/>
      <c r="W107" s="47"/>
      <c r="X107" s="47"/>
      <c r="Y107" s="47"/>
      <c r="Z107" s="47"/>
      <c r="AA107" s="47"/>
      <c r="AB107" s="47"/>
      <c r="AC107" s="47"/>
      <c r="AD107" s="47"/>
      <c r="AE107" s="47"/>
      <c r="AF107" s="47"/>
      <c r="AG107" s="47"/>
      <c r="AH107" s="47"/>
      <c r="AI107" s="46"/>
      <c r="AJ107" s="46"/>
      <c r="AK107" s="46"/>
      <c r="AL107" s="7"/>
      <c r="AM107" s="49" t="str">
        <f aca="false">IF(OR(C107="",G107=""),"",IFERROR(DATEDIF(C107,G107,"m"),""))</f>
        <v/>
      </c>
      <c r="AN107" s="49" t="str">
        <f aca="false">IF(OR(Q107="",AM107=""),"",60+2*Q107-AM107)</f>
        <v/>
      </c>
      <c r="AO107" s="49" t="str">
        <f aca="false">IF(OR(G107="",AJ107=""),"",AJ107-G107)</f>
        <v/>
      </c>
      <c r="AP107" s="50" t="str">
        <f aca="false">IF(AND(A107="",B107=""),"",IF(J107="","Status needed",IF(OR(J107="Applied",J107="Visit booked",J107="Withdrawn"),"OK",IF(G107="","Date assessed needed",IF(C107="","Date of birth needed",IF(COUNTA(L107,M107,P107,U107,V107,X107,AB107)&lt;7,"Band missing",IF(AND(OR(J107="Decision confirmed",J107="Family told",J107="Enrolled"),AG107=""),"Recommendation needed",IF(AND(OR(J107="Family told",J107="Enrolled"),AJ107=""),"Date family told needed","OK"))))))))</f>
        <v/>
      </c>
    </row>
    <row r="108" customFormat="false" ht="15" hidden="false" customHeight="false" outlineLevel="0" collapsed="false">
      <c r="A108" s="7"/>
      <c r="B108" s="7"/>
      <c r="C108" s="46"/>
      <c r="D108" s="7"/>
      <c r="E108" s="47"/>
      <c r="F108" s="46"/>
      <c r="G108" s="46"/>
      <c r="H108" s="7"/>
      <c r="I108" s="7"/>
      <c r="J108" s="47"/>
      <c r="K108" s="47"/>
      <c r="L108" s="47"/>
      <c r="M108" s="47"/>
      <c r="N108" s="10"/>
      <c r="O108" s="47"/>
      <c r="P108" s="47"/>
      <c r="Q108" s="47"/>
      <c r="R108" s="48" t="str">
        <f aca="false">IF(Q108="","",IF(Q108=0,"below 5:00",IF(Q108&gt;=66,"16:00 or above",INT((60+2*Q108)/12)&amp;":"&amp;TEXT(MOD(60+2*Q108,12),"00"))))</f>
        <v/>
      </c>
      <c r="S108" s="47"/>
      <c r="T108" s="47"/>
      <c r="U108" s="47"/>
      <c r="V108" s="47"/>
      <c r="W108" s="47"/>
      <c r="X108" s="47"/>
      <c r="Y108" s="47"/>
      <c r="Z108" s="47"/>
      <c r="AA108" s="47"/>
      <c r="AB108" s="47"/>
      <c r="AC108" s="47"/>
      <c r="AD108" s="47"/>
      <c r="AE108" s="47"/>
      <c r="AF108" s="47"/>
      <c r="AG108" s="47"/>
      <c r="AH108" s="47"/>
      <c r="AI108" s="46"/>
      <c r="AJ108" s="46"/>
      <c r="AK108" s="46"/>
      <c r="AL108" s="7"/>
      <c r="AM108" s="49" t="str">
        <f aca="false">IF(OR(C108="",G108=""),"",IFERROR(DATEDIF(C108,G108,"m"),""))</f>
        <v/>
      </c>
      <c r="AN108" s="49" t="str">
        <f aca="false">IF(OR(Q108="",AM108=""),"",60+2*Q108-AM108)</f>
        <v/>
      </c>
      <c r="AO108" s="49" t="str">
        <f aca="false">IF(OR(G108="",AJ108=""),"",AJ108-G108)</f>
        <v/>
      </c>
      <c r="AP108" s="50" t="str">
        <f aca="false">IF(AND(A108="",B108=""),"",IF(J108="","Status needed",IF(OR(J108="Applied",J108="Visit booked",J108="Withdrawn"),"OK",IF(G108="","Date assessed needed",IF(C108="","Date of birth needed",IF(COUNTA(L108,M108,P108,U108,V108,X108,AB108)&lt;7,"Band missing",IF(AND(OR(J108="Decision confirmed",J108="Family told",J108="Enrolled"),AG108=""),"Recommendation needed",IF(AND(OR(J108="Family told",J108="Enrolled"),AJ108=""),"Date family told needed","OK"))))))))</f>
        <v/>
      </c>
    </row>
    <row r="109" customFormat="false" ht="15" hidden="false" customHeight="false" outlineLevel="0" collapsed="false">
      <c r="A109" s="7"/>
      <c r="B109" s="7"/>
      <c r="C109" s="46"/>
      <c r="D109" s="7"/>
      <c r="E109" s="47"/>
      <c r="F109" s="46"/>
      <c r="G109" s="46"/>
      <c r="H109" s="7"/>
      <c r="I109" s="7"/>
      <c r="J109" s="47"/>
      <c r="K109" s="47"/>
      <c r="L109" s="47"/>
      <c r="M109" s="47"/>
      <c r="N109" s="10"/>
      <c r="O109" s="47"/>
      <c r="P109" s="47"/>
      <c r="Q109" s="47"/>
      <c r="R109" s="48" t="str">
        <f aca="false">IF(Q109="","",IF(Q109=0,"below 5:00",IF(Q109&gt;=66,"16:00 or above",INT((60+2*Q109)/12)&amp;":"&amp;TEXT(MOD(60+2*Q109,12),"00"))))</f>
        <v/>
      </c>
      <c r="S109" s="47"/>
      <c r="T109" s="47"/>
      <c r="U109" s="47"/>
      <c r="V109" s="47"/>
      <c r="W109" s="47"/>
      <c r="X109" s="47"/>
      <c r="Y109" s="47"/>
      <c r="Z109" s="47"/>
      <c r="AA109" s="47"/>
      <c r="AB109" s="47"/>
      <c r="AC109" s="47"/>
      <c r="AD109" s="47"/>
      <c r="AE109" s="47"/>
      <c r="AF109" s="47"/>
      <c r="AG109" s="47"/>
      <c r="AH109" s="47"/>
      <c r="AI109" s="46"/>
      <c r="AJ109" s="46"/>
      <c r="AK109" s="46"/>
      <c r="AL109" s="7"/>
      <c r="AM109" s="49" t="str">
        <f aca="false">IF(OR(C109="",G109=""),"",IFERROR(DATEDIF(C109,G109,"m"),""))</f>
        <v/>
      </c>
      <c r="AN109" s="49" t="str">
        <f aca="false">IF(OR(Q109="",AM109=""),"",60+2*Q109-AM109)</f>
        <v/>
      </c>
      <c r="AO109" s="49" t="str">
        <f aca="false">IF(OR(G109="",AJ109=""),"",AJ109-G109)</f>
        <v/>
      </c>
      <c r="AP109" s="50" t="str">
        <f aca="false">IF(AND(A109="",B109=""),"",IF(J109="","Status needed",IF(OR(J109="Applied",J109="Visit booked",J109="Withdrawn"),"OK",IF(G109="","Date assessed needed",IF(C109="","Date of birth needed",IF(COUNTA(L109,M109,P109,U109,V109,X109,AB109)&lt;7,"Band missing",IF(AND(OR(J109="Decision confirmed",J109="Family told",J109="Enrolled"),AG109=""),"Recommendation needed",IF(AND(OR(J109="Family told",J109="Enrolled"),AJ109=""),"Date family told needed","OK"))))))))</f>
        <v/>
      </c>
    </row>
    <row r="110" customFormat="false" ht="15" hidden="false" customHeight="false" outlineLevel="0" collapsed="false">
      <c r="A110" s="7"/>
      <c r="B110" s="7"/>
      <c r="C110" s="46"/>
      <c r="D110" s="7"/>
      <c r="E110" s="47"/>
      <c r="F110" s="46"/>
      <c r="G110" s="46"/>
      <c r="H110" s="7"/>
      <c r="I110" s="7"/>
      <c r="J110" s="47"/>
      <c r="K110" s="47"/>
      <c r="L110" s="47"/>
      <c r="M110" s="47"/>
      <c r="N110" s="10"/>
      <c r="O110" s="47"/>
      <c r="P110" s="47"/>
      <c r="Q110" s="47"/>
      <c r="R110" s="48" t="str">
        <f aca="false">IF(Q110="","",IF(Q110=0,"below 5:00",IF(Q110&gt;=66,"16:00 or above",INT((60+2*Q110)/12)&amp;":"&amp;TEXT(MOD(60+2*Q110,12),"00"))))</f>
        <v/>
      </c>
      <c r="S110" s="47"/>
      <c r="T110" s="47"/>
      <c r="U110" s="47"/>
      <c r="V110" s="47"/>
      <c r="W110" s="47"/>
      <c r="X110" s="47"/>
      <c r="Y110" s="47"/>
      <c r="Z110" s="47"/>
      <c r="AA110" s="47"/>
      <c r="AB110" s="47"/>
      <c r="AC110" s="47"/>
      <c r="AD110" s="47"/>
      <c r="AE110" s="47"/>
      <c r="AF110" s="47"/>
      <c r="AG110" s="47"/>
      <c r="AH110" s="47"/>
      <c r="AI110" s="46"/>
      <c r="AJ110" s="46"/>
      <c r="AK110" s="46"/>
      <c r="AL110" s="7"/>
      <c r="AM110" s="49" t="str">
        <f aca="false">IF(OR(C110="",G110=""),"",IFERROR(DATEDIF(C110,G110,"m"),""))</f>
        <v/>
      </c>
      <c r="AN110" s="49" t="str">
        <f aca="false">IF(OR(Q110="",AM110=""),"",60+2*Q110-AM110)</f>
        <v/>
      </c>
      <c r="AO110" s="49" t="str">
        <f aca="false">IF(OR(G110="",AJ110=""),"",AJ110-G110)</f>
        <v/>
      </c>
      <c r="AP110" s="50" t="str">
        <f aca="false">IF(AND(A110="",B110=""),"",IF(J110="","Status needed",IF(OR(J110="Applied",J110="Visit booked",J110="Withdrawn"),"OK",IF(G110="","Date assessed needed",IF(C110="","Date of birth needed",IF(COUNTA(L110,M110,P110,U110,V110,X110,AB110)&lt;7,"Band missing",IF(AND(OR(J110="Decision confirmed",J110="Family told",J110="Enrolled"),AG110=""),"Recommendation needed",IF(AND(OR(J110="Family told",J110="Enrolled"),AJ110=""),"Date family told needed","OK"))))))))</f>
        <v/>
      </c>
    </row>
    <row r="111" customFormat="false" ht="15" hidden="false" customHeight="false" outlineLevel="0" collapsed="false">
      <c r="A111" s="7"/>
      <c r="B111" s="7"/>
      <c r="C111" s="46"/>
      <c r="D111" s="7"/>
      <c r="E111" s="47"/>
      <c r="F111" s="46"/>
      <c r="G111" s="46"/>
      <c r="H111" s="7"/>
      <c r="I111" s="7"/>
      <c r="J111" s="47"/>
      <c r="K111" s="47"/>
      <c r="L111" s="47"/>
      <c r="M111" s="47"/>
      <c r="N111" s="10"/>
      <c r="O111" s="47"/>
      <c r="P111" s="47"/>
      <c r="Q111" s="47"/>
      <c r="R111" s="48" t="str">
        <f aca="false">IF(Q111="","",IF(Q111=0,"below 5:00",IF(Q111&gt;=66,"16:00 or above",INT((60+2*Q111)/12)&amp;":"&amp;TEXT(MOD(60+2*Q111,12),"00"))))</f>
        <v/>
      </c>
      <c r="S111" s="47"/>
      <c r="T111" s="47"/>
      <c r="U111" s="47"/>
      <c r="V111" s="47"/>
      <c r="W111" s="47"/>
      <c r="X111" s="47"/>
      <c r="Y111" s="47"/>
      <c r="Z111" s="47"/>
      <c r="AA111" s="47"/>
      <c r="AB111" s="47"/>
      <c r="AC111" s="47"/>
      <c r="AD111" s="47"/>
      <c r="AE111" s="47"/>
      <c r="AF111" s="47"/>
      <c r="AG111" s="47"/>
      <c r="AH111" s="47"/>
      <c r="AI111" s="46"/>
      <c r="AJ111" s="46"/>
      <c r="AK111" s="46"/>
      <c r="AL111" s="7"/>
      <c r="AM111" s="49" t="str">
        <f aca="false">IF(OR(C111="",G111=""),"",IFERROR(DATEDIF(C111,G111,"m"),""))</f>
        <v/>
      </c>
      <c r="AN111" s="49" t="str">
        <f aca="false">IF(OR(Q111="",AM111=""),"",60+2*Q111-AM111)</f>
        <v/>
      </c>
      <c r="AO111" s="49" t="str">
        <f aca="false">IF(OR(G111="",AJ111=""),"",AJ111-G111)</f>
        <v/>
      </c>
      <c r="AP111" s="50" t="str">
        <f aca="false">IF(AND(A111="",B111=""),"",IF(J111="","Status needed",IF(OR(J111="Applied",J111="Visit booked",J111="Withdrawn"),"OK",IF(G111="","Date assessed needed",IF(C111="","Date of birth needed",IF(COUNTA(L111,M111,P111,U111,V111,X111,AB111)&lt;7,"Band missing",IF(AND(OR(J111="Decision confirmed",J111="Family told",J111="Enrolled"),AG111=""),"Recommendation needed",IF(AND(OR(J111="Family told",J111="Enrolled"),AJ111=""),"Date family told needed","OK"))))))))</f>
        <v/>
      </c>
    </row>
    <row r="112" customFormat="false" ht="15" hidden="false" customHeight="false" outlineLevel="0" collapsed="false">
      <c r="A112" s="7"/>
      <c r="B112" s="7"/>
      <c r="C112" s="46"/>
      <c r="D112" s="7"/>
      <c r="E112" s="47"/>
      <c r="F112" s="46"/>
      <c r="G112" s="46"/>
      <c r="H112" s="7"/>
      <c r="I112" s="7"/>
      <c r="J112" s="47"/>
      <c r="K112" s="47"/>
      <c r="L112" s="47"/>
      <c r="M112" s="47"/>
      <c r="N112" s="10"/>
      <c r="O112" s="47"/>
      <c r="P112" s="47"/>
      <c r="Q112" s="47"/>
      <c r="R112" s="48" t="str">
        <f aca="false">IF(Q112="","",IF(Q112=0,"below 5:00",IF(Q112&gt;=66,"16:00 or above",INT((60+2*Q112)/12)&amp;":"&amp;TEXT(MOD(60+2*Q112,12),"00"))))</f>
        <v/>
      </c>
      <c r="S112" s="47"/>
      <c r="T112" s="47"/>
      <c r="U112" s="47"/>
      <c r="V112" s="47"/>
      <c r="W112" s="47"/>
      <c r="X112" s="47"/>
      <c r="Y112" s="47"/>
      <c r="Z112" s="47"/>
      <c r="AA112" s="47"/>
      <c r="AB112" s="47"/>
      <c r="AC112" s="47"/>
      <c r="AD112" s="47"/>
      <c r="AE112" s="47"/>
      <c r="AF112" s="47"/>
      <c r="AG112" s="47"/>
      <c r="AH112" s="47"/>
      <c r="AI112" s="46"/>
      <c r="AJ112" s="46"/>
      <c r="AK112" s="46"/>
      <c r="AL112" s="7"/>
      <c r="AM112" s="49" t="str">
        <f aca="false">IF(OR(C112="",G112=""),"",IFERROR(DATEDIF(C112,G112,"m"),""))</f>
        <v/>
      </c>
      <c r="AN112" s="49" t="str">
        <f aca="false">IF(OR(Q112="",AM112=""),"",60+2*Q112-AM112)</f>
        <v/>
      </c>
      <c r="AO112" s="49" t="str">
        <f aca="false">IF(OR(G112="",AJ112=""),"",AJ112-G112)</f>
        <v/>
      </c>
      <c r="AP112" s="50" t="str">
        <f aca="false">IF(AND(A112="",B112=""),"",IF(J112="","Status needed",IF(OR(J112="Applied",J112="Visit booked",J112="Withdrawn"),"OK",IF(G112="","Date assessed needed",IF(C112="","Date of birth needed",IF(COUNTA(L112,M112,P112,U112,V112,X112,AB112)&lt;7,"Band missing",IF(AND(OR(J112="Decision confirmed",J112="Family told",J112="Enrolled"),AG112=""),"Recommendation needed",IF(AND(OR(J112="Family told",J112="Enrolled"),AJ112=""),"Date family told needed","OK"))))))))</f>
        <v/>
      </c>
    </row>
    <row r="113" customFormat="false" ht="15" hidden="false" customHeight="false" outlineLevel="0" collapsed="false">
      <c r="A113" s="7"/>
      <c r="B113" s="7"/>
      <c r="C113" s="46"/>
      <c r="D113" s="7"/>
      <c r="E113" s="47"/>
      <c r="F113" s="46"/>
      <c r="G113" s="46"/>
      <c r="H113" s="7"/>
      <c r="I113" s="7"/>
      <c r="J113" s="47"/>
      <c r="K113" s="47"/>
      <c r="L113" s="47"/>
      <c r="M113" s="47"/>
      <c r="N113" s="10"/>
      <c r="O113" s="47"/>
      <c r="P113" s="47"/>
      <c r="Q113" s="47"/>
      <c r="R113" s="48" t="str">
        <f aca="false">IF(Q113="","",IF(Q113=0,"below 5:00",IF(Q113&gt;=66,"16:00 or above",INT((60+2*Q113)/12)&amp;":"&amp;TEXT(MOD(60+2*Q113,12),"00"))))</f>
        <v/>
      </c>
      <c r="S113" s="47"/>
      <c r="T113" s="47"/>
      <c r="U113" s="47"/>
      <c r="V113" s="47"/>
      <c r="W113" s="47"/>
      <c r="X113" s="47"/>
      <c r="Y113" s="47"/>
      <c r="Z113" s="47"/>
      <c r="AA113" s="47"/>
      <c r="AB113" s="47"/>
      <c r="AC113" s="47"/>
      <c r="AD113" s="47"/>
      <c r="AE113" s="47"/>
      <c r="AF113" s="47"/>
      <c r="AG113" s="47"/>
      <c r="AH113" s="47"/>
      <c r="AI113" s="46"/>
      <c r="AJ113" s="46"/>
      <c r="AK113" s="46"/>
      <c r="AL113" s="7"/>
      <c r="AM113" s="49" t="str">
        <f aca="false">IF(OR(C113="",G113=""),"",IFERROR(DATEDIF(C113,G113,"m"),""))</f>
        <v/>
      </c>
      <c r="AN113" s="49" t="str">
        <f aca="false">IF(OR(Q113="",AM113=""),"",60+2*Q113-AM113)</f>
        <v/>
      </c>
      <c r="AO113" s="49" t="str">
        <f aca="false">IF(OR(G113="",AJ113=""),"",AJ113-G113)</f>
        <v/>
      </c>
      <c r="AP113" s="50" t="str">
        <f aca="false">IF(AND(A113="",B113=""),"",IF(J113="","Status needed",IF(OR(J113="Applied",J113="Visit booked",J113="Withdrawn"),"OK",IF(G113="","Date assessed needed",IF(C113="","Date of birth needed",IF(COUNTA(L113,M113,P113,U113,V113,X113,AB113)&lt;7,"Band missing",IF(AND(OR(J113="Decision confirmed",J113="Family told",J113="Enrolled"),AG113=""),"Recommendation needed",IF(AND(OR(J113="Family told",J113="Enrolled"),AJ113=""),"Date family told needed","OK"))))))))</f>
        <v/>
      </c>
    </row>
    <row r="114" customFormat="false" ht="15" hidden="false" customHeight="false" outlineLevel="0" collapsed="false">
      <c r="A114" s="7"/>
      <c r="B114" s="7"/>
      <c r="C114" s="46"/>
      <c r="D114" s="7"/>
      <c r="E114" s="47"/>
      <c r="F114" s="46"/>
      <c r="G114" s="46"/>
      <c r="H114" s="7"/>
      <c r="I114" s="7"/>
      <c r="J114" s="47"/>
      <c r="K114" s="47"/>
      <c r="L114" s="47"/>
      <c r="M114" s="47"/>
      <c r="N114" s="10"/>
      <c r="O114" s="47"/>
      <c r="P114" s="47"/>
      <c r="Q114" s="47"/>
      <c r="R114" s="48" t="str">
        <f aca="false">IF(Q114="","",IF(Q114=0,"below 5:00",IF(Q114&gt;=66,"16:00 or above",INT((60+2*Q114)/12)&amp;":"&amp;TEXT(MOD(60+2*Q114,12),"00"))))</f>
        <v/>
      </c>
      <c r="S114" s="47"/>
      <c r="T114" s="47"/>
      <c r="U114" s="47"/>
      <c r="V114" s="47"/>
      <c r="W114" s="47"/>
      <c r="X114" s="47"/>
      <c r="Y114" s="47"/>
      <c r="Z114" s="47"/>
      <c r="AA114" s="47"/>
      <c r="AB114" s="47"/>
      <c r="AC114" s="47"/>
      <c r="AD114" s="47"/>
      <c r="AE114" s="47"/>
      <c r="AF114" s="47"/>
      <c r="AG114" s="47"/>
      <c r="AH114" s="47"/>
      <c r="AI114" s="46"/>
      <c r="AJ114" s="46"/>
      <c r="AK114" s="46"/>
      <c r="AL114" s="7"/>
      <c r="AM114" s="49" t="str">
        <f aca="false">IF(OR(C114="",G114=""),"",IFERROR(DATEDIF(C114,G114,"m"),""))</f>
        <v/>
      </c>
      <c r="AN114" s="49" t="str">
        <f aca="false">IF(OR(Q114="",AM114=""),"",60+2*Q114-AM114)</f>
        <v/>
      </c>
      <c r="AO114" s="49" t="str">
        <f aca="false">IF(OR(G114="",AJ114=""),"",AJ114-G114)</f>
        <v/>
      </c>
      <c r="AP114" s="50" t="str">
        <f aca="false">IF(AND(A114="",B114=""),"",IF(J114="","Status needed",IF(OR(J114="Applied",J114="Visit booked",J114="Withdrawn"),"OK",IF(G114="","Date assessed needed",IF(C114="","Date of birth needed",IF(COUNTA(L114,M114,P114,U114,V114,X114,AB114)&lt;7,"Band missing",IF(AND(OR(J114="Decision confirmed",J114="Family told",J114="Enrolled"),AG114=""),"Recommendation needed",IF(AND(OR(J114="Family told",J114="Enrolled"),AJ114=""),"Date family told needed","OK"))))))))</f>
        <v/>
      </c>
    </row>
    <row r="115" customFormat="false" ht="15" hidden="false" customHeight="false" outlineLevel="0" collapsed="false">
      <c r="A115" s="7"/>
      <c r="B115" s="7"/>
      <c r="C115" s="46"/>
      <c r="D115" s="7"/>
      <c r="E115" s="47"/>
      <c r="F115" s="46"/>
      <c r="G115" s="46"/>
      <c r="H115" s="7"/>
      <c r="I115" s="7"/>
      <c r="J115" s="47"/>
      <c r="K115" s="47"/>
      <c r="L115" s="47"/>
      <c r="M115" s="47"/>
      <c r="N115" s="10"/>
      <c r="O115" s="47"/>
      <c r="P115" s="47"/>
      <c r="Q115" s="47"/>
      <c r="R115" s="48" t="str">
        <f aca="false">IF(Q115="","",IF(Q115=0,"below 5:00",IF(Q115&gt;=66,"16:00 or above",INT((60+2*Q115)/12)&amp;":"&amp;TEXT(MOD(60+2*Q115,12),"00"))))</f>
        <v/>
      </c>
      <c r="S115" s="47"/>
      <c r="T115" s="47"/>
      <c r="U115" s="47"/>
      <c r="V115" s="47"/>
      <c r="W115" s="47"/>
      <c r="X115" s="47"/>
      <c r="Y115" s="47"/>
      <c r="Z115" s="47"/>
      <c r="AA115" s="47"/>
      <c r="AB115" s="47"/>
      <c r="AC115" s="47"/>
      <c r="AD115" s="47"/>
      <c r="AE115" s="47"/>
      <c r="AF115" s="47"/>
      <c r="AG115" s="47"/>
      <c r="AH115" s="47"/>
      <c r="AI115" s="46"/>
      <c r="AJ115" s="46"/>
      <c r="AK115" s="46"/>
      <c r="AL115" s="7"/>
      <c r="AM115" s="49" t="str">
        <f aca="false">IF(OR(C115="",G115=""),"",IFERROR(DATEDIF(C115,G115,"m"),""))</f>
        <v/>
      </c>
      <c r="AN115" s="49" t="str">
        <f aca="false">IF(OR(Q115="",AM115=""),"",60+2*Q115-AM115)</f>
        <v/>
      </c>
      <c r="AO115" s="49" t="str">
        <f aca="false">IF(OR(G115="",AJ115=""),"",AJ115-G115)</f>
        <v/>
      </c>
      <c r="AP115" s="50" t="str">
        <f aca="false">IF(AND(A115="",B115=""),"",IF(J115="","Status needed",IF(OR(J115="Applied",J115="Visit booked",J115="Withdrawn"),"OK",IF(G115="","Date assessed needed",IF(C115="","Date of birth needed",IF(COUNTA(L115,M115,P115,U115,V115,X115,AB115)&lt;7,"Band missing",IF(AND(OR(J115="Decision confirmed",J115="Family told",J115="Enrolled"),AG115=""),"Recommendation needed",IF(AND(OR(J115="Family told",J115="Enrolled"),AJ115=""),"Date family told needed","OK"))))))))</f>
        <v/>
      </c>
    </row>
    <row r="116" customFormat="false" ht="15" hidden="false" customHeight="false" outlineLevel="0" collapsed="false">
      <c r="A116" s="7"/>
      <c r="B116" s="7"/>
      <c r="C116" s="46"/>
      <c r="D116" s="7"/>
      <c r="E116" s="47"/>
      <c r="F116" s="46"/>
      <c r="G116" s="46"/>
      <c r="H116" s="7"/>
      <c r="I116" s="7"/>
      <c r="J116" s="47"/>
      <c r="K116" s="47"/>
      <c r="L116" s="47"/>
      <c r="M116" s="47"/>
      <c r="N116" s="10"/>
      <c r="O116" s="47"/>
      <c r="P116" s="47"/>
      <c r="Q116" s="47"/>
      <c r="R116" s="48" t="str">
        <f aca="false">IF(Q116="","",IF(Q116=0,"below 5:00",IF(Q116&gt;=66,"16:00 or above",INT((60+2*Q116)/12)&amp;":"&amp;TEXT(MOD(60+2*Q116,12),"00"))))</f>
        <v/>
      </c>
      <c r="S116" s="47"/>
      <c r="T116" s="47"/>
      <c r="U116" s="47"/>
      <c r="V116" s="47"/>
      <c r="W116" s="47"/>
      <c r="X116" s="47"/>
      <c r="Y116" s="47"/>
      <c r="Z116" s="47"/>
      <c r="AA116" s="47"/>
      <c r="AB116" s="47"/>
      <c r="AC116" s="47"/>
      <c r="AD116" s="47"/>
      <c r="AE116" s="47"/>
      <c r="AF116" s="47"/>
      <c r="AG116" s="47"/>
      <c r="AH116" s="47"/>
      <c r="AI116" s="46"/>
      <c r="AJ116" s="46"/>
      <c r="AK116" s="46"/>
      <c r="AL116" s="7"/>
      <c r="AM116" s="49" t="str">
        <f aca="false">IF(OR(C116="",G116=""),"",IFERROR(DATEDIF(C116,G116,"m"),""))</f>
        <v/>
      </c>
      <c r="AN116" s="49" t="str">
        <f aca="false">IF(OR(Q116="",AM116=""),"",60+2*Q116-AM116)</f>
        <v/>
      </c>
      <c r="AO116" s="49" t="str">
        <f aca="false">IF(OR(G116="",AJ116=""),"",AJ116-G116)</f>
        <v/>
      </c>
      <c r="AP116" s="50" t="str">
        <f aca="false">IF(AND(A116="",B116=""),"",IF(J116="","Status needed",IF(OR(J116="Applied",J116="Visit booked",J116="Withdrawn"),"OK",IF(G116="","Date assessed needed",IF(C116="","Date of birth needed",IF(COUNTA(L116,M116,P116,U116,V116,X116,AB116)&lt;7,"Band missing",IF(AND(OR(J116="Decision confirmed",J116="Family told",J116="Enrolled"),AG116=""),"Recommendation needed",IF(AND(OR(J116="Family told",J116="Enrolled"),AJ116=""),"Date family told needed","OK"))))))))</f>
        <v/>
      </c>
    </row>
    <row r="117" customFormat="false" ht="15" hidden="false" customHeight="false" outlineLevel="0" collapsed="false">
      <c r="A117" s="7"/>
      <c r="B117" s="7"/>
      <c r="C117" s="46"/>
      <c r="D117" s="7"/>
      <c r="E117" s="47"/>
      <c r="F117" s="46"/>
      <c r="G117" s="46"/>
      <c r="H117" s="7"/>
      <c r="I117" s="7"/>
      <c r="J117" s="47"/>
      <c r="K117" s="47"/>
      <c r="L117" s="47"/>
      <c r="M117" s="47"/>
      <c r="N117" s="10"/>
      <c r="O117" s="47"/>
      <c r="P117" s="47"/>
      <c r="Q117" s="47"/>
      <c r="R117" s="48" t="str">
        <f aca="false">IF(Q117="","",IF(Q117=0,"below 5:00",IF(Q117&gt;=66,"16:00 or above",INT((60+2*Q117)/12)&amp;":"&amp;TEXT(MOD(60+2*Q117,12),"00"))))</f>
        <v/>
      </c>
      <c r="S117" s="47"/>
      <c r="T117" s="47"/>
      <c r="U117" s="47"/>
      <c r="V117" s="47"/>
      <c r="W117" s="47"/>
      <c r="X117" s="47"/>
      <c r="Y117" s="47"/>
      <c r="Z117" s="47"/>
      <c r="AA117" s="47"/>
      <c r="AB117" s="47"/>
      <c r="AC117" s="47"/>
      <c r="AD117" s="47"/>
      <c r="AE117" s="47"/>
      <c r="AF117" s="47"/>
      <c r="AG117" s="47"/>
      <c r="AH117" s="47"/>
      <c r="AI117" s="46"/>
      <c r="AJ117" s="46"/>
      <c r="AK117" s="46"/>
      <c r="AL117" s="7"/>
      <c r="AM117" s="49" t="str">
        <f aca="false">IF(OR(C117="",G117=""),"",IFERROR(DATEDIF(C117,G117,"m"),""))</f>
        <v/>
      </c>
      <c r="AN117" s="49" t="str">
        <f aca="false">IF(OR(Q117="",AM117=""),"",60+2*Q117-AM117)</f>
        <v/>
      </c>
      <c r="AO117" s="49" t="str">
        <f aca="false">IF(OR(G117="",AJ117=""),"",AJ117-G117)</f>
        <v/>
      </c>
      <c r="AP117" s="50" t="str">
        <f aca="false">IF(AND(A117="",B117=""),"",IF(J117="","Status needed",IF(OR(J117="Applied",J117="Visit booked",J117="Withdrawn"),"OK",IF(G117="","Date assessed needed",IF(C117="","Date of birth needed",IF(COUNTA(L117,M117,P117,U117,V117,X117,AB117)&lt;7,"Band missing",IF(AND(OR(J117="Decision confirmed",J117="Family told",J117="Enrolled"),AG117=""),"Recommendation needed",IF(AND(OR(J117="Family told",J117="Enrolled"),AJ117=""),"Date family told needed","OK"))))))))</f>
        <v/>
      </c>
    </row>
    <row r="118" customFormat="false" ht="15" hidden="false" customHeight="false" outlineLevel="0" collapsed="false">
      <c r="A118" s="7"/>
      <c r="B118" s="7"/>
      <c r="C118" s="46"/>
      <c r="D118" s="7"/>
      <c r="E118" s="47"/>
      <c r="F118" s="46"/>
      <c r="G118" s="46"/>
      <c r="H118" s="7"/>
      <c r="I118" s="7"/>
      <c r="J118" s="47"/>
      <c r="K118" s="47"/>
      <c r="L118" s="47"/>
      <c r="M118" s="47"/>
      <c r="N118" s="10"/>
      <c r="O118" s="47"/>
      <c r="P118" s="47"/>
      <c r="Q118" s="47"/>
      <c r="R118" s="48" t="str">
        <f aca="false">IF(Q118="","",IF(Q118=0,"below 5:00",IF(Q118&gt;=66,"16:00 or above",INT((60+2*Q118)/12)&amp;":"&amp;TEXT(MOD(60+2*Q118,12),"00"))))</f>
        <v/>
      </c>
      <c r="S118" s="47"/>
      <c r="T118" s="47"/>
      <c r="U118" s="47"/>
      <c r="V118" s="47"/>
      <c r="W118" s="47"/>
      <c r="X118" s="47"/>
      <c r="Y118" s="47"/>
      <c r="Z118" s="47"/>
      <c r="AA118" s="47"/>
      <c r="AB118" s="47"/>
      <c r="AC118" s="47"/>
      <c r="AD118" s="47"/>
      <c r="AE118" s="47"/>
      <c r="AF118" s="47"/>
      <c r="AG118" s="47"/>
      <c r="AH118" s="47"/>
      <c r="AI118" s="46"/>
      <c r="AJ118" s="46"/>
      <c r="AK118" s="46"/>
      <c r="AL118" s="7"/>
      <c r="AM118" s="49" t="str">
        <f aca="false">IF(OR(C118="",G118=""),"",IFERROR(DATEDIF(C118,G118,"m"),""))</f>
        <v/>
      </c>
      <c r="AN118" s="49" t="str">
        <f aca="false">IF(OR(Q118="",AM118=""),"",60+2*Q118-AM118)</f>
        <v/>
      </c>
      <c r="AO118" s="49" t="str">
        <f aca="false">IF(OR(G118="",AJ118=""),"",AJ118-G118)</f>
        <v/>
      </c>
      <c r="AP118" s="50" t="str">
        <f aca="false">IF(AND(A118="",B118=""),"",IF(J118="","Status needed",IF(OR(J118="Applied",J118="Visit booked",J118="Withdrawn"),"OK",IF(G118="","Date assessed needed",IF(C118="","Date of birth needed",IF(COUNTA(L118,M118,P118,U118,V118,X118,AB118)&lt;7,"Band missing",IF(AND(OR(J118="Decision confirmed",J118="Family told",J118="Enrolled"),AG118=""),"Recommendation needed",IF(AND(OR(J118="Family told",J118="Enrolled"),AJ118=""),"Date family told needed","OK"))))))))</f>
        <v/>
      </c>
    </row>
    <row r="119" customFormat="false" ht="15" hidden="false" customHeight="false" outlineLevel="0" collapsed="false">
      <c r="A119" s="7"/>
      <c r="B119" s="7"/>
      <c r="C119" s="46"/>
      <c r="D119" s="7"/>
      <c r="E119" s="47"/>
      <c r="F119" s="46"/>
      <c r="G119" s="46"/>
      <c r="H119" s="7"/>
      <c r="I119" s="7"/>
      <c r="J119" s="47"/>
      <c r="K119" s="47"/>
      <c r="L119" s="47"/>
      <c r="M119" s="47"/>
      <c r="N119" s="10"/>
      <c r="O119" s="47"/>
      <c r="P119" s="47"/>
      <c r="Q119" s="47"/>
      <c r="R119" s="48" t="str">
        <f aca="false">IF(Q119="","",IF(Q119=0,"below 5:00",IF(Q119&gt;=66,"16:00 or above",INT((60+2*Q119)/12)&amp;":"&amp;TEXT(MOD(60+2*Q119,12),"00"))))</f>
        <v/>
      </c>
      <c r="S119" s="47"/>
      <c r="T119" s="47"/>
      <c r="U119" s="47"/>
      <c r="V119" s="47"/>
      <c r="W119" s="47"/>
      <c r="X119" s="47"/>
      <c r="Y119" s="47"/>
      <c r="Z119" s="47"/>
      <c r="AA119" s="47"/>
      <c r="AB119" s="47"/>
      <c r="AC119" s="47"/>
      <c r="AD119" s="47"/>
      <c r="AE119" s="47"/>
      <c r="AF119" s="47"/>
      <c r="AG119" s="47"/>
      <c r="AH119" s="47"/>
      <c r="AI119" s="46"/>
      <c r="AJ119" s="46"/>
      <c r="AK119" s="46"/>
      <c r="AL119" s="7"/>
      <c r="AM119" s="49" t="str">
        <f aca="false">IF(OR(C119="",G119=""),"",IFERROR(DATEDIF(C119,G119,"m"),""))</f>
        <v/>
      </c>
      <c r="AN119" s="49" t="str">
        <f aca="false">IF(OR(Q119="",AM119=""),"",60+2*Q119-AM119)</f>
        <v/>
      </c>
      <c r="AO119" s="49" t="str">
        <f aca="false">IF(OR(G119="",AJ119=""),"",AJ119-G119)</f>
        <v/>
      </c>
      <c r="AP119" s="50" t="str">
        <f aca="false">IF(AND(A119="",B119=""),"",IF(J119="","Status needed",IF(OR(J119="Applied",J119="Visit booked",J119="Withdrawn"),"OK",IF(G119="","Date assessed needed",IF(C119="","Date of birth needed",IF(COUNTA(L119,M119,P119,U119,V119,X119,AB119)&lt;7,"Band missing",IF(AND(OR(J119="Decision confirmed",J119="Family told",J119="Enrolled"),AG119=""),"Recommendation needed",IF(AND(OR(J119="Family told",J119="Enrolled"),AJ119=""),"Date family told needed","OK"))))))))</f>
        <v/>
      </c>
    </row>
    <row r="120" customFormat="false" ht="15" hidden="false" customHeight="false" outlineLevel="0" collapsed="false">
      <c r="A120" s="7"/>
      <c r="B120" s="7"/>
      <c r="C120" s="46"/>
      <c r="D120" s="7"/>
      <c r="E120" s="47"/>
      <c r="F120" s="46"/>
      <c r="G120" s="46"/>
      <c r="H120" s="7"/>
      <c r="I120" s="7"/>
      <c r="J120" s="47"/>
      <c r="K120" s="47"/>
      <c r="L120" s="47"/>
      <c r="M120" s="47"/>
      <c r="N120" s="10"/>
      <c r="O120" s="47"/>
      <c r="P120" s="47"/>
      <c r="Q120" s="47"/>
      <c r="R120" s="48" t="str">
        <f aca="false">IF(Q120="","",IF(Q120=0,"below 5:00",IF(Q120&gt;=66,"16:00 or above",INT((60+2*Q120)/12)&amp;":"&amp;TEXT(MOD(60+2*Q120,12),"00"))))</f>
        <v/>
      </c>
      <c r="S120" s="47"/>
      <c r="T120" s="47"/>
      <c r="U120" s="47"/>
      <c r="V120" s="47"/>
      <c r="W120" s="47"/>
      <c r="X120" s="47"/>
      <c r="Y120" s="47"/>
      <c r="Z120" s="47"/>
      <c r="AA120" s="47"/>
      <c r="AB120" s="47"/>
      <c r="AC120" s="47"/>
      <c r="AD120" s="47"/>
      <c r="AE120" s="47"/>
      <c r="AF120" s="47"/>
      <c r="AG120" s="47"/>
      <c r="AH120" s="47"/>
      <c r="AI120" s="46"/>
      <c r="AJ120" s="46"/>
      <c r="AK120" s="46"/>
      <c r="AL120" s="7"/>
      <c r="AM120" s="49" t="str">
        <f aca="false">IF(OR(C120="",G120=""),"",IFERROR(DATEDIF(C120,G120,"m"),""))</f>
        <v/>
      </c>
      <c r="AN120" s="49" t="str">
        <f aca="false">IF(OR(Q120="",AM120=""),"",60+2*Q120-AM120)</f>
        <v/>
      </c>
      <c r="AO120" s="49" t="str">
        <f aca="false">IF(OR(G120="",AJ120=""),"",AJ120-G120)</f>
        <v/>
      </c>
      <c r="AP120" s="50" t="str">
        <f aca="false">IF(AND(A120="",B120=""),"",IF(J120="","Status needed",IF(OR(J120="Applied",J120="Visit booked",J120="Withdrawn"),"OK",IF(G120="","Date assessed needed",IF(C120="","Date of birth needed",IF(COUNTA(L120,M120,P120,U120,V120,X120,AB120)&lt;7,"Band missing",IF(AND(OR(J120="Decision confirmed",J120="Family told",J120="Enrolled"),AG120=""),"Recommendation needed",IF(AND(OR(J120="Family told",J120="Enrolled"),AJ120=""),"Date family told needed","OK"))))))))</f>
        <v/>
      </c>
    </row>
    <row r="121" customFormat="false" ht="15" hidden="false" customHeight="false" outlineLevel="0" collapsed="false">
      <c r="A121" s="7"/>
      <c r="B121" s="7"/>
      <c r="C121" s="46"/>
      <c r="D121" s="7"/>
      <c r="E121" s="47"/>
      <c r="F121" s="46"/>
      <c r="G121" s="46"/>
      <c r="H121" s="7"/>
      <c r="I121" s="7"/>
      <c r="J121" s="47"/>
      <c r="K121" s="47"/>
      <c r="L121" s="47"/>
      <c r="M121" s="47"/>
      <c r="N121" s="10"/>
      <c r="O121" s="47"/>
      <c r="P121" s="47"/>
      <c r="Q121" s="47"/>
      <c r="R121" s="48" t="str">
        <f aca="false">IF(Q121="","",IF(Q121=0,"below 5:00",IF(Q121&gt;=66,"16:00 or above",INT((60+2*Q121)/12)&amp;":"&amp;TEXT(MOD(60+2*Q121,12),"00"))))</f>
        <v/>
      </c>
      <c r="S121" s="47"/>
      <c r="T121" s="47"/>
      <c r="U121" s="47"/>
      <c r="V121" s="47"/>
      <c r="W121" s="47"/>
      <c r="X121" s="47"/>
      <c r="Y121" s="47"/>
      <c r="Z121" s="47"/>
      <c r="AA121" s="47"/>
      <c r="AB121" s="47"/>
      <c r="AC121" s="47"/>
      <c r="AD121" s="47"/>
      <c r="AE121" s="47"/>
      <c r="AF121" s="47"/>
      <c r="AG121" s="47"/>
      <c r="AH121" s="47"/>
      <c r="AI121" s="46"/>
      <c r="AJ121" s="46"/>
      <c r="AK121" s="46"/>
      <c r="AL121" s="7"/>
      <c r="AM121" s="49" t="str">
        <f aca="false">IF(OR(C121="",G121=""),"",IFERROR(DATEDIF(C121,G121,"m"),""))</f>
        <v/>
      </c>
      <c r="AN121" s="49" t="str">
        <f aca="false">IF(OR(Q121="",AM121=""),"",60+2*Q121-AM121)</f>
        <v/>
      </c>
      <c r="AO121" s="49" t="str">
        <f aca="false">IF(OR(G121="",AJ121=""),"",AJ121-G121)</f>
        <v/>
      </c>
      <c r="AP121" s="50" t="str">
        <f aca="false">IF(AND(A121="",B121=""),"",IF(J121="","Status needed",IF(OR(J121="Applied",J121="Visit booked",J121="Withdrawn"),"OK",IF(G121="","Date assessed needed",IF(C121="","Date of birth needed",IF(COUNTA(L121,M121,P121,U121,V121,X121,AB121)&lt;7,"Band missing",IF(AND(OR(J121="Decision confirmed",J121="Family told",J121="Enrolled"),AG121=""),"Recommendation needed",IF(AND(OR(J121="Family told",J121="Enrolled"),AJ121=""),"Date family told needed","OK"))))))))</f>
        <v/>
      </c>
    </row>
    <row r="122" customFormat="false" ht="15" hidden="false" customHeight="false" outlineLevel="0" collapsed="false">
      <c r="A122" s="7"/>
      <c r="B122" s="7"/>
      <c r="C122" s="46"/>
      <c r="D122" s="7"/>
      <c r="E122" s="47"/>
      <c r="F122" s="46"/>
      <c r="G122" s="46"/>
      <c r="H122" s="7"/>
      <c r="I122" s="7"/>
      <c r="J122" s="47"/>
      <c r="K122" s="47"/>
      <c r="L122" s="47"/>
      <c r="M122" s="47"/>
      <c r="N122" s="10"/>
      <c r="O122" s="47"/>
      <c r="P122" s="47"/>
      <c r="Q122" s="47"/>
      <c r="R122" s="48" t="str">
        <f aca="false">IF(Q122="","",IF(Q122=0,"below 5:00",IF(Q122&gt;=66,"16:00 or above",INT((60+2*Q122)/12)&amp;":"&amp;TEXT(MOD(60+2*Q122,12),"00"))))</f>
        <v/>
      </c>
      <c r="S122" s="47"/>
      <c r="T122" s="47"/>
      <c r="U122" s="47"/>
      <c r="V122" s="47"/>
      <c r="W122" s="47"/>
      <c r="X122" s="47"/>
      <c r="Y122" s="47"/>
      <c r="Z122" s="47"/>
      <c r="AA122" s="47"/>
      <c r="AB122" s="47"/>
      <c r="AC122" s="47"/>
      <c r="AD122" s="47"/>
      <c r="AE122" s="47"/>
      <c r="AF122" s="47"/>
      <c r="AG122" s="47"/>
      <c r="AH122" s="47"/>
      <c r="AI122" s="46"/>
      <c r="AJ122" s="46"/>
      <c r="AK122" s="46"/>
      <c r="AL122" s="7"/>
      <c r="AM122" s="49" t="str">
        <f aca="false">IF(OR(C122="",G122=""),"",IFERROR(DATEDIF(C122,G122,"m"),""))</f>
        <v/>
      </c>
      <c r="AN122" s="49" t="str">
        <f aca="false">IF(OR(Q122="",AM122=""),"",60+2*Q122-AM122)</f>
        <v/>
      </c>
      <c r="AO122" s="49" t="str">
        <f aca="false">IF(OR(G122="",AJ122=""),"",AJ122-G122)</f>
        <v/>
      </c>
      <c r="AP122" s="50" t="str">
        <f aca="false">IF(AND(A122="",B122=""),"",IF(J122="","Status needed",IF(OR(J122="Applied",J122="Visit booked",J122="Withdrawn"),"OK",IF(G122="","Date assessed needed",IF(C122="","Date of birth needed",IF(COUNTA(L122,M122,P122,U122,V122,X122,AB122)&lt;7,"Band missing",IF(AND(OR(J122="Decision confirmed",J122="Family told",J122="Enrolled"),AG122=""),"Recommendation needed",IF(AND(OR(J122="Family told",J122="Enrolled"),AJ122=""),"Date family told needed","OK"))))))))</f>
        <v/>
      </c>
    </row>
    <row r="123" customFormat="false" ht="15" hidden="false" customHeight="false" outlineLevel="0" collapsed="false">
      <c r="A123" s="7"/>
      <c r="B123" s="7"/>
      <c r="C123" s="46"/>
      <c r="D123" s="7"/>
      <c r="E123" s="47"/>
      <c r="F123" s="46"/>
      <c r="G123" s="46"/>
      <c r="H123" s="7"/>
      <c r="I123" s="7"/>
      <c r="J123" s="47"/>
      <c r="K123" s="47"/>
      <c r="L123" s="47"/>
      <c r="M123" s="47"/>
      <c r="N123" s="10"/>
      <c r="O123" s="47"/>
      <c r="P123" s="47"/>
      <c r="Q123" s="47"/>
      <c r="R123" s="48" t="str">
        <f aca="false">IF(Q123="","",IF(Q123=0,"below 5:00",IF(Q123&gt;=66,"16:00 or above",INT((60+2*Q123)/12)&amp;":"&amp;TEXT(MOD(60+2*Q123,12),"00"))))</f>
        <v/>
      </c>
      <c r="S123" s="47"/>
      <c r="T123" s="47"/>
      <c r="U123" s="47"/>
      <c r="V123" s="47"/>
      <c r="W123" s="47"/>
      <c r="X123" s="47"/>
      <c r="Y123" s="47"/>
      <c r="Z123" s="47"/>
      <c r="AA123" s="47"/>
      <c r="AB123" s="47"/>
      <c r="AC123" s="47"/>
      <c r="AD123" s="47"/>
      <c r="AE123" s="47"/>
      <c r="AF123" s="47"/>
      <c r="AG123" s="47"/>
      <c r="AH123" s="47"/>
      <c r="AI123" s="46"/>
      <c r="AJ123" s="46"/>
      <c r="AK123" s="46"/>
      <c r="AL123" s="7"/>
      <c r="AM123" s="49" t="str">
        <f aca="false">IF(OR(C123="",G123=""),"",IFERROR(DATEDIF(C123,G123,"m"),""))</f>
        <v/>
      </c>
      <c r="AN123" s="49" t="str">
        <f aca="false">IF(OR(Q123="",AM123=""),"",60+2*Q123-AM123)</f>
        <v/>
      </c>
      <c r="AO123" s="49" t="str">
        <f aca="false">IF(OR(G123="",AJ123=""),"",AJ123-G123)</f>
        <v/>
      </c>
      <c r="AP123" s="50" t="str">
        <f aca="false">IF(AND(A123="",B123=""),"",IF(J123="","Status needed",IF(OR(J123="Applied",J123="Visit booked",J123="Withdrawn"),"OK",IF(G123="","Date assessed needed",IF(C123="","Date of birth needed",IF(COUNTA(L123,M123,P123,U123,V123,X123,AB123)&lt;7,"Band missing",IF(AND(OR(J123="Decision confirmed",J123="Family told",J123="Enrolled"),AG123=""),"Recommendation needed",IF(AND(OR(J123="Family told",J123="Enrolled"),AJ123=""),"Date family told needed","OK"))))))))</f>
        <v/>
      </c>
    </row>
    <row r="124" customFormat="false" ht="15" hidden="false" customHeight="false" outlineLevel="0" collapsed="false">
      <c r="A124" s="7"/>
      <c r="B124" s="7"/>
      <c r="C124" s="46"/>
      <c r="D124" s="7"/>
      <c r="E124" s="47"/>
      <c r="F124" s="46"/>
      <c r="G124" s="46"/>
      <c r="H124" s="7"/>
      <c r="I124" s="7"/>
      <c r="J124" s="47"/>
      <c r="K124" s="47"/>
      <c r="L124" s="47"/>
      <c r="M124" s="47"/>
      <c r="N124" s="10"/>
      <c r="O124" s="47"/>
      <c r="P124" s="47"/>
      <c r="Q124" s="47"/>
      <c r="R124" s="48" t="str">
        <f aca="false">IF(Q124="","",IF(Q124=0,"below 5:00",IF(Q124&gt;=66,"16:00 or above",INT((60+2*Q124)/12)&amp;":"&amp;TEXT(MOD(60+2*Q124,12),"00"))))</f>
        <v/>
      </c>
      <c r="S124" s="47"/>
      <c r="T124" s="47"/>
      <c r="U124" s="47"/>
      <c r="V124" s="47"/>
      <c r="W124" s="47"/>
      <c r="X124" s="47"/>
      <c r="Y124" s="47"/>
      <c r="Z124" s="47"/>
      <c r="AA124" s="47"/>
      <c r="AB124" s="47"/>
      <c r="AC124" s="47"/>
      <c r="AD124" s="47"/>
      <c r="AE124" s="47"/>
      <c r="AF124" s="47"/>
      <c r="AG124" s="47"/>
      <c r="AH124" s="47"/>
      <c r="AI124" s="46"/>
      <c r="AJ124" s="46"/>
      <c r="AK124" s="46"/>
      <c r="AL124" s="7"/>
      <c r="AM124" s="49" t="str">
        <f aca="false">IF(OR(C124="",G124=""),"",IFERROR(DATEDIF(C124,G124,"m"),""))</f>
        <v/>
      </c>
      <c r="AN124" s="49" t="str">
        <f aca="false">IF(OR(Q124="",AM124=""),"",60+2*Q124-AM124)</f>
        <v/>
      </c>
      <c r="AO124" s="49" t="str">
        <f aca="false">IF(OR(G124="",AJ124=""),"",AJ124-G124)</f>
        <v/>
      </c>
      <c r="AP124" s="50" t="str">
        <f aca="false">IF(AND(A124="",B124=""),"",IF(J124="","Status needed",IF(OR(J124="Applied",J124="Visit booked",J124="Withdrawn"),"OK",IF(G124="","Date assessed needed",IF(C124="","Date of birth needed",IF(COUNTA(L124,M124,P124,U124,V124,X124,AB124)&lt;7,"Band missing",IF(AND(OR(J124="Decision confirmed",J124="Family told",J124="Enrolled"),AG124=""),"Recommendation needed",IF(AND(OR(J124="Family told",J124="Enrolled"),AJ124=""),"Date family told needed","OK"))))))))</f>
        <v/>
      </c>
    </row>
    <row r="125" customFormat="false" ht="15" hidden="false" customHeight="false" outlineLevel="0" collapsed="false">
      <c r="A125" s="7"/>
      <c r="B125" s="7"/>
      <c r="C125" s="46"/>
      <c r="D125" s="7"/>
      <c r="E125" s="47"/>
      <c r="F125" s="46"/>
      <c r="G125" s="46"/>
      <c r="H125" s="7"/>
      <c r="I125" s="7"/>
      <c r="J125" s="47"/>
      <c r="K125" s="47"/>
      <c r="L125" s="47"/>
      <c r="M125" s="47"/>
      <c r="N125" s="10"/>
      <c r="O125" s="47"/>
      <c r="P125" s="47"/>
      <c r="Q125" s="47"/>
      <c r="R125" s="48" t="str">
        <f aca="false">IF(Q125="","",IF(Q125=0,"below 5:00",IF(Q125&gt;=66,"16:00 or above",INT((60+2*Q125)/12)&amp;":"&amp;TEXT(MOD(60+2*Q125,12),"00"))))</f>
        <v/>
      </c>
      <c r="S125" s="47"/>
      <c r="T125" s="47"/>
      <c r="U125" s="47"/>
      <c r="V125" s="47"/>
      <c r="W125" s="47"/>
      <c r="X125" s="47"/>
      <c r="Y125" s="47"/>
      <c r="Z125" s="47"/>
      <c r="AA125" s="47"/>
      <c r="AB125" s="47"/>
      <c r="AC125" s="47"/>
      <c r="AD125" s="47"/>
      <c r="AE125" s="47"/>
      <c r="AF125" s="47"/>
      <c r="AG125" s="47"/>
      <c r="AH125" s="47"/>
      <c r="AI125" s="46"/>
      <c r="AJ125" s="46"/>
      <c r="AK125" s="46"/>
      <c r="AL125" s="7"/>
      <c r="AM125" s="49" t="str">
        <f aca="false">IF(OR(C125="",G125=""),"",IFERROR(DATEDIF(C125,G125,"m"),""))</f>
        <v/>
      </c>
      <c r="AN125" s="49" t="str">
        <f aca="false">IF(OR(Q125="",AM125=""),"",60+2*Q125-AM125)</f>
        <v/>
      </c>
      <c r="AO125" s="49" t="str">
        <f aca="false">IF(OR(G125="",AJ125=""),"",AJ125-G125)</f>
        <v/>
      </c>
      <c r="AP125" s="50" t="str">
        <f aca="false">IF(AND(A125="",B125=""),"",IF(J125="","Status needed",IF(OR(J125="Applied",J125="Visit booked",J125="Withdrawn"),"OK",IF(G125="","Date assessed needed",IF(C125="","Date of birth needed",IF(COUNTA(L125,M125,P125,U125,V125,X125,AB125)&lt;7,"Band missing",IF(AND(OR(J125="Decision confirmed",J125="Family told",J125="Enrolled"),AG125=""),"Recommendation needed",IF(AND(OR(J125="Family told",J125="Enrolled"),AJ125=""),"Date family told needed","OK"))))))))</f>
        <v/>
      </c>
    </row>
    <row r="126" customFormat="false" ht="15" hidden="false" customHeight="false" outlineLevel="0" collapsed="false">
      <c r="A126" s="7"/>
      <c r="B126" s="7"/>
      <c r="C126" s="46"/>
      <c r="D126" s="7"/>
      <c r="E126" s="47"/>
      <c r="F126" s="46"/>
      <c r="G126" s="46"/>
      <c r="H126" s="7"/>
      <c r="I126" s="7"/>
      <c r="J126" s="47"/>
      <c r="K126" s="47"/>
      <c r="L126" s="47"/>
      <c r="M126" s="47"/>
      <c r="N126" s="10"/>
      <c r="O126" s="47"/>
      <c r="P126" s="47"/>
      <c r="Q126" s="47"/>
      <c r="R126" s="48" t="str">
        <f aca="false">IF(Q126="","",IF(Q126=0,"below 5:00",IF(Q126&gt;=66,"16:00 or above",INT((60+2*Q126)/12)&amp;":"&amp;TEXT(MOD(60+2*Q126,12),"00"))))</f>
        <v/>
      </c>
      <c r="S126" s="47"/>
      <c r="T126" s="47"/>
      <c r="U126" s="47"/>
      <c r="V126" s="47"/>
      <c r="W126" s="47"/>
      <c r="X126" s="47"/>
      <c r="Y126" s="47"/>
      <c r="Z126" s="47"/>
      <c r="AA126" s="47"/>
      <c r="AB126" s="47"/>
      <c r="AC126" s="47"/>
      <c r="AD126" s="47"/>
      <c r="AE126" s="47"/>
      <c r="AF126" s="47"/>
      <c r="AG126" s="47"/>
      <c r="AH126" s="47"/>
      <c r="AI126" s="46"/>
      <c r="AJ126" s="46"/>
      <c r="AK126" s="46"/>
      <c r="AL126" s="7"/>
      <c r="AM126" s="49" t="str">
        <f aca="false">IF(OR(C126="",G126=""),"",IFERROR(DATEDIF(C126,G126,"m"),""))</f>
        <v/>
      </c>
      <c r="AN126" s="49" t="str">
        <f aca="false">IF(OR(Q126="",AM126=""),"",60+2*Q126-AM126)</f>
        <v/>
      </c>
      <c r="AO126" s="49" t="str">
        <f aca="false">IF(OR(G126="",AJ126=""),"",AJ126-G126)</f>
        <v/>
      </c>
      <c r="AP126" s="50" t="str">
        <f aca="false">IF(AND(A126="",B126=""),"",IF(J126="","Status needed",IF(OR(J126="Applied",J126="Visit booked",J126="Withdrawn"),"OK",IF(G126="","Date assessed needed",IF(C126="","Date of birth needed",IF(COUNTA(L126,M126,P126,U126,V126,X126,AB126)&lt;7,"Band missing",IF(AND(OR(J126="Decision confirmed",J126="Family told",J126="Enrolled"),AG126=""),"Recommendation needed",IF(AND(OR(J126="Family told",J126="Enrolled"),AJ126=""),"Date family told needed","OK"))))))))</f>
        <v/>
      </c>
    </row>
    <row r="127" customFormat="false" ht="15" hidden="false" customHeight="false" outlineLevel="0" collapsed="false">
      <c r="A127" s="7"/>
      <c r="B127" s="7"/>
      <c r="C127" s="46"/>
      <c r="D127" s="7"/>
      <c r="E127" s="47"/>
      <c r="F127" s="46"/>
      <c r="G127" s="46"/>
      <c r="H127" s="7"/>
      <c r="I127" s="7"/>
      <c r="J127" s="47"/>
      <c r="K127" s="47"/>
      <c r="L127" s="47"/>
      <c r="M127" s="47"/>
      <c r="N127" s="10"/>
      <c r="O127" s="47"/>
      <c r="P127" s="47"/>
      <c r="Q127" s="47"/>
      <c r="R127" s="48" t="str">
        <f aca="false">IF(Q127="","",IF(Q127=0,"below 5:00",IF(Q127&gt;=66,"16:00 or above",INT((60+2*Q127)/12)&amp;":"&amp;TEXT(MOD(60+2*Q127,12),"00"))))</f>
        <v/>
      </c>
      <c r="S127" s="47"/>
      <c r="T127" s="47"/>
      <c r="U127" s="47"/>
      <c r="V127" s="47"/>
      <c r="W127" s="47"/>
      <c r="X127" s="47"/>
      <c r="Y127" s="47"/>
      <c r="Z127" s="47"/>
      <c r="AA127" s="47"/>
      <c r="AB127" s="47"/>
      <c r="AC127" s="47"/>
      <c r="AD127" s="47"/>
      <c r="AE127" s="47"/>
      <c r="AF127" s="47"/>
      <c r="AG127" s="47"/>
      <c r="AH127" s="47"/>
      <c r="AI127" s="46"/>
      <c r="AJ127" s="46"/>
      <c r="AK127" s="46"/>
      <c r="AL127" s="7"/>
      <c r="AM127" s="49" t="str">
        <f aca="false">IF(OR(C127="",G127=""),"",IFERROR(DATEDIF(C127,G127,"m"),""))</f>
        <v/>
      </c>
      <c r="AN127" s="49" t="str">
        <f aca="false">IF(OR(Q127="",AM127=""),"",60+2*Q127-AM127)</f>
        <v/>
      </c>
      <c r="AO127" s="49" t="str">
        <f aca="false">IF(OR(G127="",AJ127=""),"",AJ127-G127)</f>
        <v/>
      </c>
      <c r="AP127" s="50" t="str">
        <f aca="false">IF(AND(A127="",B127=""),"",IF(J127="","Status needed",IF(OR(J127="Applied",J127="Visit booked",J127="Withdrawn"),"OK",IF(G127="","Date assessed needed",IF(C127="","Date of birth needed",IF(COUNTA(L127,M127,P127,U127,V127,X127,AB127)&lt;7,"Band missing",IF(AND(OR(J127="Decision confirmed",J127="Family told",J127="Enrolled"),AG127=""),"Recommendation needed",IF(AND(OR(J127="Family told",J127="Enrolled"),AJ127=""),"Date family told needed","OK"))))))))</f>
        <v/>
      </c>
    </row>
    <row r="128" customFormat="false" ht="15" hidden="false" customHeight="false" outlineLevel="0" collapsed="false">
      <c r="A128" s="7"/>
      <c r="B128" s="7"/>
      <c r="C128" s="46"/>
      <c r="D128" s="7"/>
      <c r="E128" s="47"/>
      <c r="F128" s="46"/>
      <c r="G128" s="46"/>
      <c r="H128" s="7"/>
      <c r="I128" s="7"/>
      <c r="J128" s="47"/>
      <c r="K128" s="47"/>
      <c r="L128" s="47"/>
      <c r="M128" s="47"/>
      <c r="N128" s="10"/>
      <c r="O128" s="47"/>
      <c r="P128" s="47"/>
      <c r="Q128" s="47"/>
      <c r="R128" s="48" t="str">
        <f aca="false">IF(Q128="","",IF(Q128=0,"below 5:00",IF(Q128&gt;=66,"16:00 or above",INT((60+2*Q128)/12)&amp;":"&amp;TEXT(MOD(60+2*Q128,12),"00"))))</f>
        <v/>
      </c>
      <c r="S128" s="47"/>
      <c r="T128" s="47"/>
      <c r="U128" s="47"/>
      <c r="V128" s="47"/>
      <c r="W128" s="47"/>
      <c r="X128" s="47"/>
      <c r="Y128" s="47"/>
      <c r="Z128" s="47"/>
      <c r="AA128" s="47"/>
      <c r="AB128" s="47"/>
      <c r="AC128" s="47"/>
      <c r="AD128" s="47"/>
      <c r="AE128" s="47"/>
      <c r="AF128" s="47"/>
      <c r="AG128" s="47"/>
      <c r="AH128" s="47"/>
      <c r="AI128" s="46"/>
      <c r="AJ128" s="46"/>
      <c r="AK128" s="46"/>
      <c r="AL128" s="7"/>
      <c r="AM128" s="49" t="str">
        <f aca="false">IF(OR(C128="",G128=""),"",IFERROR(DATEDIF(C128,G128,"m"),""))</f>
        <v/>
      </c>
      <c r="AN128" s="49" t="str">
        <f aca="false">IF(OR(Q128="",AM128=""),"",60+2*Q128-AM128)</f>
        <v/>
      </c>
      <c r="AO128" s="49" t="str">
        <f aca="false">IF(OR(G128="",AJ128=""),"",AJ128-G128)</f>
        <v/>
      </c>
      <c r="AP128" s="50" t="str">
        <f aca="false">IF(AND(A128="",B128=""),"",IF(J128="","Status needed",IF(OR(J128="Applied",J128="Visit booked",J128="Withdrawn"),"OK",IF(G128="","Date assessed needed",IF(C128="","Date of birth needed",IF(COUNTA(L128,M128,P128,U128,V128,X128,AB128)&lt;7,"Band missing",IF(AND(OR(J128="Decision confirmed",J128="Family told",J128="Enrolled"),AG128=""),"Recommendation needed",IF(AND(OR(J128="Family told",J128="Enrolled"),AJ128=""),"Date family told needed","OK"))))))))</f>
        <v/>
      </c>
    </row>
    <row r="129" customFormat="false" ht="15" hidden="false" customHeight="false" outlineLevel="0" collapsed="false">
      <c r="A129" s="7"/>
      <c r="B129" s="7"/>
      <c r="C129" s="46"/>
      <c r="D129" s="7"/>
      <c r="E129" s="47"/>
      <c r="F129" s="46"/>
      <c r="G129" s="46"/>
      <c r="H129" s="7"/>
      <c r="I129" s="7"/>
      <c r="J129" s="47"/>
      <c r="K129" s="47"/>
      <c r="L129" s="47"/>
      <c r="M129" s="47"/>
      <c r="N129" s="10"/>
      <c r="O129" s="47"/>
      <c r="P129" s="47"/>
      <c r="Q129" s="47"/>
      <c r="R129" s="48" t="str">
        <f aca="false">IF(Q129="","",IF(Q129=0,"below 5:00",IF(Q129&gt;=66,"16:00 or above",INT((60+2*Q129)/12)&amp;":"&amp;TEXT(MOD(60+2*Q129,12),"00"))))</f>
        <v/>
      </c>
      <c r="S129" s="47"/>
      <c r="T129" s="47"/>
      <c r="U129" s="47"/>
      <c r="V129" s="47"/>
      <c r="W129" s="47"/>
      <c r="X129" s="47"/>
      <c r="Y129" s="47"/>
      <c r="Z129" s="47"/>
      <c r="AA129" s="47"/>
      <c r="AB129" s="47"/>
      <c r="AC129" s="47"/>
      <c r="AD129" s="47"/>
      <c r="AE129" s="47"/>
      <c r="AF129" s="47"/>
      <c r="AG129" s="47"/>
      <c r="AH129" s="47"/>
      <c r="AI129" s="46"/>
      <c r="AJ129" s="46"/>
      <c r="AK129" s="46"/>
      <c r="AL129" s="7"/>
      <c r="AM129" s="49" t="str">
        <f aca="false">IF(OR(C129="",G129=""),"",IFERROR(DATEDIF(C129,G129,"m"),""))</f>
        <v/>
      </c>
      <c r="AN129" s="49" t="str">
        <f aca="false">IF(OR(Q129="",AM129=""),"",60+2*Q129-AM129)</f>
        <v/>
      </c>
      <c r="AO129" s="49" t="str">
        <f aca="false">IF(OR(G129="",AJ129=""),"",AJ129-G129)</f>
        <v/>
      </c>
      <c r="AP129" s="50" t="str">
        <f aca="false">IF(AND(A129="",B129=""),"",IF(J129="","Status needed",IF(OR(J129="Applied",J129="Visit booked",J129="Withdrawn"),"OK",IF(G129="","Date assessed needed",IF(C129="","Date of birth needed",IF(COUNTA(L129,M129,P129,U129,V129,X129,AB129)&lt;7,"Band missing",IF(AND(OR(J129="Decision confirmed",J129="Family told",J129="Enrolled"),AG129=""),"Recommendation needed",IF(AND(OR(J129="Family told",J129="Enrolled"),AJ129=""),"Date family told needed","OK"))))))))</f>
        <v/>
      </c>
    </row>
    <row r="130" customFormat="false" ht="15" hidden="false" customHeight="false" outlineLevel="0" collapsed="false">
      <c r="A130" s="7"/>
      <c r="B130" s="7"/>
      <c r="C130" s="46"/>
      <c r="D130" s="7"/>
      <c r="E130" s="47"/>
      <c r="F130" s="46"/>
      <c r="G130" s="46"/>
      <c r="H130" s="7"/>
      <c r="I130" s="7"/>
      <c r="J130" s="47"/>
      <c r="K130" s="47"/>
      <c r="L130" s="47"/>
      <c r="M130" s="47"/>
      <c r="N130" s="10"/>
      <c r="O130" s="47"/>
      <c r="P130" s="47"/>
      <c r="Q130" s="47"/>
      <c r="R130" s="48" t="str">
        <f aca="false">IF(Q130="","",IF(Q130=0,"below 5:00",IF(Q130&gt;=66,"16:00 or above",INT((60+2*Q130)/12)&amp;":"&amp;TEXT(MOD(60+2*Q130,12),"00"))))</f>
        <v/>
      </c>
      <c r="S130" s="47"/>
      <c r="T130" s="47"/>
      <c r="U130" s="47"/>
      <c r="V130" s="47"/>
      <c r="W130" s="47"/>
      <c r="X130" s="47"/>
      <c r="Y130" s="47"/>
      <c r="Z130" s="47"/>
      <c r="AA130" s="47"/>
      <c r="AB130" s="47"/>
      <c r="AC130" s="47"/>
      <c r="AD130" s="47"/>
      <c r="AE130" s="47"/>
      <c r="AF130" s="47"/>
      <c r="AG130" s="47"/>
      <c r="AH130" s="47"/>
      <c r="AI130" s="46"/>
      <c r="AJ130" s="46"/>
      <c r="AK130" s="46"/>
      <c r="AL130" s="7"/>
      <c r="AM130" s="49" t="str">
        <f aca="false">IF(OR(C130="",G130=""),"",IFERROR(DATEDIF(C130,G130,"m"),""))</f>
        <v/>
      </c>
      <c r="AN130" s="49" t="str">
        <f aca="false">IF(OR(Q130="",AM130=""),"",60+2*Q130-AM130)</f>
        <v/>
      </c>
      <c r="AO130" s="49" t="str">
        <f aca="false">IF(OR(G130="",AJ130=""),"",AJ130-G130)</f>
        <v/>
      </c>
      <c r="AP130" s="50" t="str">
        <f aca="false">IF(AND(A130="",B130=""),"",IF(J130="","Status needed",IF(OR(J130="Applied",J130="Visit booked",J130="Withdrawn"),"OK",IF(G130="","Date assessed needed",IF(C130="","Date of birth needed",IF(COUNTA(L130,M130,P130,U130,V130,X130,AB130)&lt;7,"Band missing",IF(AND(OR(J130="Decision confirmed",J130="Family told",J130="Enrolled"),AG130=""),"Recommendation needed",IF(AND(OR(J130="Family told",J130="Enrolled"),AJ130=""),"Date family told needed","OK"))))))))</f>
        <v/>
      </c>
    </row>
    <row r="131" customFormat="false" ht="15" hidden="false" customHeight="false" outlineLevel="0" collapsed="false">
      <c r="A131" s="7"/>
      <c r="B131" s="7"/>
      <c r="C131" s="46"/>
      <c r="D131" s="7"/>
      <c r="E131" s="47"/>
      <c r="F131" s="46"/>
      <c r="G131" s="46"/>
      <c r="H131" s="7"/>
      <c r="I131" s="7"/>
      <c r="J131" s="47"/>
      <c r="K131" s="47"/>
      <c r="L131" s="47"/>
      <c r="M131" s="47"/>
      <c r="N131" s="10"/>
      <c r="O131" s="47"/>
      <c r="P131" s="47"/>
      <c r="Q131" s="47"/>
      <c r="R131" s="48" t="str">
        <f aca="false">IF(Q131="","",IF(Q131=0,"below 5:00",IF(Q131&gt;=66,"16:00 or above",INT((60+2*Q131)/12)&amp;":"&amp;TEXT(MOD(60+2*Q131,12),"00"))))</f>
        <v/>
      </c>
      <c r="S131" s="47"/>
      <c r="T131" s="47"/>
      <c r="U131" s="47"/>
      <c r="V131" s="47"/>
      <c r="W131" s="47"/>
      <c r="X131" s="47"/>
      <c r="Y131" s="47"/>
      <c r="Z131" s="47"/>
      <c r="AA131" s="47"/>
      <c r="AB131" s="47"/>
      <c r="AC131" s="47"/>
      <c r="AD131" s="47"/>
      <c r="AE131" s="47"/>
      <c r="AF131" s="47"/>
      <c r="AG131" s="47"/>
      <c r="AH131" s="47"/>
      <c r="AI131" s="46"/>
      <c r="AJ131" s="46"/>
      <c r="AK131" s="46"/>
      <c r="AL131" s="7"/>
      <c r="AM131" s="49" t="str">
        <f aca="false">IF(OR(C131="",G131=""),"",IFERROR(DATEDIF(C131,G131,"m"),""))</f>
        <v/>
      </c>
      <c r="AN131" s="49" t="str">
        <f aca="false">IF(OR(Q131="",AM131=""),"",60+2*Q131-AM131)</f>
        <v/>
      </c>
      <c r="AO131" s="49" t="str">
        <f aca="false">IF(OR(G131="",AJ131=""),"",AJ131-G131)</f>
        <v/>
      </c>
      <c r="AP131" s="50" t="str">
        <f aca="false">IF(AND(A131="",B131=""),"",IF(J131="","Status needed",IF(OR(J131="Applied",J131="Visit booked",J131="Withdrawn"),"OK",IF(G131="","Date assessed needed",IF(C131="","Date of birth needed",IF(COUNTA(L131,M131,P131,U131,V131,X131,AB131)&lt;7,"Band missing",IF(AND(OR(J131="Decision confirmed",J131="Family told",J131="Enrolled"),AG131=""),"Recommendation needed",IF(AND(OR(J131="Family told",J131="Enrolled"),AJ131=""),"Date family told needed","OK"))))))))</f>
        <v/>
      </c>
    </row>
    <row r="132" customFormat="false" ht="15" hidden="false" customHeight="false" outlineLevel="0" collapsed="false">
      <c r="A132" s="7"/>
      <c r="B132" s="7"/>
      <c r="C132" s="46"/>
      <c r="D132" s="7"/>
      <c r="E132" s="47"/>
      <c r="F132" s="46"/>
      <c r="G132" s="46"/>
      <c r="H132" s="7"/>
      <c r="I132" s="7"/>
      <c r="J132" s="47"/>
      <c r="K132" s="47"/>
      <c r="L132" s="47"/>
      <c r="M132" s="47"/>
      <c r="N132" s="10"/>
      <c r="O132" s="47"/>
      <c r="P132" s="47"/>
      <c r="Q132" s="47"/>
      <c r="R132" s="48" t="str">
        <f aca="false">IF(Q132="","",IF(Q132=0,"below 5:00",IF(Q132&gt;=66,"16:00 or above",INT((60+2*Q132)/12)&amp;":"&amp;TEXT(MOD(60+2*Q132,12),"00"))))</f>
        <v/>
      </c>
      <c r="S132" s="47"/>
      <c r="T132" s="47"/>
      <c r="U132" s="47"/>
      <c r="V132" s="47"/>
      <c r="W132" s="47"/>
      <c r="X132" s="47"/>
      <c r="Y132" s="47"/>
      <c r="Z132" s="47"/>
      <c r="AA132" s="47"/>
      <c r="AB132" s="47"/>
      <c r="AC132" s="47"/>
      <c r="AD132" s="47"/>
      <c r="AE132" s="47"/>
      <c r="AF132" s="47"/>
      <c r="AG132" s="47"/>
      <c r="AH132" s="47"/>
      <c r="AI132" s="46"/>
      <c r="AJ132" s="46"/>
      <c r="AK132" s="46"/>
      <c r="AL132" s="7"/>
      <c r="AM132" s="49" t="str">
        <f aca="false">IF(OR(C132="",G132=""),"",IFERROR(DATEDIF(C132,G132,"m"),""))</f>
        <v/>
      </c>
      <c r="AN132" s="49" t="str">
        <f aca="false">IF(OR(Q132="",AM132=""),"",60+2*Q132-AM132)</f>
        <v/>
      </c>
      <c r="AO132" s="49" t="str">
        <f aca="false">IF(OR(G132="",AJ132=""),"",AJ132-G132)</f>
        <v/>
      </c>
      <c r="AP132" s="50" t="str">
        <f aca="false">IF(AND(A132="",B132=""),"",IF(J132="","Status needed",IF(OR(J132="Applied",J132="Visit booked",J132="Withdrawn"),"OK",IF(G132="","Date assessed needed",IF(C132="","Date of birth needed",IF(COUNTA(L132,M132,P132,U132,V132,X132,AB132)&lt;7,"Band missing",IF(AND(OR(J132="Decision confirmed",J132="Family told",J132="Enrolled"),AG132=""),"Recommendation needed",IF(AND(OR(J132="Family told",J132="Enrolled"),AJ132=""),"Date family told needed","OK"))))))))</f>
        <v/>
      </c>
    </row>
    <row r="133" customFormat="false" ht="15" hidden="false" customHeight="false" outlineLevel="0" collapsed="false">
      <c r="A133" s="7"/>
      <c r="B133" s="7"/>
      <c r="C133" s="46"/>
      <c r="D133" s="7"/>
      <c r="E133" s="47"/>
      <c r="F133" s="46"/>
      <c r="G133" s="46"/>
      <c r="H133" s="7"/>
      <c r="I133" s="7"/>
      <c r="J133" s="47"/>
      <c r="K133" s="47"/>
      <c r="L133" s="47"/>
      <c r="M133" s="47"/>
      <c r="N133" s="10"/>
      <c r="O133" s="47"/>
      <c r="P133" s="47"/>
      <c r="Q133" s="47"/>
      <c r="R133" s="48" t="str">
        <f aca="false">IF(Q133="","",IF(Q133=0,"below 5:00",IF(Q133&gt;=66,"16:00 or above",INT((60+2*Q133)/12)&amp;":"&amp;TEXT(MOD(60+2*Q133,12),"00"))))</f>
        <v/>
      </c>
      <c r="S133" s="47"/>
      <c r="T133" s="47"/>
      <c r="U133" s="47"/>
      <c r="V133" s="47"/>
      <c r="W133" s="47"/>
      <c r="X133" s="47"/>
      <c r="Y133" s="47"/>
      <c r="Z133" s="47"/>
      <c r="AA133" s="47"/>
      <c r="AB133" s="47"/>
      <c r="AC133" s="47"/>
      <c r="AD133" s="47"/>
      <c r="AE133" s="47"/>
      <c r="AF133" s="47"/>
      <c r="AG133" s="47"/>
      <c r="AH133" s="47"/>
      <c r="AI133" s="46"/>
      <c r="AJ133" s="46"/>
      <c r="AK133" s="46"/>
      <c r="AL133" s="7"/>
      <c r="AM133" s="49" t="str">
        <f aca="false">IF(OR(C133="",G133=""),"",IFERROR(DATEDIF(C133,G133,"m"),""))</f>
        <v/>
      </c>
      <c r="AN133" s="49" t="str">
        <f aca="false">IF(OR(Q133="",AM133=""),"",60+2*Q133-AM133)</f>
        <v/>
      </c>
      <c r="AO133" s="49" t="str">
        <f aca="false">IF(OR(G133="",AJ133=""),"",AJ133-G133)</f>
        <v/>
      </c>
      <c r="AP133" s="50" t="str">
        <f aca="false">IF(AND(A133="",B133=""),"",IF(J133="","Status needed",IF(OR(J133="Applied",J133="Visit booked",J133="Withdrawn"),"OK",IF(G133="","Date assessed needed",IF(C133="","Date of birth needed",IF(COUNTA(L133,M133,P133,U133,V133,X133,AB133)&lt;7,"Band missing",IF(AND(OR(J133="Decision confirmed",J133="Family told",J133="Enrolled"),AG133=""),"Recommendation needed",IF(AND(OR(J133="Family told",J133="Enrolled"),AJ133=""),"Date family told needed","OK"))))))))</f>
        <v/>
      </c>
    </row>
    <row r="134" customFormat="false" ht="15" hidden="false" customHeight="false" outlineLevel="0" collapsed="false">
      <c r="A134" s="7"/>
      <c r="B134" s="7"/>
      <c r="C134" s="46"/>
      <c r="D134" s="7"/>
      <c r="E134" s="47"/>
      <c r="F134" s="46"/>
      <c r="G134" s="46"/>
      <c r="H134" s="7"/>
      <c r="I134" s="7"/>
      <c r="J134" s="47"/>
      <c r="K134" s="47"/>
      <c r="L134" s="47"/>
      <c r="M134" s="47"/>
      <c r="N134" s="10"/>
      <c r="O134" s="47"/>
      <c r="P134" s="47"/>
      <c r="Q134" s="47"/>
      <c r="R134" s="48" t="str">
        <f aca="false">IF(Q134="","",IF(Q134=0,"below 5:00",IF(Q134&gt;=66,"16:00 or above",INT((60+2*Q134)/12)&amp;":"&amp;TEXT(MOD(60+2*Q134,12),"00"))))</f>
        <v/>
      </c>
      <c r="S134" s="47"/>
      <c r="T134" s="47"/>
      <c r="U134" s="47"/>
      <c r="V134" s="47"/>
      <c r="W134" s="47"/>
      <c r="X134" s="47"/>
      <c r="Y134" s="47"/>
      <c r="Z134" s="47"/>
      <c r="AA134" s="47"/>
      <c r="AB134" s="47"/>
      <c r="AC134" s="47"/>
      <c r="AD134" s="47"/>
      <c r="AE134" s="47"/>
      <c r="AF134" s="47"/>
      <c r="AG134" s="47"/>
      <c r="AH134" s="47"/>
      <c r="AI134" s="46"/>
      <c r="AJ134" s="46"/>
      <c r="AK134" s="46"/>
      <c r="AL134" s="7"/>
      <c r="AM134" s="49" t="str">
        <f aca="false">IF(OR(C134="",G134=""),"",IFERROR(DATEDIF(C134,G134,"m"),""))</f>
        <v/>
      </c>
      <c r="AN134" s="49" t="str">
        <f aca="false">IF(OR(Q134="",AM134=""),"",60+2*Q134-AM134)</f>
        <v/>
      </c>
      <c r="AO134" s="49" t="str">
        <f aca="false">IF(OR(G134="",AJ134=""),"",AJ134-G134)</f>
        <v/>
      </c>
      <c r="AP134" s="50" t="str">
        <f aca="false">IF(AND(A134="",B134=""),"",IF(J134="","Status needed",IF(OR(J134="Applied",J134="Visit booked",J134="Withdrawn"),"OK",IF(G134="","Date assessed needed",IF(C134="","Date of birth needed",IF(COUNTA(L134,M134,P134,U134,V134,X134,AB134)&lt;7,"Band missing",IF(AND(OR(J134="Decision confirmed",J134="Family told",J134="Enrolled"),AG134=""),"Recommendation needed",IF(AND(OR(J134="Family told",J134="Enrolled"),AJ134=""),"Date family told needed","OK"))))))))</f>
        <v/>
      </c>
    </row>
    <row r="135" customFormat="false" ht="15" hidden="false" customHeight="false" outlineLevel="0" collapsed="false">
      <c r="A135" s="7"/>
      <c r="B135" s="7"/>
      <c r="C135" s="46"/>
      <c r="D135" s="7"/>
      <c r="E135" s="47"/>
      <c r="F135" s="46"/>
      <c r="G135" s="46"/>
      <c r="H135" s="7"/>
      <c r="I135" s="7"/>
      <c r="J135" s="47"/>
      <c r="K135" s="47"/>
      <c r="L135" s="47"/>
      <c r="M135" s="47"/>
      <c r="N135" s="10"/>
      <c r="O135" s="47"/>
      <c r="P135" s="47"/>
      <c r="Q135" s="47"/>
      <c r="R135" s="48" t="str">
        <f aca="false">IF(Q135="","",IF(Q135=0,"below 5:00",IF(Q135&gt;=66,"16:00 or above",INT((60+2*Q135)/12)&amp;":"&amp;TEXT(MOD(60+2*Q135,12),"00"))))</f>
        <v/>
      </c>
      <c r="S135" s="47"/>
      <c r="T135" s="47"/>
      <c r="U135" s="47"/>
      <c r="V135" s="47"/>
      <c r="W135" s="47"/>
      <c r="X135" s="47"/>
      <c r="Y135" s="47"/>
      <c r="Z135" s="47"/>
      <c r="AA135" s="47"/>
      <c r="AB135" s="47"/>
      <c r="AC135" s="47"/>
      <c r="AD135" s="47"/>
      <c r="AE135" s="47"/>
      <c r="AF135" s="47"/>
      <c r="AG135" s="47"/>
      <c r="AH135" s="47"/>
      <c r="AI135" s="46"/>
      <c r="AJ135" s="46"/>
      <c r="AK135" s="46"/>
      <c r="AL135" s="7"/>
      <c r="AM135" s="49" t="str">
        <f aca="false">IF(OR(C135="",G135=""),"",IFERROR(DATEDIF(C135,G135,"m"),""))</f>
        <v/>
      </c>
      <c r="AN135" s="49" t="str">
        <f aca="false">IF(OR(Q135="",AM135=""),"",60+2*Q135-AM135)</f>
        <v/>
      </c>
      <c r="AO135" s="49" t="str">
        <f aca="false">IF(OR(G135="",AJ135=""),"",AJ135-G135)</f>
        <v/>
      </c>
      <c r="AP135" s="50" t="str">
        <f aca="false">IF(AND(A135="",B135=""),"",IF(J135="","Status needed",IF(OR(J135="Applied",J135="Visit booked",J135="Withdrawn"),"OK",IF(G135="","Date assessed needed",IF(C135="","Date of birth needed",IF(COUNTA(L135,M135,P135,U135,V135,X135,AB135)&lt;7,"Band missing",IF(AND(OR(J135="Decision confirmed",J135="Family told",J135="Enrolled"),AG135=""),"Recommendation needed",IF(AND(OR(J135="Family told",J135="Enrolled"),AJ135=""),"Date family told needed","OK"))))))))</f>
        <v/>
      </c>
    </row>
    <row r="136" customFormat="false" ht="15" hidden="false" customHeight="false" outlineLevel="0" collapsed="false">
      <c r="A136" s="7"/>
      <c r="B136" s="7"/>
      <c r="C136" s="46"/>
      <c r="D136" s="7"/>
      <c r="E136" s="47"/>
      <c r="F136" s="46"/>
      <c r="G136" s="46"/>
      <c r="H136" s="7"/>
      <c r="I136" s="7"/>
      <c r="J136" s="47"/>
      <c r="K136" s="47"/>
      <c r="L136" s="47"/>
      <c r="M136" s="47"/>
      <c r="N136" s="10"/>
      <c r="O136" s="47"/>
      <c r="P136" s="47"/>
      <c r="Q136" s="47"/>
      <c r="R136" s="48" t="str">
        <f aca="false">IF(Q136="","",IF(Q136=0,"below 5:00",IF(Q136&gt;=66,"16:00 or above",INT((60+2*Q136)/12)&amp;":"&amp;TEXT(MOD(60+2*Q136,12),"00"))))</f>
        <v/>
      </c>
      <c r="S136" s="47"/>
      <c r="T136" s="47"/>
      <c r="U136" s="47"/>
      <c r="V136" s="47"/>
      <c r="W136" s="47"/>
      <c r="X136" s="47"/>
      <c r="Y136" s="47"/>
      <c r="Z136" s="47"/>
      <c r="AA136" s="47"/>
      <c r="AB136" s="47"/>
      <c r="AC136" s="47"/>
      <c r="AD136" s="47"/>
      <c r="AE136" s="47"/>
      <c r="AF136" s="47"/>
      <c r="AG136" s="47"/>
      <c r="AH136" s="47"/>
      <c r="AI136" s="46"/>
      <c r="AJ136" s="46"/>
      <c r="AK136" s="46"/>
      <c r="AL136" s="7"/>
      <c r="AM136" s="49" t="str">
        <f aca="false">IF(OR(C136="",G136=""),"",IFERROR(DATEDIF(C136,G136,"m"),""))</f>
        <v/>
      </c>
      <c r="AN136" s="49" t="str">
        <f aca="false">IF(OR(Q136="",AM136=""),"",60+2*Q136-AM136)</f>
        <v/>
      </c>
      <c r="AO136" s="49" t="str">
        <f aca="false">IF(OR(G136="",AJ136=""),"",AJ136-G136)</f>
        <v/>
      </c>
      <c r="AP136" s="50" t="str">
        <f aca="false">IF(AND(A136="",B136=""),"",IF(J136="","Status needed",IF(OR(J136="Applied",J136="Visit booked",J136="Withdrawn"),"OK",IF(G136="","Date assessed needed",IF(C136="","Date of birth needed",IF(COUNTA(L136,M136,P136,U136,V136,X136,AB136)&lt;7,"Band missing",IF(AND(OR(J136="Decision confirmed",J136="Family told",J136="Enrolled"),AG136=""),"Recommendation needed",IF(AND(OR(J136="Family told",J136="Enrolled"),AJ136=""),"Date family told needed","OK"))))))))</f>
        <v/>
      </c>
    </row>
    <row r="137" customFormat="false" ht="15" hidden="false" customHeight="false" outlineLevel="0" collapsed="false">
      <c r="A137" s="7"/>
      <c r="B137" s="7"/>
      <c r="C137" s="46"/>
      <c r="D137" s="7"/>
      <c r="E137" s="47"/>
      <c r="F137" s="46"/>
      <c r="G137" s="46"/>
      <c r="H137" s="7"/>
      <c r="I137" s="7"/>
      <c r="J137" s="47"/>
      <c r="K137" s="47"/>
      <c r="L137" s="47"/>
      <c r="M137" s="47"/>
      <c r="N137" s="10"/>
      <c r="O137" s="47"/>
      <c r="P137" s="47"/>
      <c r="Q137" s="47"/>
      <c r="R137" s="48" t="str">
        <f aca="false">IF(Q137="","",IF(Q137=0,"below 5:00",IF(Q137&gt;=66,"16:00 or above",INT((60+2*Q137)/12)&amp;":"&amp;TEXT(MOD(60+2*Q137,12),"00"))))</f>
        <v/>
      </c>
      <c r="S137" s="47"/>
      <c r="T137" s="47"/>
      <c r="U137" s="47"/>
      <c r="V137" s="47"/>
      <c r="W137" s="47"/>
      <c r="X137" s="47"/>
      <c r="Y137" s="47"/>
      <c r="Z137" s="47"/>
      <c r="AA137" s="47"/>
      <c r="AB137" s="47"/>
      <c r="AC137" s="47"/>
      <c r="AD137" s="47"/>
      <c r="AE137" s="47"/>
      <c r="AF137" s="47"/>
      <c r="AG137" s="47"/>
      <c r="AH137" s="47"/>
      <c r="AI137" s="46"/>
      <c r="AJ137" s="46"/>
      <c r="AK137" s="46"/>
      <c r="AL137" s="7"/>
      <c r="AM137" s="49" t="str">
        <f aca="false">IF(OR(C137="",G137=""),"",IFERROR(DATEDIF(C137,G137,"m"),""))</f>
        <v/>
      </c>
      <c r="AN137" s="49" t="str">
        <f aca="false">IF(OR(Q137="",AM137=""),"",60+2*Q137-AM137)</f>
        <v/>
      </c>
      <c r="AO137" s="49" t="str">
        <f aca="false">IF(OR(G137="",AJ137=""),"",AJ137-G137)</f>
        <v/>
      </c>
      <c r="AP137" s="50" t="str">
        <f aca="false">IF(AND(A137="",B137=""),"",IF(J137="","Status needed",IF(OR(J137="Applied",J137="Visit booked",J137="Withdrawn"),"OK",IF(G137="","Date assessed needed",IF(C137="","Date of birth needed",IF(COUNTA(L137,M137,P137,U137,V137,X137,AB137)&lt;7,"Band missing",IF(AND(OR(J137="Decision confirmed",J137="Family told",J137="Enrolled"),AG137=""),"Recommendation needed",IF(AND(OR(J137="Family told",J137="Enrolled"),AJ137=""),"Date family told needed","OK"))))))))</f>
        <v/>
      </c>
    </row>
    <row r="138" customFormat="false" ht="15" hidden="false" customHeight="false" outlineLevel="0" collapsed="false">
      <c r="A138" s="7"/>
      <c r="B138" s="7"/>
      <c r="C138" s="46"/>
      <c r="D138" s="7"/>
      <c r="E138" s="47"/>
      <c r="F138" s="46"/>
      <c r="G138" s="46"/>
      <c r="H138" s="7"/>
      <c r="I138" s="7"/>
      <c r="J138" s="47"/>
      <c r="K138" s="47"/>
      <c r="L138" s="47"/>
      <c r="M138" s="47"/>
      <c r="N138" s="10"/>
      <c r="O138" s="47"/>
      <c r="P138" s="47"/>
      <c r="Q138" s="47"/>
      <c r="R138" s="48" t="str">
        <f aca="false">IF(Q138="","",IF(Q138=0,"below 5:00",IF(Q138&gt;=66,"16:00 or above",INT((60+2*Q138)/12)&amp;":"&amp;TEXT(MOD(60+2*Q138,12),"00"))))</f>
        <v/>
      </c>
      <c r="S138" s="47"/>
      <c r="T138" s="47"/>
      <c r="U138" s="47"/>
      <c r="V138" s="47"/>
      <c r="W138" s="47"/>
      <c r="X138" s="47"/>
      <c r="Y138" s="47"/>
      <c r="Z138" s="47"/>
      <c r="AA138" s="47"/>
      <c r="AB138" s="47"/>
      <c r="AC138" s="47"/>
      <c r="AD138" s="47"/>
      <c r="AE138" s="47"/>
      <c r="AF138" s="47"/>
      <c r="AG138" s="47"/>
      <c r="AH138" s="47"/>
      <c r="AI138" s="46"/>
      <c r="AJ138" s="46"/>
      <c r="AK138" s="46"/>
      <c r="AL138" s="7"/>
      <c r="AM138" s="49" t="str">
        <f aca="false">IF(OR(C138="",G138=""),"",IFERROR(DATEDIF(C138,G138,"m"),""))</f>
        <v/>
      </c>
      <c r="AN138" s="49" t="str">
        <f aca="false">IF(OR(Q138="",AM138=""),"",60+2*Q138-AM138)</f>
        <v/>
      </c>
      <c r="AO138" s="49" t="str">
        <f aca="false">IF(OR(G138="",AJ138=""),"",AJ138-G138)</f>
        <v/>
      </c>
      <c r="AP138" s="50" t="str">
        <f aca="false">IF(AND(A138="",B138=""),"",IF(J138="","Status needed",IF(OR(J138="Applied",J138="Visit booked",J138="Withdrawn"),"OK",IF(G138="","Date assessed needed",IF(C138="","Date of birth needed",IF(COUNTA(L138,M138,P138,U138,V138,X138,AB138)&lt;7,"Band missing",IF(AND(OR(J138="Decision confirmed",J138="Family told",J138="Enrolled"),AG138=""),"Recommendation needed",IF(AND(OR(J138="Family told",J138="Enrolled"),AJ138=""),"Date family told needed","OK"))))))))</f>
        <v/>
      </c>
    </row>
    <row r="139" customFormat="false" ht="15" hidden="false" customHeight="false" outlineLevel="0" collapsed="false">
      <c r="A139" s="7"/>
      <c r="B139" s="7"/>
      <c r="C139" s="46"/>
      <c r="D139" s="7"/>
      <c r="E139" s="47"/>
      <c r="F139" s="46"/>
      <c r="G139" s="46"/>
      <c r="H139" s="7"/>
      <c r="I139" s="7"/>
      <c r="J139" s="47"/>
      <c r="K139" s="47"/>
      <c r="L139" s="47"/>
      <c r="M139" s="47"/>
      <c r="N139" s="10"/>
      <c r="O139" s="47"/>
      <c r="P139" s="47"/>
      <c r="Q139" s="47"/>
      <c r="R139" s="48" t="str">
        <f aca="false">IF(Q139="","",IF(Q139=0,"below 5:00",IF(Q139&gt;=66,"16:00 or above",INT((60+2*Q139)/12)&amp;":"&amp;TEXT(MOD(60+2*Q139,12),"00"))))</f>
        <v/>
      </c>
      <c r="S139" s="47"/>
      <c r="T139" s="47"/>
      <c r="U139" s="47"/>
      <c r="V139" s="47"/>
      <c r="W139" s="47"/>
      <c r="X139" s="47"/>
      <c r="Y139" s="47"/>
      <c r="Z139" s="47"/>
      <c r="AA139" s="47"/>
      <c r="AB139" s="47"/>
      <c r="AC139" s="47"/>
      <c r="AD139" s="47"/>
      <c r="AE139" s="47"/>
      <c r="AF139" s="47"/>
      <c r="AG139" s="47"/>
      <c r="AH139" s="47"/>
      <c r="AI139" s="46"/>
      <c r="AJ139" s="46"/>
      <c r="AK139" s="46"/>
      <c r="AL139" s="7"/>
      <c r="AM139" s="49" t="str">
        <f aca="false">IF(OR(C139="",G139=""),"",IFERROR(DATEDIF(C139,G139,"m"),""))</f>
        <v/>
      </c>
      <c r="AN139" s="49" t="str">
        <f aca="false">IF(OR(Q139="",AM139=""),"",60+2*Q139-AM139)</f>
        <v/>
      </c>
      <c r="AO139" s="49" t="str">
        <f aca="false">IF(OR(G139="",AJ139=""),"",AJ139-G139)</f>
        <v/>
      </c>
      <c r="AP139" s="50" t="str">
        <f aca="false">IF(AND(A139="",B139=""),"",IF(J139="","Status needed",IF(OR(J139="Applied",J139="Visit booked",J139="Withdrawn"),"OK",IF(G139="","Date assessed needed",IF(C139="","Date of birth needed",IF(COUNTA(L139,M139,P139,U139,V139,X139,AB139)&lt;7,"Band missing",IF(AND(OR(J139="Decision confirmed",J139="Family told",J139="Enrolled"),AG139=""),"Recommendation needed",IF(AND(OR(J139="Family told",J139="Enrolled"),AJ139=""),"Date family told needed","OK"))))))))</f>
        <v/>
      </c>
    </row>
    <row r="140" customFormat="false" ht="15" hidden="false" customHeight="false" outlineLevel="0" collapsed="false">
      <c r="A140" s="7"/>
      <c r="B140" s="7"/>
      <c r="C140" s="46"/>
      <c r="D140" s="7"/>
      <c r="E140" s="47"/>
      <c r="F140" s="46"/>
      <c r="G140" s="46"/>
      <c r="H140" s="7"/>
      <c r="I140" s="7"/>
      <c r="J140" s="47"/>
      <c r="K140" s="47"/>
      <c r="L140" s="47"/>
      <c r="M140" s="47"/>
      <c r="N140" s="10"/>
      <c r="O140" s="47"/>
      <c r="P140" s="47"/>
      <c r="Q140" s="47"/>
      <c r="R140" s="48" t="str">
        <f aca="false">IF(Q140="","",IF(Q140=0,"below 5:00",IF(Q140&gt;=66,"16:00 or above",INT((60+2*Q140)/12)&amp;":"&amp;TEXT(MOD(60+2*Q140,12),"00"))))</f>
        <v/>
      </c>
      <c r="S140" s="47"/>
      <c r="T140" s="47"/>
      <c r="U140" s="47"/>
      <c r="V140" s="47"/>
      <c r="W140" s="47"/>
      <c r="X140" s="47"/>
      <c r="Y140" s="47"/>
      <c r="Z140" s="47"/>
      <c r="AA140" s="47"/>
      <c r="AB140" s="47"/>
      <c r="AC140" s="47"/>
      <c r="AD140" s="47"/>
      <c r="AE140" s="47"/>
      <c r="AF140" s="47"/>
      <c r="AG140" s="47"/>
      <c r="AH140" s="47"/>
      <c r="AI140" s="46"/>
      <c r="AJ140" s="46"/>
      <c r="AK140" s="46"/>
      <c r="AL140" s="7"/>
      <c r="AM140" s="49" t="str">
        <f aca="false">IF(OR(C140="",G140=""),"",IFERROR(DATEDIF(C140,G140,"m"),""))</f>
        <v/>
      </c>
      <c r="AN140" s="49" t="str">
        <f aca="false">IF(OR(Q140="",AM140=""),"",60+2*Q140-AM140)</f>
        <v/>
      </c>
      <c r="AO140" s="49" t="str">
        <f aca="false">IF(OR(G140="",AJ140=""),"",AJ140-G140)</f>
        <v/>
      </c>
      <c r="AP140" s="50" t="str">
        <f aca="false">IF(AND(A140="",B140=""),"",IF(J140="","Status needed",IF(OR(J140="Applied",J140="Visit booked",J140="Withdrawn"),"OK",IF(G140="","Date assessed needed",IF(C140="","Date of birth needed",IF(COUNTA(L140,M140,P140,U140,V140,X140,AB140)&lt;7,"Band missing",IF(AND(OR(J140="Decision confirmed",J140="Family told",J140="Enrolled"),AG140=""),"Recommendation needed",IF(AND(OR(J140="Family told",J140="Enrolled"),AJ140=""),"Date family told needed","OK"))))))))</f>
        <v/>
      </c>
    </row>
    <row r="141" customFormat="false" ht="15" hidden="false" customHeight="false" outlineLevel="0" collapsed="false">
      <c r="A141" s="7"/>
      <c r="B141" s="7"/>
      <c r="C141" s="46"/>
      <c r="D141" s="7"/>
      <c r="E141" s="47"/>
      <c r="F141" s="46"/>
      <c r="G141" s="46"/>
      <c r="H141" s="7"/>
      <c r="I141" s="7"/>
      <c r="J141" s="47"/>
      <c r="K141" s="47"/>
      <c r="L141" s="47"/>
      <c r="M141" s="47"/>
      <c r="N141" s="10"/>
      <c r="O141" s="47"/>
      <c r="P141" s="47"/>
      <c r="Q141" s="47"/>
      <c r="R141" s="48" t="str">
        <f aca="false">IF(Q141="","",IF(Q141=0,"below 5:00",IF(Q141&gt;=66,"16:00 or above",INT((60+2*Q141)/12)&amp;":"&amp;TEXT(MOD(60+2*Q141,12),"00"))))</f>
        <v/>
      </c>
      <c r="S141" s="47"/>
      <c r="T141" s="47"/>
      <c r="U141" s="47"/>
      <c r="V141" s="47"/>
      <c r="W141" s="47"/>
      <c r="X141" s="47"/>
      <c r="Y141" s="47"/>
      <c r="Z141" s="47"/>
      <c r="AA141" s="47"/>
      <c r="AB141" s="47"/>
      <c r="AC141" s="47"/>
      <c r="AD141" s="47"/>
      <c r="AE141" s="47"/>
      <c r="AF141" s="47"/>
      <c r="AG141" s="47"/>
      <c r="AH141" s="47"/>
      <c r="AI141" s="46"/>
      <c r="AJ141" s="46"/>
      <c r="AK141" s="46"/>
      <c r="AL141" s="7"/>
      <c r="AM141" s="49" t="str">
        <f aca="false">IF(OR(C141="",G141=""),"",IFERROR(DATEDIF(C141,G141,"m"),""))</f>
        <v/>
      </c>
      <c r="AN141" s="49" t="str">
        <f aca="false">IF(OR(Q141="",AM141=""),"",60+2*Q141-AM141)</f>
        <v/>
      </c>
      <c r="AO141" s="49" t="str">
        <f aca="false">IF(OR(G141="",AJ141=""),"",AJ141-G141)</f>
        <v/>
      </c>
      <c r="AP141" s="50" t="str">
        <f aca="false">IF(AND(A141="",B141=""),"",IF(J141="","Status needed",IF(OR(J141="Applied",J141="Visit booked",J141="Withdrawn"),"OK",IF(G141="","Date assessed needed",IF(C141="","Date of birth needed",IF(COUNTA(L141,M141,P141,U141,V141,X141,AB141)&lt;7,"Band missing",IF(AND(OR(J141="Decision confirmed",J141="Family told",J141="Enrolled"),AG141=""),"Recommendation needed",IF(AND(OR(J141="Family told",J141="Enrolled"),AJ141=""),"Date family told needed","OK"))))))))</f>
        <v/>
      </c>
    </row>
    <row r="142" customFormat="false" ht="15" hidden="false" customHeight="false" outlineLevel="0" collapsed="false">
      <c r="A142" s="7"/>
      <c r="B142" s="7"/>
      <c r="C142" s="46"/>
      <c r="D142" s="7"/>
      <c r="E142" s="47"/>
      <c r="F142" s="46"/>
      <c r="G142" s="46"/>
      <c r="H142" s="7"/>
      <c r="I142" s="7"/>
      <c r="J142" s="47"/>
      <c r="K142" s="47"/>
      <c r="L142" s="47"/>
      <c r="M142" s="47"/>
      <c r="N142" s="10"/>
      <c r="O142" s="47"/>
      <c r="P142" s="47"/>
      <c r="Q142" s="47"/>
      <c r="R142" s="48" t="str">
        <f aca="false">IF(Q142="","",IF(Q142=0,"below 5:00",IF(Q142&gt;=66,"16:00 or above",INT((60+2*Q142)/12)&amp;":"&amp;TEXT(MOD(60+2*Q142,12),"00"))))</f>
        <v/>
      </c>
      <c r="S142" s="47"/>
      <c r="T142" s="47"/>
      <c r="U142" s="47"/>
      <c r="V142" s="47"/>
      <c r="W142" s="47"/>
      <c r="X142" s="47"/>
      <c r="Y142" s="47"/>
      <c r="Z142" s="47"/>
      <c r="AA142" s="47"/>
      <c r="AB142" s="47"/>
      <c r="AC142" s="47"/>
      <c r="AD142" s="47"/>
      <c r="AE142" s="47"/>
      <c r="AF142" s="47"/>
      <c r="AG142" s="47"/>
      <c r="AH142" s="47"/>
      <c r="AI142" s="46"/>
      <c r="AJ142" s="46"/>
      <c r="AK142" s="46"/>
      <c r="AL142" s="7"/>
      <c r="AM142" s="49" t="str">
        <f aca="false">IF(OR(C142="",G142=""),"",IFERROR(DATEDIF(C142,G142,"m"),""))</f>
        <v/>
      </c>
      <c r="AN142" s="49" t="str">
        <f aca="false">IF(OR(Q142="",AM142=""),"",60+2*Q142-AM142)</f>
        <v/>
      </c>
      <c r="AO142" s="49" t="str">
        <f aca="false">IF(OR(G142="",AJ142=""),"",AJ142-G142)</f>
        <v/>
      </c>
      <c r="AP142" s="50" t="str">
        <f aca="false">IF(AND(A142="",B142=""),"",IF(J142="","Status needed",IF(OR(J142="Applied",J142="Visit booked",J142="Withdrawn"),"OK",IF(G142="","Date assessed needed",IF(C142="","Date of birth needed",IF(COUNTA(L142,M142,P142,U142,V142,X142,AB142)&lt;7,"Band missing",IF(AND(OR(J142="Decision confirmed",J142="Family told",J142="Enrolled"),AG142=""),"Recommendation needed",IF(AND(OR(J142="Family told",J142="Enrolled"),AJ142=""),"Date family told needed","OK"))))))))</f>
        <v/>
      </c>
    </row>
    <row r="143" customFormat="false" ht="15" hidden="false" customHeight="false" outlineLevel="0" collapsed="false">
      <c r="A143" s="7"/>
      <c r="B143" s="7"/>
      <c r="C143" s="46"/>
      <c r="D143" s="7"/>
      <c r="E143" s="47"/>
      <c r="F143" s="46"/>
      <c r="G143" s="46"/>
      <c r="H143" s="7"/>
      <c r="I143" s="7"/>
      <c r="J143" s="47"/>
      <c r="K143" s="47"/>
      <c r="L143" s="47"/>
      <c r="M143" s="47"/>
      <c r="N143" s="10"/>
      <c r="O143" s="47"/>
      <c r="P143" s="47"/>
      <c r="Q143" s="47"/>
      <c r="R143" s="48" t="str">
        <f aca="false">IF(Q143="","",IF(Q143=0,"below 5:00",IF(Q143&gt;=66,"16:00 or above",INT((60+2*Q143)/12)&amp;":"&amp;TEXT(MOD(60+2*Q143,12),"00"))))</f>
        <v/>
      </c>
      <c r="S143" s="47"/>
      <c r="T143" s="47"/>
      <c r="U143" s="47"/>
      <c r="V143" s="47"/>
      <c r="W143" s="47"/>
      <c r="X143" s="47"/>
      <c r="Y143" s="47"/>
      <c r="Z143" s="47"/>
      <c r="AA143" s="47"/>
      <c r="AB143" s="47"/>
      <c r="AC143" s="47"/>
      <c r="AD143" s="47"/>
      <c r="AE143" s="47"/>
      <c r="AF143" s="47"/>
      <c r="AG143" s="47"/>
      <c r="AH143" s="47"/>
      <c r="AI143" s="46"/>
      <c r="AJ143" s="46"/>
      <c r="AK143" s="46"/>
      <c r="AL143" s="7"/>
      <c r="AM143" s="49" t="str">
        <f aca="false">IF(OR(C143="",G143=""),"",IFERROR(DATEDIF(C143,G143,"m"),""))</f>
        <v/>
      </c>
      <c r="AN143" s="49" t="str">
        <f aca="false">IF(OR(Q143="",AM143=""),"",60+2*Q143-AM143)</f>
        <v/>
      </c>
      <c r="AO143" s="49" t="str">
        <f aca="false">IF(OR(G143="",AJ143=""),"",AJ143-G143)</f>
        <v/>
      </c>
      <c r="AP143" s="50" t="str">
        <f aca="false">IF(AND(A143="",B143=""),"",IF(J143="","Status needed",IF(OR(J143="Applied",J143="Visit booked",J143="Withdrawn"),"OK",IF(G143="","Date assessed needed",IF(C143="","Date of birth needed",IF(COUNTA(L143,M143,P143,U143,V143,X143,AB143)&lt;7,"Band missing",IF(AND(OR(J143="Decision confirmed",J143="Family told",J143="Enrolled"),AG143=""),"Recommendation needed",IF(AND(OR(J143="Family told",J143="Enrolled"),AJ143=""),"Date family told needed","OK"))))))))</f>
        <v/>
      </c>
    </row>
    <row r="144" customFormat="false" ht="15" hidden="false" customHeight="false" outlineLevel="0" collapsed="false">
      <c r="A144" s="7"/>
      <c r="B144" s="7"/>
      <c r="C144" s="46"/>
      <c r="D144" s="7"/>
      <c r="E144" s="47"/>
      <c r="F144" s="46"/>
      <c r="G144" s="46"/>
      <c r="H144" s="7"/>
      <c r="I144" s="7"/>
      <c r="J144" s="47"/>
      <c r="K144" s="47"/>
      <c r="L144" s="47"/>
      <c r="M144" s="47"/>
      <c r="N144" s="10"/>
      <c r="O144" s="47"/>
      <c r="P144" s="47"/>
      <c r="Q144" s="47"/>
      <c r="R144" s="48" t="str">
        <f aca="false">IF(Q144="","",IF(Q144=0,"below 5:00",IF(Q144&gt;=66,"16:00 or above",INT((60+2*Q144)/12)&amp;":"&amp;TEXT(MOD(60+2*Q144,12),"00"))))</f>
        <v/>
      </c>
      <c r="S144" s="47"/>
      <c r="T144" s="47"/>
      <c r="U144" s="47"/>
      <c r="V144" s="47"/>
      <c r="W144" s="47"/>
      <c r="X144" s="47"/>
      <c r="Y144" s="47"/>
      <c r="Z144" s="47"/>
      <c r="AA144" s="47"/>
      <c r="AB144" s="47"/>
      <c r="AC144" s="47"/>
      <c r="AD144" s="47"/>
      <c r="AE144" s="47"/>
      <c r="AF144" s="47"/>
      <c r="AG144" s="47"/>
      <c r="AH144" s="47"/>
      <c r="AI144" s="46"/>
      <c r="AJ144" s="46"/>
      <c r="AK144" s="46"/>
      <c r="AL144" s="7"/>
      <c r="AM144" s="49" t="str">
        <f aca="false">IF(OR(C144="",G144=""),"",IFERROR(DATEDIF(C144,G144,"m"),""))</f>
        <v/>
      </c>
      <c r="AN144" s="49" t="str">
        <f aca="false">IF(OR(Q144="",AM144=""),"",60+2*Q144-AM144)</f>
        <v/>
      </c>
      <c r="AO144" s="49" t="str">
        <f aca="false">IF(OR(G144="",AJ144=""),"",AJ144-G144)</f>
        <v/>
      </c>
      <c r="AP144" s="50" t="str">
        <f aca="false">IF(AND(A144="",B144=""),"",IF(J144="","Status needed",IF(OR(J144="Applied",J144="Visit booked",J144="Withdrawn"),"OK",IF(G144="","Date assessed needed",IF(C144="","Date of birth needed",IF(COUNTA(L144,M144,P144,U144,V144,X144,AB144)&lt;7,"Band missing",IF(AND(OR(J144="Decision confirmed",J144="Family told",J144="Enrolled"),AG144=""),"Recommendation needed",IF(AND(OR(J144="Family told",J144="Enrolled"),AJ144=""),"Date family told needed","OK"))))))))</f>
        <v/>
      </c>
    </row>
    <row r="145" customFormat="false" ht="15" hidden="false" customHeight="false" outlineLevel="0" collapsed="false">
      <c r="A145" s="7"/>
      <c r="B145" s="7"/>
      <c r="C145" s="46"/>
      <c r="D145" s="7"/>
      <c r="E145" s="47"/>
      <c r="F145" s="46"/>
      <c r="G145" s="46"/>
      <c r="H145" s="7"/>
      <c r="I145" s="7"/>
      <c r="J145" s="47"/>
      <c r="K145" s="47"/>
      <c r="L145" s="47"/>
      <c r="M145" s="47"/>
      <c r="N145" s="10"/>
      <c r="O145" s="47"/>
      <c r="P145" s="47"/>
      <c r="Q145" s="47"/>
      <c r="R145" s="48" t="str">
        <f aca="false">IF(Q145="","",IF(Q145=0,"below 5:00",IF(Q145&gt;=66,"16:00 or above",INT((60+2*Q145)/12)&amp;":"&amp;TEXT(MOD(60+2*Q145,12),"00"))))</f>
        <v/>
      </c>
      <c r="S145" s="47"/>
      <c r="T145" s="47"/>
      <c r="U145" s="47"/>
      <c r="V145" s="47"/>
      <c r="W145" s="47"/>
      <c r="X145" s="47"/>
      <c r="Y145" s="47"/>
      <c r="Z145" s="47"/>
      <c r="AA145" s="47"/>
      <c r="AB145" s="47"/>
      <c r="AC145" s="47"/>
      <c r="AD145" s="47"/>
      <c r="AE145" s="47"/>
      <c r="AF145" s="47"/>
      <c r="AG145" s="47"/>
      <c r="AH145" s="47"/>
      <c r="AI145" s="46"/>
      <c r="AJ145" s="46"/>
      <c r="AK145" s="46"/>
      <c r="AL145" s="7"/>
      <c r="AM145" s="49" t="str">
        <f aca="false">IF(OR(C145="",G145=""),"",IFERROR(DATEDIF(C145,G145,"m"),""))</f>
        <v/>
      </c>
      <c r="AN145" s="49" t="str">
        <f aca="false">IF(OR(Q145="",AM145=""),"",60+2*Q145-AM145)</f>
        <v/>
      </c>
      <c r="AO145" s="49" t="str">
        <f aca="false">IF(OR(G145="",AJ145=""),"",AJ145-G145)</f>
        <v/>
      </c>
      <c r="AP145" s="50" t="str">
        <f aca="false">IF(AND(A145="",B145=""),"",IF(J145="","Status needed",IF(OR(J145="Applied",J145="Visit booked",J145="Withdrawn"),"OK",IF(G145="","Date assessed needed",IF(C145="","Date of birth needed",IF(COUNTA(L145,M145,P145,U145,V145,X145,AB145)&lt;7,"Band missing",IF(AND(OR(J145="Decision confirmed",J145="Family told",J145="Enrolled"),AG145=""),"Recommendation needed",IF(AND(OR(J145="Family told",J145="Enrolled"),AJ145=""),"Date family told needed","OK"))))))))</f>
        <v/>
      </c>
    </row>
    <row r="146" customFormat="false" ht="15" hidden="false" customHeight="false" outlineLevel="0" collapsed="false">
      <c r="A146" s="7"/>
      <c r="B146" s="7"/>
      <c r="C146" s="46"/>
      <c r="D146" s="7"/>
      <c r="E146" s="47"/>
      <c r="F146" s="46"/>
      <c r="G146" s="46"/>
      <c r="H146" s="7"/>
      <c r="I146" s="7"/>
      <c r="J146" s="47"/>
      <c r="K146" s="47"/>
      <c r="L146" s="47"/>
      <c r="M146" s="47"/>
      <c r="N146" s="10"/>
      <c r="O146" s="47"/>
      <c r="P146" s="47"/>
      <c r="Q146" s="47"/>
      <c r="R146" s="48" t="str">
        <f aca="false">IF(Q146="","",IF(Q146=0,"below 5:00",IF(Q146&gt;=66,"16:00 or above",INT((60+2*Q146)/12)&amp;":"&amp;TEXT(MOD(60+2*Q146,12),"00"))))</f>
        <v/>
      </c>
      <c r="S146" s="47"/>
      <c r="T146" s="47"/>
      <c r="U146" s="47"/>
      <c r="V146" s="47"/>
      <c r="W146" s="47"/>
      <c r="X146" s="47"/>
      <c r="Y146" s="47"/>
      <c r="Z146" s="47"/>
      <c r="AA146" s="47"/>
      <c r="AB146" s="47"/>
      <c r="AC146" s="47"/>
      <c r="AD146" s="47"/>
      <c r="AE146" s="47"/>
      <c r="AF146" s="47"/>
      <c r="AG146" s="47"/>
      <c r="AH146" s="47"/>
      <c r="AI146" s="46"/>
      <c r="AJ146" s="46"/>
      <c r="AK146" s="46"/>
      <c r="AL146" s="7"/>
      <c r="AM146" s="49" t="str">
        <f aca="false">IF(OR(C146="",G146=""),"",IFERROR(DATEDIF(C146,G146,"m"),""))</f>
        <v/>
      </c>
      <c r="AN146" s="49" t="str">
        <f aca="false">IF(OR(Q146="",AM146=""),"",60+2*Q146-AM146)</f>
        <v/>
      </c>
      <c r="AO146" s="49" t="str">
        <f aca="false">IF(OR(G146="",AJ146=""),"",AJ146-G146)</f>
        <v/>
      </c>
      <c r="AP146" s="50" t="str">
        <f aca="false">IF(AND(A146="",B146=""),"",IF(J146="","Status needed",IF(OR(J146="Applied",J146="Visit booked",J146="Withdrawn"),"OK",IF(G146="","Date assessed needed",IF(C146="","Date of birth needed",IF(COUNTA(L146,M146,P146,U146,V146,X146,AB146)&lt;7,"Band missing",IF(AND(OR(J146="Decision confirmed",J146="Family told",J146="Enrolled"),AG146=""),"Recommendation needed",IF(AND(OR(J146="Family told",J146="Enrolled"),AJ146=""),"Date family told needed","OK"))))))))</f>
        <v/>
      </c>
    </row>
    <row r="147" customFormat="false" ht="15" hidden="false" customHeight="false" outlineLevel="0" collapsed="false">
      <c r="A147" s="7"/>
      <c r="B147" s="7"/>
      <c r="C147" s="46"/>
      <c r="D147" s="7"/>
      <c r="E147" s="47"/>
      <c r="F147" s="46"/>
      <c r="G147" s="46"/>
      <c r="H147" s="7"/>
      <c r="I147" s="7"/>
      <c r="J147" s="47"/>
      <c r="K147" s="47"/>
      <c r="L147" s="47"/>
      <c r="M147" s="47"/>
      <c r="N147" s="10"/>
      <c r="O147" s="47"/>
      <c r="P147" s="47"/>
      <c r="Q147" s="47"/>
      <c r="R147" s="48" t="str">
        <f aca="false">IF(Q147="","",IF(Q147=0,"below 5:00",IF(Q147&gt;=66,"16:00 or above",INT((60+2*Q147)/12)&amp;":"&amp;TEXT(MOD(60+2*Q147,12),"00"))))</f>
        <v/>
      </c>
      <c r="S147" s="47"/>
      <c r="T147" s="47"/>
      <c r="U147" s="47"/>
      <c r="V147" s="47"/>
      <c r="W147" s="47"/>
      <c r="X147" s="47"/>
      <c r="Y147" s="47"/>
      <c r="Z147" s="47"/>
      <c r="AA147" s="47"/>
      <c r="AB147" s="47"/>
      <c r="AC147" s="47"/>
      <c r="AD147" s="47"/>
      <c r="AE147" s="47"/>
      <c r="AF147" s="47"/>
      <c r="AG147" s="47"/>
      <c r="AH147" s="47"/>
      <c r="AI147" s="46"/>
      <c r="AJ147" s="46"/>
      <c r="AK147" s="46"/>
      <c r="AL147" s="7"/>
      <c r="AM147" s="49" t="str">
        <f aca="false">IF(OR(C147="",G147=""),"",IFERROR(DATEDIF(C147,G147,"m"),""))</f>
        <v/>
      </c>
      <c r="AN147" s="49" t="str">
        <f aca="false">IF(OR(Q147="",AM147=""),"",60+2*Q147-AM147)</f>
        <v/>
      </c>
      <c r="AO147" s="49" t="str">
        <f aca="false">IF(OR(G147="",AJ147=""),"",AJ147-G147)</f>
        <v/>
      </c>
      <c r="AP147" s="50" t="str">
        <f aca="false">IF(AND(A147="",B147=""),"",IF(J147="","Status needed",IF(OR(J147="Applied",J147="Visit booked",J147="Withdrawn"),"OK",IF(G147="","Date assessed needed",IF(C147="","Date of birth needed",IF(COUNTA(L147,M147,P147,U147,V147,X147,AB147)&lt;7,"Band missing",IF(AND(OR(J147="Decision confirmed",J147="Family told",J147="Enrolled"),AG147=""),"Recommendation needed",IF(AND(OR(J147="Family told",J147="Enrolled"),AJ147=""),"Date family told needed","OK"))))))))</f>
        <v/>
      </c>
    </row>
    <row r="148" customFormat="false" ht="15" hidden="false" customHeight="false" outlineLevel="0" collapsed="false">
      <c r="A148" s="7"/>
      <c r="B148" s="7"/>
      <c r="C148" s="46"/>
      <c r="D148" s="7"/>
      <c r="E148" s="47"/>
      <c r="F148" s="46"/>
      <c r="G148" s="46"/>
      <c r="H148" s="7"/>
      <c r="I148" s="7"/>
      <c r="J148" s="47"/>
      <c r="K148" s="47"/>
      <c r="L148" s="47"/>
      <c r="M148" s="47"/>
      <c r="N148" s="10"/>
      <c r="O148" s="47"/>
      <c r="P148" s="47"/>
      <c r="Q148" s="47"/>
      <c r="R148" s="48" t="str">
        <f aca="false">IF(Q148="","",IF(Q148=0,"below 5:00",IF(Q148&gt;=66,"16:00 or above",INT((60+2*Q148)/12)&amp;":"&amp;TEXT(MOD(60+2*Q148,12),"00"))))</f>
        <v/>
      </c>
      <c r="S148" s="47"/>
      <c r="T148" s="47"/>
      <c r="U148" s="47"/>
      <c r="V148" s="47"/>
      <c r="W148" s="47"/>
      <c r="X148" s="47"/>
      <c r="Y148" s="47"/>
      <c r="Z148" s="47"/>
      <c r="AA148" s="47"/>
      <c r="AB148" s="47"/>
      <c r="AC148" s="47"/>
      <c r="AD148" s="47"/>
      <c r="AE148" s="47"/>
      <c r="AF148" s="47"/>
      <c r="AG148" s="47"/>
      <c r="AH148" s="47"/>
      <c r="AI148" s="46"/>
      <c r="AJ148" s="46"/>
      <c r="AK148" s="46"/>
      <c r="AL148" s="7"/>
      <c r="AM148" s="49" t="str">
        <f aca="false">IF(OR(C148="",G148=""),"",IFERROR(DATEDIF(C148,G148,"m"),""))</f>
        <v/>
      </c>
      <c r="AN148" s="49" t="str">
        <f aca="false">IF(OR(Q148="",AM148=""),"",60+2*Q148-AM148)</f>
        <v/>
      </c>
      <c r="AO148" s="49" t="str">
        <f aca="false">IF(OR(G148="",AJ148=""),"",AJ148-G148)</f>
        <v/>
      </c>
      <c r="AP148" s="50" t="str">
        <f aca="false">IF(AND(A148="",B148=""),"",IF(J148="","Status needed",IF(OR(J148="Applied",J148="Visit booked",J148="Withdrawn"),"OK",IF(G148="","Date assessed needed",IF(C148="","Date of birth needed",IF(COUNTA(L148,M148,P148,U148,V148,X148,AB148)&lt;7,"Band missing",IF(AND(OR(J148="Decision confirmed",J148="Family told",J148="Enrolled"),AG148=""),"Recommendation needed",IF(AND(OR(J148="Family told",J148="Enrolled"),AJ148=""),"Date family told needed","OK"))))))))</f>
        <v/>
      </c>
    </row>
    <row r="149" customFormat="false" ht="15" hidden="false" customHeight="false" outlineLevel="0" collapsed="false">
      <c r="A149" s="7"/>
      <c r="B149" s="7"/>
      <c r="C149" s="46"/>
      <c r="D149" s="7"/>
      <c r="E149" s="47"/>
      <c r="F149" s="46"/>
      <c r="G149" s="46"/>
      <c r="H149" s="7"/>
      <c r="I149" s="7"/>
      <c r="J149" s="47"/>
      <c r="K149" s="47"/>
      <c r="L149" s="47"/>
      <c r="M149" s="47"/>
      <c r="N149" s="10"/>
      <c r="O149" s="47"/>
      <c r="P149" s="47"/>
      <c r="Q149" s="47"/>
      <c r="R149" s="48" t="str">
        <f aca="false">IF(Q149="","",IF(Q149=0,"below 5:00",IF(Q149&gt;=66,"16:00 or above",INT((60+2*Q149)/12)&amp;":"&amp;TEXT(MOD(60+2*Q149,12),"00"))))</f>
        <v/>
      </c>
      <c r="S149" s="47"/>
      <c r="T149" s="47"/>
      <c r="U149" s="47"/>
      <c r="V149" s="47"/>
      <c r="W149" s="47"/>
      <c r="X149" s="47"/>
      <c r="Y149" s="47"/>
      <c r="Z149" s="47"/>
      <c r="AA149" s="47"/>
      <c r="AB149" s="47"/>
      <c r="AC149" s="47"/>
      <c r="AD149" s="47"/>
      <c r="AE149" s="47"/>
      <c r="AF149" s="47"/>
      <c r="AG149" s="47"/>
      <c r="AH149" s="47"/>
      <c r="AI149" s="46"/>
      <c r="AJ149" s="46"/>
      <c r="AK149" s="46"/>
      <c r="AL149" s="7"/>
      <c r="AM149" s="49" t="str">
        <f aca="false">IF(OR(C149="",G149=""),"",IFERROR(DATEDIF(C149,G149,"m"),""))</f>
        <v/>
      </c>
      <c r="AN149" s="49" t="str">
        <f aca="false">IF(OR(Q149="",AM149=""),"",60+2*Q149-AM149)</f>
        <v/>
      </c>
      <c r="AO149" s="49" t="str">
        <f aca="false">IF(OR(G149="",AJ149=""),"",AJ149-G149)</f>
        <v/>
      </c>
      <c r="AP149" s="50" t="str">
        <f aca="false">IF(AND(A149="",B149=""),"",IF(J149="","Status needed",IF(OR(J149="Applied",J149="Visit booked",J149="Withdrawn"),"OK",IF(G149="","Date assessed needed",IF(C149="","Date of birth needed",IF(COUNTA(L149,M149,P149,U149,V149,X149,AB149)&lt;7,"Band missing",IF(AND(OR(J149="Decision confirmed",J149="Family told",J149="Enrolled"),AG149=""),"Recommendation needed",IF(AND(OR(J149="Family told",J149="Enrolled"),AJ149=""),"Date family told needed","OK"))))))))</f>
        <v/>
      </c>
    </row>
    <row r="150" customFormat="false" ht="15" hidden="false" customHeight="false" outlineLevel="0" collapsed="false">
      <c r="A150" s="7"/>
      <c r="B150" s="7"/>
      <c r="C150" s="46"/>
      <c r="D150" s="7"/>
      <c r="E150" s="47"/>
      <c r="F150" s="46"/>
      <c r="G150" s="46"/>
      <c r="H150" s="7"/>
      <c r="I150" s="7"/>
      <c r="J150" s="47"/>
      <c r="K150" s="47"/>
      <c r="L150" s="47"/>
      <c r="M150" s="47"/>
      <c r="N150" s="10"/>
      <c r="O150" s="47"/>
      <c r="P150" s="47"/>
      <c r="Q150" s="47"/>
      <c r="R150" s="48" t="str">
        <f aca="false">IF(Q150="","",IF(Q150=0,"below 5:00",IF(Q150&gt;=66,"16:00 or above",INT((60+2*Q150)/12)&amp;":"&amp;TEXT(MOD(60+2*Q150,12),"00"))))</f>
        <v/>
      </c>
      <c r="S150" s="47"/>
      <c r="T150" s="47"/>
      <c r="U150" s="47"/>
      <c r="V150" s="47"/>
      <c r="W150" s="47"/>
      <c r="X150" s="47"/>
      <c r="Y150" s="47"/>
      <c r="Z150" s="47"/>
      <c r="AA150" s="47"/>
      <c r="AB150" s="47"/>
      <c r="AC150" s="47"/>
      <c r="AD150" s="47"/>
      <c r="AE150" s="47"/>
      <c r="AF150" s="47"/>
      <c r="AG150" s="47"/>
      <c r="AH150" s="47"/>
      <c r="AI150" s="46"/>
      <c r="AJ150" s="46"/>
      <c r="AK150" s="46"/>
      <c r="AL150" s="7"/>
      <c r="AM150" s="49" t="str">
        <f aca="false">IF(OR(C150="",G150=""),"",IFERROR(DATEDIF(C150,G150,"m"),""))</f>
        <v/>
      </c>
      <c r="AN150" s="49" t="str">
        <f aca="false">IF(OR(Q150="",AM150=""),"",60+2*Q150-AM150)</f>
        <v/>
      </c>
      <c r="AO150" s="49" t="str">
        <f aca="false">IF(OR(G150="",AJ150=""),"",AJ150-G150)</f>
        <v/>
      </c>
      <c r="AP150" s="50" t="str">
        <f aca="false">IF(AND(A150="",B150=""),"",IF(J150="","Status needed",IF(OR(J150="Applied",J150="Visit booked",J150="Withdrawn"),"OK",IF(G150="","Date assessed needed",IF(C150="","Date of birth needed",IF(COUNTA(L150,M150,P150,U150,V150,X150,AB150)&lt;7,"Band missing",IF(AND(OR(J150="Decision confirmed",J150="Family told",J150="Enrolled"),AG150=""),"Recommendation needed",IF(AND(OR(J150="Family told",J150="Enrolled"),AJ150=""),"Date family told needed","OK"))))))))</f>
        <v/>
      </c>
    </row>
    <row r="151" customFormat="false" ht="15" hidden="false" customHeight="false" outlineLevel="0" collapsed="false">
      <c r="A151" s="7"/>
      <c r="B151" s="7"/>
      <c r="C151" s="46"/>
      <c r="D151" s="7"/>
      <c r="E151" s="47"/>
      <c r="F151" s="46"/>
      <c r="G151" s="46"/>
      <c r="H151" s="7"/>
      <c r="I151" s="7"/>
      <c r="J151" s="47"/>
      <c r="K151" s="47"/>
      <c r="L151" s="47"/>
      <c r="M151" s="47"/>
      <c r="N151" s="10"/>
      <c r="O151" s="47"/>
      <c r="P151" s="47"/>
      <c r="Q151" s="47"/>
      <c r="R151" s="48" t="str">
        <f aca="false">IF(Q151="","",IF(Q151=0,"below 5:00",IF(Q151&gt;=66,"16:00 or above",INT((60+2*Q151)/12)&amp;":"&amp;TEXT(MOD(60+2*Q151,12),"00"))))</f>
        <v/>
      </c>
      <c r="S151" s="47"/>
      <c r="T151" s="47"/>
      <c r="U151" s="47"/>
      <c r="V151" s="47"/>
      <c r="W151" s="47"/>
      <c r="X151" s="47"/>
      <c r="Y151" s="47"/>
      <c r="Z151" s="47"/>
      <c r="AA151" s="47"/>
      <c r="AB151" s="47"/>
      <c r="AC151" s="47"/>
      <c r="AD151" s="47"/>
      <c r="AE151" s="47"/>
      <c r="AF151" s="47"/>
      <c r="AG151" s="47"/>
      <c r="AH151" s="47"/>
      <c r="AI151" s="46"/>
      <c r="AJ151" s="46"/>
      <c r="AK151" s="46"/>
      <c r="AL151" s="7"/>
      <c r="AM151" s="49" t="str">
        <f aca="false">IF(OR(C151="",G151=""),"",IFERROR(DATEDIF(C151,G151,"m"),""))</f>
        <v/>
      </c>
      <c r="AN151" s="49" t="str">
        <f aca="false">IF(OR(Q151="",AM151=""),"",60+2*Q151-AM151)</f>
        <v/>
      </c>
      <c r="AO151" s="49" t="str">
        <f aca="false">IF(OR(G151="",AJ151=""),"",AJ151-G151)</f>
        <v/>
      </c>
      <c r="AP151" s="50" t="str">
        <f aca="false">IF(AND(A151="",B151=""),"",IF(J151="","Status needed",IF(OR(J151="Applied",J151="Visit booked",J151="Withdrawn"),"OK",IF(G151="","Date assessed needed",IF(C151="","Date of birth needed",IF(COUNTA(L151,M151,P151,U151,V151,X151,AB151)&lt;7,"Band missing",IF(AND(OR(J151="Decision confirmed",J151="Family told",J151="Enrolled"),AG151=""),"Recommendation needed",IF(AND(OR(J151="Family told",J151="Enrolled"),AJ151=""),"Date family told needed","OK"))))))))</f>
        <v/>
      </c>
    </row>
    <row r="152" customFormat="false" ht="15" hidden="false" customHeight="false" outlineLevel="0" collapsed="false">
      <c r="A152" s="7"/>
      <c r="B152" s="7"/>
      <c r="C152" s="46"/>
      <c r="D152" s="7"/>
      <c r="E152" s="47"/>
      <c r="F152" s="46"/>
      <c r="G152" s="46"/>
      <c r="H152" s="7"/>
      <c r="I152" s="7"/>
      <c r="J152" s="47"/>
      <c r="K152" s="47"/>
      <c r="L152" s="47"/>
      <c r="M152" s="47"/>
      <c r="N152" s="10"/>
      <c r="O152" s="47"/>
      <c r="P152" s="47"/>
      <c r="Q152" s="47"/>
      <c r="R152" s="48" t="str">
        <f aca="false">IF(Q152="","",IF(Q152=0,"below 5:00",IF(Q152&gt;=66,"16:00 or above",INT((60+2*Q152)/12)&amp;":"&amp;TEXT(MOD(60+2*Q152,12),"00"))))</f>
        <v/>
      </c>
      <c r="S152" s="47"/>
      <c r="T152" s="47"/>
      <c r="U152" s="47"/>
      <c r="V152" s="47"/>
      <c r="W152" s="47"/>
      <c r="X152" s="47"/>
      <c r="Y152" s="47"/>
      <c r="Z152" s="47"/>
      <c r="AA152" s="47"/>
      <c r="AB152" s="47"/>
      <c r="AC152" s="47"/>
      <c r="AD152" s="47"/>
      <c r="AE152" s="47"/>
      <c r="AF152" s="47"/>
      <c r="AG152" s="47"/>
      <c r="AH152" s="47"/>
      <c r="AI152" s="46"/>
      <c r="AJ152" s="46"/>
      <c r="AK152" s="46"/>
      <c r="AL152" s="7"/>
      <c r="AM152" s="49" t="str">
        <f aca="false">IF(OR(C152="",G152=""),"",IFERROR(DATEDIF(C152,G152,"m"),""))</f>
        <v/>
      </c>
      <c r="AN152" s="49" t="str">
        <f aca="false">IF(OR(Q152="",AM152=""),"",60+2*Q152-AM152)</f>
        <v/>
      </c>
      <c r="AO152" s="49" t="str">
        <f aca="false">IF(OR(G152="",AJ152=""),"",AJ152-G152)</f>
        <v/>
      </c>
      <c r="AP152" s="50" t="str">
        <f aca="false">IF(AND(A152="",B152=""),"",IF(J152="","Status needed",IF(OR(J152="Applied",J152="Visit booked",J152="Withdrawn"),"OK",IF(G152="","Date assessed needed",IF(C152="","Date of birth needed",IF(COUNTA(L152,M152,P152,U152,V152,X152,AB152)&lt;7,"Band missing",IF(AND(OR(J152="Decision confirmed",J152="Family told",J152="Enrolled"),AG152=""),"Recommendation needed",IF(AND(OR(J152="Family told",J152="Enrolled"),AJ152=""),"Date family told needed","OK"))))))))</f>
        <v/>
      </c>
    </row>
    <row r="153" customFormat="false" ht="15" hidden="false" customHeight="false" outlineLevel="0" collapsed="false">
      <c r="A153" s="7"/>
      <c r="B153" s="7"/>
      <c r="C153" s="46"/>
      <c r="D153" s="7"/>
      <c r="E153" s="47"/>
      <c r="F153" s="46"/>
      <c r="G153" s="46"/>
      <c r="H153" s="7"/>
      <c r="I153" s="7"/>
      <c r="J153" s="47"/>
      <c r="K153" s="47"/>
      <c r="L153" s="47"/>
      <c r="M153" s="47"/>
      <c r="N153" s="10"/>
      <c r="O153" s="47"/>
      <c r="P153" s="47"/>
      <c r="Q153" s="47"/>
      <c r="R153" s="48" t="str">
        <f aca="false">IF(Q153="","",IF(Q153=0,"below 5:00",IF(Q153&gt;=66,"16:00 or above",INT((60+2*Q153)/12)&amp;":"&amp;TEXT(MOD(60+2*Q153,12),"00"))))</f>
        <v/>
      </c>
      <c r="S153" s="47"/>
      <c r="T153" s="47"/>
      <c r="U153" s="47"/>
      <c r="V153" s="47"/>
      <c r="W153" s="47"/>
      <c r="X153" s="47"/>
      <c r="Y153" s="47"/>
      <c r="Z153" s="47"/>
      <c r="AA153" s="47"/>
      <c r="AB153" s="47"/>
      <c r="AC153" s="47"/>
      <c r="AD153" s="47"/>
      <c r="AE153" s="47"/>
      <c r="AF153" s="47"/>
      <c r="AG153" s="47"/>
      <c r="AH153" s="47"/>
      <c r="AI153" s="46"/>
      <c r="AJ153" s="46"/>
      <c r="AK153" s="46"/>
      <c r="AL153" s="7"/>
      <c r="AM153" s="49" t="str">
        <f aca="false">IF(OR(C153="",G153=""),"",IFERROR(DATEDIF(C153,G153,"m"),""))</f>
        <v/>
      </c>
      <c r="AN153" s="49" t="str">
        <f aca="false">IF(OR(Q153="",AM153=""),"",60+2*Q153-AM153)</f>
        <v/>
      </c>
      <c r="AO153" s="49" t="str">
        <f aca="false">IF(OR(G153="",AJ153=""),"",AJ153-G153)</f>
        <v/>
      </c>
      <c r="AP153" s="50" t="str">
        <f aca="false">IF(AND(A153="",B153=""),"",IF(J153="","Status needed",IF(OR(J153="Applied",J153="Visit booked",J153="Withdrawn"),"OK",IF(G153="","Date assessed needed",IF(C153="","Date of birth needed",IF(COUNTA(L153,M153,P153,U153,V153,X153,AB153)&lt;7,"Band missing",IF(AND(OR(J153="Decision confirmed",J153="Family told",J153="Enrolled"),AG153=""),"Recommendation needed",IF(AND(OR(J153="Family told",J153="Enrolled"),AJ153=""),"Date family told needed","OK"))))))))</f>
        <v/>
      </c>
    </row>
    <row r="154" customFormat="false" ht="15" hidden="false" customHeight="false" outlineLevel="0" collapsed="false">
      <c r="A154" s="7"/>
      <c r="B154" s="7"/>
      <c r="C154" s="46"/>
      <c r="D154" s="7"/>
      <c r="E154" s="47"/>
      <c r="F154" s="46"/>
      <c r="G154" s="46"/>
      <c r="H154" s="7"/>
      <c r="I154" s="7"/>
      <c r="J154" s="47"/>
      <c r="K154" s="47"/>
      <c r="L154" s="47"/>
      <c r="M154" s="47"/>
      <c r="N154" s="10"/>
      <c r="O154" s="47"/>
      <c r="P154" s="47"/>
      <c r="Q154" s="47"/>
      <c r="R154" s="48" t="str">
        <f aca="false">IF(Q154="","",IF(Q154=0,"below 5:00",IF(Q154&gt;=66,"16:00 or above",INT((60+2*Q154)/12)&amp;":"&amp;TEXT(MOD(60+2*Q154,12),"00"))))</f>
        <v/>
      </c>
      <c r="S154" s="47"/>
      <c r="T154" s="47"/>
      <c r="U154" s="47"/>
      <c r="V154" s="47"/>
      <c r="W154" s="47"/>
      <c r="X154" s="47"/>
      <c r="Y154" s="47"/>
      <c r="Z154" s="47"/>
      <c r="AA154" s="47"/>
      <c r="AB154" s="47"/>
      <c r="AC154" s="47"/>
      <c r="AD154" s="47"/>
      <c r="AE154" s="47"/>
      <c r="AF154" s="47"/>
      <c r="AG154" s="47"/>
      <c r="AH154" s="47"/>
      <c r="AI154" s="46"/>
      <c r="AJ154" s="46"/>
      <c r="AK154" s="46"/>
      <c r="AL154" s="7"/>
      <c r="AM154" s="49" t="str">
        <f aca="false">IF(OR(C154="",G154=""),"",IFERROR(DATEDIF(C154,G154,"m"),""))</f>
        <v/>
      </c>
      <c r="AN154" s="49" t="str">
        <f aca="false">IF(OR(Q154="",AM154=""),"",60+2*Q154-AM154)</f>
        <v/>
      </c>
      <c r="AO154" s="49" t="str">
        <f aca="false">IF(OR(G154="",AJ154=""),"",AJ154-G154)</f>
        <v/>
      </c>
      <c r="AP154" s="50" t="str">
        <f aca="false">IF(AND(A154="",B154=""),"",IF(J154="","Status needed",IF(OR(J154="Applied",J154="Visit booked",J154="Withdrawn"),"OK",IF(G154="","Date assessed needed",IF(C154="","Date of birth needed",IF(COUNTA(L154,M154,P154,U154,V154,X154,AB154)&lt;7,"Band missing",IF(AND(OR(J154="Decision confirmed",J154="Family told",J154="Enrolled"),AG154=""),"Recommendation needed",IF(AND(OR(J154="Family told",J154="Enrolled"),AJ154=""),"Date family told needed","OK"))))))))</f>
        <v/>
      </c>
    </row>
    <row r="155" customFormat="false" ht="15" hidden="false" customHeight="false" outlineLevel="0" collapsed="false">
      <c r="A155" s="7"/>
      <c r="B155" s="7"/>
      <c r="C155" s="46"/>
      <c r="D155" s="7"/>
      <c r="E155" s="47"/>
      <c r="F155" s="46"/>
      <c r="G155" s="46"/>
      <c r="H155" s="7"/>
      <c r="I155" s="7"/>
      <c r="J155" s="47"/>
      <c r="K155" s="47"/>
      <c r="L155" s="47"/>
      <c r="M155" s="47"/>
      <c r="N155" s="10"/>
      <c r="O155" s="47"/>
      <c r="P155" s="47"/>
      <c r="Q155" s="47"/>
      <c r="R155" s="48" t="str">
        <f aca="false">IF(Q155="","",IF(Q155=0,"below 5:00",IF(Q155&gt;=66,"16:00 or above",INT((60+2*Q155)/12)&amp;":"&amp;TEXT(MOD(60+2*Q155,12),"00"))))</f>
        <v/>
      </c>
      <c r="S155" s="47"/>
      <c r="T155" s="47"/>
      <c r="U155" s="47"/>
      <c r="V155" s="47"/>
      <c r="W155" s="47"/>
      <c r="X155" s="47"/>
      <c r="Y155" s="47"/>
      <c r="Z155" s="47"/>
      <c r="AA155" s="47"/>
      <c r="AB155" s="47"/>
      <c r="AC155" s="47"/>
      <c r="AD155" s="47"/>
      <c r="AE155" s="47"/>
      <c r="AF155" s="47"/>
      <c r="AG155" s="47"/>
      <c r="AH155" s="47"/>
      <c r="AI155" s="46"/>
      <c r="AJ155" s="46"/>
      <c r="AK155" s="46"/>
      <c r="AL155" s="7"/>
      <c r="AM155" s="49" t="str">
        <f aca="false">IF(OR(C155="",G155=""),"",IFERROR(DATEDIF(C155,G155,"m"),""))</f>
        <v/>
      </c>
      <c r="AN155" s="49" t="str">
        <f aca="false">IF(OR(Q155="",AM155=""),"",60+2*Q155-AM155)</f>
        <v/>
      </c>
      <c r="AO155" s="49" t="str">
        <f aca="false">IF(OR(G155="",AJ155=""),"",AJ155-G155)</f>
        <v/>
      </c>
      <c r="AP155" s="50" t="str">
        <f aca="false">IF(AND(A155="",B155=""),"",IF(J155="","Status needed",IF(OR(J155="Applied",J155="Visit booked",J155="Withdrawn"),"OK",IF(G155="","Date assessed needed",IF(C155="","Date of birth needed",IF(COUNTA(L155,M155,P155,U155,V155,X155,AB155)&lt;7,"Band missing",IF(AND(OR(J155="Decision confirmed",J155="Family told",J155="Enrolled"),AG155=""),"Recommendation needed",IF(AND(OR(J155="Family told",J155="Enrolled"),AJ155=""),"Date family told needed","OK"))))))))</f>
        <v/>
      </c>
    </row>
    <row r="156" customFormat="false" ht="15" hidden="false" customHeight="false" outlineLevel="0" collapsed="false">
      <c r="A156" s="7"/>
      <c r="B156" s="7"/>
      <c r="C156" s="46"/>
      <c r="D156" s="7"/>
      <c r="E156" s="47"/>
      <c r="F156" s="46"/>
      <c r="G156" s="46"/>
      <c r="H156" s="7"/>
      <c r="I156" s="7"/>
      <c r="J156" s="47"/>
      <c r="K156" s="47"/>
      <c r="L156" s="47"/>
      <c r="M156" s="47"/>
      <c r="N156" s="10"/>
      <c r="O156" s="47"/>
      <c r="P156" s="47"/>
      <c r="Q156" s="47"/>
      <c r="R156" s="48" t="str">
        <f aca="false">IF(Q156="","",IF(Q156=0,"below 5:00",IF(Q156&gt;=66,"16:00 or above",INT((60+2*Q156)/12)&amp;":"&amp;TEXT(MOD(60+2*Q156,12),"00"))))</f>
        <v/>
      </c>
      <c r="S156" s="47"/>
      <c r="T156" s="47"/>
      <c r="U156" s="47"/>
      <c r="V156" s="47"/>
      <c r="W156" s="47"/>
      <c r="X156" s="47"/>
      <c r="Y156" s="47"/>
      <c r="Z156" s="47"/>
      <c r="AA156" s="47"/>
      <c r="AB156" s="47"/>
      <c r="AC156" s="47"/>
      <c r="AD156" s="47"/>
      <c r="AE156" s="47"/>
      <c r="AF156" s="47"/>
      <c r="AG156" s="47"/>
      <c r="AH156" s="47"/>
      <c r="AI156" s="46"/>
      <c r="AJ156" s="46"/>
      <c r="AK156" s="46"/>
      <c r="AL156" s="7"/>
      <c r="AM156" s="49" t="str">
        <f aca="false">IF(OR(C156="",G156=""),"",IFERROR(DATEDIF(C156,G156,"m"),""))</f>
        <v/>
      </c>
      <c r="AN156" s="49" t="str">
        <f aca="false">IF(OR(Q156="",AM156=""),"",60+2*Q156-AM156)</f>
        <v/>
      </c>
      <c r="AO156" s="49" t="str">
        <f aca="false">IF(OR(G156="",AJ156=""),"",AJ156-G156)</f>
        <v/>
      </c>
      <c r="AP156" s="50" t="str">
        <f aca="false">IF(AND(A156="",B156=""),"",IF(J156="","Status needed",IF(OR(J156="Applied",J156="Visit booked",J156="Withdrawn"),"OK",IF(G156="","Date assessed needed",IF(C156="","Date of birth needed",IF(COUNTA(L156,M156,P156,U156,V156,X156,AB156)&lt;7,"Band missing",IF(AND(OR(J156="Decision confirmed",J156="Family told",J156="Enrolled"),AG156=""),"Recommendation needed",IF(AND(OR(J156="Family told",J156="Enrolled"),AJ156=""),"Date family told needed","OK"))))))))</f>
        <v/>
      </c>
    </row>
    <row r="157" customFormat="false" ht="15" hidden="false" customHeight="false" outlineLevel="0" collapsed="false">
      <c r="A157" s="7"/>
      <c r="B157" s="7"/>
      <c r="C157" s="46"/>
      <c r="D157" s="7"/>
      <c r="E157" s="47"/>
      <c r="F157" s="46"/>
      <c r="G157" s="46"/>
      <c r="H157" s="7"/>
      <c r="I157" s="7"/>
      <c r="J157" s="47"/>
      <c r="K157" s="47"/>
      <c r="L157" s="47"/>
      <c r="M157" s="47"/>
      <c r="N157" s="10"/>
      <c r="O157" s="47"/>
      <c r="P157" s="47"/>
      <c r="Q157" s="47"/>
      <c r="R157" s="48" t="str">
        <f aca="false">IF(Q157="","",IF(Q157=0,"below 5:00",IF(Q157&gt;=66,"16:00 or above",INT((60+2*Q157)/12)&amp;":"&amp;TEXT(MOD(60+2*Q157,12),"00"))))</f>
        <v/>
      </c>
      <c r="S157" s="47"/>
      <c r="T157" s="47"/>
      <c r="U157" s="47"/>
      <c r="V157" s="47"/>
      <c r="W157" s="47"/>
      <c r="X157" s="47"/>
      <c r="Y157" s="47"/>
      <c r="Z157" s="47"/>
      <c r="AA157" s="47"/>
      <c r="AB157" s="47"/>
      <c r="AC157" s="47"/>
      <c r="AD157" s="47"/>
      <c r="AE157" s="47"/>
      <c r="AF157" s="47"/>
      <c r="AG157" s="47"/>
      <c r="AH157" s="47"/>
      <c r="AI157" s="46"/>
      <c r="AJ157" s="46"/>
      <c r="AK157" s="46"/>
      <c r="AL157" s="7"/>
      <c r="AM157" s="49" t="str">
        <f aca="false">IF(OR(C157="",G157=""),"",IFERROR(DATEDIF(C157,G157,"m"),""))</f>
        <v/>
      </c>
      <c r="AN157" s="49" t="str">
        <f aca="false">IF(OR(Q157="",AM157=""),"",60+2*Q157-AM157)</f>
        <v/>
      </c>
      <c r="AO157" s="49" t="str">
        <f aca="false">IF(OR(G157="",AJ157=""),"",AJ157-G157)</f>
        <v/>
      </c>
      <c r="AP157" s="50" t="str">
        <f aca="false">IF(AND(A157="",B157=""),"",IF(J157="","Status needed",IF(OR(J157="Applied",J157="Visit booked",J157="Withdrawn"),"OK",IF(G157="","Date assessed needed",IF(C157="","Date of birth needed",IF(COUNTA(L157,M157,P157,U157,V157,X157,AB157)&lt;7,"Band missing",IF(AND(OR(J157="Decision confirmed",J157="Family told",J157="Enrolled"),AG157=""),"Recommendation needed",IF(AND(OR(J157="Family told",J157="Enrolled"),AJ157=""),"Date family told needed","OK"))))))))</f>
        <v/>
      </c>
    </row>
    <row r="158" customFormat="false" ht="15" hidden="false" customHeight="false" outlineLevel="0" collapsed="false">
      <c r="A158" s="7"/>
      <c r="B158" s="7"/>
      <c r="C158" s="46"/>
      <c r="D158" s="7"/>
      <c r="E158" s="47"/>
      <c r="F158" s="46"/>
      <c r="G158" s="46"/>
      <c r="H158" s="7"/>
      <c r="I158" s="7"/>
      <c r="J158" s="47"/>
      <c r="K158" s="47"/>
      <c r="L158" s="47"/>
      <c r="M158" s="47"/>
      <c r="N158" s="10"/>
      <c r="O158" s="47"/>
      <c r="P158" s="47"/>
      <c r="Q158" s="47"/>
      <c r="R158" s="48" t="str">
        <f aca="false">IF(Q158="","",IF(Q158=0,"below 5:00",IF(Q158&gt;=66,"16:00 or above",INT((60+2*Q158)/12)&amp;":"&amp;TEXT(MOD(60+2*Q158,12),"00"))))</f>
        <v/>
      </c>
      <c r="S158" s="47"/>
      <c r="T158" s="47"/>
      <c r="U158" s="47"/>
      <c r="V158" s="47"/>
      <c r="W158" s="47"/>
      <c r="X158" s="47"/>
      <c r="Y158" s="47"/>
      <c r="Z158" s="47"/>
      <c r="AA158" s="47"/>
      <c r="AB158" s="47"/>
      <c r="AC158" s="47"/>
      <c r="AD158" s="47"/>
      <c r="AE158" s="47"/>
      <c r="AF158" s="47"/>
      <c r="AG158" s="47"/>
      <c r="AH158" s="47"/>
      <c r="AI158" s="46"/>
      <c r="AJ158" s="46"/>
      <c r="AK158" s="46"/>
      <c r="AL158" s="7"/>
      <c r="AM158" s="49" t="str">
        <f aca="false">IF(OR(C158="",G158=""),"",IFERROR(DATEDIF(C158,G158,"m"),""))</f>
        <v/>
      </c>
      <c r="AN158" s="49" t="str">
        <f aca="false">IF(OR(Q158="",AM158=""),"",60+2*Q158-AM158)</f>
        <v/>
      </c>
      <c r="AO158" s="49" t="str">
        <f aca="false">IF(OR(G158="",AJ158=""),"",AJ158-G158)</f>
        <v/>
      </c>
      <c r="AP158" s="50" t="str">
        <f aca="false">IF(AND(A158="",B158=""),"",IF(J158="","Status needed",IF(OR(J158="Applied",J158="Visit booked",J158="Withdrawn"),"OK",IF(G158="","Date assessed needed",IF(C158="","Date of birth needed",IF(COUNTA(L158,M158,P158,U158,V158,X158,AB158)&lt;7,"Band missing",IF(AND(OR(J158="Decision confirmed",J158="Family told",J158="Enrolled"),AG158=""),"Recommendation needed",IF(AND(OR(J158="Family told",J158="Enrolled"),AJ158=""),"Date family told needed","OK"))))))))</f>
        <v/>
      </c>
    </row>
    <row r="159" customFormat="false" ht="15" hidden="false" customHeight="false" outlineLevel="0" collapsed="false">
      <c r="A159" s="7"/>
      <c r="B159" s="7"/>
      <c r="C159" s="46"/>
      <c r="D159" s="7"/>
      <c r="E159" s="47"/>
      <c r="F159" s="46"/>
      <c r="G159" s="46"/>
      <c r="H159" s="7"/>
      <c r="I159" s="7"/>
      <c r="J159" s="47"/>
      <c r="K159" s="47"/>
      <c r="L159" s="47"/>
      <c r="M159" s="47"/>
      <c r="N159" s="10"/>
      <c r="O159" s="47"/>
      <c r="P159" s="47"/>
      <c r="Q159" s="47"/>
      <c r="R159" s="48" t="str">
        <f aca="false">IF(Q159="","",IF(Q159=0,"below 5:00",IF(Q159&gt;=66,"16:00 or above",INT((60+2*Q159)/12)&amp;":"&amp;TEXT(MOD(60+2*Q159,12),"00"))))</f>
        <v/>
      </c>
      <c r="S159" s="47"/>
      <c r="T159" s="47"/>
      <c r="U159" s="47"/>
      <c r="V159" s="47"/>
      <c r="W159" s="47"/>
      <c r="X159" s="47"/>
      <c r="Y159" s="47"/>
      <c r="Z159" s="47"/>
      <c r="AA159" s="47"/>
      <c r="AB159" s="47"/>
      <c r="AC159" s="47"/>
      <c r="AD159" s="47"/>
      <c r="AE159" s="47"/>
      <c r="AF159" s="47"/>
      <c r="AG159" s="47"/>
      <c r="AH159" s="47"/>
      <c r="AI159" s="46"/>
      <c r="AJ159" s="46"/>
      <c r="AK159" s="46"/>
      <c r="AL159" s="7"/>
      <c r="AM159" s="49" t="str">
        <f aca="false">IF(OR(C159="",G159=""),"",IFERROR(DATEDIF(C159,G159,"m"),""))</f>
        <v/>
      </c>
      <c r="AN159" s="49" t="str">
        <f aca="false">IF(OR(Q159="",AM159=""),"",60+2*Q159-AM159)</f>
        <v/>
      </c>
      <c r="AO159" s="49" t="str">
        <f aca="false">IF(OR(G159="",AJ159=""),"",AJ159-G159)</f>
        <v/>
      </c>
      <c r="AP159" s="50" t="str">
        <f aca="false">IF(AND(A159="",B159=""),"",IF(J159="","Status needed",IF(OR(J159="Applied",J159="Visit booked",J159="Withdrawn"),"OK",IF(G159="","Date assessed needed",IF(C159="","Date of birth needed",IF(COUNTA(L159,M159,P159,U159,V159,X159,AB159)&lt;7,"Band missing",IF(AND(OR(J159="Decision confirmed",J159="Family told",J159="Enrolled"),AG159=""),"Recommendation needed",IF(AND(OR(J159="Family told",J159="Enrolled"),AJ159=""),"Date family told needed","OK"))))))))</f>
        <v/>
      </c>
    </row>
    <row r="160" customFormat="false" ht="15" hidden="false" customHeight="false" outlineLevel="0" collapsed="false">
      <c r="A160" s="7"/>
      <c r="B160" s="7"/>
      <c r="C160" s="46"/>
      <c r="D160" s="7"/>
      <c r="E160" s="47"/>
      <c r="F160" s="46"/>
      <c r="G160" s="46"/>
      <c r="H160" s="7"/>
      <c r="I160" s="7"/>
      <c r="J160" s="47"/>
      <c r="K160" s="47"/>
      <c r="L160" s="47"/>
      <c r="M160" s="47"/>
      <c r="N160" s="10"/>
      <c r="O160" s="47"/>
      <c r="P160" s="47"/>
      <c r="Q160" s="47"/>
      <c r="R160" s="48" t="str">
        <f aca="false">IF(Q160="","",IF(Q160=0,"below 5:00",IF(Q160&gt;=66,"16:00 or above",INT((60+2*Q160)/12)&amp;":"&amp;TEXT(MOD(60+2*Q160,12),"00"))))</f>
        <v/>
      </c>
      <c r="S160" s="47"/>
      <c r="T160" s="47"/>
      <c r="U160" s="47"/>
      <c r="V160" s="47"/>
      <c r="W160" s="47"/>
      <c r="X160" s="47"/>
      <c r="Y160" s="47"/>
      <c r="Z160" s="47"/>
      <c r="AA160" s="47"/>
      <c r="AB160" s="47"/>
      <c r="AC160" s="47"/>
      <c r="AD160" s="47"/>
      <c r="AE160" s="47"/>
      <c r="AF160" s="47"/>
      <c r="AG160" s="47"/>
      <c r="AH160" s="47"/>
      <c r="AI160" s="46"/>
      <c r="AJ160" s="46"/>
      <c r="AK160" s="46"/>
      <c r="AL160" s="7"/>
      <c r="AM160" s="49" t="str">
        <f aca="false">IF(OR(C160="",G160=""),"",IFERROR(DATEDIF(C160,G160,"m"),""))</f>
        <v/>
      </c>
      <c r="AN160" s="49" t="str">
        <f aca="false">IF(OR(Q160="",AM160=""),"",60+2*Q160-AM160)</f>
        <v/>
      </c>
      <c r="AO160" s="49" t="str">
        <f aca="false">IF(OR(G160="",AJ160=""),"",AJ160-G160)</f>
        <v/>
      </c>
      <c r="AP160" s="50" t="str">
        <f aca="false">IF(AND(A160="",B160=""),"",IF(J160="","Status needed",IF(OR(J160="Applied",J160="Visit booked",J160="Withdrawn"),"OK",IF(G160="","Date assessed needed",IF(C160="","Date of birth needed",IF(COUNTA(L160,M160,P160,U160,V160,X160,AB160)&lt;7,"Band missing",IF(AND(OR(J160="Decision confirmed",J160="Family told",J160="Enrolled"),AG160=""),"Recommendation needed",IF(AND(OR(J160="Family told",J160="Enrolled"),AJ160=""),"Date family told needed","OK"))))))))</f>
        <v/>
      </c>
    </row>
    <row r="161" customFormat="false" ht="15" hidden="false" customHeight="false" outlineLevel="0" collapsed="false">
      <c r="A161" s="7"/>
      <c r="B161" s="7"/>
      <c r="C161" s="46"/>
      <c r="D161" s="7"/>
      <c r="E161" s="47"/>
      <c r="F161" s="46"/>
      <c r="G161" s="46"/>
      <c r="H161" s="7"/>
      <c r="I161" s="7"/>
      <c r="J161" s="47"/>
      <c r="K161" s="47"/>
      <c r="L161" s="47"/>
      <c r="M161" s="47"/>
      <c r="N161" s="10"/>
      <c r="O161" s="47"/>
      <c r="P161" s="47"/>
      <c r="Q161" s="47"/>
      <c r="R161" s="48" t="str">
        <f aca="false">IF(Q161="","",IF(Q161=0,"below 5:00",IF(Q161&gt;=66,"16:00 or above",INT((60+2*Q161)/12)&amp;":"&amp;TEXT(MOD(60+2*Q161,12),"00"))))</f>
        <v/>
      </c>
      <c r="S161" s="47"/>
      <c r="T161" s="47"/>
      <c r="U161" s="47"/>
      <c r="V161" s="47"/>
      <c r="W161" s="47"/>
      <c r="X161" s="47"/>
      <c r="Y161" s="47"/>
      <c r="Z161" s="47"/>
      <c r="AA161" s="47"/>
      <c r="AB161" s="47"/>
      <c r="AC161" s="47"/>
      <c r="AD161" s="47"/>
      <c r="AE161" s="47"/>
      <c r="AF161" s="47"/>
      <c r="AG161" s="47"/>
      <c r="AH161" s="47"/>
      <c r="AI161" s="46"/>
      <c r="AJ161" s="46"/>
      <c r="AK161" s="46"/>
      <c r="AL161" s="7"/>
      <c r="AM161" s="49" t="str">
        <f aca="false">IF(OR(C161="",G161=""),"",IFERROR(DATEDIF(C161,G161,"m"),""))</f>
        <v/>
      </c>
      <c r="AN161" s="49" t="str">
        <f aca="false">IF(OR(Q161="",AM161=""),"",60+2*Q161-AM161)</f>
        <v/>
      </c>
      <c r="AO161" s="49" t="str">
        <f aca="false">IF(OR(G161="",AJ161=""),"",AJ161-G161)</f>
        <v/>
      </c>
      <c r="AP161" s="50" t="str">
        <f aca="false">IF(AND(A161="",B161=""),"",IF(J161="","Status needed",IF(OR(J161="Applied",J161="Visit booked",J161="Withdrawn"),"OK",IF(G161="","Date assessed needed",IF(C161="","Date of birth needed",IF(COUNTA(L161,M161,P161,U161,V161,X161,AB161)&lt;7,"Band missing",IF(AND(OR(J161="Decision confirmed",J161="Family told",J161="Enrolled"),AG161=""),"Recommendation needed",IF(AND(OR(J161="Family told",J161="Enrolled"),AJ161=""),"Date family told needed","OK"))))))))</f>
        <v/>
      </c>
    </row>
    <row r="162" customFormat="false" ht="15" hidden="false" customHeight="false" outlineLevel="0" collapsed="false">
      <c r="A162" s="7"/>
      <c r="B162" s="7"/>
      <c r="C162" s="46"/>
      <c r="D162" s="7"/>
      <c r="E162" s="47"/>
      <c r="F162" s="46"/>
      <c r="G162" s="46"/>
      <c r="H162" s="7"/>
      <c r="I162" s="7"/>
      <c r="J162" s="47"/>
      <c r="K162" s="47"/>
      <c r="L162" s="47"/>
      <c r="M162" s="47"/>
      <c r="N162" s="10"/>
      <c r="O162" s="47"/>
      <c r="P162" s="47"/>
      <c r="Q162" s="47"/>
      <c r="R162" s="48" t="str">
        <f aca="false">IF(Q162="","",IF(Q162=0,"below 5:00",IF(Q162&gt;=66,"16:00 or above",INT((60+2*Q162)/12)&amp;":"&amp;TEXT(MOD(60+2*Q162,12),"00"))))</f>
        <v/>
      </c>
      <c r="S162" s="47"/>
      <c r="T162" s="47"/>
      <c r="U162" s="47"/>
      <c r="V162" s="47"/>
      <c r="W162" s="47"/>
      <c r="X162" s="47"/>
      <c r="Y162" s="47"/>
      <c r="Z162" s="47"/>
      <c r="AA162" s="47"/>
      <c r="AB162" s="47"/>
      <c r="AC162" s="47"/>
      <c r="AD162" s="47"/>
      <c r="AE162" s="47"/>
      <c r="AF162" s="47"/>
      <c r="AG162" s="47"/>
      <c r="AH162" s="47"/>
      <c r="AI162" s="46"/>
      <c r="AJ162" s="46"/>
      <c r="AK162" s="46"/>
      <c r="AL162" s="7"/>
      <c r="AM162" s="49" t="str">
        <f aca="false">IF(OR(C162="",G162=""),"",IFERROR(DATEDIF(C162,G162,"m"),""))</f>
        <v/>
      </c>
      <c r="AN162" s="49" t="str">
        <f aca="false">IF(OR(Q162="",AM162=""),"",60+2*Q162-AM162)</f>
        <v/>
      </c>
      <c r="AO162" s="49" t="str">
        <f aca="false">IF(OR(G162="",AJ162=""),"",AJ162-G162)</f>
        <v/>
      </c>
      <c r="AP162" s="50" t="str">
        <f aca="false">IF(AND(A162="",B162=""),"",IF(J162="","Status needed",IF(OR(J162="Applied",J162="Visit booked",J162="Withdrawn"),"OK",IF(G162="","Date assessed needed",IF(C162="","Date of birth needed",IF(COUNTA(L162,M162,P162,U162,V162,X162,AB162)&lt;7,"Band missing",IF(AND(OR(J162="Decision confirmed",J162="Family told",J162="Enrolled"),AG162=""),"Recommendation needed",IF(AND(OR(J162="Family told",J162="Enrolled"),AJ162=""),"Date family told needed","OK"))))))))</f>
        <v/>
      </c>
    </row>
    <row r="163" customFormat="false" ht="15" hidden="false" customHeight="false" outlineLevel="0" collapsed="false">
      <c r="A163" s="7"/>
      <c r="B163" s="7"/>
      <c r="C163" s="46"/>
      <c r="D163" s="7"/>
      <c r="E163" s="47"/>
      <c r="F163" s="46"/>
      <c r="G163" s="46"/>
      <c r="H163" s="7"/>
      <c r="I163" s="7"/>
      <c r="J163" s="47"/>
      <c r="K163" s="47"/>
      <c r="L163" s="47"/>
      <c r="M163" s="47"/>
      <c r="N163" s="10"/>
      <c r="O163" s="47"/>
      <c r="P163" s="47"/>
      <c r="Q163" s="47"/>
      <c r="R163" s="48" t="str">
        <f aca="false">IF(Q163="","",IF(Q163=0,"below 5:00",IF(Q163&gt;=66,"16:00 or above",INT((60+2*Q163)/12)&amp;":"&amp;TEXT(MOD(60+2*Q163,12),"00"))))</f>
        <v/>
      </c>
      <c r="S163" s="47"/>
      <c r="T163" s="47"/>
      <c r="U163" s="47"/>
      <c r="V163" s="47"/>
      <c r="W163" s="47"/>
      <c r="X163" s="47"/>
      <c r="Y163" s="47"/>
      <c r="Z163" s="47"/>
      <c r="AA163" s="47"/>
      <c r="AB163" s="47"/>
      <c r="AC163" s="47"/>
      <c r="AD163" s="47"/>
      <c r="AE163" s="47"/>
      <c r="AF163" s="47"/>
      <c r="AG163" s="47"/>
      <c r="AH163" s="47"/>
      <c r="AI163" s="46"/>
      <c r="AJ163" s="46"/>
      <c r="AK163" s="46"/>
      <c r="AL163" s="7"/>
      <c r="AM163" s="49" t="str">
        <f aca="false">IF(OR(C163="",G163=""),"",IFERROR(DATEDIF(C163,G163,"m"),""))</f>
        <v/>
      </c>
      <c r="AN163" s="49" t="str">
        <f aca="false">IF(OR(Q163="",AM163=""),"",60+2*Q163-AM163)</f>
        <v/>
      </c>
      <c r="AO163" s="49" t="str">
        <f aca="false">IF(OR(G163="",AJ163=""),"",AJ163-G163)</f>
        <v/>
      </c>
      <c r="AP163" s="50" t="str">
        <f aca="false">IF(AND(A163="",B163=""),"",IF(J163="","Status needed",IF(OR(J163="Applied",J163="Visit booked",J163="Withdrawn"),"OK",IF(G163="","Date assessed needed",IF(C163="","Date of birth needed",IF(COUNTA(L163,M163,P163,U163,V163,X163,AB163)&lt;7,"Band missing",IF(AND(OR(J163="Decision confirmed",J163="Family told",J163="Enrolled"),AG163=""),"Recommendation needed",IF(AND(OR(J163="Family told",J163="Enrolled"),AJ163=""),"Date family told needed","OK"))))))))</f>
        <v/>
      </c>
    </row>
    <row r="164" customFormat="false" ht="15" hidden="false" customHeight="false" outlineLevel="0" collapsed="false">
      <c r="A164" s="7"/>
      <c r="B164" s="7"/>
      <c r="C164" s="46"/>
      <c r="D164" s="7"/>
      <c r="E164" s="47"/>
      <c r="F164" s="46"/>
      <c r="G164" s="46"/>
      <c r="H164" s="7"/>
      <c r="I164" s="7"/>
      <c r="J164" s="47"/>
      <c r="K164" s="47"/>
      <c r="L164" s="47"/>
      <c r="M164" s="47"/>
      <c r="N164" s="10"/>
      <c r="O164" s="47"/>
      <c r="P164" s="47"/>
      <c r="Q164" s="47"/>
      <c r="R164" s="48" t="str">
        <f aca="false">IF(Q164="","",IF(Q164=0,"below 5:00",IF(Q164&gt;=66,"16:00 or above",INT((60+2*Q164)/12)&amp;":"&amp;TEXT(MOD(60+2*Q164,12),"00"))))</f>
        <v/>
      </c>
      <c r="S164" s="47"/>
      <c r="T164" s="47"/>
      <c r="U164" s="47"/>
      <c r="V164" s="47"/>
      <c r="W164" s="47"/>
      <c r="X164" s="47"/>
      <c r="Y164" s="47"/>
      <c r="Z164" s="47"/>
      <c r="AA164" s="47"/>
      <c r="AB164" s="47"/>
      <c r="AC164" s="47"/>
      <c r="AD164" s="47"/>
      <c r="AE164" s="47"/>
      <c r="AF164" s="47"/>
      <c r="AG164" s="47"/>
      <c r="AH164" s="47"/>
      <c r="AI164" s="46"/>
      <c r="AJ164" s="46"/>
      <c r="AK164" s="46"/>
      <c r="AL164" s="7"/>
      <c r="AM164" s="49" t="str">
        <f aca="false">IF(OR(C164="",G164=""),"",IFERROR(DATEDIF(C164,G164,"m"),""))</f>
        <v/>
      </c>
      <c r="AN164" s="49" t="str">
        <f aca="false">IF(OR(Q164="",AM164=""),"",60+2*Q164-AM164)</f>
        <v/>
      </c>
      <c r="AO164" s="49" t="str">
        <f aca="false">IF(OR(G164="",AJ164=""),"",AJ164-G164)</f>
        <v/>
      </c>
      <c r="AP164" s="50" t="str">
        <f aca="false">IF(AND(A164="",B164=""),"",IF(J164="","Status needed",IF(OR(J164="Applied",J164="Visit booked",J164="Withdrawn"),"OK",IF(G164="","Date assessed needed",IF(C164="","Date of birth needed",IF(COUNTA(L164,M164,P164,U164,V164,X164,AB164)&lt;7,"Band missing",IF(AND(OR(J164="Decision confirmed",J164="Family told",J164="Enrolled"),AG164=""),"Recommendation needed",IF(AND(OR(J164="Family told",J164="Enrolled"),AJ164=""),"Date family told needed","OK"))))))))</f>
        <v/>
      </c>
    </row>
    <row r="165" customFormat="false" ht="15" hidden="false" customHeight="false" outlineLevel="0" collapsed="false">
      <c r="A165" s="7"/>
      <c r="B165" s="7"/>
      <c r="C165" s="46"/>
      <c r="D165" s="7"/>
      <c r="E165" s="47"/>
      <c r="F165" s="46"/>
      <c r="G165" s="46"/>
      <c r="H165" s="7"/>
      <c r="I165" s="7"/>
      <c r="J165" s="47"/>
      <c r="K165" s="47"/>
      <c r="L165" s="47"/>
      <c r="M165" s="47"/>
      <c r="N165" s="10"/>
      <c r="O165" s="47"/>
      <c r="P165" s="47"/>
      <c r="Q165" s="47"/>
      <c r="R165" s="48" t="str">
        <f aca="false">IF(Q165="","",IF(Q165=0,"below 5:00",IF(Q165&gt;=66,"16:00 or above",INT((60+2*Q165)/12)&amp;":"&amp;TEXT(MOD(60+2*Q165,12),"00"))))</f>
        <v/>
      </c>
      <c r="S165" s="47"/>
      <c r="T165" s="47"/>
      <c r="U165" s="47"/>
      <c r="V165" s="47"/>
      <c r="W165" s="47"/>
      <c r="X165" s="47"/>
      <c r="Y165" s="47"/>
      <c r="Z165" s="47"/>
      <c r="AA165" s="47"/>
      <c r="AB165" s="47"/>
      <c r="AC165" s="47"/>
      <c r="AD165" s="47"/>
      <c r="AE165" s="47"/>
      <c r="AF165" s="47"/>
      <c r="AG165" s="47"/>
      <c r="AH165" s="47"/>
      <c r="AI165" s="46"/>
      <c r="AJ165" s="46"/>
      <c r="AK165" s="46"/>
      <c r="AL165" s="7"/>
      <c r="AM165" s="49" t="str">
        <f aca="false">IF(OR(C165="",G165=""),"",IFERROR(DATEDIF(C165,G165,"m"),""))</f>
        <v/>
      </c>
      <c r="AN165" s="49" t="str">
        <f aca="false">IF(OR(Q165="",AM165=""),"",60+2*Q165-AM165)</f>
        <v/>
      </c>
      <c r="AO165" s="49" t="str">
        <f aca="false">IF(OR(G165="",AJ165=""),"",AJ165-G165)</f>
        <v/>
      </c>
      <c r="AP165" s="50" t="str">
        <f aca="false">IF(AND(A165="",B165=""),"",IF(J165="","Status needed",IF(OR(J165="Applied",J165="Visit booked",J165="Withdrawn"),"OK",IF(G165="","Date assessed needed",IF(C165="","Date of birth needed",IF(COUNTA(L165,M165,P165,U165,V165,X165,AB165)&lt;7,"Band missing",IF(AND(OR(J165="Decision confirmed",J165="Family told",J165="Enrolled"),AG165=""),"Recommendation needed",IF(AND(OR(J165="Family told",J165="Enrolled"),AJ165=""),"Date family told needed","OK"))))))))</f>
        <v/>
      </c>
    </row>
    <row r="166" customFormat="false" ht="15" hidden="false" customHeight="false" outlineLevel="0" collapsed="false">
      <c r="A166" s="7"/>
      <c r="B166" s="7"/>
      <c r="C166" s="46"/>
      <c r="D166" s="7"/>
      <c r="E166" s="47"/>
      <c r="F166" s="46"/>
      <c r="G166" s="46"/>
      <c r="H166" s="7"/>
      <c r="I166" s="7"/>
      <c r="J166" s="47"/>
      <c r="K166" s="47"/>
      <c r="L166" s="47"/>
      <c r="M166" s="47"/>
      <c r="N166" s="10"/>
      <c r="O166" s="47"/>
      <c r="P166" s="47"/>
      <c r="Q166" s="47"/>
      <c r="R166" s="48" t="str">
        <f aca="false">IF(Q166="","",IF(Q166=0,"below 5:00",IF(Q166&gt;=66,"16:00 or above",INT((60+2*Q166)/12)&amp;":"&amp;TEXT(MOD(60+2*Q166,12),"00"))))</f>
        <v/>
      </c>
      <c r="S166" s="47"/>
      <c r="T166" s="47"/>
      <c r="U166" s="47"/>
      <c r="V166" s="47"/>
      <c r="W166" s="47"/>
      <c r="X166" s="47"/>
      <c r="Y166" s="47"/>
      <c r="Z166" s="47"/>
      <c r="AA166" s="47"/>
      <c r="AB166" s="47"/>
      <c r="AC166" s="47"/>
      <c r="AD166" s="47"/>
      <c r="AE166" s="47"/>
      <c r="AF166" s="47"/>
      <c r="AG166" s="47"/>
      <c r="AH166" s="47"/>
      <c r="AI166" s="46"/>
      <c r="AJ166" s="46"/>
      <c r="AK166" s="46"/>
      <c r="AL166" s="7"/>
      <c r="AM166" s="49" t="str">
        <f aca="false">IF(OR(C166="",G166=""),"",IFERROR(DATEDIF(C166,G166,"m"),""))</f>
        <v/>
      </c>
      <c r="AN166" s="49" t="str">
        <f aca="false">IF(OR(Q166="",AM166=""),"",60+2*Q166-AM166)</f>
        <v/>
      </c>
      <c r="AO166" s="49" t="str">
        <f aca="false">IF(OR(G166="",AJ166=""),"",AJ166-G166)</f>
        <v/>
      </c>
      <c r="AP166" s="50" t="str">
        <f aca="false">IF(AND(A166="",B166=""),"",IF(J166="","Status needed",IF(OR(J166="Applied",J166="Visit booked",J166="Withdrawn"),"OK",IF(G166="","Date assessed needed",IF(C166="","Date of birth needed",IF(COUNTA(L166,M166,P166,U166,V166,X166,AB166)&lt;7,"Band missing",IF(AND(OR(J166="Decision confirmed",J166="Family told",J166="Enrolled"),AG166=""),"Recommendation needed",IF(AND(OR(J166="Family told",J166="Enrolled"),AJ166=""),"Date family told needed","OK"))))))))</f>
        <v/>
      </c>
    </row>
    <row r="167" customFormat="false" ht="15" hidden="false" customHeight="false" outlineLevel="0" collapsed="false">
      <c r="A167" s="7"/>
      <c r="B167" s="7"/>
      <c r="C167" s="46"/>
      <c r="D167" s="7"/>
      <c r="E167" s="47"/>
      <c r="F167" s="46"/>
      <c r="G167" s="46"/>
      <c r="H167" s="7"/>
      <c r="I167" s="7"/>
      <c r="J167" s="47"/>
      <c r="K167" s="47"/>
      <c r="L167" s="47"/>
      <c r="M167" s="47"/>
      <c r="N167" s="10"/>
      <c r="O167" s="47"/>
      <c r="P167" s="47"/>
      <c r="Q167" s="47"/>
      <c r="R167" s="48" t="str">
        <f aca="false">IF(Q167="","",IF(Q167=0,"below 5:00",IF(Q167&gt;=66,"16:00 or above",INT((60+2*Q167)/12)&amp;":"&amp;TEXT(MOD(60+2*Q167,12),"00"))))</f>
        <v/>
      </c>
      <c r="S167" s="47"/>
      <c r="T167" s="47"/>
      <c r="U167" s="47"/>
      <c r="V167" s="47"/>
      <c r="W167" s="47"/>
      <c r="X167" s="47"/>
      <c r="Y167" s="47"/>
      <c r="Z167" s="47"/>
      <c r="AA167" s="47"/>
      <c r="AB167" s="47"/>
      <c r="AC167" s="47"/>
      <c r="AD167" s="47"/>
      <c r="AE167" s="47"/>
      <c r="AF167" s="47"/>
      <c r="AG167" s="47"/>
      <c r="AH167" s="47"/>
      <c r="AI167" s="46"/>
      <c r="AJ167" s="46"/>
      <c r="AK167" s="46"/>
      <c r="AL167" s="7"/>
      <c r="AM167" s="49" t="str">
        <f aca="false">IF(OR(C167="",G167=""),"",IFERROR(DATEDIF(C167,G167,"m"),""))</f>
        <v/>
      </c>
      <c r="AN167" s="49" t="str">
        <f aca="false">IF(OR(Q167="",AM167=""),"",60+2*Q167-AM167)</f>
        <v/>
      </c>
      <c r="AO167" s="49" t="str">
        <f aca="false">IF(OR(G167="",AJ167=""),"",AJ167-G167)</f>
        <v/>
      </c>
      <c r="AP167" s="50" t="str">
        <f aca="false">IF(AND(A167="",B167=""),"",IF(J167="","Status needed",IF(OR(J167="Applied",J167="Visit booked",J167="Withdrawn"),"OK",IF(G167="","Date assessed needed",IF(C167="","Date of birth needed",IF(COUNTA(L167,M167,P167,U167,V167,X167,AB167)&lt;7,"Band missing",IF(AND(OR(J167="Decision confirmed",J167="Family told",J167="Enrolled"),AG167=""),"Recommendation needed",IF(AND(OR(J167="Family told",J167="Enrolled"),AJ167=""),"Date family told needed","OK"))))))))</f>
        <v/>
      </c>
    </row>
    <row r="168" customFormat="false" ht="15" hidden="false" customHeight="false" outlineLevel="0" collapsed="false">
      <c r="A168" s="7"/>
      <c r="B168" s="7"/>
      <c r="C168" s="46"/>
      <c r="D168" s="7"/>
      <c r="E168" s="47"/>
      <c r="F168" s="46"/>
      <c r="G168" s="46"/>
      <c r="H168" s="7"/>
      <c r="I168" s="7"/>
      <c r="J168" s="47"/>
      <c r="K168" s="47"/>
      <c r="L168" s="47"/>
      <c r="M168" s="47"/>
      <c r="N168" s="10"/>
      <c r="O168" s="47"/>
      <c r="P168" s="47"/>
      <c r="Q168" s="47"/>
      <c r="R168" s="48" t="str">
        <f aca="false">IF(Q168="","",IF(Q168=0,"below 5:00",IF(Q168&gt;=66,"16:00 or above",INT((60+2*Q168)/12)&amp;":"&amp;TEXT(MOD(60+2*Q168,12),"00"))))</f>
        <v/>
      </c>
      <c r="S168" s="47"/>
      <c r="T168" s="47"/>
      <c r="U168" s="47"/>
      <c r="V168" s="47"/>
      <c r="W168" s="47"/>
      <c r="X168" s="47"/>
      <c r="Y168" s="47"/>
      <c r="Z168" s="47"/>
      <c r="AA168" s="47"/>
      <c r="AB168" s="47"/>
      <c r="AC168" s="47"/>
      <c r="AD168" s="47"/>
      <c r="AE168" s="47"/>
      <c r="AF168" s="47"/>
      <c r="AG168" s="47"/>
      <c r="AH168" s="47"/>
      <c r="AI168" s="46"/>
      <c r="AJ168" s="46"/>
      <c r="AK168" s="46"/>
      <c r="AL168" s="7"/>
      <c r="AM168" s="49" t="str">
        <f aca="false">IF(OR(C168="",G168=""),"",IFERROR(DATEDIF(C168,G168,"m"),""))</f>
        <v/>
      </c>
      <c r="AN168" s="49" t="str">
        <f aca="false">IF(OR(Q168="",AM168=""),"",60+2*Q168-AM168)</f>
        <v/>
      </c>
      <c r="AO168" s="49" t="str">
        <f aca="false">IF(OR(G168="",AJ168=""),"",AJ168-G168)</f>
        <v/>
      </c>
      <c r="AP168" s="50" t="str">
        <f aca="false">IF(AND(A168="",B168=""),"",IF(J168="","Status needed",IF(OR(J168="Applied",J168="Visit booked",J168="Withdrawn"),"OK",IF(G168="","Date assessed needed",IF(C168="","Date of birth needed",IF(COUNTA(L168,M168,P168,U168,V168,X168,AB168)&lt;7,"Band missing",IF(AND(OR(J168="Decision confirmed",J168="Family told",J168="Enrolled"),AG168=""),"Recommendation needed",IF(AND(OR(J168="Family told",J168="Enrolled"),AJ168=""),"Date family told needed","OK"))))))))</f>
        <v/>
      </c>
    </row>
    <row r="169" customFormat="false" ht="15" hidden="false" customHeight="false" outlineLevel="0" collapsed="false">
      <c r="A169" s="7"/>
      <c r="B169" s="7"/>
      <c r="C169" s="46"/>
      <c r="D169" s="7"/>
      <c r="E169" s="47"/>
      <c r="F169" s="46"/>
      <c r="G169" s="46"/>
      <c r="H169" s="7"/>
      <c r="I169" s="7"/>
      <c r="J169" s="47"/>
      <c r="K169" s="47"/>
      <c r="L169" s="47"/>
      <c r="M169" s="47"/>
      <c r="N169" s="10"/>
      <c r="O169" s="47"/>
      <c r="P169" s="47"/>
      <c r="Q169" s="47"/>
      <c r="R169" s="48" t="str">
        <f aca="false">IF(Q169="","",IF(Q169=0,"below 5:00",IF(Q169&gt;=66,"16:00 or above",INT((60+2*Q169)/12)&amp;":"&amp;TEXT(MOD(60+2*Q169,12),"00"))))</f>
        <v/>
      </c>
      <c r="S169" s="47"/>
      <c r="T169" s="47"/>
      <c r="U169" s="47"/>
      <c r="V169" s="47"/>
      <c r="W169" s="47"/>
      <c r="X169" s="47"/>
      <c r="Y169" s="47"/>
      <c r="Z169" s="47"/>
      <c r="AA169" s="47"/>
      <c r="AB169" s="47"/>
      <c r="AC169" s="47"/>
      <c r="AD169" s="47"/>
      <c r="AE169" s="47"/>
      <c r="AF169" s="47"/>
      <c r="AG169" s="47"/>
      <c r="AH169" s="47"/>
      <c r="AI169" s="46"/>
      <c r="AJ169" s="46"/>
      <c r="AK169" s="46"/>
      <c r="AL169" s="7"/>
      <c r="AM169" s="49" t="str">
        <f aca="false">IF(OR(C169="",G169=""),"",IFERROR(DATEDIF(C169,G169,"m"),""))</f>
        <v/>
      </c>
      <c r="AN169" s="49" t="str">
        <f aca="false">IF(OR(Q169="",AM169=""),"",60+2*Q169-AM169)</f>
        <v/>
      </c>
      <c r="AO169" s="49" t="str">
        <f aca="false">IF(OR(G169="",AJ169=""),"",AJ169-G169)</f>
        <v/>
      </c>
      <c r="AP169" s="50" t="str">
        <f aca="false">IF(AND(A169="",B169=""),"",IF(J169="","Status needed",IF(OR(J169="Applied",J169="Visit booked",J169="Withdrawn"),"OK",IF(G169="","Date assessed needed",IF(C169="","Date of birth needed",IF(COUNTA(L169,M169,P169,U169,V169,X169,AB169)&lt;7,"Band missing",IF(AND(OR(J169="Decision confirmed",J169="Family told",J169="Enrolled"),AG169=""),"Recommendation needed",IF(AND(OR(J169="Family told",J169="Enrolled"),AJ169=""),"Date family told needed","OK"))))))))</f>
        <v/>
      </c>
    </row>
    <row r="170" customFormat="false" ht="15" hidden="false" customHeight="false" outlineLevel="0" collapsed="false">
      <c r="A170" s="7"/>
      <c r="B170" s="7"/>
      <c r="C170" s="46"/>
      <c r="D170" s="7"/>
      <c r="E170" s="47"/>
      <c r="F170" s="46"/>
      <c r="G170" s="46"/>
      <c r="H170" s="7"/>
      <c r="I170" s="7"/>
      <c r="J170" s="47"/>
      <c r="K170" s="47"/>
      <c r="L170" s="47"/>
      <c r="M170" s="47"/>
      <c r="N170" s="10"/>
      <c r="O170" s="47"/>
      <c r="P170" s="47"/>
      <c r="Q170" s="47"/>
      <c r="R170" s="48" t="str">
        <f aca="false">IF(Q170="","",IF(Q170=0,"below 5:00",IF(Q170&gt;=66,"16:00 or above",INT((60+2*Q170)/12)&amp;":"&amp;TEXT(MOD(60+2*Q170,12),"00"))))</f>
        <v/>
      </c>
      <c r="S170" s="47"/>
      <c r="T170" s="47"/>
      <c r="U170" s="47"/>
      <c r="V170" s="47"/>
      <c r="W170" s="47"/>
      <c r="X170" s="47"/>
      <c r="Y170" s="47"/>
      <c r="Z170" s="47"/>
      <c r="AA170" s="47"/>
      <c r="AB170" s="47"/>
      <c r="AC170" s="47"/>
      <c r="AD170" s="47"/>
      <c r="AE170" s="47"/>
      <c r="AF170" s="47"/>
      <c r="AG170" s="47"/>
      <c r="AH170" s="47"/>
      <c r="AI170" s="46"/>
      <c r="AJ170" s="46"/>
      <c r="AK170" s="46"/>
      <c r="AL170" s="7"/>
      <c r="AM170" s="49" t="str">
        <f aca="false">IF(OR(C170="",G170=""),"",IFERROR(DATEDIF(C170,G170,"m"),""))</f>
        <v/>
      </c>
      <c r="AN170" s="49" t="str">
        <f aca="false">IF(OR(Q170="",AM170=""),"",60+2*Q170-AM170)</f>
        <v/>
      </c>
      <c r="AO170" s="49" t="str">
        <f aca="false">IF(OR(G170="",AJ170=""),"",AJ170-G170)</f>
        <v/>
      </c>
      <c r="AP170" s="50" t="str">
        <f aca="false">IF(AND(A170="",B170=""),"",IF(J170="","Status needed",IF(OR(J170="Applied",J170="Visit booked",J170="Withdrawn"),"OK",IF(G170="","Date assessed needed",IF(C170="","Date of birth needed",IF(COUNTA(L170,M170,P170,U170,V170,X170,AB170)&lt;7,"Band missing",IF(AND(OR(J170="Decision confirmed",J170="Family told",J170="Enrolled"),AG170=""),"Recommendation needed",IF(AND(OR(J170="Family told",J170="Enrolled"),AJ170=""),"Date family told needed","OK"))))))))</f>
        <v/>
      </c>
    </row>
    <row r="171" customFormat="false" ht="15" hidden="false" customHeight="false" outlineLevel="0" collapsed="false">
      <c r="A171" s="7"/>
      <c r="B171" s="7"/>
      <c r="C171" s="46"/>
      <c r="D171" s="7"/>
      <c r="E171" s="47"/>
      <c r="F171" s="46"/>
      <c r="G171" s="46"/>
      <c r="H171" s="7"/>
      <c r="I171" s="7"/>
      <c r="J171" s="47"/>
      <c r="K171" s="47"/>
      <c r="L171" s="47"/>
      <c r="M171" s="47"/>
      <c r="N171" s="10"/>
      <c r="O171" s="47"/>
      <c r="P171" s="47"/>
      <c r="Q171" s="47"/>
      <c r="R171" s="48" t="str">
        <f aca="false">IF(Q171="","",IF(Q171=0,"below 5:00",IF(Q171&gt;=66,"16:00 or above",INT((60+2*Q171)/12)&amp;":"&amp;TEXT(MOD(60+2*Q171,12),"00"))))</f>
        <v/>
      </c>
      <c r="S171" s="47"/>
      <c r="T171" s="47"/>
      <c r="U171" s="47"/>
      <c r="V171" s="47"/>
      <c r="W171" s="47"/>
      <c r="X171" s="47"/>
      <c r="Y171" s="47"/>
      <c r="Z171" s="47"/>
      <c r="AA171" s="47"/>
      <c r="AB171" s="47"/>
      <c r="AC171" s="47"/>
      <c r="AD171" s="47"/>
      <c r="AE171" s="47"/>
      <c r="AF171" s="47"/>
      <c r="AG171" s="47"/>
      <c r="AH171" s="47"/>
      <c r="AI171" s="46"/>
      <c r="AJ171" s="46"/>
      <c r="AK171" s="46"/>
      <c r="AL171" s="7"/>
      <c r="AM171" s="49" t="str">
        <f aca="false">IF(OR(C171="",G171=""),"",IFERROR(DATEDIF(C171,G171,"m"),""))</f>
        <v/>
      </c>
      <c r="AN171" s="49" t="str">
        <f aca="false">IF(OR(Q171="",AM171=""),"",60+2*Q171-AM171)</f>
        <v/>
      </c>
      <c r="AO171" s="49" t="str">
        <f aca="false">IF(OR(G171="",AJ171=""),"",AJ171-G171)</f>
        <v/>
      </c>
      <c r="AP171" s="50" t="str">
        <f aca="false">IF(AND(A171="",B171=""),"",IF(J171="","Status needed",IF(OR(J171="Applied",J171="Visit booked",J171="Withdrawn"),"OK",IF(G171="","Date assessed needed",IF(C171="","Date of birth needed",IF(COUNTA(L171,M171,P171,U171,V171,X171,AB171)&lt;7,"Band missing",IF(AND(OR(J171="Decision confirmed",J171="Family told",J171="Enrolled"),AG171=""),"Recommendation needed",IF(AND(OR(J171="Family told",J171="Enrolled"),AJ171=""),"Date family told needed","OK"))))))))</f>
        <v/>
      </c>
    </row>
    <row r="172" customFormat="false" ht="15" hidden="false" customHeight="false" outlineLevel="0" collapsed="false">
      <c r="A172" s="7"/>
      <c r="B172" s="7"/>
      <c r="C172" s="46"/>
      <c r="D172" s="7"/>
      <c r="E172" s="47"/>
      <c r="F172" s="46"/>
      <c r="G172" s="46"/>
      <c r="H172" s="7"/>
      <c r="I172" s="7"/>
      <c r="J172" s="47"/>
      <c r="K172" s="47"/>
      <c r="L172" s="47"/>
      <c r="M172" s="47"/>
      <c r="N172" s="10"/>
      <c r="O172" s="47"/>
      <c r="P172" s="47"/>
      <c r="Q172" s="47"/>
      <c r="R172" s="48" t="str">
        <f aca="false">IF(Q172="","",IF(Q172=0,"below 5:00",IF(Q172&gt;=66,"16:00 or above",INT((60+2*Q172)/12)&amp;":"&amp;TEXT(MOD(60+2*Q172,12),"00"))))</f>
        <v/>
      </c>
      <c r="S172" s="47"/>
      <c r="T172" s="47"/>
      <c r="U172" s="47"/>
      <c r="V172" s="47"/>
      <c r="W172" s="47"/>
      <c r="X172" s="47"/>
      <c r="Y172" s="47"/>
      <c r="Z172" s="47"/>
      <c r="AA172" s="47"/>
      <c r="AB172" s="47"/>
      <c r="AC172" s="47"/>
      <c r="AD172" s="47"/>
      <c r="AE172" s="47"/>
      <c r="AF172" s="47"/>
      <c r="AG172" s="47"/>
      <c r="AH172" s="47"/>
      <c r="AI172" s="46"/>
      <c r="AJ172" s="46"/>
      <c r="AK172" s="46"/>
      <c r="AL172" s="7"/>
      <c r="AM172" s="49" t="str">
        <f aca="false">IF(OR(C172="",G172=""),"",IFERROR(DATEDIF(C172,G172,"m"),""))</f>
        <v/>
      </c>
      <c r="AN172" s="49" t="str">
        <f aca="false">IF(OR(Q172="",AM172=""),"",60+2*Q172-AM172)</f>
        <v/>
      </c>
      <c r="AO172" s="49" t="str">
        <f aca="false">IF(OR(G172="",AJ172=""),"",AJ172-G172)</f>
        <v/>
      </c>
      <c r="AP172" s="50" t="str">
        <f aca="false">IF(AND(A172="",B172=""),"",IF(J172="","Status needed",IF(OR(J172="Applied",J172="Visit booked",J172="Withdrawn"),"OK",IF(G172="","Date assessed needed",IF(C172="","Date of birth needed",IF(COUNTA(L172,M172,P172,U172,V172,X172,AB172)&lt;7,"Band missing",IF(AND(OR(J172="Decision confirmed",J172="Family told",J172="Enrolled"),AG172=""),"Recommendation needed",IF(AND(OR(J172="Family told",J172="Enrolled"),AJ172=""),"Date family told needed","OK"))))))))</f>
        <v/>
      </c>
    </row>
    <row r="173" customFormat="false" ht="15" hidden="false" customHeight="false" outlineLevel="0" collapsed="false">
      <c r="A173" s="7"/>
      <c r="B173" s="7"/>
      <c r="C173" s="46"/>
      <c r="D173" s="7"/>
      <c r="E173" s="47"/>
      <c r="F173" s="46"/>
      <c r="G173" s="46"/>
      <c r="H173" s="7"/>
      <c r="I173" s="7"/>
      <c r="J173" s="47"/>
      <c r="K173" s="47"/>
      <c r="L173" s="47"/>
      <c r="M173" s="47"/>
      <c r="N173" s="10"/>
      <c r="O173" s="47"/>
      <c r="P173" s="47"/>
      <c r="Q173" s="47"/>
      <c r="R173" s="48" t="str">
        <f aca="false">IF(Q173="","",IF(Q173=0,"below 5:00",IF(Q173&gt;=66,"16:00 or above",INT((60+2*Q173)/12)&amp;":"&amp;TEXT(MOD(60+2*Q173,12),"00"))))</f>
        <v/>
      </c>
      <c r="S173" s="47"/>
      <c r="T173" s="47"/>
      <c r="U173" s="47"/>
      <c r="V173" s="47"/>
      <c r="W173" s="47"/>
      <c r="X173" s="47"/>
      <c r="Y173" s="47"/>
      <c r="Z173" s="47"/>
      <c r="AA173" s="47"/>
      <c r="AB173" s="47"/>
      <c r="AC173" s="47"/>
      <c r="AD173" s="47"/>
      <c r="AE173" s="47"/>
      <c r="AF173" s="47"/>
      <c r="AG173" s="47"/>
      <c r="AH173" s="47"/>
      <c r="AI173" s="46"/>
      <c r="AJ173" s="46"/>
      <c r="AK173" s="46"/>
      <c r="AL173" s="7"/>
      <c r="AM173" s="49" t="str">
        <f aca="false">IF(OR(C173="",G173=""),"",IFERROR(DATEDIF(C173,G173,"m"),""))</f>
        <v/>
      </c>
      <c r="AN173" s="49" t="str">
        <f aca="false">IF(OR(Q173="",AM173=""),"",60+2*Q173-AM173)</f>
        <v/>
      </c>
      <c r="AO173" s="49" t="str">
        <f aca="false">IF(OR(G173="",AJ173=""),"",AJ173-G173)</f>
        <v/>
      </c>
      <c r="AP173" s="50" t="str">
        <f aca="false">IF(AND(A173="",B173=""),"",IF(J173="","Status needed",IF(OR(J173="Applied",J173="Visit booked",J173="Withdrawn"),"OK",IF(G173="","Date assessed needed",IF(C173="","Date of birth needed",IF(COUNTA(L173,M173,P173,U173,V173,X173,AB173)&lt;7,"Band missing",IF(AND(OR(J173="Decision confirmed",J173="Family told",J173="Enrolled"),AG173=""),"Recommendation needed",IF(AND(OR(J173="Family told",J173="Enrolled"),AJ173=""),"Date family told needed","OK"))))))))</f>
        <v/>
      </c>
    </row>
    <row r="174" customFormat="false" ht="15" hidden="false" customHeight="false" outlineLevel="0" collapsed="false">
      <c r="A174" s="7"/>
      <c r="B174" s="7"/>
      <c r="C174" s="46"/>
      <c r="D174" s="7"/>
      <c r="E174" s="47"/>
      <c r="F174" s="46"/>
      <c r="G174" s="46"/>
      <c r="H174" s="7"/>
      <c r="I174" s="7"/>
      <c r="J174" s="47"/>
      <c r="K174" s="47"/>
      <c r="L174" s="47"/>
      <c r="M174" s="47"/>
      <c r="N174" s="10"/>
      <c r="O174" s="47"/>
      <c r="P174" s="47"/>
      <c r="Q174" s="47"/>
      <c r="R174" s="48" t="str">
        <f aca="false">IF(Q174="","",IF(Q174=0,"below 5:00",IF(Q174&gt;=66,"16:00 or above",INT((60+2*Q174)/12)&amp;":"&amp;TEXT(MOD(60+2*Q174,12),"00"))))</f>
        <v/>
      </c>
      <c r="S174" s="47"/>
      <c r="T174" s="47"/>
      <c r="U174" s="47"/>
      <c r="V174" s="47"/>
      <c r="W174" s="47"/>
      <c r="X174" s="47"/>
      <c r="Y174" s="47"/>
      <c r="Z174" s="47"/>
      <c r="AA174" s="47"/>
      <c r="AB174" s="47"/>
      <c r="AC174" s="47"/>
      <c r="AD174" s="47"/>
      <c r="AE174" s="47"/>
      <c r="AF174" s="47"/>
      <c r="AG174" s="47"/>
      <c r="AH174" s="47"/>
      <c r="AI174" s="46"/>
      <c r="AJ174" s="46"/>
      <c r="AK174" s="46"/>
      <c r="AL174" s="7"/>
      <c r="AM174" s="49" t="str">
        <f aca="false">IF(OR(C174="",G174=""),"",IFERROR(DATEDIF(C174,G174,"m"),""))</f>
        <v/>
      </c>
      <c r="AN174" s="49" t="str">
        <f aca="false">IF(OR(Q174="",AM174=""),"",60+2*Q174-AM174)</f>
        <v/>
      </c>
      <c r="AO174" s="49" t="str">
        <f aca="false">IF(OR(G174="",AJ174=""),"",AJ174-G174)</f>
        <v/>
      </c>
      <c r="AP174" s="50" t="str">
        <f aca="false">IF(AND(A174="",B174=""),"",IF(J174="","Status needed",IF(OR(J174="Applied",J174="Visit booked",J174="Withdrawn"),"OK",IF(G174="","Date assessed needed",IF(C174="","Date of birth needed",IF(COUNTA(L174,M174,P174,U174,V174,X174,AB174)&lt;7,"Band missing",IF(AND(OR(J174="Decision confirmed",J174="Family told",J174="Enrolled"),AG174=""),"Recommendation needed",IF(AND(OR(J174="Family told",J174="Enrolled"),AJ174=""),"Date family told needed","OK"))))))))</f>
        <v/>
      </c>
    </row>
    <row r="175" customFormat="false" ht="15" hidden="false" customHeight="false" outlineLevel="0" collapsed="false">
      <c r="A175" s="7"/>
      <c r="B175" s="7"/>
      <c r="C175" s="46"/>
      <c r="D175" s="7"/>
      <c r="E175" s="47"/>
      <c r="F175" s="46"/>
      <c r="G175" s="46"/>
      <c r="H175" s="7"/>
      <c r="I175" s="7"/>
      <c r="J175" s="47"/>
      <c r="K175" s="47"/>
      <c r="L175" s="47"/>
      <c r="M175" s="47"/>
      <c r="N175" s="10"/>
      <c r="O175" s="47"/>
      <c r="P175" s="47"/>
      <c r="Q175" s="47"/>
      <c r="R175" s="48" t="str">
        <f aca="false">IF(Q175="","",IF(Q175=0,"below 5:00",IF(Q175&gt;=66,"16:00 or above",INT((60+2*Q175)/12)&amp;":"&amp;TEXT(MOD(60+2*Q175,12),"00"))))</f>
        <v/>
      </c>
      <c r="S175" s="47"/>
      <c r="T175" s="47"/>
      <c r="U175" s="47"/>
      <c r="V175" s="47"/>
      <c r="W175" s="47"/>
      <c r="X175" s="47"/>
      <c r="Y175" s="47"/>
      <c r="Z175" s="47"/>
      <c r="AA175" s="47"/>
      <c r="AB175" s="47"/>
      <c r="AC175" s="47"/>
      <c r="AD175" s="47"/>
      <c r="AE175" s="47"/>
      <c r="AF175" s="47"/>
      <c r="AG175" s="47"/>
      <c r="AH175" s="47"/>
      <c r="AI175" s="46"/>
      <c r="AJ175" s="46"/>
      <c r="AK175" s="46"/>
      <c r="AL175" s="7"/>
      <c r="AM175" s="49" t="str">
        <f aca="false">IF(OR(C175="",G175=""),"",IFERROR(DATEDIF(C175,G175,"m"),""))</f>
        <v/>
      </c>
      <c r="AN175" s="49" t="str">
        <f aca="false">IF(OR(Q175="",AM175=""),"",60+2*Q175-AM175)</f>
        <v/>
      </c>
      <c r="AO175" s="49" t="str">
        <f aca="false">IF(OR(G175="",AJ175=""),"",AJ175-G175)</f>
        <v/>
      </c>
      <c r="AP175" s="50" t="str">
        <f aca="false">IF(AND(A175="",B175=""),"",IF(J175="","Status needed",IF(OR(J175="Applied",J175="Visit booked",J175="Withdrawn"),"OK",IF(G175="","Date assessed needed",IF(C175="","Date of birth needed",IF(COUNTA(L175,M175,P175,U175,V175,X175,AB175)&lt;7,"Band missing",IF(AND(OR(J175="Decision confirmed",J175="Family told",J175="Enrolled"),AG175=""),"Recommendation needed",IF(AND(OR(J175="Family told",J175="Enrolled"),AJ175=""),"Date family told needed","OK"))))))))</f>
        <v/>
      </c>
    </row>
    <row r="176" customFormat="false" ht="15" hidden="false" customHeight="false" outlineLevel="0" collapsed="false">
      <c r="A176" s="7"/>
      <c r="B176" s="7"/>
      <c r="C176" s="46"/>
      <c r="D176" s="7"/>
      <c r="E176" s="47"/>
      <c r="F176" s="46"/>
      <c r="G176" s="46"/>
      <c r="H176" s="7"/>
      <c r="I176" s="7"/>
      <c r="J176" s="47"/>
      <c r="K176" s="47"/>
      <c r="L176" s="47"/>
      <c r="M176" s="47"/>
      <c r="N176" s="10"/>
      <c r="O176" s="47"/>
      <c r="P176" s="47"/>
      <c r="Q176" s="47"/>
      <c r="R176" s="48" t="str">
        <f aca="false">IF(Q176="","",IF(Q176=0,"below 5:00",IF(Q176&gt;=66,"16:00 or above",INT((60+2*Q176)/12)&amp;":"&amp;TEXT(MOD(60+2*Q176,12),"00"))))</f>
        <v/>
      </c>
      <c r="S176" s="47"/>
      <c r="T176" s="47"/>
      <c r="U176" s="47"/>
      <c r="V176" s="47"/>
      <c r="W176" s="47"/>
      <c r="X176" s="47"/>
      <c r="Y176" s="47"/>
      <c r="Z176" s="47"/>
      <c r="AA176" s="47"/>
      <c r="AB176" s="47"/>
      <c r="AC176" s="47"/>
      <c r="AD176" s="47"/>
      <c r="AE176" s="47"/>
      <c r="AF176" s="47"/>
      <c r="AG176" s="47"/>
      <c r="AH176" s="47"/>
      <c r="AI176" s="46"/>
      <c r="AJ176" s="46"/>
      <c r="AK176" s="46"/>
      <c r="AL176" s="7"/>
      <c r="AM176" s="49" t="str">
        <f aca="false">IF(OR(C176="",G176=""),"",IFERROR(DATEDIF(C176,G176,"m"),""))</f>
        <v/>
      </c>
      <c r="AN176" s="49" t="str">
        <f aca="false">IF(OR(Q176="",AM176=""),"",60+2*Q176-AM176)</f>
        <v/>
      </c>
      <c r="AO176" s="49" t="str">
        <f aca="false">IF(OR(G176="",AJ176=""),"",AJ176-G176)</f>
        <v/>
      </c>
      <c r="AP176" s="50" t="str">
        <f aca="false">IF(AND(A176="",B176=""),"",IF(J176="","Status needed",IF(OR(J176="Applied",J176="Visit booked",J176="Withdrawn"),"OK",IF(G176="","Date assessed needed",IF(C176="","Date of birth needed",IF(COUNTA(L176,M176,P176,U176,V176,X176,AB176)&lt;7,"Band missing",IF(AND(OR(J176="Decision confirmed",J176="Family told",J176="Enrolled"),AG176=""),"Recommendation needed",IF(AND(OR(J176="Family told",J176="Enrolled"),AJ176=""),"Date family told needed","OK"))))))))</f>
        <v/>
      </c>
    </row>
    <row r="177" customFormat="false" ht="15" hidden="false" customHeight="false" outlineLevel="0" collapsed="false">
      <c r="A177" s="7"/>
      <c r="B177" s="7"/>
      <c r="C177" s="46"/>
      <c r="D177" s="7"/>
      <c r="E177" s="47"/>
      <c r="F177" s="46"/>
      <c r="G177" s="46"/>
      <c r="H177" s="7"/>
      <c r="I177" s="7"/>
      <c r="J177" s="47"/>
      <c r="K177" s="47"/>
      <c r="L177" s="47"/>
      <c r="M177" s="47"/>
      <c r="N177" s="10"/>
      <c r="O177" s="47"/>
      <c r="P177" s="47"/>
      <c r="Q177" s="47"/>
      <c r="R177" s="48" t="str">
        <f aca="false">IF(Q177="","",IF(Q177=0,"below 5:00",IF(Q177&gt;=66,"16:00 or above",INT((60+2*Q177)/12)&amp;":"&amp;TEXT(MOD(60+2*Q177,12),"00"))))</f>
        <v/>
      </c>
      <c r="S177" s="47"/>
      <c r="T177" s="47"/>
      <c r="U177" s="47"/>
      <c r="V177" s="47"/>
      <c r="W177" s="47"/>
      <c r="X177" s="47"/>
      <c r="Y177" s="47"/>
      <c r="Z177" s="47"/>
      <c r="AA177" s="47"/>
      <c r="AB177" s="47"/>
      <c r="AC177" s="47"/>
      <c r="AD177" s="47"/>
      <c r="AE177" s="47"/>
      <c r="AF177" s="47"/>
      <c r="AG177" s="47"/>
      <c r="AH177" s="47"/>
      <c r="AI177" s="46"/>
      <c r="AJ177" s="46"/>
      <c r="AK177" s="46"/>
      <c r="AL177" s="7"/>
      <c r="AM177" s="49" t="str">
        <f aca="false">IF(OR(C177="",G177=""),"",IFERROR(DATEDIF(C177,G177,"m"),""))</f>
        <v/>
      </c>
      <c r="AN177" s="49" t="str">
        <f aca="false">IF(OR(Q177="",AM177=""),"",60+2*Q177-AM177)</f>
        <v/>
      </c>
      <c r="AO177" s="49" t="str">
        <f aca="false">IF(OR(G177="",AJ177=""),"",AJ177-G177)</f>
        <v/>
      </c>
      <c r="AP177" s="50" t="str">
        <f aca="false">IF(AND(A177="",B177=""),"",IF(J177="","Status needed",IF(OR(J177="Applied",J177="Visit booked",J177="Withdrawn"),"OK",IF(G177="","Date assessed needed",IF(C177="","Date of birth needed",IF(COUNTA(L177,M177,P177,U177,V177,X177,AB177)&lt;7,"Band missing",IF(AND(OR(J177="Decision confirmed",J177="Family told",J177="Enrolled"),AG177=""),"Recommendation needed",IF(AND(OR(J177="Family told",J177="Enrolled"),AJ177=""),"Date family told needed","OK"))))))))</f>
        <v/>
      </c>
    </row>
    <row r="178" customFormat="false" ht="15" hidden="false" customHeight="false" outlineLevel="0" collapsed="false">
      <c r="A178" s="7"/>
      <c r="B178" s="7"/>
      <c r="C178" s="46"/>
      <c r="D178" s="7"/>
      <c r="E178" s="47"/>
      <c r="F178" s="46"/>
      <c r="G178" s="46"/>
      <c r="H178" s="7"/>
      <c r="I178" s="7"/>
      <c r="J178" s="47"/>
      <c r="K178" s="47"/>
      <c r="L178" s="47"/>
      <c r="M178" s="47"/>
      <c r="N178" s="10"/>
      <c r="O178" s="47"/>
      <c r="P178" s="47"/>
      <c r="Q178" s="47"/>
      <c r="R178" s="48" t="str">
        <f aca="false">IF(Q178="","",IF(Q178=0,"below 5:00",IF(Q178&gt;=66,"16:00 or above",INT((60+2*Q178)/12)&amp;":"&amp;TEXT(MOD(60+2*Q178,12),"00"))))</f>
        <v/>
      </c>
      <c r="S178" s="47"/>
      <c r="T178" s="47"/>
      <c r="U178" s="47"/>
      <c r="V178" s="47"/>
      <c r="W178" s="47"/>
      <c r="X178" s="47"/>
      <c r="Y178" s="47"/>
      <c r="Z178" s="47"/>
      <c r="AA178" s="47"/>
      <c r="AB178" s="47"/>
      <c r="AC178" s="47"/>
      <c r="AD178" s="47"/>
      <c r="AE178" s="47"/>
      <c r="AF178" s="47"/>
      <c r="AG178" s="47"/>
      <c r="AH178" s="47"/>
      <c r="AI178" s="46"/>
      <c r="AJ178" s="46"/>
      <c r="AK178" s="46"/>
      <c r="AL178" s="7"/>
      <c r="AM178" s="49" t="str">
        <f aca="false">IF(OR(C178="",G178=""),"",IFERROR(DATEDIF(C178,G178,"m"),""))</f>
        <v/>
      </c>
      <c r="AN178" s="49" t="str">
        <f aca="false">IF(OR(Q178="",AM178=""),"",60+2*Q178-AM178)</f>
        <v/>
      </c>
      <c r="AO178" s="49" t="str">
        <f aca="false">IF(OR(G178="",AJ178=""),"",AJ178-G178)</f>
        <v/>
      </c>
      <c r="AP178" s="50" t="str">
        <f aca="false">IF(AND(A178="",B178=""),"",IF(J178="","Status needed",IF(OR(J178="Applied",J178="Visit booked",J178="Withdrawn"),"OK",IF(G178="","Date assessed needed",IF(C178="","Date of birth needed",IF(COUNTA(L178,M178,P178,U178,V178,X178,AB178)&lt;7,"Band missing",IF(AND(OR(J178="Decision confirmed",J178="Family told",J178="Enrolled"),AG178=""),"Recommendation needed",IF(AND(OR(J178="Family told",J178="Enrolled"),AJ178=""),"Date family told needed","OK"))))))))</f>
        <v/>
      </c>
    </row>
    <row r="179" customFormat="false" ht="15" hidden="false" customHeight="false" outlineLevel="0" collapsed="false">
      <c r="A179" s="7"/>
      <c r="B179" s="7"/>
      <c r="C179" s="46"/>
      <c r="D179" s="7"/>
      <c r="E179" s="47"/>
      <c r="F179" s="46"/>
      <c r="G179" s="46"/>
      <c r="H179" s="7"/>
      <c r="I179" s="7"/>
      <c r="J179" s="47"/>
      <c r="K179" s="47"/>
      <c r="L179" s="47"/>
      <c r="M179" s="47"/>
      <c r="N179" s="10"/>
      <c r="O179" s="47"/>
      <c r="P179" s="47"/>
      <c r="Q179" s="47"/>
      <c r="R179" s="48" t="str">
        <f aca="false">IF(Q179="","",IF(Q179=0,"below 5:00",IF(Q179&gt;=66,"16:00 or above",INT((60+2*Q179)/12)&amp;":"&amp;TEXT(MOD(60+2*Q179,12),"00"))))</f>
        <v/>
      </c>
      <c r="S179" s="47"/>
      <c r="T179" s="47"/>
      <c r="U179" s="47"/>
      <c r="V179" s="47"/>
      <c r="W179" s="47"/>
      <c r="X179" s="47"/>
      <c r="Y179" s="47"/>
      <c r="Z179" s="47"/>
      <c r="AA179" s="47"/>
      <c r="AB179" s="47"/>
      <c r="AC179" s="47"/>
      <c r="AD179" s="47"/>
      <c r="AE179" s="47"/>
      <c r="AF179" s="47"/>
      <c r="AG179" s="47"/>
      <c r="AH179" s="47"/>
      <c r="AI179" s="46"/>
      <c r="AJ179" s="46"/>
      <c r="AK179" s="46"/>
      <c r="AL179" s="7"/>
      <c r="AM179" s="49" t="str">
        <f aca="false">IF(OR(C179="",G179=""),"",IFERROR(DATEDIF(C179,G179,"m"),""))</f>
        <v/>
      </c>
      <c r="AN179" s="49" t="str">
        <f aca="false">IF(OR(Q179="",AM179=""),"",60+2*Q179-AM179)</f>
        <v/>
      </c>
      <c r="AO179" s="49" t="str">
        <f aca="false">IF(OR(G179="",AJ179=""),"",AJ179-G179)</f>
        <v/>
      </c>
      <c r="AP179" s="50" t="str">
        <f aca="false">IF(AND(A179="",B179=""),"",IF(J179="","Status needed",IF(OR(J179="Applied",J179="Visit booked",J179="Withdrawn"),"OK",IF(G179="","Date assessed needed",IF(C179="","Date of birth needed",IF(COUNTA(L179,M179,P179,U179,V179,X179,AB179)&lt;7,"Band missing",IF(AND(OR(J179="Decision confirmed",J179="Family told",J179="Enrolled"),AG179=""),"Recommendation needed",IF(AND(OR(J179="Family told",J179="Enrolled"),AJ179=""),"Date family told needed","OK"))))))))</f>
        <v/>
      </c>
    </row>
    <row r="180" customFormat="false" ht="15" hidden="false" customHeight="false" outlineLevel="0" collapsed="false">
      <c r="A180" s="7"/>
      <c r="B180" s="7"/>
      <c r="C180" s="46"/>
      <c r="D180" s="7"/>
      <c r="E180" s="47"/>
      <c r="F180" s="46"/>
      <c r="G180" s="46"/>
      <c r="H180" s="7"/>
      <c r="I180" s="7"/>
      <c r="J180" s="47"/>
      <c r="K180" s="47"/>
      <c r="L180" s="47"/>
      <c r="M180" s="47"/>
      <c r="N180" s="10"/>
      <c r="O180" s="47"/>
      <c r="P180" s="47"/>
      <c r="Q180" s="47"/>
      <c r="R180" s="48" t="str">
        <f aca="false">IF(Q180="","",IF(Q180=0,"below 5:00",IF(Q180&gt;=66,"16:00 or above",INT((60+2*Q180)/12)&amp;":"&amp;TEXT(MOD(60+2*Q180,12),"00"))))</f>
        <v/>
      </c>
      <c r="S180" s="47"/>
      <c r="T180" s="47"/>
      <c r="U180" s="47"/>
      <c r="V180" s="47"/>
      <c r="W180" s="47"/>
      <c r="X180" s="47"/>
      <c r="Y180" s="47"/>
      <c r="Z180" s="47"/>
      <c r="AA180" s="47"/>
      <c r="AB180" s="47"/>
      <c r="AC180" s="47"/>
      <c r="AD180" s="47"/>
      <c r="AE180" s="47"/>
      <c r="AF180" s="47"/>
      <c r="AG180" s="47"/>
      <c r="AH180" s="47"/>
      <c r="AI180" s="46"/>
      <c r="AJ180" s="46"/>
      <c r="AK180" s="46"/>
      <c r="AL180" s="7"/>
      <c r="AM180" s="49" t="str">
        <f aca="false">IF(OR(C180="",G180=""),"",IFERROR(DATEDIF(C180,G180,"m"),""))</f>
        <v/>
      </c>
      <c r="AN180" s="49" t="str">
        <f aca="false">IF(OR(Q180="",AM180=""),"",60+2*Q180-AM180)</f>
        <v/>
      </c>
      <c r="AO180" s="49" t="str">
        <f aca="false">IF(OR(G180="",AJ180=""),"",AJ180-G180)</f>
        <v/>
      </c>
      <c r="AP180" s="50" t="str">
        <f aca="false">IF(AND(A180="",B180=""),"",IF(J180="","Status needed",IF(OR(J180="Applied",J180="Visit booked",J180="Withdrawn"),"OK",IF(G180="","Date assessed needed",IF(C180="","Date of birth needed",IF(COUNTA(L180,M180,P180,U180,V180,X180,AB180)&lt;7,"Band missing",IF(AND(OR(J180="Decision confirmed",J180="Family told",J180="Enrolled"),AG180=""),"Recommendation needed",IF(AND(OR(J180="Family told",J180="Enrolled"),AJ180=""),"Date family told needed","OK"))))))))</f>
        <v/>
      </c>
    </row>
    <row r="181" customFormat="false" ht="15" hidden="false" customHeight="false" outlineLevel="0" collapsed="false">
      <c r="A181" s="7"/>
      <c r="B181" s="7"/>
      <c r="C181" s="46"/>
      <c r="D181" s="7"/>
      <c r="E181" s="47"/>
      <c r="F181" s="46"/>
      <c r="G181" s="46"/>
      <c r="H181" s="7"/>
      <c r="I181" s="7"/>
      <c r="J181" s="47"/>
      <c r="K181" s="47"/>
      <c r="L181" s="47"/>
      <c r="M181" s="47"/>
      <c r="N181" s="10"/>
      <c r="O181" s="47"/>
      <c r="P181" s="47"/>
      <c r="Q181" s="47"/>
      <c r="R181" s="48" t="str">
        <f aca="false">IF(Q181="","",IF(Q181=0,"below 5:00",IF(Q181&gt;=66,"16:00 or above",INT((60+2*Q181)/12)&amp;":"&amp;TEXT(MOD(60+2*Q181,12),"00"))))</f>
        <v/>
      </c>
      <c r="S181" s="47"/>
      <c r="T181" s="47"/>
      <c r="U181" s="47"/>
      <c r="V181" s="47"/>
      <c r="W181" s="47"/>
      <c r="X181" s="47"/>
      <c r="Y181" s="47"/>
      <c r="Z181" s="47"/>
      <c r="AA181" s="47"/>
      <c r="AB181" s="47"/>
      <c r="AC181" s="47"/>
      <c r="AD181" s="47"/>
      <c r="AE181" s="47"/>
      <c r="AF181" s="47"/>
      <c r="AG181" s="47"/>
      <c r="AH181" s="47"/>
      <c r="AI181" s="46"/>
      <c r="AJ181" s="46"/>
      <c r="AK181" s="46"/>
      <c r="AL181" s="7"/>
      <c r="AM181" s="49" t="str">
        <f aca="false">IF(OR(C181="",G181=""),"",IFERROR(DATEDIF(C181,G181,"m"),""))</f>
        <v/>
      </c>
      <c r="AN181" s="49" t="str">
        <f aca="false">IF(OR(Q181="",AM181=""),"",60+2*Q181-AM181)</f>
        <v/>
      </c>
      <c r="AO181" s="49" t="str">
        <f aca="false">IF(OR(G181="",AJ181=""),"",AJ181-G181)</f>
        <v/>
      </c>
      <c r="AP181" s="50" t="str">
        <f aca="false">IF(AND(A181="",B181=""),"",IF(J181="","Status needed",IF(OR(J181="Applied",J181="Visit booked",J181="Withdrawn"),"OK",IF(G181="","Date assessed needed",IF(C181="","Date of birth needed",IF(COUNTA(L181,M181,P181,U181,V181,X181,AB181)&lt;7,"Band missing",IF(AND(OR(J181="Decision confirmed",J181="Family told",J181="Enrolled"),AG181=""),"Recommendation needed",IF(AND(OR(J181="Family told",J181="Enrolled"),AJ181=""),"Date family told needed","OK"))))))))</f>
        <v/>
      </c>
    </row>
    <row r="182" customFormat="false" ht="15" hidden="false" customHeight="false" outlineLevel="0" collapsed="false">
      <c r="A182" s="7"/>
      <c r="B182" s="7"/>
      <c r="C182" s="46"/>
      <c r="D182" s="7"/>
      <c r="E182" s="47"/>
      <c r="F182" s="46"/>
      <c r="G182" s="46"/>
      <c r="H182" s="7"/>
      <c r="I182" s="7"/>
      <c r="J182" s="47"/>
      <c r="K182" s="47"/>
      <c r="L182" s="47"/>
      <c r="M182" s="47"/>
      <c r="N182" s="10"/>
      <c r="O182" s="47"/>
      <c r="P182" s="47"/>
      <c r="Q182" s="47"/>
      <c r="R182" s="48" t="str">
        <f aca="false">IF(Q182="","",IF(Q182=0,"below 5:00",IF(Q182&gt;=66,"16:00 or above",INT((60+2*Q182)/12)&amp;":"&amp;TEXT(MOD(60+2*Q182,12),"00"))))</f>
        <v/>
      </c>
      <c r="S182" s="47"/>
      <c r="T182" s="47"/>
      <c r="U182" s="47"/>
      <c r="V182" s="47"/>
      <c r="W182" s="47"/>
      <c r="X182" s="47"/>
      <c r="Y182" s="47"/>
      <c r="Z182" s="47"/>
      <c r="AA182" s="47"/>
      <c r="AB182" s="47"/>
      <c r="AC182" s="47"/>
      <c r="AD182" s="47"/>
      <c r="AE182" s="47"/>
      <c r="AF182" s="47"/>
      <c r="AG182" s="47"/>
      <c r="AH182" s="47"/>
      <c r="AI182" s="46"/>
      <c r="AJ182" s="46"/>
      <c r="AK182" s="46"/>
      <c r="AL182" s="7"/>
      <c r="AM182" s="49" t="str">
        <f aca="false">IF(OR(C182="",G182=""),"",IFERROR(DATEDIF(C182,G182,"m"),""))</f>
        <v/>
      </c>
      <c r="AN182" s="49" t="str">
        <f aca="false">IF(OR(Q182="",AM182=""),"",60+2*Q182-AM182)</f>
        <v/>
      </c>
      <c r="AO182" s="49" t="str">
        <f aca="false">IF(OR(G182="",AJ182=""),"",AJ182-G182)</f>
        <v/>
      </c>
      <c r="AP182" s="50" t="str">
        <f aca="false">IF(AND(A182="",B182=""),"",IF(J182="","Status needed",IF(OR(J182="Applied",J182="Visit booked",J182="Withdrawn"),"OK",IF(G182="","Date assessed needed",IF(C182="","Date of birth needed",IF(COUNTA(L182,M182,P182,U182,V182,X182,AB182)&lt;7,"Band missing",IF(AND(OR(J182="Decision confirmed",J182="Family told",J182="Enrolled"),AG182=""),"Recommendation needed",IF(AND(OR(J182="Family told",J182="Enrolled"),AJ182=""),"Date family told needed","OK"))))))))</f>
        <v/>
      </c>
    </row>
    <row r="183" customFormat="false" ht="15" hidden="false" customHeight="false" outlineLevel="0" collapsed="false">
      <c r="A183" s="7"/>
      <c r="B183" s="7"/>
      <c r="C183" s="46"/>
      <c r="D183" s="7"/>
      <c r="E183" s="47"/>
      <c r="F183" s="46"/>
      <c r="G183" s="46"/>
      <c r="H183" s="7"/>
      <c r="I183" s="7"/>
      <c r="J183" s="47"/>
      <c r="K183" s="47"/>
      <c r="L183" s="47"/>
      <c r="M183" s="47"/>
      <c r="N183" s="10"/>
      <c r="O183" s="47"/>
      <c r="P183" s="47"/>
      <c r="Q183" s="47"/>
      <c r="R183" s="48" t="str">
        <f aca="false">IF(Q183="","",IF(Q183=0,"below 5:00",IF(Q183&gt;=66,"16:00 or above",INT((60+2*Q183)/12)&amp;":"&amp;TEXT(MOD(60+2*Q183,12),"00"))))</f>
        <v/>
      </c>
      <c r="S183" s="47"/>
      <c r="T183" s="47"/>
      <c r="U183" s="47"/>
      <c r="V183" s="47"/>
      <c r="W183" s="47"/>
      <c r="X183" s="47"/>
      <c r="Y183" s="47"/>
      <c r="Z183" s="47"/>
      <c r="AA183" s="47"/>
      <c r="AB183" s="47"/>
      <c r="AC183" s="47"/>
      <c r="AD183" s="47"/>
      <c r="AE183" s="47"/>
      <c r="AF183" s="47"/>
      <c r="AG183" s="47"/>
      <c r="AH183" s="47"/>
      <c r="AI183" s="46"/>
      <c r="AJ183" s="46"/>
      <c r="AK183" s="46"/>
      <c r="AL183" s="7"/>
      <c r="AM183" s="49" t="str">
        <f aca="false">IF(OR(C183="",G183=""),"",IFERROR(DATEDIF(C183,G183,"m"),""))</f>
        <v/>
      </c>
      <c r="AN183" s="49" t="str">
        <f aca="false">IF(OR(Q183="",AM183=""),"",60+2*Q183-AM183)</f>
        <v/>
      </c>
      <c r="AO183" s="49" t="str">
        <f aca="false">IF(OR(G183="",AJ183=""),"",AJ183-G183)</f>
        <v/>
      </c>
      <c r="AP183" s="50" t="str">
        <f aca="false">IF(AND(A183="",B183=""),"",IF(J183="","Status needed",IF(OR(J183="Applied",J183="Visit booked",J183="Withdrawn"),"OK",IF(G183="","Date assessed needed",IF(C183="","Date of birth needed",IF(COUNTA(L183,M183,P183,U183,V183,X183,AB183)&lt;7,"Band missing",IF(AND(OR(J183="Decision confirmed",J183="Family told",J183="Enrolled"),AG183=""),"Recommendation needed",IF(AND(OR(J183="Family told",J183="Enrolled"),AJ183=""),"Date family told needed","OK"))))))))</f>
        <v/>
      </c>
    </row>
    <row r="184" customFormat="false" ht="15" hidden="false" customHeight="false" outlineLevel="0" collapsed="false">
      <c r="A184" s="7"/>
      <c r="B184" s="7"/>
      <c r="C184" s="46"/>
      <c r="D184" s="7"/>
      <c r="E184" s="47"/>
      <c r="F184" s="46"/>
      <c r="G184" s="46"/>
      <c r="H184" s="7"/>
      <c r="I184" s="7"/>
      <c r="J184" s="47"/>
      <c r="K184" s="47"/>
      <c r="L184" s="47"/>
      <c r="M184" s="47"/>
      <c r="N184" s="10"/>
      <c r="O184" s="47"/>
      <c r="P184" s="47"/>
      <c r="Q184" s="47"/>
      <c r="R184" s="48" t="str">
        <f aca="false">IF(Q184="","",IF(Q184=0,"below 5:00",IF(Q184&gt;=66,"16:00 or above",INT((60+2*Q184)/12)&amp;":"&amp;TEXT(MOD(60+2*Q184,12),"00"))))</f>
        <v/>
      </c>
      <c r="S184" s="47"/>
      <c r="T184" s="47"/>
      <c r="U184" s="47"/>
      <c r="V184" s="47"/>
      <c r="W184" s="47"/>
      <c r="X184" s="47"/>
      <c r="Y184" s="47"/>
      <c r="Z184" s="47"/>
      <c r="AA184" s="47"/>
      <c r="AB184" s="47"/>
      <c r="AC184" s="47"/>
      <c r="AD184" s="47"/>
      <c r="AE184" s="47"/>
      <c r="AF184" s="47"/>
      <c r="AG184" s="47"/>
      <c r="AH184" s="47"/>
      <c r="AI184" s="46"/>
      <c r="AJ184" s="46"/>
      <c r="AK184" s="46"/>
      <c r="AL184" s="7"/>
      <c r="AM184" s="49" t="str">
        <f aca="false">IF(OR(C184="",G184=""),"",IFERROR(DATEDIF(C184,G184,"m"),""))</f>
        <v/>
      </c>
      <c r="AN184" s="49" t="str">
        <f aca="false">IF(OR(Q184="",AM184=""),"",60+2*Q184-AM184)</f>
        <v/>
      </c>
      <c r="AO184" s="49" t="str">
        <f aca="false">IF(OR(G184="",AJ184=""),"",AJ184-G184)</f>
        <v/>
      </c>
      <c r="AP184" s="50" t="str">
        <f aca="false">IF(AND(A184="",B184=""),"",IF(J184="","Status needed",IF(OR(J184="Applied",J184="Visit booked",J184="Withdrawn"),"OK",IF(G184="","Date assessed needed",IF(C184="","Date of birth needed",IF(COUNTA(L184,M184,P184,U184,V184,X184,AB184)&lt;7,"Band missing",IF(AND(OR(J184="Decision confirmed",J184="Family told",J184="Enrolled"),AG184=""),"Recommendation needed",IF(AND(OR(J184="Family told",J184="Enrolled"),AJ184=""),"Date family told needed","OK"))))))))</f>
        <v/>
      </c>
    </row>
    <row r="185" customFormat="false" ht="15" hidden="false" customHeight="false" outlineLevel="0" collapsed="false">
      <c r="A185" s="7"/>
      <c r="B185" s="7"/>
      <c r="C185" s="46"/>
      <c r="D185" s="7"/>
      <c r="E185" s="47"/>
      <c r="F185" s="46"/>
      <c r="G185" s="46"/>
      <c r="H185" s="7"/>
      <c r="I185" s="7"/>
      <c r="J185" s="47"/>
      <c r="K185" s="47"/>
      <c r="L185" s="47"/>
      <c r="M185" s="47"/>
      <c r="N185" s="10"/>
      <c r="O185" s="47"/>
      <c r="P185" s="47"/>
      <c r="Q185" s="47"/>
      <c r="R185" s="48" t="str">
        <f aca="false">IF(Q185="","",IF(Q185=0,"below 5:00",IF(Q185&gt;=66,"16:00 or above",INT((60+2*Q185)/12)&amp;":"&amp;TEXT(MOD(60+2*Q185,12),"00"))))</f>
        <v/>
      </c>
      <c r="S185" s="47"/>
      <c r="T185" s="47"/>
      <c r="U185" s="47"/>
      <c r="V185" s="47"/>
      <c r="W185" s="47"/>
      <c r="X185" s="47"/>
      <c r="Y185" s="47"/>
      <c r="Z185" s="47"/>
      <c r="AA185" s="47"/>
      <c r="AB185" s="47"/>
      <c r="AC185" s="47"/>
      <c r="AD185" s="47"/>
      <c r="AE185" s="47"/>
      <c r="AF185" s="47"/>
      <c r="AG185" s="47"/>
      <c r="AH185" s="47"/>
      <c r="AI185" s="46"/>
      <c r="AJ185" s="46"/>
      <c r="AK185" s="46"/>
      <c r="AL185" s="7"/>
      <c r="AM185" s="49" t="str">
        <f aca="false">IF(OR(C185="",G185=""),"",IFERROR(DATEDIF(C185,G185,"m"),""))</f>
        <v/>
      </c>
      <c r="AN185" s="49" t="str">
        <f aca="false">IF(OR(Q185="",AM185=""),"",60+2*Q185-AM185)</f>
        <v/>
      </c>
      <c r="AO185" s="49" t="str">
        <f aca="false">IF(OR(G185="",AJ185=""),"",AJ185-G185)</f>
        <v/>
      </c>
      <c r="AP185" s="50" t="str">
        <f aca="false">IF(AND(A185="",B185=""),"",IF(J185="","Status needed",IF(OR(J185="Applied",J185="Visit booked",J185="Withdrawn"),"OK",IF(G185="","Date assessed needed",IF(C185="","Date of birth needed",IF(COUNTA(L185,M185,P185,U185,V185,X185,AB185)&lt;7,"Band missing",IF(AND(OR(J185="Decision confirmed",J185="Family told",J185="Enrolled"),AG185=""),"Recommendation needed",IF(AND(OR(J185="Family told",J185="Enrolled"),AJ185=""),"Date family told needed","OK"))))))))</f>
        <v/>
      </c>
    </row>
    <row r="186" customFormat="false" ht="15" hidden="false" customHeight="false" outlineLevel="0" collapsed="false">
      <c r="A186" s="7"/>
      <c r="B186" s="7"/>
      <c r="C186" s="46"/>
      <c r="D186" s="7"/>
      <c r="E186" s="47"/>
      <c r="F186" s="46"/>
      <c r="G186" s="46"/>
      <c r="H186" s="7"/>
      <c r="I186" s="7"/>
      <c r="J186" s="47"/>
      <c r="K186" s="47"/>
      <c r="L186" s="47"/>
      <c r="M186" s="47"/>
      <c r="N186" s="10"/>
      <c r="O186" s="47"/>
      <c r="P186" s="47"/>
      <c r="Q186" s="47"/>
      <c r="R186" s="48" t="str">
        <f aca="false">IF(Q186="","",IF(Q186=0,"below 5:00",IF(Q186&gt;=66,"16:00 or above",INT((60+2*Q186)/12)&amp;":"&amp;TEXT(MOD(60+2*Q186,12),"00"))))</f>
        <v/>
      </c>
      <c r="S186" s="47"/>
      <c r="T186" s="47"/>
      <c r="U186" s="47"/>
      <c r="V186" s="47"/>
      <c r="W186" s="47"/>
      <c r="X186" s="47"/>
      <c r="Y186" s="47"/>
      <c r="Z186" s="47"/>
      <c r="AA186" s="47"/>
      <c r="AB186" s="47"/>
      <c r="AC186" s="47"/>
      <c r="AD186" s="47"/>
      <c r="AE186" s="47"/>
      <c r="AF186" s="47"/>
      <c r="AG186" s="47"/>
      <c r="AH186" s="47"/>
      <c r="AI186" s="46"/>
      <c r="AJ186" s="46"/>
      <c r="AK186" s="46"/>
      <c r="AL186" s="7"/>
      <c r="AM186" s="49" t="str">
        <f aca="false">IF(OR(C186="",G186=""),"",IFERROR(DATEDIF(C186,G186,"m"),""))</f>
        <v/>
      </c>
      <c r="AN186" s="49" t="str">
        <f aca="false">IF(OR(Q186="",AM186=""),"",60+2*Q186-AM186)</f>
        <v/>
      </c>
      <c r="AO186" s="49" t="str">
        <f aca="false">IF(OR(G186="",AJ186=""),"",AJ186-G186)</f>
        <v/>
      </c>
      <c r="AP186" s="50" t="str">
        <f aca="false">IF(AND(A186="",B186=""),"",IF(J186="","Status needed",IF(OR(J186="Applied",J186="Visit booked",J186="Withdrawn"),"OK",IF(G186="","Date assessed needed",IF(C186="","Date of birth needed",IF(COUNTA(L186,M186,P186,U186,V186,X186,AB186)&lt;7,"Band missing",IF(AND(OR(J186="Decision confirmed",J186="Family told",J186="Enrolled"),AG186=""),"Recommendation needed",IF(AND(OR(J186="Family told",J186="Enrolled"),AJ186=""),"Date family told needed","OK"))))))))</f>
        <v/>
      </c>
    </row>
    <row r="187" customFormat="false" ht="15" hidden="false" customHeight="false" outlineLevel="0" collapsed="false">
      <c r="A187" s="7"/>
      <c r="B187" s="7"/>
      <c r="C187" s="46"/>
      <c r="D187" s="7"/>
      <c r="E187" s="47"/>
      <c r="F187" s="46"/>
      <c r="G187" s="46"/>
      <c r="H187" s="7"/>
      <c r="I187" s="7"/>
      <c r="J187" s="47"/>
      <c r="K187" s="47"/>
      <c r="L187" s="47"/>
      <c r="M187" s="47"/>
      <c r="N187" s="10"/>
      <c r="O187" s="47"/>
      <c r="P187" s="47"/>
      <c r="Q187" s="47"/>
      <c r="R187" s="48" t="str">
        <f aca="false">IF(Q187="","",IF(Q187=0,"below 5:00",IF(Q187&gt;=66,"16:00 or above",INT((60+2*Q187)/12)&amp;":"&amp;TEXT(MOD(60+2*Q187,12),"00"))))</f>
        <v/>
      </c>
      <c r="S187" s="47"/>
      <c r="T187" s="47"/>
      <c r="U187" s="47"/>
      <c r="V187" s="47"/>
      <c r="W187" s="47"/>
      <c r="X187" s="47"/>
      <c r="Y187" s="47"/>
      <c r="Z187" s="47"/>
      <c r="AA187" s="47"/>
      <c r="AB187" s="47"/>
      <c r="AC187" s="47"/>
      <c r="AD187" s="47"/>
      <c r="AE187" s="47"/>
      <c r="AF187" s="47"/>
      <c r="AG187" s="47"/>
      <c r="AH187" s="47"/>
      <c r="AI187" s="46"/>
      <c r="AJ187" s="46"/>
      <c r="AK187" s="46"/>
      <c r="AL187" s="7"/>
      <c r="AM187" s="49" t="str">
        <f aca="false">IF(OR(C187="",G187=""),"",IFERROR(DATEDIF(C187,G187,"m"),""))</f>
        <v/>
      </c>
      <c r="AN187" s="49" t="str">
        <f aca="false">IF(OR(Q187="",AM187=""),"",60+2*Q187-AM187)</f>
        <v/>
      </c>
      <c r="AO187" s="49" t="str">
        <f aca="false">IF(OR(G187="",AJ187=""),"",AJ187-G187)</f>
        <v/>
      </c>
      <c r="AP187" s="50" t="str">
        <f aca="false">IF(AND(A187="",B187=""),"",IF(J187="","Status needed",IF(OR(J187="Applied",J187="Visit booked",J187="Withdrawn"),"OK",IF(G187="","Date assessed needed",IF(C187="","Date of birth needed",IF(COUNTA(L187,M187,P187,U187,V187,X187,AB187)&lt;7,"Band missing",IF(AND(OR(J187="Decision confirmed",J187="Family told",J187="Enrolled"),AG187=""),"Recommendation needed",IF(AND(OR(J187="Family told",J187="Enrolled"),AJ187=""),"Date family told needed","OK"))))))))</f>
        <v/>
      </c>
    </row>
    <row r="188" customFormat="false" ht="15" hidden="false" customHeight="false" outlineLevel="0" collapsed="false">
      <c r="A188" s="7"/>
      <c r="B188" s="7"/>
      <c r="C188" s="46"/>
      <c r="D188" s="7"/>
      <c r="E188" s="47"/>
      <c r="F188" s="46"/>
      <c r="G188" s="46"/>
      <c r="H188" s="7"/>
      <c r="I188" s="7"/>
      <c r="J188" s="47"/>
      <c r="K188" s="47"/>
      <c r="L188" s="47"/>
      <c r="M188" s="47"/>
      <c r="N188" s="10"/>
      <c r="O188" s="47"/>
      <c r="P188" s="47"/>
      <c r="Q188" s="47"/>
      <c r="R188" s="48" t="str">
        <f aca="false">IF(Q188="","",IF(Q188=0,"below 5:00",IF(Q188&gt;=66,"16:00 or above",INT((60+2*Q188)/12)&amp;":"&amp;TEXT(MOD(60+2*Q188,12),"00"))))</f>
        <v/>
      </c>
      <c r="S188" s="47"/>
      <c r="T188" s="47"/>
      <c r="U188" s="47"/>
      <c r="V188" s="47"/>
      <c r="W188" s="47"/>
      <c r="X188" s="47"/>
      <c r="Y188" s="47"/>
      <c r="Z188" s="47"/>
      <c r="AA188" s="47"/>
      <c r="AB188" s="47"/>
      <c r="AC188" s="47"/>
      <c r="AD188" s="47"/>
      <c r="AE188" s="47"/>
      <c r="AF188" s="47"/>
      <c r="AG188" s="47"/>
      <c r="AH188" s="47"/>
      <c r="AI188" s="46"/>
      <c r="AJ188" s="46"/>
      <c r="AK188" s="46"/>
      <c r="AL188" s="7"/>
      <c r="AM188" s="49" t="str">
        <f aca="false">IF(OR(C188="",G188=""),"",IFERROR(DATEDIF(C188,G188,"m"),""))</f>
        <v/>
      </c>
      <c r="AN188" s="49" t="str">
        <f aca="false">IF(OR(Q188="",AM188=""),"",60+2*Q188-AM188)</f>
        <v/>
      </c>
      <c r="AO188" s="49" t="str">
        <f aca="false">IF(OR(G188="",AJ188=""),"",AJ188-G188)</f>
        <v/>
      </c>
      <c r="AP188" s="50" t="str">
        <f aca="false">IF(AND(A188="",B188=""),"",IF(J188="","Status needed",IF(OR(J188="Applied",J188="Visit booked",J188="Withdrawn"),"OK",IF(G188="","Date assessed needed",IF(C188="","Date of birth needed",IF(COUNTA(L188,M188,P188,U188,V188,X188,AB188)&lt;7,"Band missing",IF(AND(OR(J188="Decision confirmed",J188="Family told",J188="Enrolled"),AG188=""),"Recommendation needed",IF(AND(OR(J188="Family told",J188="Enrolled"),AJ188=""),"Date family told needed","OK"))))))))</f>
        <v/>
      </c>
    </row>
    <row r="189" customFormat="false" ht="15" hidden="false" customHeight="false" outlineLevel="0" collapsed="false">
      <c r="A189" s="7"/>
      <c r="B189" s="7"/>
      <c r="C189" s="46"/>
      <c r="D189" s="7"/>
      <c r="E189" s="47"/>
      <c r="F189" s="46"/>
      <c r="G189" s="46"/>
      <c r="H189" s="7"/>
      <c r="I189" s="7"/>
      <c r="J189" s="47"/>
      <c r="K189" s="47"/>
      <c r="L189" s="47"/>
      <c r="M189" s="47"/>
      <c r="N189" s="10"/>
      <c r="O189" s="47"/>
      <c r="P189" s="47"/>
      <c r="Q189" s="47"/>
      <c r="R189" s="48" t="str">
        <f aca="false">IF(Q189="","",IF(Q189=0,"below 5:00",IF(Q189&gt;=66,"16:00 or above",INT((60+2*Q189)/12)&amp;":"&amp;TEXT(MOD(60+2*Q189,12),"00"))))</f>
        <v/>
      </c>
      <c r="S189" s="47"/>
      <c r="T189" s="47"/>
      <c r="U189" s="47"/>
      <c r="V189" s="47"/>
      <c r="W189" s="47"/>
      <c r="X189" s="47"/>
      <c r="Y189" s="47"/>
      <c r="Z189" s="47"/>
      <c r="AA189" s="47"/>
      <c r="AB189" s="47"/>
      <c r="AC189" s="47"/>
      <c r="AD189" s="47"/>
      <c r="AE189" s="47"/>
      <c r="AF189" s="47"/>
      <c r="AG189" s="47"/>
      <c r="AH189" s="47"/>
      <c r="AI189" s="46"/>
      <c r="AJ189" s="46"/>
      <c r="AK189" s="46"/>
      <c r="AL189" s="7"/>
      <c r="AM189" s="49" t="str">
        <f aca="false">IF(OR(C189="",G189=""),"",IFERROR(DATEDIF(C189,G189,"m"),""))</f>
        <v/>
      </c>
      <c r="AN189" s="49" t="str">
        <f aca="false">IF(OR(Q189="",AM189=""),"",60+2*Q189-AM189)</f>
        <v/>
      </c>
      <c r="AO189" s="49" t="str">
        <f aca="false">IF(OR(G189="",AJ189=""),"",AJ189-G189)</f>
        <v/>
      </c>
      <c r="AP189" s="50" t="str">
        <f aca="false">IF(AND(A189="",B189=""),"",IF(J189="","Status needed",IF(OR(J189="Applied",J189="Visit booked",J189="Withdrawn"),"OK",IF(G189="","Date assessed needed",IF(C189="","Date of birth needed",IF(COUNTA(L189,M189,P189,U189,V189,X189,AB189)&lt;7,"Band missing",IF(AND(OR(J189="Decision confirmed",J189="Family told",J189="Enrolled"),AG189=""),"Recommendation needed",IF(AND(OR(J189="Family told",J189="Enrolled"),AJ189=""),"Date family told needed","OK"))))))))</f>
        <v/>
      </c>
    </row>
    <row r="190" customFormat="false" ht="15" hidden="false" customHeight="false" outlineLevel="0" collapsed="false">
      <c r="A190" s="7"/>
      <c r="B190" s="7"/>
      <c r="C190" s="46"/>
      <c r="D190" s="7"/>
      <c r="E190" s="47"/>
      <c r="F190" s="46"/>
      <c r="G190" s="46"/>
      <c r="H190" s="7"/>
      <c r="I190" s="7"/>
      <c r="J190" s="47"/>
      <c r="K190" s="47"/>
      <c r="L190" s="47"/>
      <c r="M190" s="47"/>
      <c r="N190" s="10"/>
      <c r="O190" s="47"/>
      <c r="P190" s="47"/>
      <c r="Q190" s="47"/>
      <c r="R190" s="48" t="str">
        <f aca="false">IF(Q190="","",IF(Q190=0,"below 5:00",IF(Q190&gt;=66,"16:00 or above",INT((60+2*Q190)/12)&amp;":"&amp;TEXT(MOD(60+2*Q190,12),"00"))))</f>
        <v/>
      </c>
      <c r="S190" s="47"/>
      <c r="T190" s="47"/>
      <c r="U190" s="47"/>
      <c r="V190" s="47"/>
      <c r="W190" s="47"/>
      <c r="X190" s="47"/>
      <c r="Y190" s="47"/>
      <c r="Z190" s="47"/>
      <c r="AA190" s="47"/>
      <c r="AB190" s="47"/>
      <c r="AC190" s="47"/>
      <c r="AD190" s="47"/>
      <c r="AE190" s="47"/>
      <c r="AF190" s="47"/>
      <c r="AG190" s="47"/>
      <c r="AH190" s="47"/>
      <c r="AI190" s="46"/>
      <c r="AJ190" s="46"/>
      <c r="AK190" s="46"/>
      <c r="AL190" s="7"/>
      <c r="AM190" s="49" t="str">
        <f aca="false">IF(OR(C190="",G190=""),"",IFERROR(DATEDIF(C190,G190,"m"),""))</f>
        <v/>
      </c>
      <c r="AN190" s="49" t="str">
        <f aca="false">IF(OR(Q190="",AM190=""),"",60+2*Q190-AM190)</f>
        <v/>
      </c>
      <c r="AO190" s="49" t="str">
        <f aca="false">IF(OR(G190="",AJ190=""),"",AJ190-G190)</f>
        <v/>
      </c>
      <c r="AP190" s="50" t="str">
        <f aca="false">IF(AND(A190="",B190=""),"",IF(J190="","Status needed",IF(OR(J190="Applied",J190="Visit booked",J190="Withdrawn"),"OK",IF(G190="","Date assessed needed",IF(C190="","Date of birth needed",IF(COUNTA(L190,M190,P190,U190,V190,X190,AB190)&lt;7,"Band missing",IF(AND(OR(J190="Decision confirmed",J190="Family told",J190="Enrolled"),AG190=""),"Recommendation needed",IF(AND(OR(J190="Family told",J190="Enrolled"),AJ190=""),"Date family told needed","OK"))))))))</f>
        <v/>
      </c>
    </row>
    <row r="191" customFormat="false" ht="15" hidden="false" customHeight="false" outlineLevel="0" collapsed="false">
      <c r="A191" s="7"/>
      <c r="B191" s="7"/>
      <c r="C191" s="46"/>
      <c r="D191" s="7"/>
      <c r="E191" s="47"/>
      <c r="F191" s="46"/>
      <c r="G191" s="46"/>
      <c r="H191" s="7"/>
      <c r="I191" s="7"/>
      <c r="J191" s="47"/>
      <c r="K191" s="47"/>
      <c r="L191" s="47"/>
      <c r="M191" s="47"/>
      <c r="N191" s="10"/>
      <c r="O191" s="47"/>
      <c r="P191" s="47"/>
      <c r="Q191" s="47"/>
      <c r="R191" s="48" t="str">
        <f aca="false">IF(Q191="","",IF(Q191=0,"below 5:00",IF(Q191&gt;=66,"16:00 or above",INT((60+2*Q191)/12)&amp;":"&amp;TEXT(MOD(60+2*Q191,12),"00"))))</f>
        <v/>
      </c>
      <c r="S191" s="47"/>
      <c r="T191" s="47"/>
      <c r="U191" s="47"/>
      <c r="V191" s="47"/>
      <c r="W191" s="47"/>
      <c r="X191" s="47"/>
      <c r="Y191" s="47"/>
      <c r="Z191" s="47"/>
      <c r="AA191" s="47"/>
      <c r="AB191" s="47"/>
      <c r="AC191" s="47"/>
      <c r="AD191" s="47"/>
      <c r="AE191" s="47"/>
      <c r="AF191" s="47"/>
      <c r="AG191" s="47"/>
      <c r="AH191" s="47"/>
      <c r="AI191" s="46"/>
      <c r="AJ191" s="46"/>
      <c r="AK191" s="46"/>
      <c r="AL191" s="7"/>
      <c r="AM191" s="49" t="str">
        <f aca="false">IF(OR(C191="",G191=""),"",IFERROR(DATEDIF(C191,G191,"m"),""))</f>
        <v/>
      </c>
      <c r="AN191" s="49" t="str">
        <f aca="false">IF(OR(Q191="",AM191=""),"",60+2*Q191-AM191)</f>
        <v/>
      </c>
      <c r="AO191" s="49" t="str">
        <f aca="false">IF(OR(G191="",AJ191=""),"",AJ191-G191)</f>
        <v/>
      </c>
      <c r="AP191" s="50" t="str">
        <f aca="false">IF(AND(A191="",B191=""),"",IF(J191="","Status needed",IF(OR(J191="Applied",J191="Visit booked",J191="Withdrawn"),"OK",IF(G191="","Date assessed needed",IF(C191="","Date of birth needed",IF(COUNTA(L191,M191,P191,U191,V191,X191,AB191)&lt;7,"Band missing",IF(AND(OR(J191="Decision confirmed",J191="Family told",J191="Enrolled"),AG191=""),"Recommendation needed",IF(AND(OR(J191="Family told",J191="Enrolled"),AJ191=""),"Date family told needed","OK"))))))))</f>
        <v/>
      </c>
    </row>
    <row r="192" customFormat="false" ht="15" hidden="false" customHeight="false" outlineLevel="0" collapsed="false">
      <c r="A192" s="7"/>
      <c r="B192" s="7"/>
      <c r="C192" s="46"/>
      <c r="D192" s="7"/>
      <c r="E192" s="47"/>
      <c r="F192" s="46"/>
      <c r="G192" s="46"/>
      <c r="H192" s="7"/>
      <c r="I192" s="7"/>
      <c r="J192" s="47"/>
      <c r="K192" s="47"/>
      <c r="L192" s="47"/>
      <c r="M192" s="47"/>
      <c r="N192" s="10"/>
      <c r="O192" s="47"/>
      <c r="P192" s="47"/>
      <c r="Q192" s="47"/>
      <c r="R192" s="48" t="str">
        <f aca="false">IF(Q192="","",IF(Q192=0,"below 5:00",IF(Q192&gt;=66,"16:00 or above",INT((60+2*Q192)/12)&amp;":"&amp;TEXT(MOD(60+2*Q192,12),"00"))))</f>
        <v/>
      </c>
      <c r="S192" s="47"/>
      <c r="T192" s="47"/>
      <c r="U192" s="47"/>
      <c r="V192" s="47"/>
      <c r="W192" s="47"/>
      <c r="X192" s="47"/>
      <c r="Y192" s="47"/>
      <c r="Z192" s="47"/>
      <c r="AA192" s="47"/>
      <c r="AB192" s="47"/>
      <c r="AC192" s="47"/>
      <c r="AD192" s="47"/>
      <c r="AE192" s="47"/>
      <c r="AF192" s="47"/>
      <c r="AG192" s="47"/>
      <c r="AH192" s="47"/>
      <c r="AI192" s="46"/>
      <c r="AJ192" s="46"/>
      <c r="AK192" s="46"/>
      <c r="AL192" s="7"/>
      <c r="AM192" s="49" t="str">
        <f aca="false">IF(OR(C192="",G192=""),"",IFERROR(DATEDIF(C192,G192,"m"),""))</f>
        <v/>
      </c>
      <c r="AN192" s="49" t="str">
        <f aca="false">IF(OR(Q192="",AM192=""),"",60+2*Q192-AM192)</f>
        <v/>
      </c>
      <c r="AO192" s="49" t="str">
        <f aca="false">IF(OR(G192="",AJ192=""),"",AJ192-G192)</f>
        <v/>
      </c>
      <c r="AP192" s="50" t="str">
        <f aca="false">IF(AND(A192="",B192=""),"",IF(J192="","Status needed",IF(OR(J192="Applied",J192="Visit booked",J192="Withdrawn"),"OK",IF(G192="","Date assessed needed",IF(C192="","Date of birth needed",IF(COUNTA(L192,M192,P192,U192,V192,X192,AB192)&lt;7,"Band missing",IF(AND(OR(J192="Decision confirmed",J192="Family told",J192="Enrolled"),AG192=""),"Recommendation needed",IF(AND(OR(J192="Family told",J192="Enrolled"),AJ192=""),"Date family told needed","OK"))))))))</f>
        <v/>
      </c>
    </row>
    <row r="193" customFormat="false" ht="15" hidden="false" customHeight="false" outlineLevel="0" collapsed="false">
      <c r="A193" s="7"/>
      <c r="B193" s="7"/>
      <c r="C193" s="46"/>
      <c r="D193" s="7"/>
      <c r="E193" s="47"/>
      <c r="F193" s="46"/>
      <c r="G193" s="46"/>
      <c r="H193" s="7"/>
      <c r="I193" s="7"/>
      <c r="J193" s="47"/>
      <c r="K193" s="47"/>
      <c r="L193" s="47"/>
      <c r="M193" s="47"/>
      <c r="N193" s="10"/>
      <c r="O193" s="47"/>
      <c r="P193" s="47"/>
      <c r="Q193" s="47"/>
      <c r="R193" s="48" t="str">
        <f aca="false">IF(Q193="","",IF(Q193=0,"below 5:00",IF(Q193&gt;=66,"16:00 or above",INT((60+2*Q193)/12)&amp;":"&amp;TEXT(MOD(60+2*Q193,12),"00"))))</f>
        <v/>
      </c>
      <c r="S193" s="47"/>
      <c r="T193" s="47"/>
      <c r="U193" s="47"/>
      <c r="V193" s="47"/>
      <c r="W193" s="47"/>
      <c r="X193" s="47"/>
      <c r="Y193" s="47"/>
      <c r="Z193" s="47"/>
      <c r="AA193" s="47"/>
      <c r="AB193" s="47"/>
      <c r="AC193" s="47"/>
      <c r="AD193" s="47"/>
      <c r="AE193" s="47"/>
      <c r="AF193" s="47"/>
      <c r="AG193" s="47"/>
      <c r="AH193" s="47"/>
      <c r="AI193" s="46"/>
      <c r="AJ193" s="46"/>
      <c r="AK193" s="46"/>
      <c r="AL193" s="7"/>
      <c r="AM193" s="49" t="str">
        <f aca="false">IF(OR(C193="",G193=""),"",IFERROR(DATEDIF(C193,G193,"m"),""))</f>
        <v/>
      </c>
      <c r="AN193" s="49" t="str">
        <f aca="false">IF(OR(Q193="",AM193=""),"",60+2*Q193-AM193)</f>
        <v/>
      </c>
      <c r="AO193" s="49" t="str">
        <f aca="false">IF(OR(G193="",AJ193=""),"",AJ193-G193)</f>
        <v/>
      </c>
      <c r="AP193" s="50" t="str">
        <f aca="false">IF(AND(A193="",B193=""),"",IF(J193="","Status needed",IF(OR(J193="Applied",J193="Visit booked",J193="Withdrawn"),"OK",IF(G193="","Date assessed needed",IF(C193="","Date of birth needed",IF(COUNTA(L193,M193,P193,U193,V193,X193,AB193)&lt;7,"Band missing",IF(AND(OR(J193="Decision confirmed",J193="Family told",J193="Enrolled"),AG193=""),"Recommendation needed",IF(AND(OR(J193="Family told",J193="Enrolled"),AJ193=""),"Date family told needed","OK"))))))))</f>
        <v/>
      </c>
    </row>
    <row r="194" customFormat="false" ht="15" hidden="false" customHeight="false" outlineLevel="0" collapsed="false">
      <c r="A194" s="7"/>
      <c r="B194" s="7"/>
      <c r="C194" s="46"/>
      <c r="D194" s="7"/>
      <c r="E194" s="47"/>
      <c r="F194" s="46"/>
      <c r="G194" s="46"/>
      <c r="H194" s="7"/>
      <c r="I194" s="7"/>
      <c r="J194" s="47"/>
      <c r="K194" s="47"/>
      <c r="L194" s="47"/>
      <c r="M194" s="47"/>
      <c r="N194" s="10"/>
      <c r="O194" s="47"/>
      <c r="P194" s="47"/>
      <c r="Q194" s="47"/>
      <c r="R194" s="48" t="str">
        <f aca="false">IF(Q194="","",IF(Q194=0,"below 5:00",IF(Q194&gt;=66,"16:00 or above",INT((60+2*Q194)/12)&amp;":"&amp;TEXT(MOD(60+2*Q194,12),"00"))))</f>
        <v/>
      </c>
      <c r="S194" s="47"/>
      <c r="T194" s="47"/>
      <c r="U194" s="47"/>
      <c r="V194" s="47"/>
      <c r="W194" s="47"/>
      <c r="X194" s="47"/>
      <c r="Y194" s="47"/>
      <c r="Z194" s="47"/>
      <c r="AA194" s="47"/>
      <c r="AB194" s="47"/>
      <c r="AC194" s="47"/>
      <c r="AD194" s="47"/>
      <c r="AE194" s="47"/>
      <c r="AF194" s="47"/>
      <c r="AG194" s="47"/>
      <c r="AH194" s="47"/>
      <c r="AI194" s="46"/>
      <c r="AJ194" s="46"/>
      <c r="AK194" s="46"/>
      <c r="AL194" s="7"/>
      <c r="AM194" s="49" t="str">
        <f aca="false">IF(OR(C194="",G194=""),"",IFERROR(DATEDIF(C194,G194,"m"),""))</f>
        <v/>
      </c>
      <c r="AN194" s="49" t="str">
        <f aca="false">IF(OR(Q194="",AM194=""),"",60+2*Q194-AM194)</f>
        <v/>
      </c>
      <c r="AO194" s="49" t="str">
        <f aca="false">IF(OR(G194="",AJ194=""),"",AJ194-G194)</f>
        <v/>
      </c>
      <c r="AP194" s="50" t="str">
        <f aca="false">IF(AND(A194="",B194=""),"",IF(J194="","Status needed",IF(OR(J194="Applied",J194="Visit booked",J194="Withdrawn"),"OK",IF(G194="","Date assessed needed",IF(C194="","Date of birth needed",IF(COUNTA(L194,M194,P194,U194,V194,X194,AB194)&lt;7,"Band missing",IF(AND(OR(J194="Decision confirmed",J194="Family told",J194="Enrolled"),AG194=""),"Recommendation needed",IF(AND(OR(J194="Family told",J194="Enrolled"),AJ194=""),"Date family told needed","OK"))))))))</f>
        <v/>
      </c>
    </row>
    <row r="195" customFormat="false" ht="15" hidden="false" customHeight="false" outlineLevel="0" collapsed="false">
      <c r="A195" s="7"/>
      <c r="B195" s="7"/>
      <c r="C195" s="46"/>
      <c r="D195" s="7"/>
      <c r="E195" s="47"/>
      <c r="F195" s="46"/>
      <c r="G195" s="46"/>
      <c r="H195" s="7"/>
      <c r="I195" s="7"/>
      <c r="J195" s="47"/>
      <c r="K195" s="47"/>
      <c r="L195" s="47"/>
      <c r="M195" s="47"/>
      <c r="N195" s="10"/>
      <c r="O195" s="47"/>
      <c r="P195" s="47"/>
      <c r="Q195" s="47"/>
      <c r="R195" s="48" t="str">
        <f aca="false">IF(Q195="","",IF(Q195=0,"below 5:00",IF(Q195&gt;=66,"16:00 or above",INT((60+2*Q195)/12)&amp;":"&amp;TEXT(MOD(60+2*Q195,12),"00"))))</f>
        <v/>
      </c>
      <c r="S195" s="47"/>
      <c r="T195" s="47"/>
      <c r="U195" s="47"/>
      <c r="V195" s="47"/>
      <c r="W195" s="47"/>
      <c r="X195" s="47"/>
      <c r="Y195" s="47"/>
      <c r="Z195" s="47"/>
      <c r="AA195" s="47"/>
      <c r="AB195" s="47"/>
      <c r="AC195" s="47"/>
      <c r="AD195" s="47"/>
      <c r="AE195" s="47"/>
      <c r="AF195" s="47"/>
      <c r="AG195" s="47"/>
      <c r="AH195" s="47"/>
      <c r="AI195" s="46"/>
      <c r="AJ195" s="46"/>
      <c r="AK195" s="46"/>
      <c r="AL195" s="7"/>
      <c r="AM195" s="49" t="str">
        <f aca="false">IF(OR(C195="",G195=""),"",IFERROR(DATEDIF(C195,G195,"m"),""))</f>
        <v/>
      </c>
      <c r="AN195" s="49" t="str">
        <f aca="false">IF(OR(Q195="",AM195=""),"",60+2*Q195-AM195)</f>
        <v/>
      </c>
      <c r="AO195" s="49" t="str">
        <f aca="false">IF(OR(G195="",AJ195=""),"",AJ195-G195)</f>
        <v/>
      </c>
      <c r="AP195" s="50" t="str">
        <f aca="false">IF(AND(A195="",B195=""),"",IF(J195="","Status needed",IF(OR(J195="Applied",J195="Visit booked",J195="Withdrawn"),"OK",IF(G195="","Date assessed needed",IF(C195="","Date of birth needed",IF(COUNTA(L195,M195,P195,U195,V195,X195,AB195)&lt;7,"Band missing",IF(AND(OR(J195="Decision confirmed",J195="Family told",J195="Enrolled"),AG195=""),"Recommendation needed",IF(AND(OR(J195="Family told",J195="Enrolled"),AJ195=""),"Date family told needed","OK"))))))))</f>
        <v/>
      </c>
    </row>
    <row r="196" customFormat="false" ht="15" hidden="false" customHeight="false" outlineLevel="0" collapsed="false">
      <c r="A196" s="7"/>
      <c r="B196" s="7"/>
      <c r="C196" s="46"/>
      <c r="D196" s="7"/>
      <c r="E196" s="47"/>
      <c r="F196" s="46"/>
      <c r="G196" s="46"/>
      <c r="H196" s="7"/>
      <c r="I196" s="7"/>
      <c r="J196" s="47"/>
      <c r="K196" s="47"/>
      <c r="L196" s="47"/>
      <c r="M196" s="47"/>
      <c r="N196" s="10"/>
      <c r="O196" s="47"/>
      <c r="P196" s="47"/>
      <c r="Q196" s="47"/>
      <c r="R196" s="48" t="str">
        <f aca="false">IF(Q196="","",IF(Q196=0,"below 5:00",IF(Q196&gt;=66,"16:00 or above",INT((60+2*Q196)/12)&amp;":"&amp;TEXT(MOD(60+2*Q196,12),"00"))))</f>
        <v/>
      </c>
      <c r="S196" s="47"/>
      <c r="T196" s="47"/>
      <c r="U196" s="47"/>
      <c r="V196" s="47"/>
      <c r="W196" s="47"/>
      <c r="X196" s="47"/>
      <c r="Y196" s="47"/>
      <c r="Z196" s="47"/>
      <c r="AA196" s="47"/>
      <c r="AB196" s="47"/>
      <c r="AC196" s="47"/>
      <c r="AD196" s="47"/>
      <c r="AE196" s="47"/>
      <c r="AF196" s="47"/>
      <c r="AG196" s="47"/>
      <c r="AH196" s="47"/>
      <c r="AI196" s="46"/>
      <c r="AJ196" s="46"/>
      <c r="AK196" s="46"/>
      <c r="AL196" s="7"/>
      <c r="AM196" s="49" t="str">
        <f aca="false">IF(OR(C196="",G196=""),"",IFERROR(DATEDIF(C196,G196,"m"),""))</f>
        <v/>
      </c>
      <c r="AN196" s="49" t="str">
        <f aca="false">IF(OR(Q196="",AM196=""),"",60+2*Q196-AM196)</f>
        <v/>
      </c>
      <c r="AO196" s="49" t="str">
        <f aca="false">IF(OR(G196="",AJ196=""),"",AJ196-G196)</f>
        <v/>
      </c>
      <c r="AP196" s="50" t="str">
        <f aca="false">IF(AND(A196="",B196=""),"",IF(J196="","Status needed",IF(OR(J196="Applied",J196="Visit booked",J196="Withdrawn"),"OK",IF(G196="","Date assessed needed",IF(C196="","Date of birth needed",IF(COUNTA(L196,M196,P196,U196,V196,X196,AB196)&lt;7,"Band missing",IF(AND(OR(J196="Decision confirmed",J196="Family told",J196="Enrolled"),AG196=""),"Recommendation needed",IF(AND(OR(J196="Family told",J196="Enrolled"),AJ196=""),"Date family told needed","OK"))))))))</f>
        <v/>
      </c>
    </row>
    <row r="197" customFormat="false" ht="15" hidden="false" customHeight="false" outlineLevel="0" collapsed="false">
      <c r="A197" s="7"/>
      <c r="B197" s="7"/>
      <c r="C197" s="46"/>
      <c r="D197" s="7"/>
      <c r="E197" s="47"/>
      <c r="F197" s="46"/>
      <c r="G197" s="46"/>
      <c r="H197" s="7"/>
      <c r="I197" s="7"/>
      <c r="J197" s="47"/>
      <c r="K197" s="47"/>
      <c r="L197" s="47"/>
      <c r="M197" s="47"/>
      <c r="N197" s="10"/>
      <c r="O197" s="47"/>
      <c r="P197" s="47"/>
      <c r="Q197" s="47"/>
      <c r="R197" s="48" t="str">
        <f aca="false">IF(Q197="","",IF(Q197=0,"below 5:00",IF(Q197&gt;=66,"16:00 or above",INT((60+2*Q197)/12)&amp;":"&amp;TEXT(MOD(60+2*Q197,12),"00"))))</f>
        <v/>
      </c>
      <c r="S197" s="47"/>
      <c r="T197" s="47"/>
      <c r="U197" s="47"/>
      <c r="V197" s="47"/>
      <c r="W197" s="47"/>
      <c r="X197" s="47"/>
      <c r="Y197" s="47"/>
      <c r="Z197" s="47"/>
      <c r="AA197" s="47"/>
      <c r="AB197" s="47"/>
      <c r="AC197" s="47"/>
      <c r="AD197" s="47"/>
      <c r="AE197" s="47"/>
      <c r="AF197" s="47"/>
      <c r="AG197" s="47"/>
      <c r="AH197" s="47"/>
      <c r="AI197" s="46"/>
      <c r="AJ197" s="46"/>
      <c r="AK197" s="46"/>
      <c r="AL197" s="7"/>
      <c r="AM197" s="49" t="str">
        <f aca="false">IF(OR(C197="",G197=""),"",IFERROR(DATEDIF(C197,G197,"m"),""))</f>
        <v/>
      </c>
      <c r="AN197" s="49" t="str">
        <f aca="false">IF(OR(Q197="",AM197=""),"",60+2*Q197-AM197)</f>
        <v/>
      </c>
      <c r="AO197" s="49" t="str">
        <f aca="false">IF(OR(G197="",AJ197=""),"",AJ197-G197)</f>
        <v/>
      </c>
      <c r="AP197" s="50" t="str">
        <f aca="false">IF(AND(A197="",B197=""),"",IF(J197="","Status needed",IF(OR(J197="Applied",J197="Visit booked",J197="Withdrawn"),"OK",IF(G197="","Date assessed needed",IF(C197="","Date of birth needed",IF(COUNTA(L197,M197,P197,U197,V197,X197,AB197)&lt;7,"Band missing",IF(AND(OR(J197="Decision confirmed",J197="Family told",J197="Enrolled"),AG197=""),"Recommendation needed",IF(AND(OR(J197="Family told",J197="Enrolled"),AJ197=""),"Date family told needed","OK"))))))))</f>
        <v/>
      </c>
    </row>
    <row r="198" customFormat="false" ht="15" hidden="false" customHeight="false" outlineLevel="0" collapsed="false">
      <c r="A198" s="7"/>
      <c r="B198" s="7"/>
      <c r="C198" s="46"/>
      <c r="D198" s="7"/>
      <c r="E198" s="47"/>
      <c r="F198" s="46"/>
      <c r="G198" s="46"/>
      <c r="H198" s="7"/>
      <c r="I198" s="7"/>
      <c r="J198" s="47"/>
      <c r="K198" s="47"/>
      <c r="L198" s="47"/>
      <c r="M198" s="47"/>
      <c r="N198" s="10"/>
      <c r="O198" s="47"/>
      <c r="P198" s="47"/>
      <c r="Q198" s="47"/>
      <c r="R198" s="48" t="str">
        <f aca="false">IF(Q198="","",IF(Q198=0,"below 5:00",IF(Q198&gt;=66,"16:00 or above",INT((60+2*Q198)/12)&amp;":"&amp;TEXT(MOD(60+2*Q198,12),"00"))))</f>
        <v/>
      </c>
      <c r="S198" s="47"/>
      <c r="T198" s="47"/>
      <c r="U198" s="47"/>
      <c r="V198" s="47"/>
      <c r="W198" s="47"/>
      <c r="X198" s="47"/>
      <c r="Y198" s="47"/>
      <c r="Z198" s="47"/>
      <c r="AA198" s="47"/>
      <c r="AB198" s="47"/>
      <c r="AC198" s="47"/>
      <c r="AD198" s="47"/>
      <c r="AE198" s="47"/>
      <c r="AF198" s="47"/>
      <c r="AG198" s="47"/>
      <c r="AH198" s="47"/>
      <c r="AI198" s="46"/>
      <c r="AJ198" s="46"/>
      <c r="AK198" s="46"/>
      <c r="AL198" s="7"/>
      <c r="AM198" s="49" t="str">
        <f aca="false">IF(OR(C198="",G198=""),"",IFERROR(DATEDIF(C198,G198,"m"),""))</f>
        <v/>
      </c>
      <c r="AN198" s="49" t="str">
        <f aca="false">IF(OR(Q198="",AM198=""),"",60+2*Q198-AM198)</f>
        <v/>
      </c>
      <c r="AO198" s="49" t="str">
        <f aca="false">IF(OR(G198="",AJ198=""),"",AJ198-G198)</f>
        <v/>
      </c>
      <c r="AP198" s="50" t="str">
        <f aca="false">IF(AND(A198="",B198=""),"",IF(J198="","Status needed",IF(OR(J198="Applied",J198="Visit booked",J198="Withdrawn"),"OK",IF(G198="","Date assessed needed",IF(C198="","Date of birth needed",IF(COUNTA(L198,M198,P198,U198,V198,X198,AB198)&lt;7,"Band missing",IF(AND(OR(J198="Decision confirmed",J198="Family told",J198="Enrolled"),AG198=""),"Recommendation needed",IF(AND(OR(J198="Family told",J198="Enrolled"),AJ198=""),"Date family told needed","OK"))))))))</f>
        <v/>
      </c>
    </row>
    <row r="199" customFormat="false" ht="15" hidden="false" customHeight="false" outlineLevel="0" collapsed="false">
      <c r="A199" s="7"/>
      <c r="B199" s="7"/>
      <c r="C199" s="46"/>
      <c r="D199" s="7"/>
      <c r="E199" s="47"/>
      <c r="F199" s="46"/>
      <c r="G199" s="46"/>
      <c r="H199" s="7"/>
      <c r="I199" s="7"/>
      <c r="J199" s="47"/>
      <c r="K199" s="47"/>
      <c r="L199" s="47"/>
      <c r="M199" s="47"/>
      <c r="N199" s="10"/>
      <c r="O199" s="47"/>
      <c r="P199" s="47"/>
      <c r="Q199" s="47"/>
      <c r="R199" s="48" t="str">
        <f aca="false">IF(Q199="","",IF(Q199=0,"below 5:00",IF(Q199&gt;=66,"16:00 or above",INT((60+2*Q199)/12)&amp;":"&amp;TEXT(MOD(60+2*Q199,12),"00"))))</f>
        <v/>
      </c>
      <c r="S199" s="47"/>
      <c r="T199" s="47"/>
      <c r="U199" s="47"/>
      <c r="V199" s="47"/>
      <c r="W199" s="47"/>
      <c r="X199" s="47"/>
      <c r="Y199" s="47"/>
      <c r="Z199" s="47"/>
      <c r="AA199" s="47"/>
      <c r="AB199" s="47"/>
      <c r="AC199" s="47"/>
      <c r="AD199" s="47"/>
      <c r="AE199" s="47"/>
      <c r="AF199" s="47"/>
      <c r="AG199" s="47"/>
      <c r="AH199" s="47"/>
      <c r="AI199" s="46"/>
      <c r="AJ199" s="46"/>
      <c r="AK199" s="46"/>
      <c r="AL199" s="7"/>
      <c r="AM199" s="49" t="str">
        <f aca="false">IF(OR(C199="",G199=""),"",IFERROR(DATEDIF(C199,G199,"m"),""))</f>
        <v/>
      </c>
      <c r="AN199" s="49" t="str">
        <f aca="false">IF(OR(Q199="",AM199=""),"",60+2*Q199-AM199)</f>
        <v/>
      </c>
      <c r="AO199" s="49" t="str">
        <f aca="false">IF(OR(G199="",AJ199=""),"",AJ199-G199)</f>
        <v/>
      </c>
      <c r="AP199" s="50" t="str">
        <f aca="false">IF(AND(A199="",B199=""),"",IF(J199="","Status needed",IF(OR(J199="Applied",J199="Visit booked",J199="Withdrawn"),"OK",IF(G199="","Date assessed needed",IF(C199="","Date of birth needed",IF(COUNTA(L199,M199,P199,U199,V199,X199,AB199)&lt;7,"Band missing",IF(AND(OR(J199="Decision confirmed",J199="Family told",J199="Enrolled"),AG199=""),"Recommendation needed",IF(AND(OR(J199="Family told",J199="Enrolled"),AJ199=""),"Date family told needed","OK"))))))))</f>
        <v/>
      </c>
    </row>
    <row r="200" customFormat="false" ht="15" hidden="false" customHeight="false" outlineLevel="0" collapsed="false">
      <c r="A200" s="7"/>
      <c r="B200" s="7"/>
      <c r="C200" s="46"/>
      <c r="D200" s="7"/>
      <c r="E200" s="47"/>
      <c r="F200" s="46"/>
      <c r="G200" s="46"/>
      <c r="H200" s="7"/>
      <c r="I200" s="7"/>
      <c r="J200" s="47"/>
      <c r="K200" s="47"/>
      <c r="L200" s="47"/>
      <c r="M200" s="47"/>
      <c r="N200" s="10"/>
      <c r="O200" s="47"/>
      <c r="P200" s="47"/>
      <c r="Q200" s="47"/>
      <c r="R200" s="48" t="str">
        <f aca="false">IF(Q200="","",IF(Q200=0,"below 5:00",IF(Q200&gt;=66,"16:00 or above",INT((60+2*Q200)/12)&amp;":"&amp;TEXT(MOD(60+2*Q200,12),"00"))))</f>
        <v/>
      </c>
      <c r="S200" s="47"/>
      <c r="T200" s="47"/>
      <c r="U200" s="47"/>
      <c r="V200" s="47"/>
      <c r="W200" s="47"/>
      <c r="X200" s="47"/>
      <c r="Y200" s="47"/>
      <c r="Z200" s="47"/>
      <c r="AA200" s="47"/>
      <c r="AB200" s="47"/>
      <c r="AC200" s="47"/>
      <c r="AD200" s="47"/>
      <c r="AE200" s="47"/>
      <c r="AF200" s="47"/>
      <c r="AG200" s="47"/>
      <c r="AH200" s="47"/>
      <c r="AI200" s="46"/>
      <c r="AJ200" s="46"/>
      <c r="AK200" s="46"/>
      <c r="AL200" s="7"/>
      <c r="AM200" s="49" t="str">
        <f aca="false">IF(OR(C200="",G200=""),"",IFERROR(DATEDIF(C200,G200,"m"),""))</f>
        <v/>
      </c>
      <c r="AN200" s="49" t="str">
        <f aca="false">IF(OR(Q200="",AM200=""),"",60+2*Q200-AM200)</f>
        <v/>
      </c>
      <c r="AO200" s="49" t="str">
        <f aca="false">IF(OR(G200="",AJ200=""),"",AJ200-G200)</f>
        <v/>
      </c>
      <c r="AP200" s="50" t="str">
        <f aca="false">IF(AND(A200="",B200=""),"",IF(J200="","Status needed",IF(OR(J200="Applied",J200="Visit booked",J200="Withdrawn"),"OK",IF(G200="","Date assessed needed",IF(C200="","Date of birth needed",IF(COUNTA(L200,M200,P200,U200,V200,X200,AB200)&lt;7,"Band missing",IF(AND(OR(J200="Decision confirmed",J200="Family told",J200="Enrolled"),AG200=""),"Recommendation needed",IF(AND(OR(J200="Family told",J200="Enrolled"),AJ200=""),"Date family told needed","OK"))))))))</f>
        <v/>
      </c>
    </row>
    <row r="201" customFormat="false" ht="15" hidden="false" customHeight="false" outlineLevel="0" collapsed="false">
      <c r="A201" s="7"/>
      <c r="B201" s="7"/>
      <c r="C201" s="46"/>
      <c r="D201" s="7"/>
      <c r="E201" s="47"/>
      <c r="F201" s="46"/>
      <c r="G201" s="46"/>
      <c r="H201" s="7"/>
      <c r="I201" s="7"/>
      <c r="J201" s="47"/>
      <c r="K201" s="47"/>
      <c r="L201" s="47"/>
      <c r="M201" s="47"/>
      <c r="N201" s="10"/>
      <c r="O201" s="47"/>
      <c r="P201" s="47"/>
      <c r="Q201" s="47"/>
      <c r="R201" s="48" t="str">
        <f aca="false">IF(Q201="","",IF(Q201=0,"below 5:00",IF(Q201&gt;=66,"16:00 or above",INT((60+2*Q201)/12)&amp;":"&amp;TEXT(MOD(60+2*Q201,12),"00"))))</f>
        <v/>
      </c>
      <c r="S201" s="47"/>
      <c r="T201" s="47"/>
      <c r="U201" s="47"/>
      <c r="V201" s="47"/>
      <c r="W201" s="47"/>
      <c r="X201" s="47"/>
      <c r="Y201" s="47"/>
      <c r="Z201" s="47"/>
      <c r="AA201" s="47"/>
      <c r="AB201" s="47"/>
      <c r="AC201" s="47"/>
      <c r="AD201" s="47"/>
      <c r="AE201" s="47"/>
      <c r="AF201" s="47"/>
      <c r="AG201" s="47"/>
      <c r="AH201" s="47"/>
      <c r="AI201" s="46"/>
      <c r="AJ201" s="46"/>
      <c r="AK201" s="46"/>
      <c r="AL201" s="7"/>
      <c r="AM201" s="49" t="str">
        <f aca="false">IF(OR(C201="",G201=""),"",IFERROR(DATEDIF(C201,G201,"m"),""))</f>
        <v/>
      </c>
      <c r="AN201" s="49" t="str">
        <f aca="false">IF(OR(Q201="",AM201=""),"",60+2*Q201-AM201)</f>
        <v/>
      </c>
      <c r="AO201" s="49" t="str">
        <f aca="false">IF(OR(G201="",AJ201=""),"",AJ201-G201)</f>
        <v/>
      </c>
      <c r="AP201" s="50" t="str">
        <f aca="false">IF(AND(A201="",B201=""),"",IF(J201="","Status needed",IF(OR(J201="Applied",J201="Visit booked",J201="Withdrawn"),"OK",IF(G201="","Date assessed needed",IF(C201="","Date of birth needed",IF(COUNTA(L201,M201,P201,U201,V201,X201,AB201)&lt;7,"Band missing",IF(AND(OR(J201="Decision confirmed",J201="Family told",J201="Enrolled"),AG201=""),"Recommendation needed",IF(AND(OR(J201="Family told",J201="Enrolled"),AJ201=""),"Date family told needed","OK"))))))))</f>
        <v/>
      </c>
    </row>
    <row r="202" customFormat="false" ht="15" hidden="false" customHeight="false" outlineLevel="0" collapsed="false">
      <c r="A202" s="7"/>
      <c r="B202" s="7"/>
      <c r="C202" s="46"/>
      <c r="D202" s="7"/>
      <c r="E202" s="47"/>
      <c r="F202" s="46"/>
      <c r="G202" s="46"/>
      <c r="H202" s="7"/>
      <c r="I202" s="7"/>
      <c r="J202" s="47"/>
      <c r="K202" s="47"/>
      <c r="L202" s="47"/>
      <c r="M202" s="47"/>
      <c r="N202" s="10"/>
      <c r="O202" s="47"/>
      <c r="P202" s="47"/>
      <c r="Q202" s="47"/>
      <c r="R202" s="48" t="str">
        <f aca="false">IF(Q202="","",IF(Q202=0,"below 5:00",IF(Q202&gt;=66,"16:00 or above",INT((60+2*Q202)/12)&amp;":"&amp;TEXT(MOD(60+2*Q202,12),"00"))))</f>
        <v/>
      </c>
      <c r="S202" s="47"/>
      <c r="T202" s="47"/>
      <c r="U202" s="47"/>
      <c r="V202" s="47"/>
      <c r="W202" s="47"/>
      <c r="X202" s="47"/>
      <c r="Y202" s="47"/>
      <c r="Z202" s="47"/>
      <c r="AA202" s="47"/>
      <c r="AB202" s="47"/>
      <c r="AC202" s="47"/>
      <c r="AD202" s="47"/>
      <c r="AE202" s="47"/>
      <c r="AF202" s="47"/>
      <c r="AG202" s="47"/>
      <c r="AH202" s="47"/>
      <c r="AI202" s="46"/>
      <c r="AJ202" s="46"/>
      <c r="AK202" s="46"/>
      <c r="AL202" s="7"/>
      <c r="AM202" s="49" t="str">
        <f aca="false">IF(OR(C202="",G202=""),"",IFERROR(DATEDIF(C202,G202,"m"),""))</f>
        <v/>
      </c>
      <c r="AN202" s="49" t="str">
        <f aca="false">IF(OR(Q202="",AM202=""),"",60+2*Q202-AM202)</f>
        <v/>
      </c>
      <c r="AO202" s="49" t="str">
        <f aca="false">IF(OR(G202="",AJ202=""),"",AJ202-G202)</f>
        <v/>
      </c>
      <c r="AP202" s="50" t="str">
        <f aca="false">IF(AND(A202="",B202=""),"",IF(J202="","Status needed",IF(OR(J202="Applied",J202="Visit booked",J202="Withdrawn"),"OK",IF(G202="","Date assessed needed",IF(C202="","Date of birth needed",IF(COUNTA(L202,M202,P202,U202,V202,X202,AB202)&lt;7,"Band missing",IF(AND(OR(J202="Decision confirmed",J202="Family told",J202="Enrolled"),AG202=""),"Recommendation needed",IF(AND(OR(J202="Family told",J202="Enrolled"),AJ202=""),"Date family told needed","OK"))))))))</f>
        <v/>
      </c>
    </row>
    <row r="203" customFormat="false" ht="15" hidden="false" customHeight="false" outlineLevel="0" collapsed="false">
      <c r="A203" s="7"/>
      <c r="B203" s="7"/>
      <c r="C203" s="46"/>
      <c r="D203" s="7"/>
      <c r="E203" s="47"/>
      <c r="F203" s="46"/>
      <c r="G203" s="46"/>
      <c r="H203" s="7"/>
      <c r="I203" s="7"/>
      <c r="J203" s="47"/>
      <c r="K203" s="47"/>
      <c r="L203" s="47"/>
      <c r="M203" s="47"/>
      <c r="N203" s="10"/>
      <c r="O203" s="47"/>
      <c r="P203" s="47"/>
      <c r="Q203" s="47"/>
      <c r="R203" s="48" t="str">
        <f aca="false">IF(Q203="","",IF(Q203=0,"below 5:00",IF(Q203&gt;=66,"16:00 or above",INT((60+2*Q203)/12)&amp;":"&amp;TEXT(MOD(60+2*Q203,12),"00"))))</f>
        <v/>
      </c>
      <c r="S203" s="47"/>
      <c r="T203" s="47"/>
      <c r="U203" s="47"/>
      <c r="V203" s="47"/>
      <c r="W203" s="47"/>
      <c r="X203" s="47"/>
      <c r="Y203" s="47"/>
      <c r="Z203" s="47"/>
      <c r="AA203" s="47"/>
      <c r="AB203" s="47"/>
      <c r="AC203" s="47"/>
      <c r="AD203" s="47"/>
      <c r="AE203" s="47"/>
      <c r="AF203" s="47"/>
      <c r="AG203" s="47"/>
      <c r="AH203" s="47"/>
      <c r="AI203" s="46"/>
      <c r="AJ203" s="46"/>
      <c r="AK203" s="46"/>
      <c r="AL203" s="7"/>
      <c r="AM203" s="49" t="str">
        <f aca="false">IF(OR(C203="",G203=""),"",IFERROR(DATEDIF(C203,G203,"m"),""))</f>
        <v/>
      </c>
      <c r="AN203" s="49" t="str">
        <f aca="false">IF(OR(Q203="",AM203=""),"",60+2*Q203-AM203)</f>
        <v/>
      </c>
      <c r="AO203" s="49" t="str">
        <f aca="false">IF(OR(G203="",AJ203=""),"",AJ203-G203)</f>
        <v/>
      </c>
      <c r="AP203" s="50" t="str">
        <f aca="false">IF(AND(A203="",B203=""),"",IF(J203="","Status needed",IF(OR(J203="Applied",J203="Visit booked",J203="Withdrawn"),"OK",IF(G203="","Date assessed needed",IF(C203="","Date of birth needed",IF(COUNTA(L203,M203,P203,U203,V203,X203,AB203)&lt;7,"Band missing",IF(AND(OR(J203="Decision confirmed",J203="Family told",J203="Enrolled"),AG203=""),"Recommendation needed",IF(AND(OR(J203="Family told",J203="Enrolled"),AJ203=""),"Date family told needed","OK"))))))))</f>
        <v/>
      </c>
    </row>
    <row r="204" customFormat="false" ht="15" hidden="false" customHeight="false" outlineLevel="0" collapsed="false">
      <c r="A204" s="7"/>
      <c r="B204" s="7"/>
      <c r="C204" s="46"/>
      <c r="D204" s="7"/>
      <c r="E204" s="47"/>
      <c r="F204" s="46"/>
      <c r="G204" s="46"/>
      <c r="H204" s="7"/>
      <c r="I204" s="7"/>
      <c r="J204" s="47"/>
      <c r="K204" s="47"/>
      <c r="L204" s="47"/>
      <c r="M204" s="47"/>
      <c r="N204" s="10"/>
      <c r="O204" s="47"/>
      <c r="P204" s="47"/>
      <c r="Q204" s="47"/>
      <c r="R204" s="48" t="str">
        <f aca="false">IF(Q204="","",IF(Q204=0,"below 5:00",IF(Q204&gt;=66,"16:00 or above",INT((60+2*Q204)/12)&amp;":"&amp;TEXT(MOD(60+2*Q204,12),"00"))))</f>
        <v/>
      </c>
      <c r="S204" s="47"/>
      <c r="T204" s="47"/>
      <c r="U204" s="47"/>
      <c r="V204" s="47"/>
      <c r="W204" s="47"/>
      <c r="X204" s="47"/>
      <c r="Y204" s="47"/>
      <c r="Z204" s="47"/>
      <c r="AA204" s="47"/>
      <c r="AB204" s="47"/>
      <c r="AC204" s="47"/>
      <c r="AD204" s="47"/>
      <c r="AE204" s="47"/>
      <c r="AF204" s="47"/>
      <c r="AG204" s="47"/>
      <c r="AH204" s="47"/>
      <c r="AI204" s="46"/>
      <c r="AJ204" s="46"/>
      <c r="AK204" s="46"/>
      <c r="AL204" s="7"/>
      <c r="AM204" s="49" t="str">
        <f aca="false">IF(OR(C204="",G204=""),"",IFERROR(DATEDIF(C204,G204,"m"),""))</f>
        <v/>
      </c>
      <c r="AN204" s="49" t="str">
        <f aca="false">IF(OR(Q204="",AM204=""),"",60+2*Q204-AM204)</f>
        <v/>
      </c>
      <c r="AO204" s="49" t="str">
        <f aca="false">IF(OR(G204="",AJ204=""),"",AJ204-G204)</f>
        <v/>
      </c>
      <c r="AP204" s="50" t="str">
        <f aca="false">IF(AND(A204="",B204=""),"",IF(J204="","Status needed",IF(OR(J204="Applied",J204="Visit booked",J204="Withdrawn"),"OK",IF(G204="","Date assessed needed",IF(C204="","Date of birth needed",IF(COUNTA(L204,M204,P204,U204,V204,X204,AB204)&lt;7,"Band missing",IF(AND(OR(J204="Decision confirmed",J204="Family told",J204="Enrolled"),AG204=""),"Recommendation needed",IF(AND(OR(J204="Family told",J204="Enrolled"),AJ204=""),"Date family told needed","OK"))))))))</f>
        <v/>
      </c>
    </row>
    <row r="205" customFormat="false" ht="15" hidden="false" customHeight="false" outlineLevel="0" collapsed="false">
      <c r="A205" s="7"/>
      <c r="B205" s="7"/>
      <c r="C205" s="46"/>
      <c r="D205" s="7"/>
      <c r="E205" s="47"/>
      <c r="F205" s="46"/>
      <c r="G205" s="46"/>
      <c r="H205" s="7"/>
      <c r="I205" s="7"/>
      <c r="J205" s="47"/>
      <c r="K205" s="47"/>
      <c r="L205" s="47"/>
      <c r="M205" s="47"/>
      <c r="N205" s="10"/>
      <c r="O205" s="47"/>
      <c r="P205" s="47"/>
      <c r="Q205" s="47"/>
      <c r="R205" s="48" t="str">
        <f aca="false">IF(Q205="","",IF(Q205=0,"below 5:00",IF(Q205&gt;=66,"16:00 or above",INT((60+2*Q205)/12)&amp;":"&amp;TEXT(MOD(60+2*Q205,12),"00"))))</f>
        <v/>
      </c>
      <c r="S205" s="47"/>
      <c r="T205" s="47"/>
      <c r="U205" s="47"/>
      <c r="V205" s="47"/>
      <c r="W205" s="47"/>
      <c r="X205" s="47"/>
      <c r="Y205" s="47"/>
      <c r="Z205" s="47"/>
      <c r="AA205" s="47"/>
      <c r="AB205" s="47"/>
      <c r="AC205" s="47"/>
      <c r="AD205" s="47"/>
      <c r="AE205" s="47"/>
      <c r="AF205" s="47"/>
      <c r="AG205" s="47"/>
      <c r="AH205" s="47"/>
      <c r="AI205" s="46"/>
      <c r="AJ205" s="46"/>
      <c r="AK205" s="46"/>
      <c r="AL205" s="7"/>
      <c r="AM205" s="49" t="str">
        <f aca="false">IF(OR(C205="",G205=""),"",IFERROR(DATEDIF(C205,G205,"m"),""))</f>
        <v/>
      </c>
      <c r="AN205" s="49" t="str">
        <f aca="false">IF(OR(Q205="",AM205=""),"",60+2*Q205-AM205)</f>
        <v/>
      </c>
      <c r="AO205" s="49" t="str">
        <f aca="false">IF(OR(G205="",AJ205=""),"",AJ205-G205)</f>
        <v/>
      </c>
      <c r="AP205" s="50" t="str">
        <f aca="false">IF(AND(A205="",B205=""),"",IF(J205="","Status needed",IF(OR(J205="Applied",J205="Visit booked",J205="Withdrawn"),"OK",IF(G205="","Date assessed needed",IF(C205="","Date of birth needed",IF(COUNTA(L205,M205,P205,U205,V205,X205,AB205)&lt;7,"Band missing",IF(AND(OR(J205="Decision confirmed",J205="Family told",J205="Enrolled"),AG205=""),"Recommendation needed",IF(AND(OR(J205="Family told",J205="Enrolled"),AJ205=""),"Date family told needed","OK"))))))))</f>
        <v/>
      </c>
    </row>
    <row r="206" customFormat="false" ht="15" hidden="false" customHeight="false" outlineLevel="0" collapsed="false">
      <c r="A206" s="7"/>
      <c r="B206" s="7"/>
      <c r="C206" s="46"/>
      <c r="D206" s="7"/>
      <c r="E206" s="47"/>
      <c r="F206" s="46"/>
      <c r="G206" s="46"/>
      <c r="H206" s="7"/>
      <c r="I206" s="7"/>
      <c r="J206" s="47"/>
      <c r="K206" s="47"/>
      <c r="L206" s="47"/>
      <c r="M206" s="47"/>
      <c r="N206" s="10"/>
      <c r="O206" s="47"/>
      <c r="P206" s="47"/>
      <c r="Q206" s="47"/>
      <c r="R206" s="48" t="str">
        <f aca="false">IF(Q206="","",IF(Q206=0,"below 5:00",IF(Q206&gt;=66,"16:00 or above",INT((60+2*Q206)/12)&amp;":"&amp;TEXT(MOD(60+2*Q206,12),"00"))))</f>
        <v/>
      </c>
      <c r="S206" s="47"/>
      <c r="T206" s="47"/>
      <c r="U206" s="47"/>
      <c r="V206" s="47"/>
      <c r="W206" s="47"/>
      <c r="X206" s="47"/>
      <c r="Y206" s="47"/>
      <c r="Z206" s="47"/>
      <c r="AA206" s="47"/>
      <c r="AB206" s="47"/>
      <c r="AC206" s="47"/>
      <c r="AD206" s="47"/>
      <c r="AE206" s="47"/>
      <c r="AF206" s="47"/>
      <c r="AG206" s="47"/>
      <c r="AH206" s="47"/>
      <c r="AI206" s="46"/>
      <c r="AJ206" s="46"/>
      <c r="AK206" s="46"/>
      <c r="AL206" s="7"/>
      <c r="AM206" s="49" t="str">
        <f aca="false">IF(OR(C206="",G206=""),"",IFERROR(DATEDIF(C206,G206,"m"),""))</f>
        <v/>
      </c>
      <c r="AN206" s="49" t="str">
        <f aca="false">IF(OR(Q206="",AM206=""),"",60+2*Q206-AM206)</f>
        <v/>
      </c>
      <c r="AO206" s="49" t="str">
        <f aca="false">IF(OR(G206="",AJ206=""),"",AJ206-G206)</f>
        <v/>
      </c>
      <c r="AP206" s="50" t="str">
        <f aca="false">IF(AND(A206="",B206=""),"",IF(J206="","Status needed",IF(OR(J206="Applied",J206="Visit booked",J206="Withdrawn"),"OK",IF(G206="","Date assessed needed",IF(C206="","Date of birth needed",IF(COUNTA(L206,M206,P206,U206,V206,X206,AB206)&lt;7,"Band missing",IF(AND(OR(J206="Decision confirmed",J206="Family told",J206="Enrolled"),AG206=""),"Recommendation needed",IF(AND(OR(J206="Family told",J206="Enrolled"),AJ206=""),"Date family told needed","OK"))))))))</f>
        <v/>
      </c>
    </row>
    <row r="207" customFormat="false" ht="15" hidden="false" customHeight="false" outlineLevel="0" collapsed="false">
      <c r="A207" s="7"/>
      <c r="B207" s="7"/>
      <c r="C207" s="46"/>
      <c r="D207" s="7"/>
      <c r="E207" s="47"/>
      <c r="F207" s="46"/>
      <c r="G207" s="46"/>
      <c r="H207" s="7"/>
      <c r="I207" s="7"/>
      <c r="J207" s="47"/>
      <c r="K207" s="47"/>
      <c r="L207" s="47"/>
      <c r="M207" s="47"/>
      <c r="N207" s="10"/>
      <c r="O207" s="47"/>
      <c r="P207" s="47"/>
      <c r="Q207" s="47"/>
      <c r="R207" s="48" t="str">
        <f aca="false">IF(Q207="","",IF(Q207=0,"below 5:00",IF(Q207&gt;=66,"16:00 or above",INT((60+2*Q207)/12)&amp;":"&amp;TEXT(MOD(60+2*Q207,12),"00"))))</f>
        <v/>
      </c>
      <c r="S207" s="47"/>
      <c r="T207" s="47"/>
      <c r="U207" s="47"/>
      <c r="V207" s="47"/>
      <c r="W207" s="47"/>
      <c r="X207" s="47"/>
      <c r="Y207" s="47"/>
      <c r="Z207" s="47"/>
      <c r="AA207" s="47"/>
      <c r="AB207" s="47"/>
      <c r="AC207" s="47"/>
      <c r="AD207" s="47"/>
      <c r="AE207" s="47"/>
      <c r="AF207" s="47"/>
      <c r="AG207" s="47"/>
      <c r="AH207" s="47"/>
      <c r="AI207" s="46"/>
      <c r="AJ207" s="46"/>
      <c r="AK207" s="46"/>
      <c r="AL207" s="7"/>
      <c r="AM207" s="49" t="str">
        <f aca="false">IF(OR(C207="",G207=""),"",IFERROR(DATEDIF(C207,G207,"m"),""))</f>
        <v/>
      </c>
      <c r="AN207" s="49" t="str">
        <f aca="false">IF(OR(Q207="",AM207=""),"",60+2*Q207-AM207)</f>
        <v/>
      </c>
      <c r="AO207" s="49" t="str">
        <f aca="false">IF(OR(G207="",AJ207=""),"",AJ207-G207)</f>
        <v/>
      </c>
      <c r="AP207" s="50" t="str">
        <f aca="false">IF(AND(A207="",B207=""),"",IF(J207="","Status needed",IF(OR(J207="Applied",J207="Visit booked",J207="Withdrawn"),"OK",IF(G207="","Date assessed needed",IF(C207="","Date of birth needed",IF(COUNTA(L207,M207,P207,U207,V207,X207,AB207)&lt;7,"Band missing",IF(AND(OR(J207="Decision confirmed",J207="Family told",J207="Enrolled"),AG207=""),"Recommendation needed",IF(AND(OR(J207="Family told",J207="Enrolled"),AJ207=""),"Date family told needed","OK"))))))))</f>
        <v/>
      </c>
    </row>
    <row r="208" customFormat="false" ht="15" hidden="false" customHeight="false" outlineLevel="0" collapsed="false">
      <c r="A208" s="7"/>
      <c r="B208" s="7"/>
      <c r="C208" s="46"/>
      <c r="D208" s="7"/>
      <c r="E208" s="47"/>
      <c r="F208" s="46"/>
      <c r="G208" s="46"/>
      <c r="H208" s="7"/>
      <c r="I208" s="7"/>
      <c r="J208" s="47"/>
      <c r="K208" s="47"/>
      <c r="L208" s="47"/>
      <c r="M208" s="47"/>
      <c r="N208" s="10"/>
      <c r="O208" s="47"/>
      <c r="P208" s="47"/>
      <c r="Q208" s="47"/>
      <c r="R208" s="48" t="str">
        <f aca="false">IF(Q208="","",IF(Q208=0,"below 5:00",IF(Q208&gt;=66,"16:00 or above",INT((60+2*Q208)/12)&amp;":"&amp;TEXT(MOD(60+2*Q208,12),"00"))))</f>
        <v/>
      </c>
      <c r="S208" s="47"/>
      <c r="T208" s="47"/>
      <c r="U208" s="47"/>
      <c r="V208" s="47"/>
      <c r="W208" s="47"/>
      <c r="X208" s="47"/>
      <c r="Y208" s="47"/>
      <c r="Z208" s="47"/>
      <c r="AA208" s="47"/>
      <c r="AB208" s="47"/>
      <c r="AC208" s="47"/>
      <c r="AD208" s="47"/>
      <c r="AE208" s="47"/>
      <c r="AF208" s="47"/>
      <c r="AG208" s="47"/>
      <c r="AH208" s="47"/>
      <c r="AI208" s="46"/>
      <c r="AJ208" s="46"/>
      <c r="AK208" s="46"/>
      <c r="AL208" s="7"/>
      <c r="AM208" s="49" t="str">
        <f aca="false">IF(OR(C208="",G208=""),"",IFERROR(DATEDIF(C208,G208,"m"),""))</f>
        <v/>
      </c>
      <c r="AN208" s="49" t="str">
        <f aca="false">IF(OR(Q208="",AM208=""),"",60+2*Q208-AM208)</f>
        <v/>
      </c>
      <c r="AO208" s="49" t="str">
        <f aca="false">IF(OR(G208="",AJ208=""),"",AJ208-G208)</f>
        <v/>
      </c>
      <c r="AP208" s="50" t="str">
        <f aca="false">IF(AND(A208="",B208=""),"",IF(J208="","Status needed",IF(OR(J208="Applied",J208="Visit booked",J208="Withdrawn"),"OK",IF(G208="","Date assessed needed",IF(C208="","Date of birth needed",IF(COUNTA(L208,M208,P208,U208,V208,X208,AB208)&lt;7,"Band missing",IF(AND(OR(J208="Decision confirmed",J208="Family told",J208="Enrolled"),AG208=""),"Recommendation needed",IF(AND(OR(J208="Family told",J208="Enrolled"),AJ208=""),"Date family told needed","OK"))))))))</f>
        <v/>
      </c>
    </row>
    <row r="209" customFormat="false" ht="15" hidden="false" customHeight="false" outlineLevel="0" collapsed="false">
      <c r="A209" s="7"/>
      <c r="B209" s="7"/>
      <c r="C209" s="46"/>
      <c r="D209" s="7"/>
      <c r="E209" s="47"/>
      <c r="F209" s="46"/>
      <c r="G209" s="46"/>
      <c r="H209" s="7"/>
      <c r="I209" s="7"/>
      <c r="J209" s="47"/>
      <c r="K209" s="47"/>
      <c r="L209" s="47"/>
      <c r="M209" s="47"/>
      <c r="N209" s="10"/>
      <c r="O209" s="47"/>
      <c r="P209" s="47"/>
      <c r="Q209" s="47"/>
      <c r="R209" s="48" t="str">
        <f aca="false">IF(Q209="","",IF(Q209=0,"below 5:00",IF(Q209&gt;=66,"16:00 or above",INT((60+2*Q209)/12)&amp;":"&amp;TEXT(MOD(60+2*Q209,12),"00"))))</f>
        <v/>
      </c>
      <c r="S209" s="47"/>
      <c r="T209" s="47"/>
      <c r="U209" s="47"/>
      <c r="V209" s="47"/>
      <c r="W209" s="47"/>
      <c r="X209" s="47"/>
      <c r="Y209" s="47"/>
      <c r="Z209" s="47"/>
      <c r="AA209" s="47"/>
      <c r="AB209" s="47"/>
      <c r="AC209" s="47"/>
      <c r="AD209" s="47"/>
      <c r="AE209" s="47"/>
      <c r="AF209" s="47"/>
      <c r="AG209" s="47"/>
      <c r="AH209" s="47"/>
      <c r="AI209" s="46"/>
      <c r="AJ209" s="46"/>
      <c r="AK209" s="46"/>
      <c r="AL209" s="7"/>
      <c r="AM209" s="49" t="str">
        <f aca="false">IF(OR(C209="",G209=""),"",IFERROR(DATEDIF(C209,G209,"m"),""))</f>
        <v/>
      </c>
      <c r="AN209" s="49" t="str">
        <f aca="false">IF(OR(Q209="",AM209=""),"",60+2*Q209-AM209)</f>
        <v/>
      </c>
      <c r="AO209" s="49" t="str">
        <f aca="false">IF(OR(G209="",AJ209=""),"",AJ209-G209)</f>
        <v/>
      </c>
      <c r="AP209" s="50" t="str">
        <f aca="false">IF(AND(A209="",B209=""),"",IF(J209="","Status needed",IF(OR(J209="Applied",J209="Visit booked",J209="Withdrawn"),"OK",IF(G209="","Date assessed needed",IF(C209="","Date of birth needed",IF(COUNTA(L209,M209,P209,U209,V209,X209,AB209)&lt;7,"Band missing",IF(AND(OR(J209="Decision confirmed",J209="Family told",J209="Enrolled"),AG209=""),"Recommendation needed",IF(AND(OR(J209="Family told",J209="Enrolled"),AJ209=""),"Date family told needed","OK"))))))))</f>
        <v/>
      </c>
    </row>
    <row r="210" customFormat="false" ht="15" hidden="false" customHeight="false" outlineLevel="0" collapsed="false">
      <c r="A210" s="7"/>
      <c r="B210" s="7"/>
      <c r="C210" s="46"/>
      <c r="D210" s="7"/>
      <c r="E210" s="47"/>
      <c r="F210" s="46"/>
      <c r="G210" s="46"/>
      <c r="H210" s="7"/>
      <c r="I210" s="7"/>
      <c r="J210" s="47"/>
      <c r="K210" s="47"/>
      <c r="L210" s="47"/>
      <c r="M210" s="47"/>
      <c r="N210" s="10"/>
      <c r="O210" s="47"/>
      <c r="P210" s="47"/>
      <c r="Q210" s="47"/>
      <c r="R210" s="48" t="str">
        <f aca="false">IF(Q210="","",IF(Q210=0,"below 5:00",IF(Q210&gt;=66,"16:00 or above",INT((60+2*Q210)/12)&amp;":"&amp;TEXT(MOD(60+2*Q210,12),"00"))))</f>
        <v/>
      </c>
      <c r="S210" s="47"/>
      <c r="T210" s="47"/>
      <c r="U210" s="47"/>
      <c r="V210" s="47"/>
      <c r="W210" s="47"/>
      <c r="X210" s="47"/>
      <c r="Y210" s="47"/>
      <c r="Z210" s="47"/>
      <c r="AA210" s="47"/>
      <c r="AB210" s="47"/>
      <c r="AC210" s="47"/>
      <c r="AD210" s="47"/>
      <c r="AE210" s="47"/>
      <c r="AF210" s="47"/>
      <c r="AG210" s="47"/>
      <c r="AH210" s="47"/>
      <c r="AI210" s="46"/>
      <c r="AJ210" s="46"/>
      <c r="AK210" s="46"/>
      <c r="AL210" s="7"/>
      <c r="AM210" s="49" t="str">
        <f aca="false">IF(OR(C210="",G210=""),"",IFERROR(DATEDIF(C210,G210,"m"),""))</f>
        <v/>
      </c>
      <c r="AN210" s="49" t="str">
        <f aca="false">IF(OR(Q210="",AM210=""),"",60+2*Q210-AM210)</f>
        <v/>
      </c>
      <c r="AO210" s="49" t="str">
        <f aca="false">IF(OR(G210="",AJ210=""),"",AJ210-G210)</f>
        <v/>
      </c>
      <c r="AP210" s="50" t="str">
        <f aca="false">IF(AND(A210="",B210=""),"",IF(J210="","Status needed",IF(OR(J210="Applied",J210="Visit booked",J210="Withdrawn"),"OK",IF(G210="","Date assessed needed",IF(C210="","Date of birth needed",IF(COUNTA(L210,M210,P210,U210,V210,X210,AB210)&lt;7,"Band missing",IF(AND(OR(J210="Decision confirmed",J210="Family told",J210="Enrolled"),AG210=""),"Recommendation needed",IF(AND(OR(J210="Family told",J210="Enrolled"),AJ210=""),"Date family told needed","OK"))))))))</f>
        <v/>
      </c>
    </row>
    <row r="211" customFormat="false" ht="15" hidden="false" customHeight="false" outlineLevel="0" collapsed="false">
      <c r="A211" s="7"/>
      <c r="B211" s="7"/>
      <c r="C211" s="46"/>
      <c r="D211" s="7"/>
      <c r="E211" s="47"/>
      <c r="F211" s="46"/>
      <c r="G211" s="46"/>
      <c r="H211" s="7"/>
      <c r="I211" s="7"/>
      <c r="J211" s="47"/>
      <c r="K211" s="47"/>
      <c r="L211" s="47"/>
      <c r="M211" s="47"/>
      <c r="N211" s="10"/>
      <c r="O211" s="47"/>
      <c r="P211" s="47"/>
      <c r="Q211" s="47"/>
      <c r="R211" s="48" t="str">
        <f aca="false">IF(Q211="","",IF(Q211=0,"below 5:00",IF(Q211&gt;=66,"16:00 or above",INT((60+2*Q211)/12)&amp;":"&amp;TEXT(MOD(60+2*Q211,12),"00"))))</f>
        <v/>
      </c>
      <c r="S211" s="47"/>
      <c r="T211" s="47"/>
      <c r="U211" s="47"/>
      <c r="V211" s="47"/>
      <c r="W211" s="47"/>
      <c r="X211" s="47"/>
      <c r="Y211" s="47"/>
      <c r="Z211" s="47"/>
      <c r="AA211" s="47"/>
      <c r="AB211" s="47"/>
      <c r="AC211" s="47"/>
      <c r="AD211" s="47"/>
      <c r="AE211" s="47"/>
      <c r="AF211" s="47"/>
      <c r="AG211" s="47"/>
      <c r="AH211" s="47"/>
      <c r="AI211" s="46"/>
      <c r="AJ211" s="46"/>
      <c r="AK211" s="46"/>
      <c r="AL211" s="7"/>
      <c r="AM211" s="49" t="str">
        <f aca="false">IF(OR(C211="",G211=""),"",IFERROR(DATEDIF(C211,G211,"m"),""))</f>
        <v/>
      </c>
      <c r="AN211" s="49" t="str">
        <f aca="false">IF(OR(Q211="",AM211=""),"",60+2*Q211-AM211)</f>
        <v/>
      </c>
      <c r="AO211" s="49" t="str">
        <f aca="false">IF(OR(G211="",AJ211=""),"",AJ211-G211)</f>
        <v/>
      </c>
      <c r="AP211" s="50" t="str">
        <f aca="false">IF(AND(A211="",B211=""),"",IF(J211="","Status needed",IF(OR(J211="Applied",J211="Visit booked",J211="Withdrawn"),"OK",IF(G211="","Date assessed needed",IF(C211="","Date of birth needed",IF(COUNTA(L211,M211,P211,U211,V211,X211,AB211)&lt;7,"Band missing",IF(AND(OR(J211="Decision confirmed",J211="Family told",J211="Enrolled"),AG211=""),"Recommendation needed",IF(AND(OR(J211="Family told",J211="Enrolled"),AJ211=""),"Date family told needed","OK"))))))))</f>
        <v/>
      </c>
    </row>
    <row r="212" customFormat="false" ht="15" hidden="false" customHeight="false" outlineLevel="0" collapsed="false">
      <c r="A212" s="7"/>
      <c r="B212" s="7"/>
      <c r="C212" s="46"/>
      <c r="D212" s="7"/>
      <c r="E212" s="47"/>
      <c r="F212" s="46"/>
      <c r="G212" s="46"/>
      <c r="H212" s="7"/>
      <c r="I212" s="7"/>
      <c r="J212" s="47"/>
      <c r="K212" s="47"/>
      <c r="L212" s="47"/>
      <c r="M212" s="47"/>
      <c r="N212" s="10"/>
      <c r="O212" s="47"/>
      <c r="P212" s="47"/>
      <c r="Q212" s="47"/>
      <c r="R212" s="48" t="str">
        <f aca="false">IF(Q212="","",IF(Q212=0,"below 5:00",IF(Q212&gt;=66,"16:00 or above",INT((60+2*Q212)/12)&amp;":"&amp;TEXT(MOD(60+2*Q212,12),"00"))))</f>
        <v/>
      </c>
      <c r="S212" s="47"/>
      <c r="T212" s="47"/>
      <c r="U212" s="47"/>
      <c r="V212" s="47"/>
      <c r="W212" s="47"/>
      <c r="X212" s="47"/>
      <c r="Y212" s="47"/>
      <c r="Z212" s="47"/>
      <c r="AA212" s="47"/>
      <c r="AB212" s="47"/>
      <c r="AC212" s="47"/>
      <c r="AD212" s="47"/>
      <c r="AE212" s="47"/>
      <c r="AF212" s="47"/>
      <c r="AG212" s="47"/>
      <c r="AH212" s="47"/>
      <c r="AI212" s="46"/>
      <c r="AJ212" s="46"/>
      <c r="AK212" s="46"/>
      <c r="AL212" s="7"/>
      <c r="AM212" s="49" t="str">
        <f aca="false">IF(OR(C212="",G212=""),"",IFERROR(DATEDIF(C212,G212,"m"),""))</f>
        <v/>
      </c>
      <c r="AN212" s="49" t="str">
        <f aca="false">IF(OR(Q212="",AM212=""),"",60+2*Q212-AM212)</f>
        <v/>
      </c>
      <c r="AO212" s="49" t="str">
        <f aca="false">IF(OR(G212="",AJ212=""),"",AJ212-G212)</f>
        <v/>
      </c>
      <c r="AP212" s="50" t="str">
        <f aca="false">IF(AND(A212="",B212=""),"",IF(J212="","Status needed",IF(OR(J212="Applied",J212="Visit booked",J212="Withdrawn"),"OK",IF(G212="","Date assessed needed",IF(C212="","Date of birth needed",IF(COUNTA(L212,M212,P212,U212,V212,X212,AB212)&lt;7,"Band missing",IF(AND(OR(J212="Decision confirmed",J212="Family told",J212="Enrolled"),AG212=""),"Recommendation needed",IF(AND(OR(J212="Family told",J212="Enrolled"),AJ212=""),"Date family told needed","OK"))))))))</f>
        <v/>
      </c>
    </row>
    <row r="213" customFormat="false" ht="15" hidden="false" customHeight="false" outlineLevel="0" collapsed="false">
      <c r="A213" s="7"/>
      <c r="B213" s="7"/>
      <c r="C213" s="46"/>
      <c r="D213" s="7"/>
      <c r="E213" s="47"/>
      <c r="F213" s="46"/>
      <c r="G213" s="46"/>
      <c r="H213" s="7"/>
      <c r="I213" s="7"/>
      <c r="J213" s="47"/>
      <c r="K213" s="47"/>
      <c r="L213" s="47"/>
      <c r="M213" s="47"/>
      <c r="N213" s="10"/>
      <c r="O213" s="47"/>
      <c r="P213" s="47"/>
      <c r="Q213" s="47"/>
      <c r="R213" s="48" t="str">
        <f aca="false">IF(Q213="","",IF(Q213=0,"below 5:00",IF(Q213&gt;=66,"16:00 or above",INT((60+2*Q213)/12)&amp;":"&amp;TEXT(MOD(60+2*Q213,12),"00"))))</f>
        <v/>
      </c>
      <c r="S213" s="47"/>
      <c r="T213" s="47"/>
      <c r="U213" s="47"/>
      <c r="V213" s="47"/>
      <c r="W213" s="47"/>
      <c r="X213" s="47"/>
      <c r="Y213" s="47"/>
      <c r="Z213" s="47"/>
      <c r="AA213" s="47"/>
      <c r="AB213" s="47"/>
      <c r="AC213" s="47"/>
      <c r="AD213" s="47"/>
      <c r="AE213" s="47"/>
      <c r="AF213" s="47"/>
      <c r="AG213" s="47"/>
      <c r="AH213" s="47"/>
      <c r="AI213" s="46"/>
      <c r="AJ213" s="46"/>
      <c r="AK213" s="46"/>
      <c r="AL213" s="7"/>
      <c r="AM213" s="49" t="str">
        <f aca="false">IF(OR(C213="",G213=""),"",IFERROR(DATEDIF(C213,G213,"m"),""))</f>
        <v/>
      </c>
      <c r="AN213" s="49" t="str">
        <f aca="false">IF(OR(Q213="",AM213=""),"",60+2*Q213-AM213)</f>
        <v/>
      </c>
      <c r="AO213" s="49" t="str">
        <f aca="false">IF(OR(G213="",AJ213=""),"",AJ213-G213)</f>
        <v/>
      </c>
      <c r="AP213" s="50" t="str">
        <f aca="false">IF(AND(A213="",B213=""),"",IF(J213="","Status needed",IF(OR(J213="Applied",J213="Visit booked",J213="Withdrawn"),"OK",IF(G213="","Date assessed needed",IF(C213="","Date of birth needed",IF(COUNTA(L213,M213,P213,U213,V213,X213,AB213)&lt;7,"Band missing",IF(AND(OR(J213="Decision confirmed",J213="Family told",J213="Enrolled"),AG213=""),"Recommendation needed",IF(AND(OR(J213="Family told",J213="Enrolled"),AJ213=""),"Date family told needed","OK"))))))))</f>
        <v/>
      </c>
    </row>
    <row r="214" customFormat="false" ht="15" hidden="false" customHeight="false" outlineLevel="0" collapsed="false">
      <c r="A214" s="7"/>
      <c r="B214" s="7"/>
      <c r="C214" s="46"/>
      <c r="D214" s="7"/>
      <c r="E214" s="47"/>
      <c r="F214" s="46"/>
      <c r="G214" s="46"/>
      <c r="H214" s="7"/>
      <c r="I214" s="7"/>
      <c r="J214" s="47"/>
      <c r="K214" s="47"/>
      <c r="L214" s="47"/>
      <c r="M214" s="47"/>
      <c r="N214" s="10"/>
      <c r="O214" s="47"/>
      <c r="P214" s="47"/>
      <c r="Q214" s="47"/>
      <c r="R214" s="48" t="str">
        <f aca="false">IF(Q214="","",IF(Q214=0,"below 5:00",IF(Q214&gt;=66,"16:00 or above",INT((60+2*Q214)/12)&amp;":"&amp;TEXT(MOD(60+2*Q214,12),"00"))))</f>
        <v/>
      </c>
      <c r="S214" s="47"/>
      <c r="T214" s="47"/>
      <c r="U214" s="47"/>
      <c r="V214" s="47"/>
      <c r="W214" s="47"/>
      <c r="X214" s="47"/>
      <c r="Y214" s="47"/>
      <c r="Z214" s="47"/>
      <c r="AA214" s="47"/>
      <c r="AB214" s="47"/>
      <c r="AC214" s="47"/>
      <c r="AD214" s="47"/>
      <c r="AE214" s="47"/>
      <c r="AF214" s="47"/>
      <c r="AG214" s="47"/>
      <c r="AH214" s="47"/>
      <c r="AI214" s="46"/>
      <c r="AJ214" s="46"/>
      <c r="AK214" s="46"/>
      <c r="AL214" s="7"/>
      <c r="AM214" s="49" t="str">
        <f aca="false">IF(OR(C214="",G214=""),"",IFERROR(DATEDIF(C214,G214,"m"),""))</f>
        <v/>
      </c>
      <c r="AN214" s="49" t="str">
        <f aca="false">IF(OR(Q214="",AM214=""),"",60+2*Q214-AM214)</f>
        <v/>
      </c>
      <c r="AO214" s="49" t="str">
        <f aca="false">IF(OR(G214="",AJ214=""),"",AJ214-G214)</f>
        <v/>
      </c>
      <c r="AP214" s="50" t="str">
        <f aca="false">IF(AND(A214="",B214=""),"",IF(J214="","Status needed",IF(OR(J214="Applied",J214="Visit booked",J214="Withdrawn"),"OK",IF(G214="","Date assessed needed",IF(C214="","Date of birth needed",IF(COUNTA(L214,M214,P214,U214,V214,X214,AB214)&lt;7,"Band missing",IF(AND(OR(J214="Decision confirmed",J214="Family told",J214="Enrolled"),AG214=""),"Recommendation needed",IF(AND(OR(J214="Family told",J214="Enrolled"),AJ214=""),"Date family told needed","OK"))))))))</f>
        <v/>
      </c>
    </row>
    <row r="215" customFormat="false" ht="15" hidden="false" customHeight="false" outlineLevel="0" collapsed="false">
      <c r="A215" s="7"/>
      <c r="B215" s="7"/>
      <c r="C215" s="46"/>
      <c r="D215" s="7"/>
      <c r="E215" s="47"/>
      <c r="F215" s="46"/>
      <c r="G215" s="46"/>
      <c r="H215" s="7"/>
      <c r="I215" s="7"/>
      <c r="J215" s="47"/>
      <c r="K215" s="47"/>
      <c r="L215" s="47"/>
      <c r="M215" s="47"/>
      <c r="N215" s="10"/>
      <c r="O215" s="47"/>
      <c r="P215" s="47"/>
      <c r="Q215" s="47"/>
      <c r="R215" s="48" t="str">
        <f aca="false">IF(Q215="","",IF(Q215=0,"below 5:00",IF(Q215&gt;=66,"16:00 or above",INT((60+2*Q215)/12)&amp;":"&amp;TEXT(MOD(60+2*Q215,12),"00"))))</f>
        <v/>
      </c>
      <c r="S215" s="47"/>
      <c r="T215" s="47"/>
      <c r="U215" s="47"/>
      <c r="V215" s="47"/>
      <c r="W215" s="47"/>
      <c r="X215" s="47"/>
      <c r="Y215" s="47"/>
      <c r="Z215" s="47"/>
      <c r="AA215" s="47"/>
      <c r="AB215" s="47"/>
      <c r="AC215" s="47"/>
      <c r="AD215" s="47"/>
      <c r="AE215" s="47"/>
      <c r="AF215" s="47"/>
      <c r="AG215" s="47"/>
      <c r="AH215" s="47"/>
      <c r="AI215" s="46"/>
      <c r="AJ215" s="46"/>
      <c r="AK215" s="46"/>
      <c r="AL215" s="7"/>
      <c r="AM215" s="49" t="str">
        <f aca="false">IF(OR(C215="",G215=""),"",IFERROR(DATEDIF(C215,G215,"m"),""))</f>
        <v/>
      </c>
      <c r="AN215" s="49" t="str">
        <f aca="false">IF(OR(Q215="",AM215=""),"",60+2*Q215-AM215)</f>
        <v/>
      </c>
      <c r="AO215" s="49" t="str">
        <f aca="false">IF(OR(G215="",AJ215=""),"",AJ215-G215)</f>
        <v/>
      </c>
      <c r="AP215" s="50" t="str">
        <f aca="false">IF(AND(A215="",B215=""),"",IF(J215="","Status needed",IF(OR(J215="Applied",J215="Visit booked",J215="Withdrawn"),"OK",IF(G215="","Date assessed needed",IF(C215="","Date of birth needed",IF(COUNTA(L215,M215,P215,U215,V215,X215,AB215)&lt;7,"Band missing",IF(AND(OR(J215="Decision confirmed",J215="Family told",J215="Enrolled"),AG215=""),"Recommendation needed",IF(AND(OR(J215="Family told",J215="Enrolled"),AJ215=""),"Date family told needed","OK"))))))))</f>
        <v/>
      </c>
    </row>
    <row r="216" customFormat="false" ht="15" hidden="false" customHeight="false" outlineLevel="0" collapsed="false">
      <c r="A216" s="7"/>
      <c r="B216" s="7"/>
      <c r="C216" s="46"/>
      <c r="D216" s="7"/>
      <c r="E216" s="47"/>
      <c r="F216" s="46"/>
      <c r="G216" s="46"/>
      <c r="H216" s="7"/>
      <c r="I216" s="7"/>
      <c r="J216" s="47"/>
      <c r="K216" s="47"/>
      <c r="L216" s="47"/>
      <c r="M216" s="47"/>
      <c r="N216" s="10"/>
      <c r="O216" s="47"/>
      <c r="P216" s="47"/>
      <c r="Q216" s="47"/>
      <c r="R216" s="48" t="str">
        <f aca="false">IF(Q216="","",IF(Q216=0,"below 5:00",IF(Q216&gt;=66,"16:00 or above",INT((60+2*Q216)/12)&amp;":"&amp;TEXT(MOD(60+2*Q216,12),"00"))))</f>
        <v/>
      </c>
      <c r="S216" s="47"/>
      <c r="T216" s="47"/>
      <c r="U216" s="47"/>
      <c r="V216" s="47"/>
      <c r="W216" s="47"/>
      <c r="X216" s="47"/>
      <c r="Y216" s="47"/>
      <c r="Z216" s="47"/>
      <c r="AA216" s="47"/>
      <c r="AB216" s="47"/>
      <c r="AC216" s="47"/>
      <c r="AD216" s="47"/>
      <c r="AE216" s="47"/>
      <c r="AF216" s="47"/>
      <c r="AG216" s="47"/>
      <c r="AH216" s="47"/>
      <c r="AI216" s="46"/>
      <c r="AJ216" s="46"/>
      <c r="AK216" s="46"/>
      <c r="AL216" s="7"/>
      <c r="AM216" s="49" t="str">
        <f aca="false">IF(OR(C216="",G216=""),"",IFERROR(DATEDIF(C216,G216,"m"),""))</f>
        <v/>
      </c>
      <c r="AN216" s="49" t="str">
        <f aca="false">IF(OR(Q216="",AM216=""),"",60+2*Q216-AM216)</f>
        <v/>
      </c>
      <c r="AO216" s="49" t="str">
        <f aca="false">IF(OR(G216="",AJ216=""),"",AJ216-G216)</f>
        <v/>
      </c>
      <c r="AP216" s="50" t="str">
        <f aca="false">IF(AND(A216="",B216=""),"",IF(J216="","Status needed",IF(OR(J216="Applied",J216="Visit booked",J216="Withdrawn"),"OK",IF(G216="","Date assessed needed",IF(C216="","Date of birth needed",IF(COUNTA(L216,M216,P216,U216,V216,X216,AB216)&lt;7,"Band missing",IF(AND(OR(J216="Decision confirmed",J216="Family told",J216="Enrolled"),AG216=""),"Recommendation needed",IF(AND(OR(J216="Family told",J216="Enrolled"),AJ216=""),"Date family told needed","OK"))))))))</f>
        <v/>
      </c>
    </row>
    <row r="217" customFormat="false" ht="15" hidden="false" customHeight="false" outlineLevel="0" collapsed="false">
      <c r="A217" s="7"/>
      <c r="B217" s="7"/>
      <c r="C217" s="46"/>
      <c r="D217" s="7"/>
      <c r="E217" s="47"/>
      <c r="F217" s="46"/>
      <c r="G217" s="46"/>
      <c r="H217" s="7"/>
      <c r="I217" s="7"/>
      <c r="J217" s="47"/>
      <c r="K217" s="47"/>
      <c r="L217" s="47"/>
      <c r="M217" s="47"/>
      <c r="N217" s="10"/>
      <c r="O217" s="47"/>
      <c r="P217" s="47"/>
      <c r="Q217" s="47"/>
      <c r="R217" s="48" t="str">
        <f aca="false">IF(Q217="","",IF(Q217=0,"below 5:00",IF(Q217&gt;=66,"16:00 or above",INT((60+2*Q217)/12)&amp;":"&amp;TEXT(MOD(60+2*Q217,12),"00"))))</f>
        <v/>
      </c>
      <c r="S217" s="47"/>
      <c r="T217" s="47"/>
      <c r="U217" s="47"/>
      <c r="V217" s="47"/>
      <c r="W217" s="47"/>
      <c r="X217" s="47"/>
      <c r="Y217" s="47"/>
      <c r="Z217" s="47"/>
      <c r="AA217" s="47"/>
      <c r="AB217" s="47"/>
      <c r="AC217" s="47"/>
      <c r="AD217" s="47"/>
      <c r="AE217" s="47"/>
      <c r="AF217" s="47"/>
      <c r="AG217" s="47"/>
      <c r="AH217" s="47"/>
      <c r="AI217" s="46"/>
      <c r="AJ217" s="46"/>
      <c r="AK217" s="46"/>
      <c r="AL217" s="7"/>
      <c r="AM217" s="49" t="str">
        <f aca="false">IF(OR(C217="",G217=""),"",IFERROR(DATEDIF(C217,G217,"m"),""))</f>
        <v/>
      </c>
      <c r="AN217" s="49" t="str">
        <f aca="false">IF(OR(Q217="",AM217=""),"",60+2*Q217-AM217)</f>
        <v/>
      </c>
      <c r="AO217" s="49" t="str">
        <f aca="false">IF(OR(G217="",AJ217=""),"",AJ217-G217)</f>
        <v/>
      </c>
      <c r="AP217" s="50" t="str">
        <f aca="false">IF(AND(A217="",B217=""),"",IF(J217="","Status needed",IF(OR(J217="Applied",J217="Visit booked",J217="Withdrawn"),"OK",IF(G217="","Date assessed needed",IF(C217="","Date of birth needed",IF(COUNTA(L217,M217,P217,U217,V217,X217,AB217)&lt;7,"Band missing",IF(AND(OR(J217="Decision confirmed",J217="Family told",J217="Enrolled"),AG217=""),"Recommendation needed",IF(AND(OR(J217="Family told",J217="Enrolled"),AJ217=""),"Date family told needed","OK"))))))))</f>
        <v/>
      </c>
    </row>
    <row r="218" customFormat="false" ht="15" hidden="false" customHeight="false" outlineLevel="0" collapsed="false">
      <c r="A218" s="7"/>
      <c r="B218" s="7"/>
      <c r="C218" s="46"/>
      <c r="D218" s="7"/>
      <c r="E218" s="47"/>
      <c r="F218" s="46"/>
      <c r="G218" s="46"/>
      <c r="H218" s="7"/>
      <c r="I218" s="7"/>
      <c r="J218" s="47"/>
      <c r="K218" s="47"/>
      <c r="L218" s="47"/>
      <c r="M218" s="47"/>
      <c r="N218" s="10"/>
      <c r="O218" s="47"/>
      <c r="P218" s="47"/>
      <c r="Q218" s="47"/>
      <c r="R218" s="48" t="str">
        <f aca="false">IF(Q218="","",IF(Q218=0,"below 5:00",IF(Q218&gt;=66,"16:00 or above",INT((60+2*Q218)/12)&amp;":"&amp;TEXT(MOD(60+2*Q218,12),"00"))))</f>
        <v/>
      </c>
      <c r="S218" s="47"/>
      <c r="T218" s="47"/>
      <c r="U218" s="47"/>
      <c r="V218" s="47"/>
      <c r="W218" s="47"/>
      <c r="X218" s="47"/>
      <c r="Y218" s="47"/>
      <c r="Z218" s="47"/>
      <c r="AA218" s="47"/>
      <c r="AB218" s="47"/>
      <c r="AC218" s="47"/>
      <c r="AD218" s="47"/>
      <c r="AE218" s="47"/>
      <c r="AF218" s="47"/>
      <c r="AG218" s="47"/>
      <c r="AH218" s="47"/>
      <c r="AI218" s="46"/>
      <c r="AJ218" s="46"/>
      <c r="AK218" s="46"/>
      <c r="AL218" s="7"/>
      <c r="AM218" s="49" t="str">
        <f aca="false">IF(OR(C218="",G218=""),"",IFERROR(DATEDIF(C218,G218,"m"),""))</f>
        <v/>
      </c>
      <c r="AN218" s="49" t="str">
        <f aca="false">IF(OR(Q218="",AM218=""),"",60+2*Q218-AM218)</f>
        <v/>
      </c>
      <c r="AO218" s="49" t="str">
        <f aca="false">IF(OR(G218="",AJ218=""),"",AJ218-G218)</f>
        <v/>
      </c>
      <c r="AP218" s="50" t="str">
        <f aca="false">IF(AND(A218="",B218=""),"",IF(J218="","Status needed",IF(OR(J218="Applied",J218="Visit booked",J218="Withdrawn"),"OK",IF(G218="","Date assessed needed",IF(C218="","Date of birth needed",IF(COUNTA(L218,M218,P218,U218,V218,X218,AB218)&lt;7,"Band missing",IF(AND(OR(J218="Decision confirmed",J218="Family told",J218="Enrolled"),AG218=""),"Recommendation needed",IF(AND(OR(J218="Family told",J218="Enrolled"),AJ218=""),"Date family told needed","OK"))))))))</f>
        <v/>
      </c>
    </row>
    <row r="219" customFormat="false" ht="15" hidden="false" customHeight="false" outlineLevel="0" collapsed="false">
      <c r="A219" s="7"/>
      <c r="B219" s="7"/>
      <c r="C219" s="46"/>
      <c r="D219" s="7"/>
      <c r="E219" s="47"/>
      <c r="F219" s="46"/>
      <c r="G219" s="46"/>
      <c r="H219" s="7"/>
      <c r="I219" s="7"/>
      <c r="J219" s="47"/>
      <c r="K219" s="47"/>
      <c r="L219" s="47"/>
      <c r="M219" s="47"/>
      <c r="N219" s="10"/>
      <c r="O219" s="47"/>
      <c r="P219" s="47"/>
      <c r="Q219" s="47"/>
      <c r="R219" s="48" t="str">
        <f aca="false">IF(Q219="","",IF(Q219=0,"below 5:00",IF(Q219&gt;=66,"16:00 or above",INT((60+2*Q219)/12)&amp;":"&amp;TEXT(MOD(60+2*Q219,12),"00"))))</f>
        <v/>
      </c>
      <c r="S219" s="47"/>
      <c r="T219" s="47"/>
      <c r="U219" s="47"/>
      <c r="V219" s="47"/>
      <c r="W219" s="47"/>
      <c r="X219" s="47"/>
      <c r="Y219" s="47"/>
      <c r="Z219" s="47"/>
      <c r="AA219" s="47"/>
      <c r="AB219" s="47"/>
      <c r="AC219" s="47"/>
      <c r="AD219" s="47"/>
      <c r="AE219" s="47"/>
      <c r="AF219" s="47"/>
      <c r="AG219" s="47"/>
      <c r="AH219" s="47"/>
      <c r="AI219" s="46"/>
      <c r="AJ219" s="46"/>
      <c r="AK219" s="46"/>
      <c r="AL219" s="7"/>
      <c r="AM219" s="49" t="str">
        <f aca="false">IF(OR(C219="",G219=""),"",IFERROR(DATEDIF(C219,G219,"m"),""))</f>
        <v/>
      </c>
      <c r="AN219" s="49" t="str">
        <f aca="false">IF(OR(Q219="",AM219=""),"",60+2*Q219-AM219)</f>
        <v/>
      </c>
      <c r="AO219" s="49" t="str">
        <f aca="false">IF(OR(G219="",AJ219=""),"",AJ219-G219)</f>
        <v/>
      </c>
      <c r="AP219" s="50" t="str">
        <f aca="false">IF(AND(A219="",B219=""),"",IF(J219="","Status needed",IF(OR(J219="Applied",J219="Visit booked",J219="Withdrawn"),"OK",IF(G219="","Date assessed needed",IF(C219="","Date of birth needed",IF(COUNTA(L219,M219,P219,U219,V219,X219,AB219)&lt;7,"Band missing",IF(AND(OR(J219="Decision confirmed",J219="Family told",J219="Enrolled"),AG219=""),"Recommendation needed",IF(AND(OR(J219="Family told",J219="Enrolled"),AJ219=""),"Date family told needed","OK"))))))))</f>
        <v/>
      </c>
    </row>
    <row r="220" customFormat="false" ht="15" hidden="false" customHeight="false" outlineLevel="0" collapsed="false">
      <c r="A220" s="7"/>
      <c r="B220" s="7"/>
      <c r="C220" s="46"/>
      <c r="D220" s="7"/>
      <c r="E220" s="47"/>
      <c r="F220" s="46"/>
      <c r="G220" s="46"/>
      <c r="H220" s="7"/>
      <c r="I220" s="7"/>
      <c r="J220" s="47"/>
      <c r="K220" s="47"/>
      <c r="L220" s="47"/>
      <c r="M220" s="47"/>
      <c r="N220" s="10"/>
      <c r="O220" s="47"/>
      <c r="P220" s="47"/>
      <c r="Q220" s="47"/>
      <c r="R220" s="48" t="str">
        <f aca="false">IF(Q220="","",IF(Q220=0,"below 5:00",IF(Q220&gt;=66,"16:00 or above",INT((60+2*Q220)/12)&amp;":"&amp;TEXT(MOD(60+2*Q220,12),"00"))))</f>
        <v/>
      </c>
      <c r="S220" s="47"/>
      <c r="T220" s="47"/>
      <c r="U220" s="47"/>
      <c r="V220" s="47"/>
      <c r="W220" s="47"/>
      <c r="X220" s="47"/>
      <c r="Y220" s="47"/>
      <c r="Z220" s="47"/>
      <c r="AA220" s="47"/>
      <c r="AB220" s="47"/>
      <c r="AC220" s="47"/>
      <c r="AD220" s="47"/>
      <c r="AE220" s="47"/>
      <c r="AF220" s="47"/>
      <c r="AG220" s="47"/>
      <c r="AH220" s="47"/>
      <c r="AI220" s="46"/>
      <c r="AJ220" s="46"/>
      <c r="AK220" s="46"/>
      <c r="AL220" s="7"/>
      <c r="AM220" s="49" t="str">
        <f aca="false">IF(OR(C220="",G220=""),"",IFERROR(DATEDIF(C220,G220,"m"),""))</f>
        <v/>
      </c>
      <c r="AN220" s="49" t="str">
        <f aca="false">IF(OR(Q220="",AM220=""),"",60+2*Q220-AM220)</f>
        <v/>
      </c>
      <c r="AO220" s="49" t="str">
        <f aca="false">IF(OR(G220="",AJ220=""),"",AJ220-G220)</f>
        <v/>
      </c>
      <c r="AP220" s="50" t="str">
        <f aca="false">IF(AND(A220="",B220=""),"",IF(J220="","Status needed",IF(OR(J220="Applied",J220="Visit booked",J220="Withdrawn"),"OK",IF(G220="","Date assessed needed",IF(C220="","Date of birth needed",IF(COUNTA(L220,M220,P220,U220,V220,X220,AB220)&lt;7,"Band missing",IF(AND(OR(J220="Decision confirmed",J220="Family told",J220="Enrolled"),AG220=""),"Recommendation needed",IF(AND(OR(J220="Family told",J220="Enrolled"),AJ220=""),"Date family told needed","OK"))))))))</f>
        <v/>
      </c>
    </row>
    <row r="221" customFormat="false" ht="15" hidden="false" customHeight="false" outlineLevel="0" collapsed="false">
      <c r="A221" s="7"/>
      <c r="B221" s="7"/>
      <c r="C221" s="46"/>
      <c r="D221" s="7"/>
      <c r="E221" s="47"/>
      <c r="F221" s="46"/>
      <c r="G221" s="46"/>
      <c r="H221" s="7"/>
      <c r="I221" s="7"/>
      <c r="J221" s="47"/>
      <c r="K221" s="47"/>
      <c r="L221" s="47"/>
      <c r="M221" s="47"/>
      <c r="N221" s="10"/>
      <c r="O221" s="47"/>
      <c r="P221" s="47"/>
      <c r="Q221" s="47"/>
      <c r="R221" s="48" t="str">
        <f aca="false">IF(Q221="","",IF(Q221=0,"below 5:00",IF(Q221&gt;=66,"16:00 or above",INT((60+2*Q221)/12)&amp;":"&amp;TEXT(MOD(60+2*Q221,12),"00"))))</f>
        <v/>
      </c>
      <c r="S221" s="47"/>
      <c r="T221" s="47"/>
      <c r="U221" s="47"/>
      <c r="V221" s="47"/>
      <c r="W221" s="47"/>
      <c r="X221" s="47"/>
      <c r="Y221" s="47"/>
      <c r="Z221" s="47"/>
      <c r="AA221" s="47"/>
      <c r="AB221" s="47"/>
      <c r="AC221" s="47"/>
      <c r="AD221" s="47"/>
      <c r="AE221" s="47"/>
      <c r="AF221" s="47"/>
      <c r="AG221" s="47"/>
      <c r="AH221" s="47"/>
      <c r="AI221" s="46"/>
      <c r="AJ221" s="46"/>
      <c r="AK221" s="46"/>
      <c r="AL221" s="7"/>
      <c r="AM221" s="49" t="str">
        <f aca="false">IF(OR(C221="",G221=""),"",IFERROR(DATEDIF(C221,G221,"m"),""))</f>
        <v/>
      </c>
      <c r="AN221" s="49" t="str">
        <f aca="false">IF(OR(Q221="",AM221=""),"",60+2*Q221-AM221)</f>
        <v/>
      </c>
      <c r="AO221" s="49" t="str">
        <f aca="false">IF(OR(G221="",AJ221=""),"",AJ221-G221)</f>
        <v/>
      </c>
      <c r="AP221" s="50" t="str">
        <f aca="false">IF(AND(A221="",B221=""),"",IF(J221="","Status needed",IF(OR(J221="Applied",J221="Visit booked",J221="Withdrawn"),"OK",IF(G221="","Date assessed needed",IF(C221="","Date of birth needed",IF(COUNTA(L221,M221,P221,U221,V221,X221,AB221)&lt;7,"Band missing",IF(AND(OR(J221="Decision confirmed",J221="Family told",J221="Enrolled"),AG221=""),"Recommendation needed",IF(AND(OR(J221="Family told",J221="Enrolled"),AJ221=""),"Date family told needed","OK"))))))))</f>
        <v/>
      </c>
    </row>
    <row r="222" customFormat="false" ht="15" hidden="false" customHeight="false" outlineLevel="0" collapsed="false">
      <c r="A222" s="7"/>
      <c r="B222" s="7"/>
      <c r="C222" s="46"/>
      <c r="D222" s="7"/>
      <c r="E222" s="47"/>
      <c r="F222" s="46"/>
      <c r="G222" s="46"/>
      <c r="H222" s="7"/>
      <c r="I222" s="7"/>
      <c r="J222" s="47"/>
      <c r="K222" s="47"/>
      <c r="L222" s="47"/>
      <c r="M222" s="47"/>
      <c r="N222" s="10"/>
      <c r="O222" s="47"/>
      <c r="P222" s="47"/>
      <c r="Q222" s="47"/>
      <c r="R222" s="48" t="str">
        <f aca="false">IF(Q222="","",IF(Q222=0,"below 5:00",IF(Q222&gt;=66,"16:00 or above",INT((60+2*Q222)/12)&amp;":"&amp;TEXT(MOD(60+2*Q222,12),"00"))))</f>
        <v/>
      </c>
      <c r="S222" s="47"/>
      <c r="T222" s="47"/>
      <c r="U222" s="47"/>
      <c r="V222" s="47"/>
      <c r="W222" s="47"/>
      <c r="X222" s="47"/>
      <c r="Y222" s="47"/>
      <c r="Z222" s="47"/>
      <c r="AA222" s="47"/>
      <c r="AB222" s="47"/>
      <c r="AC222" s="47"/>
      <c r="AD222" s="47"/>
      <c r="AE222" s="47"/>
      <c r="AF222" s="47"/>
      <c r="AG222" s="47"/>
      <c r="AH222" s="47"/>
      <c r="AI222" s="46"/>
      <c r="AJ222" s="46"/>
      <c r="AK222" s="46"/>
      <c r="AL222" s="7"/>
      <c r="AM222" s="49" t="str">
        <f aca="false">IF(OR(C222="",G222=""),"",IFERROR(DATEDIF(C222,G222,"m"),""))</f>
        <v/>
      </c>
      <c r="AN222" s="49" t="str">
        <f aca="false">IF(OR(Q222="",AM222=""),"",60+2*Q222-AM222)</f>
        <v/>
      </c>
      <c r="AO222" s="49" t="str">
        <f aca="false">IF(OR(G222="",AJ222=""),"",AJ222-G222)</f>
        <v/>
      </c>
      <c r="AP222" s="50" t="str">
        <f aca="false">IF(AND(A222="",B222=""),"",IF(J222="","Status needed",IF(OR(J222="Applied",J222="Visit booked",J222="Withdrawn"),"OK",IF(G222="","Date assessed needed",IF(C222="","Date of birth needed",IF(COUNTA(L222,M222,P222,U222,V222,X222,AB222)&lt;7,"Band missing",IF(AND(OR(J222="Decision confirmed",J222="Family told",J222="Enrolled"),AG222=""),"Recommendation needed",IF(AND(OR(J222="Family told",J222="Enrolled"),AJ222=""),"Date family told needed","OK"))))))))</f>
        <v/>
      </c>
    </row>
    <row r="223" customFormat="false" ht="15" hidden="false" customHeight="false" outlineLevel="0" collapsed="false">
      <c r="A223" s="7"/>
      <c r="B223" s="7"/>
      <c r="C223" s="46"/>
      <c r="D223" s="7"/>
      <c r="E223" s="47"/>
      <c r="F223" s="46"/>
      <c r="G223" s="46"/>
      <c r="H223" s="7"/>
      <c r="I223" s="7"/>
      <c r="J223" s="47"/>
      <c r="K223" s="47"/>
      <c r="L223" s="47"/>
      <c r="M223" s="47"/>
      <c r="N223" s="10"/>
      <c r="O223" s="47"/>
      <c r="P223" s="47"/>
      <c r="Q223" s="47"/>
      <c r="R223" s="48" t="str">
        <f aca="false">IF(Q223="","",IF(Q223=0,"below 5:00",IF(Q223&gt;=66,"16:00 or above",INT((60+2*Q223)/12)&amp;":"&amp;TEXT(MOD(60+2*Q223,12),"00"))))</f>
        <v/>
      </c>
      <c r="S223" s="47"/>
      <c r="T223" s="47"/>
      <c r="U223" s="47"/>
      <c r="V223" s="47"/>
      <c r="W223" s="47"/>
      <c r="X223" s="47"/>
      <c r="Y223" s="47"/>
      <c r="Z223" s="47"/>
      <c r="AA223" s="47"/>
      <c r="AB223" s="47"/>
      <c r="AC223" s="47"/>
      <c r="AD223" s="47"/>
      <c r="AE223" s="47"/>
      <c r="AF223" s="47"/>
      <c r="AG223" s="47"/>
      <c r="AH223" s="47"/>
      <c r="AI223" s="46"/>
      <c r="AJ223" s="46"/>
      <c r="AK223" s="46"/>
      <c r="AL223" s="7"/>
      <c r="AM223" s="49" t="str">
        <f aca="false">IF(OR(C223="",G223=""),"",IFERROR(DATEDIF(C223,G223,"m"),""))</f>
        <v/>
      </c>
      <c r="AN223" s="49" t="str">
        <f aca="false">IF(OR(Q223="",AM223=""),"",60+2*Q223-AM223)</f>
        <v/>
      </c>
      <c r="AO223" s="49" t="str">
        <f aca="false">IF(OR(G223="",AJ223=""),"",AJ223-G223)</f>
        <v/>
      </c>
      <c r="AP223" s="50" t="str">
        <f aca="false">IF(AND(A223="",B223=""),"",IF(J223="","Status needed",IF(OR(J223="Applied",J223="Visit booked",J223="Withdrawn"),"OK",IF(G223="","Date assessed needed",IF(C223="","Date of birth needed",IF(COUNTA(L223,M223,P223,U223,V223,X223,AB223)&lt;7,"Band missing",IF(AND(OR(J223="Decision confirmed",J223="Family told",J223="Enrolled"),AG223=""),"Recommendation needed",IF(AND(OR(J223="Family told",J223="Enrolled"),AJ223=""),"Date family told needed","OK"))))))))</f>
        <v/>
      </c>
    </row>
    <row r="224" customFormat="false" ht="15" hidden="false" customHeight="false" outlineLevel="0" collapsed="false">
      <c r="A224" s="7"/>
      <c r="B224" s="7"/>
      <c r="C224" s="46"/>
      <c r="D224" s="7"/>
      <c r="E224" s="47"/>
      <c r="F224" s="46"/>
      <c r="G224" s="46"/>
      <c r="H224" s="7"/>
      <c r="I224" s="7"/>
      <c r="J224" s="47"/>
      <c r="K224" s="47"/>
      <c r="L224" s="47"/>
      <c r="M224" s="47"/>
      <c r="N224" s="10"/>
      <c r="O224" s="47"/>
      <c r="P224" s="47"/>
      <c r="Q224" s="47"/>
      <c r="R224" s="48" t="str">
        <f aca="false">IF(Q224="","",IF(Q224=0,"below 5:00",IF(Q224&gt;=66,"16:00 or above",INT((60+2*Q224)/12)&amp;":"&amp;TEXT(MOD(60+2*Q224,12),"00"))))</f>
        <v/>
      </c>
      <c r="S224" s="47"/>
      <c r="T224" s="47"/>
      <c r="U224" s="47"/>
      <c r="V224" s="47"/>
      <c r="W224" s="47"/>
      <c r="X224" s="47"/>
      <c r="Y224" s="47"/>
      <c r="Z224" s="47"/>
      <c r="AA224" s="47"/>
      <c r="AB224" s="47"/>
      <c r="AC224" s="47"/>
      <c r="AD224" s="47"/>
      <c r="AE224" s="47"/>
      <c r="AF224" s="47"/>
      <c r="AG224" s="47"/>
      <c r="AH224" s="47"/>
      <c r="AI224" s="46"/>
      <c r="AJ224" s="46"/>
      <c r="AK224" s="46"/>
      <c r="AL224" s="7"/>
      <c r="AM224" s="49" t="str">
        <f aca="false">IF(OR(C224="",G224=""),"",IFERROR(DATEDIF(C224,G224,"m"),""))</f>
        <v/>
      </c>
      <c r="AN224" s="49" t="str">
        <f aca="false">IF(OR(Q224="",AM224=""),"",60+2*Q224-AM224)</f>
        <v/>
      </c>
      <c r="AO224" s="49" t="str">
        <f aca="false">IF(OR(G224="",AJ224=""),"",AJ224-G224)</f>
        <v/>
      </c>
      <c r="AP224" s="50" t="str">
        <f aca="false">IF(AND(A224="",B224=""),"",IF(J224="","Status needed",IF(OR(J224="Applied",J224="Visit booked",J224="Withdrawn"),"OK",IF(G224="","Date assessed needed",IF(C224="","Date of birth needed",IF(COUNTA(L224,M224,P224,U224,V224,X224,AB224)&lt;7,"Band missing",IF(AND(OR(J224="Decision confirmed",J224="Family told",J224="Enrolled"),AG224=""),"Recommendation needed",IF(AND(OR(J224="Family told",J224="Enrolled"),AJ224=""),"Date family told needed","OK"))))))))</f>
        <v/>
      </c>
    </row>
    <row r="225" customFormat="false" ht="15" hidden="false" customHeight="false" outlineLevel="0" collapsed="false">
      <c r="A225" s="7"/>
      <c r="B225" s="7"/>
      <c r="C225" s="46"/>
      <c r="D225" s="7"/>
      <c r="E225" s="47"/>
      <c r="F225" s="46"/>
      <c r="G225" s="46"/>
      <c r="H225" s="7"/>
      <c r="I225" s="7"/>
      <c r="J225" s="47"/>
      <c r="K225" s="47"/>
      <c r="L225" s="47"/>
      <c r="M225" s="47"/>
      <c r="N225" s="10"/>
      <c r="O225" s="47"/>
      <c r="P225" s="47"/>
      <c r="Q225" s="47"/>
      <c r="R225" s="48" t="str">
        <f aca="false">IF(Q225="","",IF(Q225=0,"below 5:00",IF(Q225&gt;=66,"16:00 or above",INT((60+2*Q225)/12)&amp;":"&amp;TEXT(MOD(60+2*Q225,12),"00"))))</f>
        <v/>
      </c>
      <c r="S225" s="47"/>
      <c r="T225" s="47"/>
      <c r="U225" s="47"/>
      <c r="V225" s="47"/>
      <c r="W225" s="47"/>
      <c r="X225" s="47"/>
      <c r="Y225" s="47"/>
      <c r="Z225" s="47"/>
      <c r="AA225" s="47"/>
      <c r="AB225" s="47"/>
      <c r="AC225" s="47"/>
      <c r="AD225" s="47"/>
      <c r="AE225" s="47"/>
      <c r="AF225" s="47"/>
      <c r="AG225" s="47"/>
      <c r="AH225" s="47"/>
      <c r="AI225" s="46"/>
      <c r="AJ225" s="46"/>
      <c r="AK225" s="46"/>
      <c r="AL225" s="7"/>
      <c r="AM225" s="49" t="str">
        <f aca="false">IF(OR(C225="",G225=""),"",IFERROR(DATEDIF(C225,G225,"m"),""))</f>
        <v/>
      </c>
      <c r="AN225" s="49" t="str">
        <f aca="false">IF(OR(Q225="",AM225=""),"",60+2*Q225-AM225)</f>
        <v/>
      </c>
      <c r="AO225" s="49" t="str">
        <f aca="false">IF(OR(G225="",AJ225=""),"",AJ225-G225)</f>
        <v/>
      </c>
      <c r="AP225" s="50" t="str">
        <f aca="false">IF(AND(A225="",B225=""),"",IF(J225="","Status needed",IF(OR(J225="Applied",J225="Visit booked",J225="Withdrawn"),"OK",IF(G225="","Date assessed needed",IF(C225="","Date of birth needed",IF(COUNTA(L225,M225,P225,U225,V225,X225,AB225)&lt;7,"Band missing",IF(AND(OR(J225="Decision confirmed",J225="Family told",J225="Enrolled"),AG225=""),"Recommendation needed",IF(AND(OR(J225="Family told",J225="Enrolled"),AJ225=""),"Date family told needed","OK"))))))))</f>
        <v/>
      </c>
    </row>
    <row r="226" customFormat="false" ht="15" hidden="false" customHeight="false" outlineLevel="0" collapsed="false">
      <c r="A226" s="7"/>
      <c r="B226" s="7"/>
      <c r="C226" s="46"/>
      <c r="D226" s="7"/>
      <c r="E226" s="47"/>
      <c r="F226" s="46"/>
      <c r="G226" s="46"/>
      <c r="H226" s="7"/>
      <c r="I226" s="7"/>
      <c r="J226" s="47"/>
      <c r="K226" s="47"/>
      <c r="L226" s="47"/>
      <c r="M226" s="47"/>
      <c r="N226" s="10"/>
      <c r="O226" s="47"/>
      <c r="P226" s="47"/>
      <c r="Q226" s="47"/>
      <c r="R226" s="48" t="str">
        <f aca="false">IF(Q226="","",IF(Q226=0,"below 5:00",IF(Q226&gt;=66,"16:00 or above",INT((60+2*Q226)/12)&amp;":"&amp;TEXT(MOD(60+2*Q226,12),"00"))))</f>
        <v/>
      </c>
      <c r="S226" s="47"/>
      <c r="T226" s="47"/>
      <c r="U226" s="47"/>
      <c r="V226" s="47"/>
      <c r="W226" s="47"/>
      <c r="X226" s="47"/>
      <c r="Y226" s="47"/>
      <c r="Z226" s="47"/>
      <c r="AA226" s="47"/>
      <c r="AB226" s="47"/>
      <c r="AC226" s="47"/>
      <c r="AD226" s="47"/>
      <c r="AE226" s="47"/>
      <c r="AF226" s="47"/>
      <c r="AG226" s="47"/>
      <c r="AH226" s="47"/>
      <c r="AI226" s="46"/>
      <c r="AJ226" s="46"/>
      <c r="AK226" s="46"/>
      <c r="AL226" s="7"/>
      <c r="AM226" s="49" t="str">
        <f aca="false">IF(OR(C226="",G226=""),"",IFERROR(DATEDIF(C226,G226,"m"),""))</f>
        <v/>
      </c>
      <c r="AN226" s="49" t="str">
        <f aca="false">IF(OR(Q226="",AM226=""),"",60+2*Q226-AM226)</f>
        <v/>
      </c>
      <c r="AO226" s="49" t="str">
        <f aca="false">IF(OR(G226="",AJ226=""),"",AJ226-G226)</f>
        <v/>
      </c>
      <c r="AP226" s="50" t="str">
        <f aca="false">IF(AND(A226="",B226=""),"",IF(J226="","Status needed",IF(OR(J226="Applied",J226="Visit booked",J226="Withdrawn"),"OK",IF(G226="","Date assessed needed",IF(C226="","Date of birth needed",IF(COUNTA(L226,M226,P226,U226,V226,X226,AB226)&lt;7,"Band missing",IF(AND(OR(J226="Decision confirmed",J226="Family told",J226="Enrolled"),AG226=""),"Recommendation needed",IF(AND(OR(J226="Family told",J226="Enrolled"),AJ226=""),"Date family told needed","OK"))))))))</f>
        <v/>
      </c>
    </row>
    <row r="227" customFormat="false" ht="15" hidden="false" customHeight="false" outlineLevel="0" collapsed="false">
      <c r="A227" s="7"/>
      <c r="B227" s="7"/>
      <c r="C227" s="46"/>
      <c r="D227" s="7"/>
      <c r="E227" s="47"/>
      <c r="F227" s="46"/>
      <c r="G227" s="46"/>
      <c r="H227" s="7"/>
      <c r="I227" s="7"/>
      <c r="J227" s="47"/>
      <c r="K227" s="47"/>
      <c r="L227" s="47"/>
      <c r="M227" s="47"/>
      <c r="N227" s="10"/>
      <c r="O227" s="47"/>
      <c r="P227" s="47"/>
      <c r="Q227" s="47"/>
      <c r="R227" s="48" t="str">
        <f aca="false">IF(Q227="","",IF(Q227=0,"below 5:00",IF(Q227&gt;=66,"16:00 or above",INT((60+2*Q227)/12)&amp;":"&amp;TEXT(MOD(60+2*Q227,12),"00"))))</f>
        <v/>
      </c>
      <c r="S227" s="47"/>
      <c r="T227" s="47"/>
      <c r="U227" s="47"/>
      <c r="V227" s="47"/>
      <c r="W227" s="47"/>
      <c r="X227" s="47"/>
      <c r="Y227" s="47"/>
      <c r="Z227" s="47"/>
      <c r="AA227" s="47"/>
      <c r="AB227" s="47"/>
      <c r="AC227" s="47"/>
      <c r="AD227" s="47"/>
      <c r="AE227" s="47"/>
      <c r="AF227" s="47"/>
      <c r="AG227" s="47"/>
      <c r="AH227" s="47"/>
      <c r="AI227" s="46"/>
      <c r="AJ227" s="46"/>
      <c r="AK227" s="46"/>
      <c r="AL227" s="7"/>
      <c r="AM227" s="49" t="str">
        <f aca="false">IF(OR(C227="",G227=""),"",IFERROR(DATEDIF(C227,G227,"m"),""))</f>
        <v/>
      </c>
      <c r="AN227" s="49" t="str">
        <f aca="false">IF(OR(Q227="",AM227=""),"",60+2*Q227-AM227)</f>
        <v/>
      </c>
      <c r="AO227" s="49" t="str">
        <f aca="false">IF(OR(G227="",AJ227=""),"",AJ227-G227)</f>
        <v/>
      </c>
      <c r="AP227" s="50" t="str">
        <f aca="false">IF(AND(A227="",B227=""),"",IF(J227="","Status needed",IF(OR(J227="Applied",J227="Visit booked",J227="Withdrawn"),"OK",IF(G227="","Date assessed needed",IF(C227="","Date of birth needed",IF(COUNTA(L227,M227,P227,U227,V227,X227,AB227)&lt;7,"Band missing",IF(AND(OR(J227="Decision confirmed",J227="Family told",J227="Enrolled"),AG227=""),"Recommendation needed",IF(AND(OR(J227="Family told",J227="Enrolled"),AJ227=""),"Date family told needed","OK"))))))))</f>
        <v/>
      </c>
    </row>
    <row r="228" customFormat="false" ht="15" hidden="false" customHeight="false" outlineLevel="0" collapsed="false">
      <c r="A228" s="7"/>
      <c r="B228" s="7"/>
      <c r="C228" s="46"/>
      <c r="D228" s="7"/>
      <c r="E228" s="47"/>
      <c r="F228" s="46"/>
      <c r="G228" s="46"/>
      <c r="H228" s="7"/>
      <c r="I228" s="7"/>
      <c r="J228" s="47"/>
      <c r="K228" s="47"/>
      <c r="L228" s="47"/>
      <c r="M228" s="47"/>
      <c r="N228" s="10"/>
      <c r="O228" s="47"/>
      <c r="P228" s="47"/>
      <c r="Q228" s="47"/>
      <c r="R228" s="48" t="str">
        <f aca="false">IF(Q228="","",IF(Q228=0,"below 5:00",IF(Q228&gt;=66,"16:00 or above",INT((60+2*Q228)/12)&amp;":"&amp;TEXT(MOD(60+2*Q228,12),"00"))))</f>
        <v/>
      </c>
      <c r="S228" s="47"/>
      <c r="T228" s="47"/>
      <c r="U228" s="47"/>
      <c r="V228" s="47"/>
      <c r="W228" s="47"/>
      <c r="X228" s="47"/>
      <c r="Y228" s="47"/>
      <c r="Z228" s="47"/>
      <c r="AA228" s="47"/>
      <c r="AB228" s="47"/>
      <c r="AC228" s="47"/>
      <c r="AD228" s="47"/>
      <c r="AE228" s="47"/>
      <c r="AF228" s="47"/>
      <c r="AG228" s="47"/>
      <c r="AH228" s="47"/>
      <c r="AI228" s="46"/>
      <c r="AJ228" s="46"/>
      <c r="AK228" s="46"/>
      <c r="AL228" s="7"/>
      <c r="AM228" s="49" t="str">
        <f aca="false">IF(OR(C228="",G228=""),"",IFERROR(DATEDIF(C228,G228,"m"),""))</f>
        <v/>
      </c>
      <c r="AN228" s="49" t="str">
        <f aca="false">IF(OR(Q228="",AM228=""),"",60+2*Q228-AM228)</f>
        <v/>
      </c>
      <c r="AO228" s="49" t="str">
        <f aca="false">IF(OR(G228="",AJ228=""),"",AJ228-G228)</f>
        <v/>
      </c>
      <c r="AP228" s="50" t="str">
        <f aca="false">IF(AND(A228="",B228=""),"",IF(J228="","Status needed",IF(OR(J228="Applied",J228="Visit booked",J228="Withdrawn"),"OK",IF(G228="","Date assessed needed",IF(C228="","Date of birth needed",IF(COUNTA(L228,M228,P228,U228,V228,X228,AB228)&lt;7,"Band missing",IF(AND(OR(J228="Decision confirmed",J228="Family told",J228="Enrolled"),AG228=""),"Recommendation needed",IF(AND(OR(J228="Family told",J228="Enrolled"),AJ228=""),"Date family told needed","OK"))))))))</f>
        <v/>
      </c>
    </row>
    <row r="229" customFormat="false" ht="15" hidden="false" customHeight="false" outlineLevel="0" collapsed="false">
      <c r="A229" s="7"/>
      <c r="B229" s="7"/>
      <c r="C229" s="46"/>
      <c r="D229" s="7"/>
      <c r="E229" s="47"/>
      <c r="F229" s="46"/>
      <c r="G229" s="46"/>
      <c r="H229" s="7"/>
      <c r="I229" s="7"/>
      <c r="J229" s="47"/>
      <c r="K229" s="47"/>
      <c r="L229" s="47"/>
      <c r="M229" s="47"/>
      <c r="N229" s="10"/>
      <c r="O229" s="47"/>
      <c r="P229" s="47"/>
      <c r="Q229" s="47"/>
      <c r="R229" s="48" t="str">
        <f aca="false">IF(Q229="","",IF(Q229=0,"below 5:00",IF(Q229&gt;=66,"16:00 or above",INT((60+2*Q229)/12)&amp;":"&amp;TEXT(MOD(60+2*Q229,12),"00"))))</f>
        <v/>
      </c>
      <c r="S229" s="47"/>
      <c r="T229" s="47"/>
      <c r="U229" s="47"/>
      <c r="V229" s="47"/>
      <c r="W229" s="47"/>
      <c r="X229" s="47"/>
      <c r="Y229" s="47"/>
      <c r="Z229" s="47"/>
      <c r="AA229" s="47"/>
      <c r="AB229" s="47"/>
      <c r="AC229" s="47"/>
      <c r="AD229" s="47"/>
      <c r="AE229" s="47"/>
      <c r="AF229" s="47"/>
      <c r="AG229" s="47"/>
      <c r="AH229" s="47"/>
      <c r="AI229" s="46"/>
      <c r="AJ229" s="46"/>
      <c r="AK229" s="46"/>
      <c r="AL229" s="7"/>
      <c r="AM229" s="49" t="str">
        <f aca="false">IF(OR(C229="",G229=""),"",IFERROR(DATEDIF(C229,G229,"m"),""))</f>
        <v/>
      </c>
      <c r="AN229" s="49" t="str">
        <f aca="false">IF(OR(Q229="",AM229=""),"",60+2*Q229-AM229)</f>
        <v/>
      </c>
      <c r="AO229" s="49" t="str">
        <f aca="false">IF(OR(G229="",AJ229=""),"",AJ229-G229)</f>
        <v/>
      </c>
      <c r="AP229" s="50" t="str">
        <f aca="false">IF(AND(A229="",B229=""),"",IF(J229="","Status needed",IF(OR(J229="Applied",J229="Visit booked",J229="Withdrawn"),"OK",IF(G229="","Date assessed needed",IF(C229="","Date of birth needed",IF(COUNTA(L229,M229,P229,U229,V229,X229,AB229)&lt;7,"Band missing",IF(AND(OR(J229="Decision confirmed",J229="Family told",J229="Enrolled"),AG229=""),"Recommendation needed",IF(AND(OR(J229="Family told",J229="Enrolled"),AJ229=""),"Date family told needed","OK"))))))))</f>
        <v/>
      </c>
    </row>
    <row r="230" customFormat="false" ht="15" hidden="false" customHeight="false" outlineLevel="0" collapsed="false">
      <c r="A230" s="7"/>
      <c r="B230" s="7"/>
      <c r="C230" s="46"/>
      <c r="D230" s="7"/>
      <c r="E230" s="47"/>
      <c r="F230" s="46"/>
      <c r="G230" s="46"/>
      <c r="H230" s="7"/>
      <c r="I230" s="7"/>
      <c r="J230" s="47"/>
      <c r="K230" s="47"/>
      <c r="L230" s="47"/>
      <c r="M230" s="47"/>
      <c r="N230" s="10"/>
      <c r="O230" s="47"/>
      <c r="P230" s="47"/>
      <c r="Q230" s="47"/>
      <c r="R230" s="48" t="str">
        <f aca="false">IF(Q230="","",IF(Q230=0,"below 5:00",IF(Q230&gt;=66,"16:00 or above",INT((60+2*Q230)/12)&amp;":"&amp;TEXT(MOD(60+2*Q230,12),"00"))))</f>
        <v/>
      </c>
      <c r="S230" s="47"/>
      <c r="T230" s="47"/>
      <c r="U230" s="47"/>
      <c r="V230" s="47"/>
      <c r="W230" s="47"/>
      <c r="X230" s="47"/>
      <c r="Y230" s="47"/>
      <c r="Z230" s="47"/>
      <c r="AA230" s="47"/>
      <c r="AB230" s="47"/>
      <c r="AC230" s="47"/>
      <c r="AD230" s="47"/>
      <c r="AE230" s="47"/>
      <c r="AF230" s="47"/>
      <c r="AG230" s="47"/>
      <c r="AH230" s="47"/>
      <c r="AI230" s="46"/>
      <c r="AJ230" s="46"/>
      <c r="AK230" s="46"/>
      <c r="AL230" s="7"/>
      <c r="AM230" s="49" t="str">
        <f aca="false">IF(OR(C230="",G230=""),"",IFERROR(DATEDIF(C230,G230,"m"),""))</f>
        <v/>
      </c>
      <c r="AN230" s="49" t="str">
        <f aca="false">IF(OR(Q230="",AM230=""),"",60+2*Q230-AM230)</f>
        <v/>
      </c>
      <c r="AO230" s="49" t="str">
        <f aca="false">IF(OR(G230="",AJ230=""),"",AJ230-G230)</f>
        <v/>
      </c>
      <c r="AP230" s="50" t="str">
        <f aca="false">IF(AND(A230="",B230=""),"",IF(J230="","Status needed",IF(OR(J230="Applied",J230="Visit booked",J230="Withdrawn"),"OK",IF(G230="","Date assessed needed",IF(C230="","Date of birth needed",IF(COUNTA(L230,M230,P230,U230,V230,X230,AB230)&lt;7,"Band missing",IF(AND(OR(J230="Decision confirmed",J230="Family told",J230="Enrolled"),AG230=""),"Recommendation needed",IF(AND(OR(J230="Family told",J230="Enrolled"),AJ230=""),"Date family told needed","OK"))))))))</f>
        <v/>
      </c>
    </row>
    <row r="231" customFormat="false" ht="15" hidden="false" customHeight="false" outlineLevel="0" collapsed="false">
      <c r="A231" s="7"/>
      <c r="B231" s="7"/>
      <c r="C231" s="46"/>
      <c r="D231" s="7"/>
      <c r="E231" s="47"/>
      <c r="F231" s="46"/>
      <c r="G231" s="46"/>
      <c r="H231" s="7"/>
      <c r="I231" s="7"/>
      <c r="J231" s="47"/>
      <c r="K231" s="47"/>
      <c r="L231" s="47"/>
      <c r="M231" s="47"/>
      <c r="N231" s="10"/>
      <c r="O231" s="47"/>
      <c r="P231" s="47"/>
      <c r="Q231" s="47"/>
      <c r="R231" s="48" t="str">
        <f aca="false">IF(Q231="","",IF(Q231=0,"below 5:00",IF(Q231&gt;=66,"16:00 or above",INT((60+2*Q231)/12)&amp;":"&amp;TEXT(MOD(60+2*Q231,12),"00"))))</f>
        <v/>
      </c>
      <c r="S231" s="47"/>
      <c r="T231" s="47"/>
      <c r="U231" s="47"/>
      <c r="V231" s="47"/>
      <c r="W231" s="47"/>
      <c r="X231" s="47"/>
      <c r="Y231" s="47"/>
      <c r="Z231" s="47"/>
      <c r="AA231" s="47"/>
      <c r="AB231" s="47"/>
      <c r="AC231" s="47"/>
      <c r="AD231" s="47"/>
      <c r="AE231" s="47"/>
      <c r="AF231" s="47"/>
      <c r="AG231" s="47"/>
      <c r="AH231" s="47"/>
      <c r="AI231" s="46"/>
      <c r="AJ231" s="46"/>
      <c r="AK231" s="46"/>
      <c r="AL231" s="7"/>
      <c r="AM231" s="49" t="str">
        <f aca="false">IF(OR(C231="",G231=""),"",IFERROR(DATEDIF(C231,G231,"m"),""))</f>
        <v/>
      </c>
      <c r="AN231" s="49" t="str">
        <f aca="false">IF(OR(Q231="",AM231=""),"",60+2*Q231-AM231)</f>
        <v/>
      </c>
      <c r="AO231" s="49" t="str">
        <f aca="false">IF(OR(G231="",AJ231=""),"",AJ231-G231)</f>
        <v/>
      </c>
      <c r="AP231" s="50" t="str">
        <f aca="false">IF(AND(A231="",B231=""),"",IF(J231="","Status needed",IF(OR(J231="Applied",J231="Visit booked",J231="Withdrawn"),"OK",IF(G231="","Date assessed needed",IF(C231="","Date of birth needed",IF(COUNTA(L231,M231,P231,U231,V231,X231,AB231)&lt;7,"Band missing",IF(AND(OR(J231="Decision confirmed",J231="Family told",J231="Enrolled"),AG231=""),"Recommendation needed",IF(AND(OR(J231="Family told",J231="Enrolled"),AJ231=""),"Date family told needed","OK"))))))))</f>
        <v/>
      </c>
    </row>
    <row r="232" customFormat="false" ht="15" hidden="false" customHeight="false" outlineLevel="0" collapsed="false">
      <c r="A232" s="7"/>
      <c r="B232" s="7"/>
      <c r="C232" s="46"/>
      <c r="D232" s="7"/>
      <c r="E232" s="47"/>
      <c r="F232" s="46"/>
      <c r="G232" s="46"/>
      <c r="H232" s="7"/>
      <c r="I232" s="7"/>
      <c r="J232" s="47"/>
      <c r="K232" s="47"/>
      <c r="L232" s="47"/>
      <c r="M232" s="47"/>
      <c r="N232" s="10"/>
      <c r="O232" s="47"/>
      <c r="P232" s="47"/>
      <c r="Q232" s="47"/>
      <c r="R232" s="48" t="str">
        <f aca="false">IF(Q232="","",IF(Q232=0,"below 5:00",IF(Q232&gt;=66,"16:00 or above",INT((60+2*Q232)/12)&amp;":"&amp;TEXT(MOD(60+2*Q232,12),"00"))))</f>
        <v/>
      </c>
      <c r="S232" s="47"/>
      <c r="T232" s="47"/>
      <c r="U232" s="47"/>
      <c r="V232" s="47"/>
      <c r="W232" s="47"/>
      <c r="X232" s="47"/>
      <c r="Y232" s="47"/>
      <c r="Z232" s="47"/>
      <c r="AA232" s="47"/>
      <c r="AB232" s="47"/>
      <c r="AC232" s="47"/>
      <c r="AD232" s="47"/>
      <c r="AE232" s="47"/>
      <c r="AF232" s="47"/>
      <c r="AG232" s="47"/>
      <c r="AH232" s="47"/>
      <c r="AI232" s="46"/>
      <c r="AJ232" s="46"/>
      <c r="AK232" s="46"/>
      <c r="AL232" s="7"/>
      <c r="AM232" s="49" t="str">
        <f aca="false">IF(OR(C232="",G232=""),"",IFERROR(DATEDIF(C232,G232,"m"),""))</f>
        <v/>
      </c>
      <c r="AN232" s="49" t="str">
        <f aca="false">IF(OR(Q232="",AM232=""),"",60+2*Q232-AM232)</f>
        <v/>
      </c>
      <c r="AO232" s="49" t="str">
        <f aca="false">IF(OR(G232="",AJ232=""),"",AJ232-G232)</f>
        <v/>
      </c>
      <c r="AP232" s="50" t="str">
        <f aca="false">IF(AND(A232="",B232=""),"",IF(J232="","Status needed",IF(OR(J232="Applied",J232="Visit booked",J232="Withdrawn"),"OK",IF(G232="","Date assessed needed",IF(C232="","Date of birth needed",IF(COUNTA(L232,M232,P232,U232,V232,X232,AB232)&lt;7,"Band missing",IF(AND(OR(J232="Decision confirmed",J232="Family told",J232="Enrolled"),AG232=""),"Recommendation needed",IF(AND(OR(J232="Family told",J232="Enrolled"),AJ232=""),"Date family told needed","OK"))))))))</f>
        <v/>
      </c>
    </row>
    <row r="233" customFormat="false" ht="15" hidden="false" customHeight="false" outlineLevel="0" collapsed="false">
      <c r="A233" s="7"/>
      <c r="B233" s="7"/>
      <c r="C233" s="46"/>
      <c r="D233" s="7"/>
      <c r="E233" s="47"/>
      <c r="F233" s="46"/>
      <c r="G233" s="46"/>
      <c r="H233" s="7"/>
      <c r="I233" s="7"/>
      <c r="J233" s="47"/>
      <c r="K233" s="47"/>
      <c r="L233" s="47"/>
      <c r="M233" s="47"/>
      <c r="N233" s="10"/>
      <c r="O233" s="47"/>
      <c r="P233" s="47"/>
      <c r="Q233" s="47"/>
      <c r="R233" s="48" t="str">
        <f aca="false">IF(Q233="","",IF(Q233=0,"below 5:00",IF(Q233&gt;=66,"16:00 or above",INT((60+2*Q233)/12)&amp;":"&amp;TEXT(MOD(60+2*Q233,12),"00"))))</f>
        <v/>
      </c>
      <c r="S233" s="47"/>
      <c r="T233" s="47"/>
      <c r="U233" s="47"/>
      <c r="V233" s="47"/>
      <c r="W233" s="47"/>
      <c r="X233" s="47"/>
      <c r="Y233" s="47"/>
      <c r="Z233" s="47"/>
      <c r="AA233" s="47"/>
      <c r="AB233" s="47"/>
      <c r="AC233" s="47"/>
      <c r="AD233" s="47"/>
      <c r="AE233" s="47"/>
      <c r="AF233" s="47"/>
      <c r="AG233" s="47"/>
      <c r="AH233" s="47"/>
      <c r="AI233" s="46"/>
      <c r="AJ233" s="46"/>
      <c r="AK233" s="46"/>
      <c r="AL233" s="7"/>
      <c r="AM233" s="49" t="str">
        <f aca="false">IF(OR(C233="",G233=""),"",IFERROR(DATEDIF(C233,G233,"m"),""))</f>
        <v/>
      </c>
      <c r="AN233" s="49" t="str">
        <f aca="false">IF(OR(Q233="",AM233=""),"",60+2*Q233-AM233)</f>
        <v/>
      </c>
      <c r="AO233" s="49" t="str">
        <f aca="false">IF(OR(G233="",AJ233=""),"",AJ233-G233)</f>
        <v/>
      </c>
      <c r="AP233" s="50" t="str">
        <f aca="false">IF(AND(A233="",B233=""),"",IF(J233="","Status needed",IF(OR(J233="Applied",J233="Visit booked",J233="Withdrawn"),"OK",IF(G233="","Date assessed needed",IF(C233="","Date of birth needed",IF(COUNTA(L233,M233,P233,U233,V233,X233,AB233)&lt;7,"Band missing",IF(AND(OR(J233="Decision confirmed",J233="Family told",J233="Enrolled"),AG233=""),"Recommendation needed",IF(AND(OR(J233="Family told",J233="Enrolled"),AJ233=""),"Date family told needed","OK"))))))))</f>
        <v/>
      </c>
    </row>
    <row r="234" customFormat="false" ht="15" hidden="false" customHeight="false" outlineLevel="0" collapsed="false">
      <c r="A234" s="7"/>
      <c r="B234" s="7"/>
      <c r="C234" s="46"/>
      <c r="D234" s="7"/>
      <c r="E234" s="47"/>
      <c r="F234" s="46"/>
      <c r="G234" s="46"/>
      <c r="H234" s="7"/>
      <c r="I234" s="7"/>
      <c r="J234" s="47"/>
      <c r="K234" s="47"/>
      <c r="L234" s="47"/>
      <c r="M234" s="47"/>
      <c r="N234" s="10"/>
      <c r="O234" s="47"/>
      <c r="P234" s="47"/>
      <c r="Q234" s="47"/>
      <c r="R234" s="48" t="str">
        <f aca="false">IF(Q234="","",IF(Q234=0,"below 5:00",IF(Q234&gt;=66,"16:00 or above",INT((60+2*Q234)/12)&amp;":"&amp;TEXT(MOD(60+2*Q234,12),"00"))))</f>
        <v/>
      </c>
      <c r="S234" s="47"/>
      <c r="T234" s="47"/>
      <c r="U234" s="47"/>
      <c r="V234" s="47"/>
      <c r="W234" s="47"/>
      <c r="X234" s="47"/>
      <c r="Y234" s="47"/>
      <c r="Z234" s="47"/>
      <c r="AA234" s="47"/>
      <c r="AB234" s="47"/>
      <c r="AC234" s="47"/>
      <c r="AD234" s="47"/>
      <c r="AE234" s="47"/>
      <c r="AF234" s="47"/>
      <c r="AG234" s="47"/>
      <c r="AH234" s="47"/>
      <c r="AI234" s="46"/>
      <c r="AJ234" s="46"/>
      <c r="AK234" s="46"/>
      <c r="AL234" s="7"/>
      <c r="AM234" s="49" t="str">
        <f aca="false">IF(OR(C234="",G234=""),"",IFERROR(DATEDIF(C234,G234,"m"),""))</f>
        <v/>
      </c>
      <c r="AN234" s="49" t="str">
        <f aca="false">IF(OR(Q234="",AM234=""),"",60+2*Q234-AM234)</f>
        <v/>
      </c>
      <c r="AO234" s="49" t="str">
        <f aca="false">IF(OR(G234="",AJ234=""),"",AJ234-G234)</f>
        <v/>
      </c>
      <c r="AP234" s="50" t="str">
        <f aca="false">IF(AND(A234="",B234=""),"",IF(J234="","Status needed",IF(OR(J234="Applied",J234="Visit booked",J234="Withdrawn"),"OK",IF(G234="","Date assessed needed",IF(C234="","Date of birth needed",IF(COUNTA(L234,M234,P234,U234,V234,X234,AB234)&lt;7,"Band missing",IF(AND(OR(J234="Decision confirmed",J234="Family told",J234="Enrolled"),AG234=""),"Recommendation needed",IF(AND(OR(J234="Family told",J234="Enrolled"),AJ234=""),"Date family told needed","OK"))))))))</f>
        <v/>
      </c>
    </row>
    <row r="235" customFormat="false" ht="15" hidden="false" customHeight="false" outlineLevel="0" collapsed="false">
      <c r="A235" s="7"/>
      <c r="B235" s="7"/>
      <c r="C235" s="46"/>
      <c r="D235" s="7"/>
      <c r="E235" s="47"/>
      <c r="F235" s="46"/>
      <c r="G235" s="46"/>
      <c r="H235" s="7"/>
      <c r="I235" s="7"/>
      <c r="J235" s="47"/>
      <c r="K235" s="47"/>
      <c r="L235" s="47"/>
      <c r="M235" s="47"/>
      <c r="N235" s="10"/>
      <c r="O235" s="47"/>
      <c r="P235" s="47"/>
      <c r="Q235" s="47"/>
      <c r="R235" s="48" t="str">
        <f aca="false">IF(Q235="","",IF(Q235=0,"below 5:00",IF(Q235&gt;=66,"16:00 or above",INT((60+2*Q235)/12)&amp;":"&amp;TEXT(MOD(60+2*Q235,12),"00"))))</f>
        <v/>
      </c>
      <c r="S235" s="47"/>
      <c r="T235" s="47"/>
      <c r="U235" s="47"/>
      <c r="V235" s="47"/>
      <c r="W235" s="47"/>
      <c r="X235" s="47"/>
      <c r="Y235" s="47"/>
      <c r="Z235" s="47"/>
      <c r="AA235" s="47"/>
      <c r="AB235" s="47"/>
      <c r="AC235" s="47"/>
      <c r="AD235" s="47"/>
      <c r="AE235" s="47"/>
      <c r="AF235" s="47"/>
      <c r="AG235" s="47"/>
      <c r="AH235" s="47"/>
      <c r="AI235" s="46"/>
      <c r="AJ235" s="46"/>
      <c r="AK235" s="46"/>
      <c r="AL235" s="7"/>
      <c r="AM235" s="49" t="str">
        <f aca="false">IF(OR(C235="",G235=""),"",IFERROR(DATEDIF(C235,G235,"m"),""))</f>
        <v/>
      </c>
      <c r="AN235" s="49" t="str">
        <f aca="false">IF(OR(Q235="",AM235=""),"",60+2*Q235-AM235)</f>
        <v/>
      </c>
      <c r="AO235" s="49" t="str">
        <f aca="false">IF(OR(G235="",AJ235=""),"",AJ235-G235)</f>
        <v/>
      </c>
      <c r="AP235" s="50" t="str">
        <f aca="false">IF(AND(A235="",B235=""),"",IF(J235="","Status needed",IF(OR(J235="Applied",J235="Visit booked",J235="Withdrawn"),"OK",IF(G235="","Date assessed needed",IF(C235="","Date of birth needed",IF(COUNTA(L235,M235,P235,U235,V235,X235,AB235)&lt;7,"Band missing",IF(AND(OR(J235="Decision confirmed",J235="Family told",J235="Enrolled"),AG235=""),"Recommendation needed",IF(AND(OR(J235="Family told",J235="Enrolled"),AJ235=""),"Date family told needed","OK"))))))))</f>
        <v/>
      </c>
    </row>
    <row r="236" customFormat="false" ht="15" hidden="false" customHeight="false" outlineLevel="0" collapsed="false">
      <c r="A236" s="7"/>
      <c r="B236" s="7"/>
      <c r="C236" s="46"/>
      <c r="D236" s="7"/>
      <c r="E236" s="47"/>
      <c r="F236" s="46"/>
      <c r="G236" s="46"/>
      <c r="H236" s="7"/>
      <c r="I236" s="7"/>
      <c r="J236" s="47"/>
      <c r="K236" s="47"/>
      <c r="L236" s="47"/>
      <c r="M236" s="47"/>
      <c r="N236" s="10"/>
      <c r="O236" s="47"/>
      <c r="P236" s="47"/>
      <c r="Q236" s="47"/>
      <c r="R236" s="48" t="str">
        <f aca="false">IF(Q236="","",IF(Q236=0,"below 5:00",IF(Q236&gt;=66,"16:00 or above",INT((60+2*Q236)/12)&amp;":"&amp;TEXT(MOD(60+2*Q236,12),"00"))))</f>
        <v/>
      </c>
      <c r="S236" s="47"/>
      <c r="T236" s="47"/>
      <c r="U236" s="47"/>
      <c r="V236" s="47"/>
      <c r="W236" s="47"/>
      <c r="X236" s="47"/>
      <c r="Y236" s="47"/>
      <c r="Z236" s="47"/>
      <c r="AA236" s="47"/>
      <c r="AB236" s="47"/>
      <c r="AC236" s="47"/>
      <c r="AD236" s="47"/>
      <c r="AE236" s="47"/>
      <c r="AF236" s="47"/>
      <c r="AG236" s="47"/>
      <c r="AH236" s="47"/>
      <c r="AI236" s="46"/>
      <c r="AJ236" s="46"/>
      <c r="AK236" s="46"/>
      <c r="AL236" s="7"/>
      <c r="AM236" s="49" t="str">
        <f aca="false">IF(OR(C236="",G236=""),"",IFERROR(DATEDIF(C236,G236,"m"),""))</f>
        <v/>
      </c>
      <c r="AN236" s="49" t="str">
        <f aca="false">IF(OR(Q236="",AM236=""),"",60+2*Q236-AM236)</f>
        <v/>
      </c>
      <c r="AO236" s="49" t="str">
        <f aca="false">IF(OR(G236="",AJ236=""),"",AJ236-G236)</f>
        <v/>
      </c>
      <c r="AP236" s="50" t="str">
        <f aca="false">IF(AND(A236="",B236=""),"",IF(J236="","Status needed",IF(OR(J236="Applied",J236="Visit booked",J236="Withdrawn"),"OK",IF(G236="","Date assessed needed",IF(C236="","Date of birth needed",IF(COUNTA(L236,M236,P236,U236,V236,X236,AB236)&lt;7,"Band missing",IF(AND(OR(J236="Decision confirmed",J236="Family told",J236="Enrolled"),AG236=""),"Recommendation needed",IF(AND(OR(J236="Family told",J236="Enrolled"),AJ236=""),"Date family told needed","OK"))))))))</f>
        <v/>
      </c>
    </row>
    <row r="237" customFormat="false" ht="15" hidden="false" customHeight="false" outlineLevel="0" collapsed="false">
      <c r="A237" s="7"/>
      <c r="B237" s="7"/>
      <c r="C237" s="46"/>
      <c r="D237" s="7"/>
      <c r="E237" s="47"/>
      <c r="F237" s="46"/>
      <c r="G237" s="46"/>
      <c r="H237" s="7"/>
      <c r="I237" s="7"/>
      <c r="J237" s="47"/>
      <c r="K237" s="47"/>
      <c r="L237" s="47"/>
      <c r="M237" s="47"/>
      <c r="N237" s="10"/>
      <c r="O237" s="47"/>
      <c r="P237" s="47"/>
      <c r="Q237" s="47"/>
      <c r="R237" s="48" t="str">
        <f aca="false">IF(Q237="","",IF(Q237=0,"below 5:00",IF(Q237&gt;=66,"16:00 or above",INT((60+2*Q237)/12)&amp;":"&amp;TEXT(MOD(60+2*Q237,12),"00"))))</f>
        <v/>
      </c>
      <c r="S237" s="47"/>
      <c r="T237" s="47"/>
      <c r="U237" s="47"/>
      <c r="V237" s="47"/>
      <c r="W237" s="47"/>
      <c r="X237" s="47"/>
      <c r="Y237" s="47"/>
      <c r="Z237" s="47"/>
      <c r="AA237" s="47"/>
      <c r="AB237" s="47"/>
      <c r="AC237" s="47"/>
      <c r="AD237" s="47"/>
      <c r="AE237" s="47"/>
      <c r="AF237" s="47"/>
      <c r="AG237" s="47"/>
      <c r="AH237" s="47"/>
      <c r="AI237" s="46"/>
      <c r="AJ237" s="46"/>
      <c r="AK237" s="46"/>
      <c r="AL237" s="7"/>
      <c r="AM237" s="49" t="str">
        <f aca="false">IF(OR(C237="",G237=""),"",IFERROR(DATEDIF(C237,G237,"m"),""))</f>
        <v/>
      </c>
      <c r="AN237" s="49" t="str">
        <f aca="false">IF(OR(Q237="",AM237=""),"",60+2*Q237-AM237)</f>
        <v/>
      </c>
      <c r="AO237" s="49" t="str">
        <f aca="false">IF(OR(G237="",AJ237=""),"",AJ237-G237)</f>
        <v/>
      </c>
      <c r="AP237" s="50" t="str">
        <f aca="false">IF(AND(A237="",B237=""),"",IF(J237="","Status needed",IF(OR(J237="Applied",J237="Visit booked",J237="Withdrawn"),"OK",IF(G237="","Date assessed needed",IF(C237="","Date of birth needed",IF(COUNTA(L237,M237,P237,U237,V237,X237,AB237)&lt;7,"Band missing",IF(AND(OR(J237="Decision confirmed",J237="Family told",J237="Enrolled"),AG237=""),"Recommendation needed",IF(AND(OR(J237="Family told",J237="Enrolled"),AJ237=""),"Date family told needed","OK"))))))))</f>
        <v/>
      </c>
    </row>
    <row r="238" customFormat="false" ht="15" hidden="false" customHeight="false" outlineLevel="0" collapsed="false">
      <c r="A238" s="7"/>
      <c r="B238" s="7"/>
      <c r="C238" s="46"/>
      <c r="D238" s="7"/>
      <c r="E238" s="47"/>
      <c r="F238" s="46"/>
      <c r="G238" s="46"/>
      <c r="H238" s="7"/>
      <c r="I238" s="7"/>
      <c r="J238" s="47"/>
      <c r="K238" s="47"/>
      <c r="L238" s="47"/>
      <c r="M238" s="47"/>
      <c r="N238" s="10"/>
      <c r="O238" s="47"/>
      <c r="P238" s="47"/>
      <c r="Q238" s="47"/>
      <c r="R238" s="48" t="str">
        <f aca="false">IF(Q238="","",IF(Q238=0,"below 5:00",IF(Q238&gt;=66,"16:00 or above",INT((60+2*Q238)/12)&amp;":"&amp;TEXT(MOD(60+2*Q238,12),"00"))))</f>
        <v/>
      </c>
      <c r="S238" s="47"/>
      <c r="T238" s="47"/>
      <c r="U238" s="47"/>
      <c r="V238" s="47"/>
      <c r="W238" s="47"/>
      <c r="X238" s="47"/>
      <c r="Y238" s="47"/>
      <c r="Z238" s="47"/>
      <c r="AA238" s="47"/>
      <c r="AB238" s="47"/>
      <c r="AC238" s="47"/>
      <c r="AD238" s="47"/>
      <c r="AE238" s="47"/>
      <c r="AF238" s="47"/>
      <c r="AG238" s="47"/>
      <c r="AH238" s="47"/>
      <c r="AI238" s="46"/>
      <c r="AJ238" s="46"/>
      <c r="AK238" s="46"/>
      <c r="AL238" s="7"/>
      <c r="AM238" s="49" t="str">
        <f aca="false">IF(OR(C238="",G238=""),"",IFERROR(DATEDIF(C238,G238,"m"),""))</f>
        <v/>
      </c>
      <c r="AN238" s="49" t="str">
        <f aca="false">IF(OR(Q238="",AM238=""),"",60+2*Q238-AM238)</f>
        <v/>
      </c>
      <c r="AO238" s="49" t="str">
        <f aca="false">IF(OR(G238="",AJ238=""),"",AJ238-G238)</f>
        <v/>
      </c>
      <c r="AP238" s="50" t="str">
        <f aca="false">IF(AND(A238="",B238=""),"",IF(J238="","Status needed",IF(OR(J238="Applied",J238="Visit booked",J238="Withdrawn"),"OK",IF(G238="","Date assessed needed",IF(C238="","Date of birth needed",IF(COUNTA(L238,M238,P238,U238,V238,X238,AB238)&lt;7,"Band missing",IF(AND(OR(J238="Decision confirmed",J238="Family told",J238="Enrolled"),AG238=""),"Recommendation needed",IF(AND(OR(J238="Family told",J238="Enrolled"),AJ238=""),"Date family told needed","OK"))))))))</f>
        <v/>
      </c>
    </row>
    <row r="239" customFormat="false" ht="15" hidden="false" customHeight="false" outlineLevel="0" collapsed="false">
      <c r="A239" s="7"/>
      <c r="B239" s="7"/>
      <c r="C239" s="46"/>
      <c r="D239" s="7"/>
      <c r="E239" s="47"/>
      <c r="F239" s="46"/>
      <c r="G239" s="46"/>
      <c r="H239" s="7"/>
      <c r="I239" s="7"/>
      <c r="J239" s="47"/>
      <c r="K239" s="47"/>
      <c r="L239" s="47"/>
      <c r="M239" s="47"/>
      <c r="N239" s="10"/>
      <c r="O239" s="47"/>
      <c r="P239" s="47"/>
      <c r="Q239" s="47"/>
      <c r="R239" s="48" t="str">
        <f aca="false">IF(Q239="","",IF(Q239=0,"below 5:00",IF(Q239&gt;=66,"16:00 or above",INT((60+2*Q239)/12)&amp;":"&amp;TEXT(MOD(60+2*Q239,12),"00"))))</f>
        <v/>
      </c>
      <c r="S239" s="47"/>
      <c r="T239" s="47"/>
      <c r="U239" s="47"/>
      <c r="V239" s="47"/>
      <c r="W239" s="47"/>
      <c r="X239" s="47"/>
      <c r="Y239" s="47"/>
      <c r="Z239" s="47"/>
      <c r="AA239" s="47"/>
      <c r="AB239" s="47"/>
      <c r="AC239" s="47"/>
      <c r="AD239" s="47"/>
      <c r="AE239" s="47"/>
      <c r="AF239" s="47"/>
      <c r="AG239" s="47"/>
      <c r="AH239" s="47"/>
      <c r="AI239" s="46"/>
      <c r="AJ239" s="46"/>
      <c r="AK239" s="46"/>
      <c r="AL239" s="7"/>
      <c r="AM239" s="49" t="str">
        <f aca="false">IF(OR(C239="",G239=""),"",IFERROR(DATEDIF(C239,G239,"m"),""))</f>
        <v/>
      </c>
      <c r="AN239" s="49" t="str">
        <f aca="false">IF(OR(Q239="",AM239=""),"",60+2*Q239-AM239)</f>
        <v/>
      </c>
      <c r="AO239" s="49" t="str">
        <f aca="false">IF(OR(G239="",AJ239=""),"",AJ239-G239)</f>
        <v/>
      </c>
      <c r="AP239" s="50" t="str">
        <f aca="false">IF(AND(A239="",B239=""),"",IF(J239="","Status needed",IF(OR(J239="Applied",J239="Visit booked",J239="Withdrawn"),"OK",IF(G239="","Date assessed needed",IF(C239="","Date of birth needed",IF(COUNTA(L239,M239,P239,U239,V239,X239,AB239)&lt;7,"Band missing",IF(AND(OR(J239="Decision confirmed",J239="Family told",J239="Enrolled"),AG239=""),"Recommendation needed",IF(AND(OR(J239="Family told",J239="Enrolled"),AJ239=""),"Date family told needed","OK"))))))))</f>
        <v/>
      </c>
    </row>
    <row r="240" customFormat="false" ht="15" hidden="false" customHeight="false" outlineLevel="0" collapsed="false">
      <c r="A240" s="7"/>
      <c r="B240" s="7"/>
      <c r="C240" s="46"/>
      <c r="D240" s="7"/>
      <c r="E240" s="47"/>
      <c r="F240" s="46"/>
      <c r="G240" s="46"/>
      <c r="H240" s="7"/>
      <c r="I240" s="7"/>
      <c r="J240" s="47"/>
      <c r="K240" s="47"/>
      <c r="L240" s="47"/>
      <c r="M240" s="47"/>
      <c r="N240" s="10"/>
      <c r="O240" s="47"/>
      <c r="P240" s="47"/>
      <c r="Q240" s="47"/>
      <c r="R240" s="48" t="str">
        <f aca="false">IF(Q240="","",IF(Q240=0,"below 5:00",IF(Q240&gt;=66,"16:00 or above",INT((60+2*Q240)/12)&amp;":"&amp;TEXT(MOD(60+2*Q240,12),"00"))))</f>
        <v/>
      </c>
      <c r="S240" s="47"/>
      <c r="T240" s="47"/>
      <c r="U240" s="47"/>
      <c r="V240" s="47"/>
      <c r="W240" s="47"/>
      <c r="X240" s="47"/>
      <c r="Y240" s="47"/>
      <c r="Z240" s="47"/>
      <c r="AA240" s="47"/>
      <c r="AB240" s="47"/>
      <c r="AC240" s="47"/>
      <c r="AD240" s="47"/>
      <c r="AE240" s="47"/>
      <c r="AF240" s="47"/>
      <c r="AG240" s="47"/>
      <c r="AH240" s="47"/>
      <c r="AI240" s="46"/>
      <c r="AJ240" s="46"/>
      <c r="AK240" s="46"/>
      <c r="AL240" s="7"/>
      <c r="AM240" s="49" t="str">
        <f aca="false">IF(OR(C240="",G240=""),"",IFERROR(DATEDIF(C240,G240,"m"),""))</f>
        <v/>
      </c>
      <c r="AN240" s="49" t="str">
        <f aca="false">IF(OR(Q240="",AM240=""),"",60+2*Q240-AM240)</f>
        <v/>
      </c>
      <c r="AO240" s="49" t="str">
        <f aca="false">IF(OR(G240="",AJ240=""),"",AJ240-G240)</f>
        <v/>
      </c>
      <c r="AP240" s="50" t="str">
        <f aca="false">IF(AND(A240="",B240=""),"",IF(J240="","Status needed",IF(OR(J240="Applied",J240="Visit booked",J240="Withdrawn"),"OK",IF(G240="","Date assessed needed",IF(C240="","Date of birth needed",IF(COUNTA(L240,M240,P240,U240,V240,X240,AB240)&lt;7,"Band missing",IF(AND(OR(J240="Decision confirmed",J240="Family told",J240="Enrolled"),AG240=""),"Recommendation needed",IF(AND(OR(J240="Family told",J240="Enrolled"),AJ240=""),"Date family told needed","OK"))))))))</f>
        <v/>
      </c>
    </row>
    <row r="241" customFormat="false" ht="15" hidden="false" customHeight="false" outlineLevel="0" collapsed="false">
      <c r="A241" s="7"/>
      <c r="B241" s="7"/>
      <c r="C241" s="46"/>
      <c r="D241" s="7"/>
      <c r="E241" s="47"/>
      <c r="F241" s="46"/>
      <c r="G241" s="46"/>
      <c r="H241" s="7"/>
      <c r="I241" s="7"/>
      <c r="J241" s="47"/>
      <c r="K241" s="47"/>
      <c r="L241" s="47"/>
      <c r="M241" s="47"/>
      <c r="N241" s="10"/>
      <c r="O241" s="47"/>
      <c r="P241" s="47"/>
      <c r="Q241" s="47"/>
      <c r="R241" s="48" t="str">
        <f aca="false">IF(Q241="","",IF(Q241=0,"below 5:00",IF(Q241&gt;=66,"16:00 or above",INT((60+2*Q241)/12)&amp;":"&amp;TEXT(MOD(60+2*Q241,12),"00"))))</f>
        <v/>
      </c>
      <c r="S241" s="47"/>
      <c r="T241" s="47"/>
      <c r="U241" s="47"/>
      <c r="V241" s="47"/>
      <c r="W241" s="47"/>
      <c r="X241" s="47"/>
      <c r="Y241" s="47"/>
      <c r="Z241" s="47"/>
      <c r="AA241" s="47"/>
      <c r="AB241" s="47"/>
      <c r="AC241" s="47"/>
      <c r="AD241" s="47"/>
      <c r="AE241" s="47"/>
      <c r="AF241" s="47"/>
      <c r="AG241" s="47"/>
      <c r="AH241" s="47"/>
      <c r="AI241" s="46"/>
      <c r="AJ241" s="46"/>
      <c r="AK241" s="46"/>
      <c r="AL241" s="7"/>
      <c r="AM241" s="49" t="str">
        <f aca="false">IF(OR(C241="",G241=""),"",IFERROR(DATEDIF(C241,G241,"m"),""))</f>
        <v/>
      </c>
      <c r="AN241" s="49" t="str">
        <f aca="false">IF(OR(Q241="",AM241=""),"",60+2*Q241-AM241)</f>
        <v/>
      </c>
      <c r="AO241" s="49" t="str">
        <f aca="false">IF(OR(G241="",AJ241=""),"",AJ241-G241)</f>
        <v/>
      </c>
      <c r="AP241" s="50" t="str">
        <f aca="false">IF(AND(A241="",B241=""),"",IF(J241="","Status needed",IF(OR(J241="Applied",J241="Visit booked",J241="Withdrawn"),"OK",IF(G241="","Date assessed needed",IF(C241="","Date of birth needed",IF(COUNTA(L241,M241,P241,U241,V241,X241,AB241)&lt;7,"Band missing",IF(AND(OR(J241="Decision confirmed",J241="Family told",J241="Enrolled"),AG241=""),"Recommendation needed",IF(AND(OR(J241="Family told",J241="Enrolled"),AJ241=""),"Date family told needed","OK"))))))))</f>
        <v/>
      </c>
    </row>
    <row r="242" customFormat="false" ht="15" hidden="false" customHeight="false" outlineLevel="0" collapsed="false">
      <c r="A242" s="7"/>
      <c r="B242" s="7"/>
      <c r="C242" s="46"/>
      <c r="D242" s="7"/>
      <c r="E242" s="47"/>
      <c r="F242" s="46"/>
      <c r="G242" s="46"/>
      <c r="H242" s="7"/>
      <c r="I242" s="7"/>
      <c r="J242" s="47"/>
      <c r="K242" s="47"/>
      <c r="L242" s="47"/>
      <c r="M242" s="47"/>
      <c r="N242" s="10"/>
      <c r="O242" s="47"/>
      <c r="P242" s="47"/>
      <c r="Q242" s="47"/>
      <c r="R242" s="48" t="str">
        <f aca="false">IF(Q242="","",IF(Q242=0,"below 5:00",IF(Q242&gt;=66,"16:00 or above",INT((60+2*Q242)/12)&amp;":"&amp;TEXT(MOD(60+2*Q242,12),"00"))))</f>
        <v/>
      </c>
      <c r="S242" s="47"/>
      <c r="T242" s="47"/>
      <c r="U242" s="47"/>
      <c r="V242" s="47"/>
      <c r="W242" s="47"/>
      <c r="X242" s="47"/>
      <c r="Y242" s="47"/>
      <c r="Z242" s="47"/>
      <c r="AA242" s="47"/>
      <c r="AB242" s="47"/>
      <c r="AC242" s="47"/>
      <c r="AD242" s="47"/>
      <c r="AE242" s="47"/>
      <c r="AF242" s="47"/>
      <c r="AG242" s="47"/>
      <c r="AH242" s="47"/>
      <c r="AI242" s="46"/>
      <c r="AJ242" s="46"/>
      <c r="AK242" s="46"/>
      <c r="AL242" s="7"/>
      <c r="AM242" s="49" t="str">
        <f aca="false">IF(OR(C242="",G242=""),"",IFERROR(DATEDIF(C242,G242,"m"),""))</f>
        <v/>
      </c>
      <c r="AN242" s="49" t="str">
        <f aca="false">IF(OR(Q242="",AM242=""),"",60+2*Q242-AM242)</f>
        <v/>
      </c>
      <c r="AO242" s="49" t="str">
        <f aca="false">IF(OR(G242="",AJ242=""),"",AJ242-G242)</f>
        <v/>
      </c>
      <c r="AP242" s="50" t="str">
        <f aca="false">IF(AND(A242="",B242=""),"",IF(J242="","Status needed",IF(OR(J242="Applied",J242="Visit booked",J242="Withdrawn"),"OK",IF(G242="","Date assessed needed",IF(C242="","Date of birth needed",IF(COUNTA(L242,M242,P242,U242,V242,X242,AB242)&lt;7,"Band missing",IF(AND(OR(J242="Decision confirmed",J242="Family told",J242="Enrolled"),AG242=""),"Recommendation needed",IF(AND(OR(J242="Family told",J242="Enrolled"),AJ242=""),"Date family told needed","OK"))))))))</f>
        <v/>
      </c>
    </row>
    <row r="243" customFormat="false" ht="15" hidden="false" customHeight="false" outlineLevel="0" collapsed="false">
      <c r="A243" s="7"/>
      <c r="B243" s="7"/>
      <c r="C243" s="46"/>
      <c r="D243" s="7"/>
      <c r="E243" s="47"/>
      <c r="F243" s="46"/>
      <c r="G243" s="46"/>
      <c r="H243" s="7"/>
      <c r="I243" s="7"/>
      <c r="J243" s="47"/>
      <c r="K243" s="47"/>
      <c r="L243" s="47"/>
      <c r="M243" s="47"/>
      <c r="N243" s="10"/>
      <c r="O243" s="47"/>
      <c r="P243" s="47"/>
      <c r="Q243" s="47"/>
      <c r="R243" s="48" t="str">
        <f aca="false">IF(Q243="","",IF(Q243=0,"below 5:00",IF(Q243&gt;=66,"16:00 or above",INT((60+2*Q243)/12)&amp;":"&amp;TEXT(MOD(60+2*Q243,12),"00"))))</f>
        <v/>
      </c>
      <c r="S243" s="47"/>
      <c r="T243" s="47"/>
      <c r="U243" s="47"/>
      <c r="V243" s="47"/>
      <c r="W243" s="47"/>
      <c r="X243" s="47"/>
      <c r="Y243" s="47"/>
      <c r="Z243" s="47"/>
      <c r="AA243" s="47"/>
      <c r="AB243" s="47"/>
      <c r="AC243" s="47"/>
      <c r="AD243" s="47"/>
      <c r="AE243" s="47"/>
      <c r="AF243" s="47"/>
      <c r="AG243" s="47"/>
      <c r="AH243" s="47"/>
      <c r="AI243" s="46"/>
      <c r="AJ243" s="46"/>
      <c r="AK243" s="46"/>
      <c r="AL243" s="7"/>
      <c r="AM243" s="49" t="str">
        <f aca="false">IF(OR(C243="",G243=""),"",IFERROR(DATEDIF(C243,G243,"m"),""))</f>
        <v/>
      </c>
      <c r="AN243" s="49" t="str">
        <f aca="false">IF(OR(Q243="",AM243=""),"",60+2*Q243-AM243)</f>
        <v/>
      </c>
      <c r="AO243" s="49" t="str">
        <f aca="false">IF(OR(G243="",AJ243=""),"",AJ243-G243)</f>
        <v/>
      </c>
      <c r="AP243" s="50" t="str">
        <f aca="false">IF(AND(A243="",B243=""),"",IF(J243="","Status needed",IF(OR(J243="Applied",J243="Visit booked",J243="Withdrawn"),"OK",IF(G243="","Date assessed needed",IF(C243="","Date of birth needed",IF(COUNTA(L243,M243,P243,U243,V243,X243,AB243)&lt;7,"Band missing",IF(AND(OR(J243="Decision confirmed",J243="Family told",J243="Enrolled"),AG243=""),"Recommendation needed",IF(AND(OR(J243="Family told",J243="Enrolled"),AJ243=""),"Date family told needed","OK"))))))))</f>
        <v/>
      </c>
    </row>
    <row r="244" customFormat="false" ht="15" hidden="false" customHeight="false" outlineLevel="0" collapsed="false">
      <c r="A244" s="7"/>
      <c r="B244" s="7"/>
      <c r="C244" s="46"/>
      <c r="D244" s="7"/>
      <c r="E244" s="47"/>
      <c r="F244" s="46"/>
      <c r="G244" s="46"/>
      <c r="H244" s="7"/>
      <c r="I244" s="7"/>
      <c r="J244" s="47"/>
      <c r="K244" s="47"/>
      <c r="L244" s="47"/>
      <c r="M244" s="47"/>
      <c r="N244" s="10"/>
      <c r="O244" s="47"/>
      <c r="P244" s="47"/>
      <c r="Q244" s="47"/>
      <c r="R244" s="48" t="str">
        <f aca="false">IF(Q244="","",IF(Q244=0,"below 5:00",IF(Q244&gt;=66,"16:00 or above",INT((60+2*Q244)/12)&amp;":"&amp;TEXT(MOD(60+2*Q244,12),"00"))))</f>
        <v/>
      </c>
      <c r="S244" s="47"/>
      <c r="T244" s="47"/>
      <c r="U244" s="47"/>
      <c r="V244" s="47"/>
      <c r="W244" s="47"/>
      <c r="X244" s="47"/>
      <c r="Y244" s="47"/>
      <c r="Z244" s="47"/>
      <c r="AA244" s="47"/>
      <c r="AB244" s="47"/>
      <c r="AC244" s="47"/>
      <c r="AD244" s="47"/>
      <c r="AE244" s="47"/>
      <c r="AF244" s="47"/>
      <c r="AG244" s="47"/>
      <c r="AH244" s="47"/>
      <c r="AI244" s="46"/>
      <c r="AJ244" s="46"/>
      <c r="AK244" s="46"/>
      <c r="AL244" s="7"/>
      <c r="AM244" s="49" t="str">
        <f aca="false">IF(OR(C244="",G244=""),"",IFERROR(DATEDIF(C244,G244,"m"),""))</f>
        <v/>
      </c>
      <c r="AN244" s="49" t="str">
        <f aca="false">IF(OR(Q244="",AM244=""),"",60+2*Q244-AM244)</f>
        <v/>
      </c>
      <c r="AO244" s="49" t="str">
        <f aca="false">IF(OR(G244="",AJ244=""),"",AJ244-G244)</f>
        <v/>
      </c>
      <c r="AP244" s="50" t="str">
        <f aca="false">IF(AND(A244="",B244=""),"",IF(J244="","Status needed",IF(OR(J244="Applied",J244="Visit booked",J244="Withdrawn"),"OK",IF(G244="","Date assessed needed",IF(C244="","Date of birth needed",IF(COUNTA(L244,M244,P244,U244,V244,X244,AB244)&lt;7,"Band missing",IF(AND(OR(J244="Decision confirmed",J244="Family told",J244="Enrolled"),AG244=""),"Recommendation needed",IF(AND(OR(J244="Family told",J244="Enrolled"),AJ244=""),"Date family told needed","OK"))))))))</f>
        <v/>
      </c>
    </row>
    <row r="245" customFormat="false" ht="15" hidden="false" customHeight="false" outlineLevel="0" collapsed="false">
      <c r="A245" s="7"/>
      <c r="B245" s="7"/>
      <c r="C245" s="46"/>
      <c r="D245" s="7"/>
      <c r="E245" s="47"/>
      <c r="F245" s="46"/>
      <c r="G245" s="46"/>
      <c r="H245" s="7"/>
      <c r="I245" s="7"/>
      <c r="J245" s="47"/>
      <c r="K245" s="47"/>
      <c r="L245" s="47"/>
      <c r="M245" s="47"/>
      <c r="N245" s="10"/>
      <c r="O245" s="47"/>
      <c r="P245" s="47"/>
      <c r="Q245" s="47"/>
      <c r="R245" s="48" t="str">
        <f aca="false">IF(Q245="","",IF(Q245=0,"below 5:00",IF(Q245&gt;=66,"16:00 or above",INT((60+2*Q245)/12)&amp;":"&amp;TEXT(MOD(60+2*Q245,12),"00"))))</f>
        <v/>
      </c>
      <c r="S245" s="47"/>
      <c r="T245" s="47"/>
      <c r="U245" s="47"/>
      <c r="V245" s="47"/>
      <c r="W245" s="47"/>
      <c r="X245" s="47"/>
      <c r="Y245" s="47"/>
      <c r="Z245" s="47"/>
      <c r="AA245" s="47"/>
      <c r="AB245" s="47"/>
      <c r="AC245" s="47"/>
      <c r="AD245" s="47"/>
      <c r="AE245" s="47"/>
      <c r="AF245" s="47"/>
      <c r="AG245" s="47"/>
      <c r="AH245" s="47"/>
      <c r="AI245" s="46"/>
      <c r="AJ245" s="46"/>
      <c r="AK245" s="46"/>
      <c r="AL245" s="7"/>
      <c r="AM245" s="49" t="str">
        <f aca="false">IF(OR(C245="",G245=""),"",IFERROR(DATEDIF(C245,G245,"m"),""))</f>
        <v/>
      </c>
      <c r="AN245" s="49" t="str">
        <f aca="false">IF(OR(Q245="",AM245=""),"",60+2*Q245-AM245)</f>
        <v/>
      </c>
      <c r="AO245" s="49" t="str">
        <f aca="false">IF(OR(G245="",AJ245=""),"",AJ245-G245)</f>
        <v/>
      </c>
      <c r="AP245" s="50" t="str">
        <f aca="false">IF(AND(A245="",B245=""),"",IF(J245="","Status needed",IF(OR(J245="Applied",J245="Visit booked",J245="Withdrawn"),"OK",IF(G245="","Date assessed needed",IF(C245="","Date of birth needed",IF(COUNTA(L245,M245,P245,U245,V245,X245,AB245)&lt;7,"Band missing",IF(AND(OR(J245="Decision confirmed",J245="Family told",J245="Enrolled"),AG245=""),"Recommendation needed",IF(AND(OR(J245="Family told",J245="Enrolled"),AJ245=""),"Date family told needed","OK"))))))))</f>
        <v/>
      </c>
    </row>
    <row r="246" customFormat="false" ht="15" hidden="false" customHeight="false" outlineLevel="0" collapsed="false">
      <c r="A246" s="7"/>
      <c r="B246" s="7"/>
      <c r="C246" s="46"/>
      <c r="D246" s="7"/>
      <c r="E246" s="47"/>
      <c r="F246" s="46"/>
      <c r="G246" s="46"/>
      <c r="H246" s="7"/>
      <c r="I246" s="7"/>
      <c r="J246" s="47"/>
      <c r="K246" s="47"/>
      <c r="L246" s="47"/>
      <c r="M246" s="47"/>
      <c r="N246" s="10"/>
      <c r="O246" s="47"/>
      <c r="P246" s="47"/>
      <c r="Q246" s="47"/>
      <c r="R246" s="48" t="str">
        <f aca="false">IF(Q246="","",IF(Q246=0,"below 5:00",IF(Q246&gt;=66,"16:00 or above",INT((60+2*Q246)/12)&amp;":"&amp;TEXT(MOD(60+2*Q246,12),"00"))))</f>
        <v/>
      </c>
      <c r="S246" s="47"/>
      <c r="T246" s="47"/>
      <c r="U246" s="47"/>
      <c r="V246" s="47"/>
      <c r="W246" s="47"/>
      <c r="X246" s="47"/>
      <c r="Y246" s="47"/>
      <c r="Z246" s="47"/>
      <c r="AA246" s="47"/>
      <c r="AB246" s="47"/>
      <c r="AC246" s="47"/>
      <c r="AD246" s="47"/>
      <c r="AE246" s="47"/>
      <c r="AF246" s="47"/>
      <c r="AG246" s="47"/>
      <c r="AH246" s="47"/>
      <c r="AI246" s="46"/>
      <c r="AJ246" s="46"/>
      <c r="AK246" s="46"/>
      <c r="AL246" s="7"/>
      <c r="AM246" s="49" t="str">
        <f aca="false">IF(OR(C246="",G246=""),"",IFERROR(DATEDIF(C246,G246,"m"),""))</f>
        <v/>
      </c>
      <c r="AN246" s="49" t="str">
        <f aca="false">IF(OR(Q246="",AM246=""),"",60+2*Q246-AM246)</f>
        <v/>
      </c>
      <c r="AO246" s="49" t="str">
        <f aca="false">IF(OR(G246="",AJ246=""),"",AJ246-G246)</f>
        <v/>
      </c>
      <c r="AP246" s="50" t="str">
        <f aca="false">IF(AND(A246="",B246=""),"",IF(J246="","Status needed",IF(OR(J246="Applied",J246="Visit booked",J246="Withdrawn"),"OK",IF(G246="","Date assessed needed",IF(C246="","Date of birth needed",IF(COUNTA(L246,M246,P246,U246,V246,X246,AB246)&lt;7,"Band missing",IF(AND(OR(J246="Decision confirmed",J246="Family told",J246="Enrolled"),AG246=""),"Recommendation needed",IF(AND(OR(J246="Family told",J246="Enrolled"),AJ246=""),"Date family told needed","OK"))))))))</f>
        <v/>
      </c>
    </row>
    <row r="247" customFormat="false" ht="15" hidden="false" customHeight="false" outlineLevel="0" collapsed="false">
      <c r="A247" s="7"/>
      <c r="B247" s="7"/>
      <c r="C247" s="46"/>
      <c r="D247" s="7"/>
      <c r="E247" s="47"/>
      <c r="F247" s="46"/>
      <c r="G247" s="46"/>
      <c r="H247" s="7"/>
      <c r="I247" s="7"/>
      <c r="J247" s="47"/>
      <c r="K247" s="47"/>
      <c r="L247" s="47"/>
      <c r="M247" s="47"/>
      <c r="N247" s="10"/>
      <c r="O247" s="47"/>
      <c r="P247" s="47"/>
      <c r="Q247" s="47"/>
      <c r="R247" s="48" t="str">
        <f aca="false">IF(Q247="","",IF(Q247=0,"below 5:00",IF(Q247&gt;=66,"16:00 or above",INT((60+2*Q247)/12)&amp;":"&amp;TEXT(MOD(60+2*Q247,12),"00"))))</f>
        <v/>
      </c>
      <c r="S247" s="47"/>
      <c r="T247" s="47"/>
      <c r="U247" s="47"/>
      <c r="V247" s="47"/>
      <c r="W247" s="47"/>
      <c r="X247" s="47"/>
      <c r="Y247" s="47"/>
      <c r="Z247" s="47"/>
      <c r="AA247" s="47"/>
      <c r="AB247" s="47"/>
      <c r="AC247" s="47"/>
      <c r="AD247" s="47"/>
      <c r="AE247" s="47"/>
      <c r="AF247" s="47"/>
      <c r="AG247" s="47"/>
      <c r="AH247" s="47"/>
      <c r="AI247" s="46"/>
      <c r="AJ247" s="46"/>
      <c r="AK247" s="46"/>
      <c r="AL247" s="7"/>
      <c r="AM247" s="49" t="str">
        <f aca="false">IF(OR(C247="",G247=""),"",IFERROR(DATEDIF(C247,G247,"m"),""))</f>
        <v/>
      </c>
      <c r="AN247" s="49" t="str">
        <f aca="false">IF(OR(Q247="",AM247=""),"",60+2*Q247-AM247)</f>
        <v/>
      </c>
      <c r="AO247" s="49" t="str">
        <f aca="false">IF(OR(G247="",AJ247=""),"",AJ247-G247)</f>
        <v/>
      </c>
      <c r="AP247" s="50" t="str">
        <f aca="false">IF(AND(A247="",B247=""),"",IF(J247="","Status needed",IF(OR(J247="Applied",J247="Visit booked",J247="Withdrawn"),"OK",IF(G247="","Date assessed needed",IF(C247="","Date of birth needed",IF(COUNTA(L247,M247,P247,U247,V247,X247,AB247)&lt;7,"Band missing",IF(AND(OR(J247="Decision confirmed",J247="Family told",J247="Enrolled"),AG247=""),"Recommendation needed",IF(AND(OR(J247="Family told",J247="Enrolled"),AJ247=""),"Date family told needed","OK"))))))))</f>
        <v/>
      </c>
    </row>
    <row r="248" customFormat="false" ht="15" hidden="false" customHeight="false" outlineLevel="0" collapsed="false">
      <c r="A248" s="7"/>
      <c r="B248" s="7"/>
      <c r="C248" s="46"/>
      <c r="D248" s="7"/>
      <c r="E248" s="47"/>
      <c r="F248" s="46"/>
      <c r="G248" s="46"/>
      <c r="H248" s="7"/>
      <c r="I248" s="7"/>
      <c r="J248" s="47"/>
      <c r="K248" s="47"/>
      <c r="L248" s="47"/>
      <c r="M248" s="47"/>
      <c r="N248" s="10"/>
      <c r="O248" s="47"/>
      <c r="P248" s="47"/>
      <c r="Q248" s="47"/>
      <c r="R248" s="48" t="str">
        <f aca="false">IF(Q248="","",IF(Q248=0,"below 5:00",IF(Q248&gt;=66,"16:00 or above",INT((60+2*Q248)/12)&amp;":"&amp;TEXT(MOD(60+2*Q248,12),"00"))))</f>
        <v/>
      </c>
      <c r="S248" s="47"/>
      <c r="T248" s="47"/>
      <c r="U248" s="47"/>
      <c r="V248" s="47"/>
      <c r="W248" s="47"/>
      <c r="X248" s="47"/>
      <c r="Y248" s="47"/>
      <c r="Z248" s="47"/>
      <c r="AA248" s="47"/>
      <c r="AB248" s="47"/>
      <c r="AC248" s="47"/>
      <c r="AD248" s="47"/>
      <c r="AE248" s="47"/>
      <c r="AF248" s="47"/>
      <c r="AG248" s="47"/>
      <c r="AH248" s="47"/>
      <c r="AI248" s="46"/>
      <c r="AJ248" s="46"/>
      <c r="AK248" s="46"/>
      <c r="AL248" s="7"/>
      <c r="AM248" s="49" t="str">
        <f aca="false">IF(OR(C248="",G248=""),"",IFERROR(DATEDIF(C248,G248,"m"),""))</f>
        <v/>
      </c>
      <c r="AN248" s="49" t="str">
        <f aca="false">IF(OR(Q248="",AM248=""),"",60+2*Q248-AM248)</f>
        <v/>
      </c>
      <c r="AO248" s="49" t="str">
        <f aca="false">IF(OR(G248="",AJ248=""),"",AJ248-G248)</f>
        <v/>
      </c>
      <c r="AP248" s="50" t="str">
        <f aca="false">IF(AND(A248="",B248=""),"",IF(J248="","Status needed",IF(OR(J248="Applied",J248="Visit booked",J248="Withdrawn"),"OK",IF(G248="","Date assessed needed",IF(C248="","Date of birth needed",IF(COUNTA(L248,M248,P248,U248,V248,X248,AB248)&lt;7,"Band missing",IF(AND(OR(J248="Decision confirmed",J248="Family told",J248="Enrolled"),AG248=""),"Recommendation needed",IF(AND(OR(J248="Family told",J248="Enrolled"),AJ248=""),"Date family told needed","OK"))))))))</f>
        <v/>
      </c>
    </row>
    <row r="249" customFormat="false" ht="15" hidden="false" customHeight="false" outlineLevel="0" collapsed="false">
      <c r="A249" s="7"/>
      <c r="B249" s="7"/>
      <c r="C249" s="46"/>
      <c r="D249" s="7"/>
      <c r="E249" s="47"/>
      <c r="F249" s="46"/>
      <c r="G249" s="46"/>
      <c r="H249" s="7"/>
      <c r="I249" s="7"/>
      <c r="J249" s="47"/>
      <c r="K249" s="47"/>
      <c r="L249" s="47"/>
      <c r="M249" s="47"/>
      <c r="N249" s="10"/>
      <c r="O249" s="47"/>
      <c r="P249" s="47"/>
      <c r="Q249" s="47"/>
      <c r="R249" s="48" t="str">
        <f aca="false">IF(Q249="","",IF(Q249=0,"below 5:00",IF(Q249&gt;=66,"16:00 or above",INT((60+2*Q249)/12)&amp;":"&amp;TEXT(MOD(60+2*Q249,12),"00"))))</f>
        <v/>
      </c>
      <c r="S249" s="47"/>
      <c r="T249" s="47"/>
      <c r="U249" s="47"/>
      <c r="V249" s="47"/>
      <c r="W249" s="47"/>
      <c r="X249" s="47"/>
      <c r="Y249" s="47"/>
      <c r="Z249" s="47"/>
      <c r="AA249" s="47"/>
      <c r="AB249" s="47"/>
      <c r="AC249" s="47"/>
      <c r="AD249" s="47"/>
      <c r="AE249" s="47"/>
      <c r="AF249" s="47"/>
      <c r="AG249" s="47"/>
      <c r="AH249" s="47"/>
      <c r="AI249" s="46"/>
      <c r="AJ249" s="46"/>
      <c r="AK249" s="46"/>
      <c r="AL249" s="7"/>
      <c r="AM249" s="49" t="str">
        <f aca="false">IF(OR(C249="",G249=""),"",IFERROR(DATEDIF(C249,G249,"m"),""))</f>
        <v/>
      </c>
      <c r="AN249" s="49" t="str">
        <f aca="false">IF(OR(Q249="",AM249=""),"",60+2*Q249-AM249)</f>
        <v/>
      </c>
      <c r="AO249" s="49" t="str">
        <f aca="false">IF(OR(G249="",AJ249=""),"",AJ249-G249)</f>
        <v/>
      </c>
      <c r="AP249" s="50" t="str">
        <f aca="false">IF(AND(A249="",B249=""),"",IF(J249="","Status needed",IF(OR(J249="Applied",J249="Visit booked",J249="Withdrawn"),"OK",IF(G249="","Date assessed needed",IF(C249="","Date of birth needed",IF(COUNTA(L249,M249,P249,U249,V249,X249,AB249)&lt;7,"Band missing",IF(AND(OR(J249="Decision confirmed",J249="Family told",J249="Enrolled"),AG249=""),"Recommendation needed",IF(AND(OR(J249="Family told",J249="Enrolled"),AJ249=""),"Date family told needed","OK"))))))))</f>
        <v/>
      </c>
    </row>
    <row r="250" customFormat="false" ht="15" hidden="false" customHeight="false" outlineLevel="0" collapsed="false">
      <c r="A250" s="7"/>
      <c r="B250" s="7"/>
      <c r="C250" s="46"/>
      <c r="D250" s="7"/>
      <c r="E250" s="47"/>
      <c r="F250" s="46"/>
      <c r="G250" s="46"/>
      <c r="H250" s="7"/>
      <c r="I250" s="7"/>
      <c r="J250" s="47"/>
      <c r="K250" s="47"/>
      <c r="L250" s="47"/>
      <c r="M250" s="47"/>
      <c r="N250" s="10"/>
      <c r="O250" s="47"/>
      <c r="P250" s="47"/>
      <c r="Q250" s="47"/>
      <c r="R250" s="48" t="str">
        <f aca="false">IF(Q250="","",IF(Q250=0,"below 5:00",IF(Q250&gt;=66,"16:00 or above",INT((60+2*Q250)/12)&amp;":"&amp;TEXT(MOD(60+2*Q250,12),"00"))))</f>
        <v/>
      </c>
      <c r="S250" s="47"/>
      <c r="T250" s="47"/>
      <c r="U250" s="47"/>
      <c r="V250" s="47"/>
      <c r="W250" s="47"/>
      <c r="X250" s="47"/>
      <c r="Y250" s="47"/>
      <c r="Z250" s="47"/>
      <c r="AA250" s="47"/>
      <c r="AB250" s="47"/>
      <c r="AC250" s="47"/>
      <c r="AD250" s="47"/>
      <c r="AE250" s="47"/>
      <c r="AF250" s="47"/>
      <c r="AG250" s="47"/>
      <c r="AH250" s="47"/>
      <c r="AI250" s="46"/>
      <c r="AJ250" s="46"/>
      <c r="AK250" s="46"/>
      <c r="AL250" s="7"/>
      <c r="AM250" s="49" t="str">
        <f aca="false">IF(OR(C250="",G250=""),"",IFERROR(DATEDIF(C250,G250,"m"),""))</f>
        <v/>
      </c>
      <c r="AN250" s="49" t="str">
        <f aca="false">IF(OR(Q250="",AM250=""),"",60+2*Q250-AM250)</f>
        <v/>
      </c>
      <c r="AO250" s="49" t="str">
        <f aca="false">IF(OR(G250="",AJ250=""),"",AJ250-G250)</f>
        <v/>
      </c>
      <c r="AP250" s="50" t="str">
        <f aca="false">IF(AND(A250="",B250=""),"",IF(J250="","Status needed",IF(OR(J250="Applied",J250="Visit booked",J250="Withdrawn"),"OK",IF(G250="","Date assessed needed",IF(C250="","Date of birth needed",IF(COUNTA(L250,M250,P250,U250,V250,X250,AB250)&lt;7,"Band missing",IF(AND(OR(J250="Decision confirmed",J250="Family told",J250="Enrolled"),AG250=""),"Recommendation needed",IF(AND(OR(J250="Family told",J250="Enrolled"),AJ250=""),"Date family told needed","OK"))))))))</f>
        <v/>
      </c>
    </row>
    <row r="251" customFormat="false" ht="15" hidden="false" customHeight="false" outlineLevel="0" collapsed="false">
      <c r="A251" s="7"/>
      <c r="B251" s="7"/>
      <c r="C251" s="46"/>
      <c r="D251" s="7"/>
      <c r="E251" s="47"/>
      <c r="F251" s="46"/>
      <c r="G251" s="46"/>
      <c r="H251" s="7"/>
      <c r="I251" s="7"/>
      <c r="J251" s="47"/>
      <c r="K251" s="47"/>
      <c r="L251" s="47"/>
      <c r="M251" s="47"/>
      <c r="N251" s="10"/>
      <c r="O251" s="47"/>
      <c r="P251" s="47"/>
      <c r="Q251" s="47"/>
      <c r="R251" s="48" t="str">
        <f aca="false">IF(Q251="","",IF(Q251=0,"below 5:00",IF(Q251&gt;=66,"16:00 or above",INT((60+2*Q251)/12)&amp;":"&amp;TEXT(MOD(60+2*Q251,12),"00"))))</f>
        <v/>
      </c>
      <c r="S251" s="47"/>
      <c r="T251" s="47"/>
      <c r="U251" s="47"/>
      <c r="V251" s="47"/>
      <c r="W251" s="47"/>
      <c r="X251" s="47"/>
      <c r="Y251" s="47"/>
      <c r="Z251" s="47"/>
      <c r="AA251" s="47"/>
      <c r="AB251" s="47"/>
      <c r="AC251" s="47"/>
      <c r="AD251" s="47"/>
      <c r="AE251" s="47"/>
      <c r="AF251" s="47"/>
      <c r="AG251" s="47"/>
      <c r="AH251" s="47"/>
      <c r="AI251" s="46"/>
      <c r="AJ251" s="46"/>
      <c r="AK251" s="46"/>
      <c r="AL251" s="7"/>
      <c r="AM251" s="49" t="str">
        <f aca="false">IF(OR(C251="",G251=""),"",IFERROR(DATEDIF(C251,G251,"m"),""))</f>
        <v/>
      </c>
      <c r="AN251" s="49" t="str">
        <f aca="false">IF(OR(Q251="",AM251=""),"",60+2*Q251-AM251)</f>
        <v/>
      </c>
      <c r="AO251" s="49" t="str">
        <f aca="false">IF(OR(G251="",AJ251=""),"",AJ251-G251)</f>
        <v/>
      </c>
      <c r="AP251" s="50" t="str">
        <f aca="false">IF(AND(A251="",B251=""),"",IF(J251="","Status needed",IF(OR(J251="Applied",J251="Visit booked",J251="Withdrawn"),"OK",IF(G251="","Date assessed needed",IF(C251="","Date of birth needed",IF(COUNTA(L251,M251,P251,U251,V251,X251,AB251)&lt;7,"Band missing",IF(AND(OR(J251="Decision confirmed",J251="Family told",J251="Enrolled"),AG251=""),"Recommendation needed",IF(AND(OR(J251="Family told",J251="Enrolled"),AJ251=""),"Date family told needed","OK"))))))))</f>
        <v/>
      </c>
    </row>
    <row r="252" customFormat="false" ht="15" hidden="false" customHeight="false" outlineLevel="0" collapsed="false">
      <c r="A252" s="7"/>
      <c r="B252" s="7"/>
      <c r="C252" s="46"/>
      <c r="D252" s="7"/>
      <c r="E252" s="47"/>
      <c r="F252" s="46"/>
      <c r="G252" s="46"/>
      <c r="H252" s="7"/>
      <c r="I252" s="7"/>
      <c r="J252" s="47"/>
      <c r="K252" s="47"/>
      <c r="L252" s="47"/>
      <c r="M252" s="47"/>
      <c r="N252" s="10"/>
      <c r="O252" s="47"/>
      <c r="P252" s="47"/>
      <c r="Q252" s="47"/>
      <c r="R252" s="48" t="str">
        <f aca="false">IF(Q252="","",IF(Q252=0,"below 5:00",IF(Q252&gt;=66,"16:00 or above",INT((60+2*Q252)/12)&amp;":"&amp;TEXT(MOD(60+2*Q252,12),"00"))))</f>
        <v/>
      </c>
      <c r="S252" s="47"/>
      <c r="T252" s="47"/>
      <c r="U252" s="47"/>
      <c r="V252" s="47"/>
      <c r="W252" s="47"/>
      <c r="X252" s="47"/>
      <c r="Y252" s="47"/>
      <c r="Z252" s="47"/>
      <c r="AA252" s="47"/>
      <c r="AB252" s="47"/>
      <c r="AC252" s="47"/>
      <c r="AD252" s="47"/>
      <c r="AE252" s="47"/>
      <c r="AF252" s="47"/>
      <c r="AG252" s="47"/>
      <c r="AH252" s="47"/>
      <c r="AI252" s="46"/>
      <c r="AJ252" s="46"/>
      <c r="AK252" s="46"/>
      <c r="AL252" s="7"/>
      <c r="AM252" s="49" t="str">
        <f aca="false">IF(OR(C252="",G252=""),"",IFERROR(DATEDIF(C252,G252,"m"),""))</f>
        <v/>
      </c>
      <c r="AN252" s="49" t="str">
        <f aca="false">IF(OR(Q252="",AM252=""),"",60+2*Q252-AM252)</f>
        <v/>
      </c>
      <c r="AO252" s="49" t="str">
        <f aca="false">IF(OR(G252="",AJ252=""),"",AJ252-G252)</f>
        <v/>
      </c>
      <c r="AP252" s="50" t="str">
        <f aca="false">IF(AND(A252="",B252=""),"",IF(J252="","Status needed",IF(OR(J252="Applied",J252="Visit booked",J252="Withdrawn"),"OK",IF(G252="","Date assessed needed",IF(C252="","Date of birth needed",IF(COUNTA(L252,M252,P252,U252,V252,X252,AB252)&lt;7,"Band missing",IF(AND(OR(J252="Decision confirmed",J252="Family told",J252="Enrolled"),AG252=""),"Recommendation needed",IF(AND(OR(J252="Family told",J252="Enrolled"),AJ252=""),"Date family told needed","OK"))))))))</f>
        <v/>
      </c>
    </row>
    <row r="253" customFormat="false" ht="15" hidden="false" customHeight="false" outlineLevel="0" collapsed="false">
      <c r="A253" s="7"/>
      <c r="B253" s="7"/>
      <c r="C253" s="46"/>
      <c r="D253" s="7"/>
      <c r="E253" s="47"/>
      <c r="F253" s="46"/>
      <c r="G253" s="46"/>
      <c r="H253" s="7"/>
      <c r="I253" s="7"/>
      <c r="J253" s="47"/>
      <c r="K253" s="47"/>
      <c r="L253" s="47"/>
      <c r="M253" s="47"/>
      <c r="N253" s="10"/>
      <c r="O253" s="47"/>
      <c r="P253" s="47"/>
      <c r="Q253" s="47"/>
      <c r="R253" s="48" t="str">
        <f aca="false">IF(Q253="","",IF(Q253=0,"below 5:00",IF(Q253&gt;=66,"16:00 or above",INT((60+2*Q253)/12)&amp;":"&amp;TEXT(MOD(60+2*Q253,12),"00"))))</f>
        <v/>
      </c>
      <c r="S253" s="47"/>
      <c r="T253" s="47"/>
      <c r="U253" s="47"/>
      <c r="V253" s="47"/>
      <c r="W253" s="47"/>
      <c r="X253" s="47"/>
      <c r="Y253" s="47"/>
      <c r="Z253" s="47"/>
      <c r="AA253" s="47"/>
      <c r="AB253" s="47"/>
      <c r="AC253" s="47"/>
      <c r="AD253" s="47"/>
      <c r="AE253" s="47"/>
      <c r="AF253" s="47"/>
      <c r="AG253" s="47"/>
      <c r="AH253" s="47"/>
      <c r="AI253" s="46"/>
      <c r="AJ253" s="46"/>
      <c r="AK253" s="46"/>
      <c r="AL253" s="7"/>
      <c r="AM253" s="49" t="str">
        <f aca="false">IF(OR(C253="",G253=""),"",IFERROR(DATEDIF(C253,G253,"m"),""))</f>
        <v/>
      </c>
      <c r="AN253" s="49" t="str">
        <f aca="false">IF(OR(Q253="",AM253=""),"",60+2*Q253-AM253)</f>
        <v/>
      </c>
      <c r="AO253" s="49" t="str">
        <f aca="false">IF(OR(G253="",AJ253=""),"",AJ253-G253)</f>
        <v/>
      </c>
      <c r="AP253" s="50" t="str">
        <f aca="false">IF(AND(A253="",B253=""),"",IF(J253="","Status needed",IF(OR(J253="Applied",J253="Visit booked",J253="Withdrawn"),"OK",IF(G253="","Date assessed needed",IF(C253="","Date of birth needed",IF(COUNTA(L253,M253,P253,U253,V253,X253,AB253)&lt;7,"Band missing",IF(AND(OR(J253="Decision confirmed",J253="Family told",J253="Enrolled"),AG253=""),"Recommendation needed",IF(AND(OR(J253="Family told",J253="Enrolled"),AJ253=""),"Date family told needed","OK"))))))))</f>
        <v/>
      </c>
    </row>
    <row r="254" customFormat="false" ht="15" hidden="false" customHeight="false" outlineLevel="0" collapsed="false">
      <c r="A254" s="7"/>
      <c r="B254" s="7"/>
      <c r="C254" s="46"/>
      <c r="D254" s="7"/>
      <c r="E254" s="47"/>
      <c r="F254" s="46"/>
      <c r="G254" s="46"/>
      <c r="H254" s="7"/>
      <c r="I254" s="7"/>
      <c r="J254" s="47"/>
      <c r="K254" s="47"/>
      <c r="L254" s="47"/>
      <c r="M254" s="47"/>
      <c r="N254" s="10"/>
      <c r="O254" s="47"/>
      <c r="P254" s="47"/>
      <c r="Q254" s="47"/>
      <c r="R254" s="48" t="str">
        <f aca="false">IF(Q254="","",IF(Q254=0,"below 5:00",IF(Q254&gt;=66,"16:00 or above",INT((60+2*Q254)/12)&amp;":"&amp;TEXT(MOD(60+2*Q254,12),"00"))))</f>
        <v/>
      </c>
      <c r="S254" s="47"/>
      <c r="T254" s="47"/>
      <c r="U254" s="47"/>
      <c r="V254" s="47"/>
      <c r="W254" s="47"/>
      <c r="X254" s="47"/>
      <c r="Y254" s="47"/>
      <c r="Z254" s="47"/>
      <c r="AA254" s="47"/>
      <c r="AB254" s="47"/>
      <c r="AC254" s="47"/>
      <c r="AD254" s="47"/>
      <c r="AE254" s="47"/>
      <c r="AF254" s="47"/>
      <c r="AG254" s="47"/>
      <c r="AH254" s="47"/>
      <c r="AI254" s="46"/>
      <c r="AJ254" s="46"/>
      <c r="AK254" s="46"/>
      <c r="AL254" s="7"/>
      <c r="AM254" s="49" t="str">
        <f aca="false">IF(OR(C254="",G254=""),"",IFERROR(DATEDIF(C254,G254,"m"),""))</f>
        <v/>
      </c>
      <c r="AN254" s="49" t="str">
        <f aca="false">IF(OR(Q254="",AM254=""),"",60+2*Q254-AM254)</f>
        <v/>
      </c>
      <c r="AO254" s="49" t="str">
        <f aca="false">IF(OR(G254="",AJ254=""),"",AJ254-G254)</f>
        <v/>
      </c>
      <c r="AP254" s="50" t="str">
        <f aca="false">IF(AND(A254="",B254=""),"",IF(J254="","Status needed",IF(OR(J254="Applied",J254="Visit booked",J254="Withdrawn"),"OK",IF(G254="","Date assessed needed",IF(C254="","Date of birth needed",IF(COUNTA(L254,M254,P254,U254,V254,X254,AB254)&lt;7,"Band missing",IF(AND(OR(J254="Decision confirmed",J254="Family told",J254="Enrolled"),AG254=""),"Recommendation needed",IF(AND(OR(J254="Family told",J254="Enrolled"),AJ254=""),"Date family told needed","OK"))))))))</f>
        <v/>
      </c>
    </row>
    <row r="255" customFormat="false" ht="15" hidden="false" customHeight="false" outlineLevel="0" collapsed="false">
      <c r="A255" s="7"/>
      <c r="B255" s="7"/>
      <c r="C255" s="46"/>
      <c r="D255" s="7"/>
      <c r="E255" s="47"/>
      <c r="F255" s="46"/>
      <c r="G255" s="46"/>
      <c r="H255" s="7"/>
      <c r="I255" s="7"/>
      <c r="J255" s="47"/>
      <c r="K255" s="47"/>
      <c r="L255" s="47"/>
      <c r="M255" s="47"/>
      <c r="N255" s="10"/>
      <c r="O255" s="47"/>
      <c r="P255" s="47"/>
      <c r="Q255" s="47"/>
      <c r="R255" s="48" t="str">
        <f aca="false">IF(Q255="","",IF(Q255=0,"below 5:00",IF(Q255&gt;=66,"16:00 or above",INT((60+2*Q255)/12)&amp;":"&amp;TEXT(MOD(60+2*Q255,12),"00"))))</f>
        <v/>
      </c>
      <c r="S255" s="47"/>
      <c r="T255" s="47"/>
      <c r="U255" s="47"/>
      <c r="V255" s="47"/>
      <c r="W255" s="47"/>
      <c r="X255" s="47"/>
      <c r="Y255" s="47"/>
      <c r="Z255" s="47"/>
      <c r="AA255" s="47"/>
      <c r="AB255" s="47"/>
      <c r="AC255" s="47"/>
      <c r="AD255" s="47"/>
      <c r="AE255" s="47"/>
      <c r="AF255" s="47"/>
      <c r="AG255" s="47"/>
      <c r="AH255" s="47"/>
      <c r="AI255" s="46"/>
      <c r="AJ255" s="46"/>
      <c r="AK255" s="46"/>
      <c r="AL255" s="7"/>
      <c r="AM255" s="49" t="str">
        <f aca="false">IF(OR(C255="",G255=""),"",IFERROR(DATEDIF(C255,G255,"m"),""))</f>
        <v/>
      </c>
      <c r="AN255" s="49" t="str">
        <f aca="false">IF(OR(Q255="",AM255=""),"",60+2*Q255-AM255)</f>
        <v/>
      </c>
      <c r="AO255" s="49" t="str">
        <f aca="false">IF(OR(G255="",AJ255=""),"",AJ255-G255)</f>
        <v/>
      </c>
      <c r="AP255" s="50" t="str">
        <f aca="false">IF(AND(A255="",B255=""),"",IF(J255="","Status needed",IF(OR(J255="Applied",J255="Visit booked",J255="Withdrawn"),"OK",IF(G255="","Date assessed needed",IF(C255="","Date of birth needed",IF(COUNTA(L255,M255,P255,U255,V255,X255,AB255)&lt;7,"Band missing",IF(AND(OR(J255="Decision confirmed",J255="Family told",J255="Enrolled"),AG255=""),"Recommendation needed",IF(AND(OR(J255="Family told",J255="Enrolled"),AJ255=""),"Date family told needed","OK"))))))))</f>
        <v/>
      </c>
    </row>
    <row r="256" customFormat="false" ht="15" hidden="false" customHeight="false" outlineLevel="0" collapsed="false">
      <c r="A256" s="7"/>
      <c r="B256" s="7"/>
      <c r="C256" s="46"/>
      <c r="D256" s="7"/>
      <c r="E256" s="47"/>
      <c r="F256" s="46"/>
      <c r="G256" s="46"/>
      <c r="H256" s="7"/>
      <c r="I256" s="7"/>
      <c r="J256" s="47"/>
      <c r="K256" s="47"/>
      <c r="L256" s="47"/>
      <c r="M256" s="47"/>
      <c r="N256" s="10"/>
      <c r="O256" s="47"/>
      <c r="P256" s="47"/>
      <c r="Q256" s="47"/>
      <c r="R256" s="48" t="str">
        <f aca="false">IF(Q256="","",IF(Q256=0,"below 5:00",IF(Q256&gt;=66,"16:00 or above",INT((60+2*Q256)/12)&amp;":"&amp;TEXT(MOD(60+2*Q256,12),"00"))))</f>
        <v/>
      </c>
      <c r="S256" s="47"/>
      <c r="T256" s="47"/>
      <c r="U256" s="47"/>
      <c r="V256" s="47"/>
      <c r="W256" s="47"/>
      <c r="X256" s="47"/>
      <c r="Y256" s="47"/>
      <c r="Z256" s="47"/>
      <c r="AA256" s="47"/>
      <c r="AB256" s="47"/>
      <c r="AC256" s="47"/>
      <c r="AD256" s="47"/>
      <c r="AE256" s="47"/>
      <c r="AF256" s="47"/>
      <c r="AG256" s="47"/>
      <c r="AH256" s="47"/>
      <c r="AI256" s="46"/>
      <c r="AJ256" s="46"/>
      <c r="AK256" s="46"/>
      <c r="AL256" s="7"/>
      <c r="AM256" s="49" t="str">
        <f aca="false">IF(OR(C256="",G256=""),"",IFERROR(DATEDIF(C256,G256,"m"),""))</f>
        <v/>
      </c>
      <c r="AN256" s="49" t="str">
        <f aca="false">IF(OR(Q256="",AM256=""),"",60+2*Q256-AM256)</f>
        <v/>
      </c>
      <c r="AO256" s="49" t="str">
        <f aca="false">IF(OR(G256="",AJ256=""),"",AJ256-G256)</f>
        <v/>
      </c>
      <c r="AP256" s="50" t="str">
        <f aca="false">IF(AND(A256="",B256=""),"",IF(J256="","Status needed",IF(OR(J256="Applied",J256="Visit booked",J256="Withdrawn"),"OK",IF(G256="","Date assessed needed",IF(C256="","Date of birth needed",IF(COUNTA(L256,M256,P256,U256,V256,X256,AB256)&lt;7,"Band missing",IF(AND(OR(J256="Decision confirmed",J256="Family told",J256="Enrolled"),AG256=""),"Recommendation needed",IF(AND(OR(J256="Family told",J256="Enrolled"),AJ256=""),"Date family told needed","OK"))))))))</f>
        <v/>
      </c>
    </row>
    <row r="257" customFormat="false" ht="15" hidden="false" customHeight="false" outlineLevel="0" collapsed="false">
      <c r="A257" s="7"/>
      <c r="B257" s="7"/>
      <c r="C257" s="46"/>
      <c r="D257" s="7"/>
      <c r="E257" s="47"/>
      <c r="F257" s="46"/>
      <c r="G257" s="46"/>
      <c r="H257" s="7"/>
      <c r="I257" s="7"/>
      <c r="J257" s="47"/>
      <c r="K257" s="47"/>
      <c r="L257" s="47"/>
      <c r="M257" s="47"/>
      <c r="N257" s="10"/>
      <c r="O257" s="47"/>
      <c r="P257" s="47"/>
      <c r="Q257" s="47"/>
      <c r="R257" s="48" t="str">
        <f aca="false">IF(Q257="","",IF(Q257=0,"below 5:00",IF(Q257&gt;=66,"16:00 or above",INT((60+2*Q257)/12)&amp;":"&amp;TEXT(MOD(60+2*Q257,12),"00"))))</f>
        <v/>
      </c>
      <c r="S257" s="47"/>
      <c r="T257" s="47"/>
      <c r="U257" s="47"/>
      <c r="V257" s="47"/>
      <c r="W257" s="47"/>
      <c r="X257" s="47"/>
      <c r="Y257" s="47"/>
      <c r="Z257" s="47"/>
      <c r="AA257" s="47"/>
      <c r="AB257" s="47"/>
      <c r="AC257" s="47"/>
      <c r="AD257" s="47"/>
      <c r="AE257" s="47"/>
      <c r="AF257" s="47"/>
      <c r="AG257" s="47"/>
      <c r="AH257" s="47"/>
      <c r="AI257" s="46"/>
      <c r="AJ257" s="46"/>
      <c r="AK257" s="46"/>
      <c r="AL257" s="7"/>
      <c r="AM257" s="49" t="str">
        <f aca="false">IF(OR(C257="",G257=""),"",IFERROR(DATEDIF(C257,G257,"m"),""))</f>
        <v/>
      </c>
      <c r="AN257" s="49" t="str">
        <f aca="false">IF(OR(Q257="",AM257=""),"",60+2*Q257-AM257)</f>
        <v/>
      </c>
      <c r="AO257" s="49" t="str">
        <f aca="false">IF(OR(G257="",AJ257=""),"",AJ257-G257)</f>
        <v/>
      </c>
      <c r="AP257" s="50" t="str">
        <f aca="false">IF(AND(A257="",B257=""),"",IF(J257="","Status needed",IF(OR(J257="Applied",J257="Visit booked",J257="Withdrawn"),"OK",IF(G257="","Date assessed needed",IF(C257="","Date of birth needed",IF(COUNTA(L257,M257,P257,U257,V257,X257,AB257)&lt;7,"Band missing",IF(AND(OR(J257="Decision confirmed",J257="Family told",J257="Enrolled"),AG257=""),"Recommendation needed",IF(AND(OR(J257="Family told",J257="Enrolled"),AJ257=""),"Date family told needed","OK"))))))))</f>
        <v/>
      </c>
    </row>
    <row r="258" customFormat="false" ht="15" hidden="false" customHeight="false" outlineLevel="0" collapsed="false">
      <c r="A258" s="7"/>
      <c r="B258" s="7"/>
      <c r="C258" s="46"/>
      <c r="D258" s="7"/>
      <c r="E258" s="47"/>
      <c r="F258" s="46"/>
      <c r="G258" s="46"/>
      <c r="H258" s="7"/>
      <c r="I258" s="7"/>
      <c r="J258" s="47"/>
      <c r="K258" s="47"/>
      <c r="L258" s="47"/>
      <c r="M258" s="47"/>
      <c r="N258" s="10"/>
      <c r="O258" s="47"/>
      <c r="P258" s="47"/>
      <c r="Q258" s="47"/>
      <c r="R258" s="48" t="str">
        <f aca="false">IF(Q258="","",IF(Q258=0,"below 5:00",IF(Q258&gt;=66,"16:00 or above",INT((60+2*Q258)/12)&amp;":"&amp;TEXT(MOD(60+2*Q258,12),"00"))))</f>
        <v/>
      </c>
      <c r="S258" s="47"/>
      <c r="T258" s="47"/>
      <c r="U258" s="47"/>
      <c r="V258" s="47"/>
      <c r="W258" s="47"/>
      <c r="X258" s="47"/>
      <c r="Y258" s="47"/>
      <c r="Z258" s="47"/>
      <c r="AA258" s="47"/>
      <c r="AB258" s="47"/>
      <c r="AC258" s="47"/>
      <c r="AD258" s="47"/>
      <c r="AE258" s="47"/>
      <c r="AF258" s="47"/>
      <c r="AG258" s="47"/>
      <c r="AH258" s="47"/>
      <c r="AI258" s="46"/>
      <c r="AJ258" s="46"/>
      <c r="AK258" s="46"/>
      <c r="AL258" s="7"/>
      <c r="AM258" s="49" t="str">
        <f aca="false">IF(OR(C258="",G258=""),"",IFERROR(DATEDIF(C258,G258,"m"),""))</f>
        <v/>
      </c>
      <c r="AN258" s="49" t="str">
        <f aca="false">IF(OR(Q258="",AM258=""),"",60+2*Q258-AM258)</f>
        <v/>
      </c>
      <c r="AO258" s="49" t="str">
        <f aca="false">IF(OR(G258="",AJ258=""),"",AJ258-G258)</f>
        <v/>
      </c>
      <c r="AP258" s="50" t="str">
        <f aca="false">IF(AND(A258="",B258=""),"",IF(J258="","Status needed",IF(OR(J258="Applied",J258="Visit booked",J258="Withdrawn"),"OK",IF(G258="","Date assessed needed",IF(C258="","Date of birth needed",IF(COUNTA(L258,M258,P258,U258,V258,X258,AB258)&lt;7,"Band missing",IF(AND(OR(J258="Decision confirmed",J258="Family told",J258="Enrolled"),AG258=""),"Recommendation needed",IF(AND(OR(J258="Family told",J258="Enrolled"),AJ258=""),"Date family told needed","OK"))))))))</f>
        <v/>
      </c>
    </row>
    <row r="259" customFormat="false" ht="15" hidden="false" customHeight="false" outlineLevel="0" collapsed="false">
      <c r="A259" s="7"/>
      <c r="B259" s="7"/>
      <c r="C259" s="46"/>
      <c r="D259" s="7"/>
      <c r="E259" s="47"/>
      <c r="F259" s="46"/>
      <c r="G259" s="46"/>
      <c r="H259" s="7"/>
      <c r="I259" s="7"/>
      <c r="J259" s="47"/>
      <c r="K259" s="47"/>
      <c r="L259" s="47"/>
      <c r="M259" s="47"/>
      <c r="N259" s="10"/>
      <c r="O259" s="47"/>
      <c r="P259" s="47"/>
      <c r="Q259" s="47"/>
      <c r="R259" s="48" t="str">
        <f aca="false">IF(Q259="","",IF(Q259=0,"below 5:00",IF(Q259&gt;=66,"16:00 or above",INT((60+2*Q259)/12)&amp;":"&amp;TEXT(MOD(60+2*Q259,12),"00"))))</f>
        <v/>
      </c>
      <c r="S259" s="47"/>
      <c r="T259" s="47"/>
      <c r="U259" s="47"/>
      <c r="V259" s="47"/>
      <c r="W259" s="47"/>
      <c r="X259" s="47"/>
      <c r="Y259" s="47"/>
      <c r="Z259" s="47"/>
      <c r="AA259" s="47"/>
      <c r="AB259" s="47"/>
      <c r="AC259" s="47"/>
      <c r="AD259" s="47"/>
      <c r="AE259" s="47"/>
      <c r="AF259" s="47"/>
      <c r="AG259" s="47"/>
      <c r="AH259" s="47"/>
      <c r="AI259" s="46"/>
      <c r="AJ259" s="46"/>
      <c r="AK259" s="46"/>
      <c r="AL259" s="7"/>
      <c r="AM259" s="49" t="str">
        <f aca="false">IF(OR(C259="",G259=""),"",IFERROR(DATEDIF(C259,G259,"m"),""))</f>
        <v/>
      </c>
      <c r="AN259" s="49" t="str">
        <f aca="false">IF(OR(Q259="",AM259=""),"",60+2*Q259-AM259)</f>
        <v/>
      </c>
      <c r="AO259" s="49" t="str">
        <f aca="false">IF(OR(G259="",AJ259=""),"",AJ259-G259)</f>
        <v/>
      </c>
      <c r="AP259" s="50" t="str">
        <f aca="false">IF(AND(A259="",B259=""),"",IF(J259="","Status needed",IF(OR(J259="Applied",J259="Visit booked",J259="Withdrawn"),"OK",IF(G259="","Date assessed needed",IF(C259="","Date of birth needed",IF(COUNTA(L259,M259,P259,U259,V259,X259,AB259)&lt;7,"Band missing",IF(AND(OR(J259="Decision confirmed",J259="Family told",J259="Enrolled"),AG259=""),"Recommendation needed",IF(AND(OR(J259="Family told",J259="Enrolled"),AJ259=""),"Date family told needed","OK"))))))))</f>
        <v/>
      </c>
    </row>
    <row r="260" customFormat="false" ht="15" hidden="false" customHeight="false" outlineLevel="0" collapsed="false">
      <c r="A260" s="7"/>
      <c r="B260" s="7"/>
      <c r="C260" s="46"/>
      <c r="D260" s="7"/>
      <c r="E260" s="47"/>
      <c r="F260" s="46"/>
      <c r="G260" s="46"/>
      <c r="H260" s="7"/>
      <c r="I260" s="7"/>
      <c r="J260" s="47"/>
      <c r="K260" s="47"/>
      <c r="L260" s="47"/>
      <c r="M260" s="47"/>
      <c r="N260" s="10"/>
      <c r="O260" s="47"/>
      <c r="P260" s="47"/>
      <c r="Q260" s="47"/>
      <c r="R260" s="48" t="str">
        <f aca="false">IF(Q260="","",IF(Q260=0,"below 5:00",IF(Q260&gt;=66,"16:00 or above",INT((60+2*Q260)/12)&amp;":"&amp;TEXT(MOD(60+2*Q260,12),"00"))))</f>
        <v/>
      </c>
      <c r="S260" s="47"/>
      <c r="T260" s="47"/>
      <c r="U260" s="47"/>
      <c r="V260" s="47"/>
      <c r="W260" s="47"/>
      <c r="X260" s="47"/>
      <c r="Y260" s="47"/>
      <c r="Z260" s="47"/>
      <c r="AA260" s="47"/>
      <c r="AB260" s="47"/>
      <c r="AC260" s="47"/>
      <c r="AD260" s="47"/>
      <c r="AE260" s="47"/>
      <c r="AF260" s="47"/>
      <c r="AG260" s="47"/>
      <c r="AH260" s="47"/>
      <c r="AI260" s="46"/>
      <c r="AJ260" s="46"/>
      <c r="AK260" s="46"/>
      <c r="AL260" s="7"/>
      <c r="AM260" s="49" t="str">
        <f aca="false">IF(OR(C260="",G260=""),"",IFERROR(DATEDIF(C260,G260,"m"),""))</f>
        <v/>
      </c>
      <c r="AN260" s="49" t="str">
        <f aca="false">IF(OR(Q260="",AM260=""),"",60+2*Q260-AM260)</f>
        <v/>
      </c>
      <c r="AO260" s="49" t="str">
        <f aca="false">IF(OR(G260="",AJ260=""),"",AJ260-G260)</f>
        <v/>
      </c>
      <c r="AP260" s="50" t="str">
        <f aca="false">IF(AND(A260="",B260=""),"",IF(J260="","Status needed",IF(OR(J260="Applied",J260="Visit booked",J260="Withdrawn"),"OK",IF(G260="","Date assessed needed",IF(C260="","Date of birth needed",IF(COUNTA(L260,M260,P260,U260,V260,X260,AB260)&lt;7,"Band missing",IF(AND(OR(J260="Decision confirmed",J260="Family told",J260="Enrolled"),AG260=""),"Recommendation needed",IF(AND(OR(J260="Family told",J260="Enrolled"),AJ260=""),"Date family told needed","OK"))))))))</f>
        <v/>
      </c>
    </row>
    <row r="261" customFormat="false" ht="15" hidden="false" customHeight="false" outlineLevel="0" collapsed="false">
      <c r="A261" s="7"/>
      <c r="B261" s="7"/>
      <c r="C261" s="46"/>
      <c r="D261" s="7"/>
      <c r="E261" s="47"/>
      <c r="F261" s="46"/>
      <c r="G261" s="46"/>
      <c r="H261" s="7"/>
      <c r="I261" s="7"/>
      <c r="J261" s="47"/>
      <c r="K261" s="47"/>
      <c r="L261" s="47"/>
      <c r="M261" s="47"/>
      <c r="N261" s="10"/>
      <c r="O261" s="47"/>
      <c r="P261" s="47"/>
      <c r="Q261" s="47"/>
      <c r="R261" s="48" t="str">
        <f aca="false">IF(Q261="","",IF(Q261=0,"below 5:00",IF(Q261&gt;=66,"16:00 or above",INT((60+2*Q261)/12)&amp;":"&amp;TEXT(MOD(60+2*Q261,12),"00"))))</f>
        <v/>
      </c>
      <c r="S261" s="47"/>
      <c r="T261" s="47"/>
      <c r="U261" s="47"/>
      <c r="V261" s="47"/>
      <c r="W261" s="47"/>
      <c r="X261" s="47"/>
      <c r="Y261" s="47"/>
      <c r="Z261" s="47"/>
      <c r="AA261" s="47"/>
      <c r="AB261" s="47"/>
      <c r="AC261" s="47"/>
      <c r="AD261" s="47"/>
      <c r="AE261" s="47"/>
      <c r="AF261" s="47"/>
      <c r="AG261" s="47"/>
      <c r="AH261" s="47"/>
      <c r="AI261" s="46"/>
      <c r="AJ261" s="46"/>
      <c r="AK261" s="46"/>
      <c r="AL261" s="7"/>
      <c r="AM261" s="49" t="str">
        <f aca="false">IF(OR(C261="",G261=""),"",IFERROR(DATEDIF(C261,G261,"m"),""))</f>
        <v/>
      </c>
      <c r="AN261" s="49" t="str">
        <f aca="false">IF(OR(Q261="",AM261=""),"",60+2*Q261-AM261)</f>
        <v/>
      </c>
      <c r="AO261" s="49" t="str">
        <f aca="false">IF(OR(G261="",AJ261=""),"",AJ261-G261)</f>
        <v/>
      </c>
      <c r="AP261" s="50" t="str">
        <f aca="false">IF(AND(A261="",B261=""),"",IF(J261="","Status needed",IF(OR(J261="Applied",J261="Visit booked",J261="Withdrawn"),"OK",IF(G261="","Date assessed needed",IF(C261="","Date of birth needed",IF(COUNTA(L261,M261,P261,U261,V261,X261,AB261)&lt;7,"Band missing",IF(AND(OR(J261="Decision confirmed",J261="Family told",J261="Enrolled"),AG261=""),"Recommendation needed",IF(AND(OR(J261="Family told",J261="Enrolled"),AJ261=""),"Date family told needed","OK"))))))))</f>
        <v/>
      </c>
    </row>
    <row r="262" customFormat="false" ht="15" hidden="false" customHeight="false" outlineLevel="0" collapsed="false">
      <c r="A262" s="7"/>
      <c r="B262" s="7"/>
      <c r="C262" s="46"/>
      <c r="D262" s="7"/>
      <c r="E262" s="47"/>
      <c r="F262" s="46"/>
      <c r="G262" s="46"/>
      <c r="H262" s="7"/>
      <c r="I262" s="7"/>
      <c r="J262" s="47"/>
      <c r="K262" s="47"/>
      <c r="L262" s="47"/>
      <c r="M262" s="47"/>
      <c r="N262" s="10"/>
      <c r="O262" s="47"/>
      <c r="P262" s="47"/>
      <c r="Q262" s="47"/>
      <c r="R262" s="48" t="str">
        <f aca="false">IF(Q262="","",IF(Q262=0,"below 5:00",IF(Q262&gt;=66,"16:00 or above",INT((60+2*Q262)/12)&amp;":"&amp;TEXT(MOD(60+2*Q262,12),"00"))))</f>
        <v/>
      </c>
      <c r="S262" s="47"/>
      <c r="T262" s="47"/>
      <c r="U262" s="47"/>
      <c r="V262" s="47"/>
      <c r="W262" s="47"/>
      <c r="X262" s="47"/>
      <c r="Y262" s="47"/>
      <c r="Z262" s="47"/>
      <c r="AA262" s="47"/>
      <c r="AB262" s="47"/>
      <c r="AC262" s="47"/>
      <c r="AD262" s="47"/>
      <c r="AE262" s="47"/>
      <c r="AF262" s="47"/>
      <c r="AG262" s="47"/>
      <c r="AH262" s="47"/>
      <c r="AI262" s="46"/>
      <c r="AJ262" s="46"/>
      <c r="AK262" s="46"/>
      <c r="AL262" s="7"/>
      <c r="AM262" s="49" t="str">
        <f aca="false">IF(OR(C262="",G262=""),"",IFERROR(DATEDIF(C262,G262,"m"),""))</f>
        <v/>
      </c>
      <c r="AN262" s="49" t="str">
        <f aca="false">IF(OR(Q262="",AM262=""),"",60+2*Q262-AM262)</f>
        <v/>
      </c>
      <c r="AO262" s="49" t="str">
        <f aca="false">IF(OR(G262="",AJ262=""),"",AJ262-G262)</f>
        <v/>
      </c>
      <c r="AP262" s="50" t="str">
        <f aca="false">IF(AND(A262="",B262=""),"",IF(J262="","Status needed",IF(OR(J262="Applied",J262="Visit booked",J262="Withdrawn"),"OK",IF(G262="","Date assessed needed",IF(C262="","Date of birth needed",IF(COUNTA(L262,M262,P262,U262,V262,X262,AB262)&lt;7,"Band missing",IF(AND(OR(J262="Decision confirmed",J262="Family told",J262="Enrolled"),AG262=""),"Recommendation needed",IF(AND(OR(J262="Family told",J262="Enrolled"),AJ262=""),"Date family told needed","OK"))))))))</f>
        <v/>
      </c>
    </row>
    <row r="263" customFormat="false" ht="15" hidden="false" customHeight="false" outlineLevel="0" collapsed="false">
      <c r="A263" s="7"/>
      <c r="B263" s="7"/>
      <c r="C263" s="46"/>
      <c r="D263" s="7"/>
      <c r="E263" s="47"/>
      <c r="F263" s="46"/>
      <c r="G263" s="46"/>
      <c r="H263" s="7"/>
      <c r="I263" s="7"/>
      <c r="J263" s="47"/>
      <c r="K263" s="47"/>
      <c r="L263" s="47"/>
      <c r="M263" s="47"/>
      <c r="N263" s="10"/>
      <c r="O263" s="47"/>
      <c r="P263" s="47"/>
      <c r="Q263" s="47"/>
      <c r="R263" s="48" t="str">
        <f aca="false">IF(Q263="","",IF(Q263=0,"below 5:00",IF(Q263&gt;=66,"16:00 or above",INT((60+2*Q263)/12)&amp;":"&amp;TEXT(MOD(60+2*Q263,12),"00"))))</f>
        <v/>
      </c>
      <c r="S263" s="47"/>
      <c r="T263" s="47"/>
      <c r="U263" s="47"/>
      <c r="V263" s="47"/>
      <c r="W263" s="47"/>
      <c r="X263" s="47"/>
      <c r="Y263" s="47"/>
      <c r="Z263" s="47"/>
      <c r="AA263" s="47"/>
      <c r="AB263" s="47"/>
      <c r="AC263" s="47"/>
      <c r="AD263" s="47"/>
      <c r="AE263" s="47"/>
      <c r="AF263" s="47"/>
      <c r="AG263" s="47"/>
      <c r="AH263" s="47"/>
      <c r="AI263" s="46"/>
      <c r="AJ263" s="46"/>
      <c r="AK263" s="46"/>
      <c r="AL263" s="7"/>
      <c r="AM263" s="49" t="str">
        <f aca="false">IF(OR(C263="",G263=""),"",IFERROR(DATEDIF(C263,G263,"m"),""))</f>
        <v/>
      </c>
      <c r="AN263" s="49" t="str">
        <f aca="false">IF(OR(Q263="",AM263=""),"",60+2*Q263-AM263)</f>
        <v/>
      </c>
      <c r="AO263" s="49" t="str">
        <f aca="false">IF(OR(G263="",AJ263=""),"",AJ263-G263)</f>
        <v/>
      </c>
      <c r="AP263" s="50" t="str">
        <f aca="false">IF(AND(A263="",B263=""),"",IF(J263="","Status needed",IF(OR(J263="Applied",J263="Visit booked",J263="Withdrawn"),"OK",IF(G263="","Date assessed needed",IF(C263="","Date of birth needed",IF(COUNTA(L263,M263,P263,U263,V263,X263,AB263)&lt;7,"Band missing",IF(AND(OR(J263="Decision confirmed",J263="Family told",J263="Enrolled"),AG263=""),"Recommendation needed",IF(AND(OR(J263="Family told",J263="Enrolled"),AJ263=""),"Date family told needed","OK"))))))))</f>
        <v/>
      </c>
    </row>
    <row r="264" customFormat="false" ht="15" hidden="false" customHeight="false" outlineLevel="0" collapsed="false">
      <c r="A264" s="7"/>
      <c r="B264" s="7"/>
      <c r="C264" s="46"/>
      <c r="D264" s="7"/>
      <c r="E264" s="47"/>
      <c r="F264" s="46"/>
      <c r="G264" s="46"/>
      <c r="H264" s="7"/>
      <c r="I264" s="7"/>
      <c r="J264" s="47"/>
      <c r="K264" s="47"/>
      <c r="L264" s="47"/>
      <c r="M264" s="47"/>
      <c r="N264" s="10"/>
      <c r="O264" s="47"/>
      <c r="P264" s="47"/>
      <c r="Q264" s="47"/>
      <c r="R264" s="48" t="str">
        <f aca="false">IF(Q264="","",IF(Q264=0,"below 5:00",IF(Q264&gt;=66,"16:00 or above",INT((60+2*Q264)/12)&amp;":"&amp;TEXT(MOD(60+2*Q264,12),"00"))))</f>
        <v/>
      </c>
      <c r="S264" s="47"/>
      <c r="T264" s="47"/>
      <c r="U264" s="47"/>
      <c r="V264" s="47"/>
      <c r="W264" s="47"/>
      <c r="X264" s="47"/>
      <c r="Y264" s="47"/>
      <c r="Z264" s="47"/>
      <c r="AA264" s="47"/>
      <c r="AB264" s="47"/>
      <c r="AC264" s="47"/>
      <c r="AD264" s="47"/>
      <c r="AE264" s="47"/>
      <c r="AF264" s="47"/>
      <c r="AG264" s="47"/>
      <c r="AH264" s="47"/>
      <c r="AI264" s="46"/>
      <c r="AJ264" s="46"/>
      <c r="AK264" s="46"/>
      <c r="AL264" s="7"/>
      <c r="AM264" s="49" t="str">
        <f aca="false">IF(OR(C264="",G264=""),"",IFERROR(DATEDIF(C264,G264,"m"),""))</f>
        <v/>
      </c>
      <c r="AN264" s="49" t="str">
        <f aca="false">IF(OR(Q264="",AM264=""),"",60+2*Q264-AM264)</f>
        <v/>
      </c>
      <c r="AO264" s="49" t="str">
        <f aca="false">IF(OR(G264="",AJ264=""),"",AJ264-G264)</f>
        <v/>
      </c>
      <c r="AP264" s="50" t="str">
        <f aca="false">IF(AND(A264="",B264=""),"",IF(J264="","Status needed",IF(OR(J264="Applied",J264="Visit booked",J264="Withdrawn"),"OK",IF(G264="","Date assessed needed",IF(C264="","Date of birth needed",IF(COUNTA(L264,M264,P264,U264,V264,X264,AB264)&lt;7,"Band missing",IF(AND(OR(J264="Decision confirmed",J264="Family told",J264="Enrolled"),AG264=""),"Recommendation needed",IF(AND(OR(J264="Family told",J264="Enrolled"),AJ264=""),"Date family told needed","OK"))))))))</f>
        <v/>
      </c>
    </row>
    <row r="265" customFormat="false" ht="15" hidden="false" customHeight="false" outlineLevel="0" collapsed="false">
      <c r="A265" s="7"/>
      <c r="B265" s="7"/>
      <c r="C265" s="46"/>
      <c r="D265" s="7"/>
      <c r="E265" s="47"/>
      <c r="F265" s="46"/>
      <c r="G265" s="46"/>
      <c r="H265" s="7"/>
      <c r="I265" s="7"/>
      <c r="J265" s="47"/>
      <c r="K265" s="47"/>
      <c r="L265" s="47"/>
      <c r="M265" s="47"/>
      <c r="N265" s="10"/>
      <c r="O265" s="47"/>
      <c r="P265" s="47"/>
      <c r="Q265" s="47"/>
      <c r="R265" s="48" t="str">
        <f aca="false">IF(Q265="","",IF(Q265=0,"below 5:00",IF(Q265&gt;=66,"16:00 or above",INT((60+2*Q265)/12)&amp;":"&amp;TEXT(MOD(60+2*Q265,12),"00"))))</f>
        <v/>
      </c>
      <c r="S265" s="47"/>
      <c r="T265" s="47"/>
      <c r="U265" s="47"/>
      <c r="V265" s="47"/>
      <c r="W265" s="47"/>
      <c r="X265" s="47"/>
      <c r="Y265" s="47"/>
      <c r="Z265" s="47"/>
      <c r="AA265" s="47"/>
      <c r="AB265" s="47"/>
      <c r="AC265" s="47"/>
      <c r="AD265" s="47"/>
      <c r="AE265" s="47"/>
      <c r="AF265" s="47"/>
      <c r="AG265" s="47"/>
      <c r="AH265" s="47"/>
      <c r="AI265" s="46"/>
      <c r="AJ265" s="46"/>
      <c r="AK265" s="46"/>
      <c r="AL265" s="7"/>
      <c r="AM265" s="49" t="str">
        <f aca="false">IF(OR(C265="",G265=""),"",IFERROR(DATEDIF(C265,G265,"m"),""))</f>
        <v/>
      </c>
      <c r="AN265" s="49" t="str">
        <f aca="false">IF(OR(Q265="",AM265=""),"",60+2*Q265-AM265)</f>
        <v/>
      </c>
      <c r="AO265" s="49" t="str">
        <f aca="false">IF(OR(G265="",AJ265=""),"",AJ265-G265)</f>
        <v/>
      </c>
      <c r="AP265" s="50" t="str">
        <f aca="false">IF(AND(A265="",B265=""),"",IF(J265="","Status needed",IF(OR(J265="Applied",J265="Visit booked",J265="Withdrawn"),"OK",IF(G265="","Date assessed needed",IF(C265="","Date of birth needed",IF(COUNTA(L265,M265,P265,U265,V265,X265,AB265)&lt;7,"Band missing",IF(AND(OR(J265="Decision confirmed",J265="Family told",J265="Enrolled"),AG265=""),"Recommendation needed",IF(AND(OR(J265="Family told",J265="Enrolled"),AJ265=""),"Date family told needed","OK"))))))))</f>
        <v/>
      </c>
    </row>
    <row r="266" customFormat="false" ht="15" hidden="false" customHeight="false" outlineLevel="0" collapsed="false">
      <c r="A266" s="7"/>
      <c r="B266" s="7"/>
      <c r="C266" s="46"/>
      <c r="D266" s="7"/>
      <c r="E266" s="47"/>
      <c r="F266" s="46"/>
      <c r="G266" s="46"/>
      <c r="H266" s="7"/>
      <c r="I266" s="7"/>
      <c r="J266" s="47"/>
      <c r="K266" s="47"/>
      <c r="L266" s="47"/>
      <c r="M266" s="47"/>
      <c r="N266" s="10"/>
      <c r="O266" s="47"/>
      <c r="P266" s="47"/>
      <c r="Q266" s="47"/>
      <c r="R266" s="48" t="str">
        <f aca="false">IF(Q266="","",IF(Q266=0,"below 5:00",IF(Q266&gt;=66,"16:00 or above",INT((60+2*Q266)/12)&amp;":"&amp;TEXT(MOD(60+2*Q266,12),"00"))))</f>
        <v/>
      </c>
      <c r="S266" s="47"/>
      <c r="T266" s="47"/>
      <c r="U266" s="47"/>
      <c r="V266" s="47"/>
      <c r="W266" s="47"/>
      <c r="X266" s="47"/>
      <c r="Y266" s="47"/>
      <c r="Z266" s="47"/>
      <c r="AA266" s="47"/>
      <c r="AB266" s="47"/>
      <c r="AC266" s="47"/>
      <c r="AD266" s="47"/>
      <c r="AE266" s="47"/>
      <c r="AF266" s="47"/>
      <c r="AG266" s="47"/>
      <c r="AH266" s="47"/>
      <c r="AI266" s="46"/>
      <c r="AJ266" s="46"/>
      <c r="AK266" s="46"/>
      <c r="AL266" s="7"/>
      <c r="AM266" s="49" t="str">
        <f aca="false">IF(OR(C266="",G266=""),"",IFERROR(DATEDIF(C266,G266,"m"),""))</f>
        <v/>
      </c>
      <c r="AN266" s="49" t="str">
        <f aca="false">IF(OR(Q266="",AM266=""),"",60+2*Q266-AM266)</f>
        <v/>
      </c>
      <c r="AO266" s="49" t="str">
        <f aca="false">IF(OR(G266="",AJ266=""),"",AJ266-G266)</f>
        <v/>
      </c>
      <c r="AP266" s="50" t="str">
        <f aca="false">IF(AND(A266="",B266=""),"",IF(J266="","Status needed",IF(OR(J266="Applied",J266="Visit booked",J266="Withdrawn"),"OK",IF(G266="","Date assessed needed",IF(C266="","Date of birth needed",IF(COUNTA(L266,M266,P266,U266,V266,X266,AB266)&lt;7,"Band missing",IF(AND(OR(J266="Decision confirmed",J266="Family told",J266="Enrolled"),AG266=""),"Recommendation needed",IF(AND(OR(J266="Family told",J266="Enrolled"),AJ266=""),"Date family told needed","OK"))))))))</f>
        <v/>
      </c>
    </row>
    <row r="267" customFormat="false" ht="15" hidden="false" customHeight="false" outlineLevel="0" collapsed="false">
      <c r="A267" s="7"/>
      <c r="B267" s="7"/>
      <c r="C267" s="46"/>
      <c r="D267" s="7"/>
      <c r="E267" s="47"/>
      <c r="F267" s="46"/>
      <c r="G267" s="46"/>
      <c r="H267" s="7"/>
      <c r="I267" s="7"/>
      <c r="J267" s="47"/>
      <c r="K267" s="47"/>
      <c r="L267" s="47"/>
      <c r="M267" s="47"/>
      <c r="N267" s="10"/>
      <c r="O267" s="47"/>
      <c r="P267" s="47"/>
      <c r="Q267" s="47"/>
      <c r="R267" s="48" t="str">
        <f aca="false">IF(Q267="","",IF(Q267=0,"below 5:00",IF(Q267&gt;=66,"16:00 or above",INT((60+2*Q267)/12)&amp;":"&amp;TEXT(MOD(60+2*Q267,12),"00"))))</f>
        <v/>
      </c>
      <c r="S267" s="47"/>
      <c r="T267" s="47"/>
      <c r="U267" s="47"/>
      <c r="V267" s="47"/>
      <c r="W267" s="47"/>
      <c r="X267" s="47"/>
      <c r="Y267" s="47"/>
      <c r="Z267" s="47"/>
      <c r="AA267" s="47"/>
      <c r="AB267" s="47"/>
      <c r="AC267" s="47"/>
      <c r="AD267" s="47"/>
      <c r="AE267" s="47"/>
      <c r="AF267" s="47"/>
      <c r="AG267" s="47"/>
      <c r="AH267" s="47"/>
      <c r="AI267" s="46"/>
      <c r="AJ267" s="46"/>
      <c r="AK267" s="46"/>
      <c r="AL267" s="7"/>
      <c r="AM267" s="49" t="str">
        <f aca="false">IF(OR(C267="",G267=""),"",IFERROR(DATEDIF(C267,G267,"m"),""))</f>
        <v/>
      </c>
      <c r="AN267" s="49" t="str">
        <f aca="false">IF(OR(Q267="",AM267=""),"",60+2*Q267-AM267)</f>
        <v/>
      </c>
      <c r="AO267" s="49" t="str">
        <f aca="false">IF(OR(G267="",AJ267=""),"",AJ267-G267)</f>
        <v/>
      </c>
      <c r="AP267" s="50" t="str">
        <f aca="false">IF(AND(A267="",B267=""),"",IF(J267="","Status needed",IF(OR(J267="Applied",J267="Visit booked",J267="Withdrawn"),"OK",IF(G267="","Date assessed needed",IF(C267="","Date of birth needed",IF(COUNTA(L267,M267,P267,U267,V267,X267,AB267)&lt;7,"Band missing",IF(AND(OR(J267="Decision confirmed",J267="Family told",J267="Enrolled"),AG267=""),"Recommendation needed",IF(AND(OR(J267="Family told",J267="Enrolled"),AJ267=""),"Date family told needed","OK"))))))))</f>
        <v/>
      </c>
    </row>
    <row r="268" customFormat="false" ht="15" hidden="false" customHeight="false" outlineLevel="0" collapsed="false">
      <c r="A268" s="7"/>
      <c r="B268" s="7"/>
      <c r="C268" s="46"/>
      <c r="D268" s="7"/>
      <c r="E268" s="47"/>
      <c r="F268" s="46"/>
      <c r="G268" s="46"/>
      <c r="H268" s="7"/>
      <c r="I268" s="7"/>
      <c r="J268" s="47"/>
      <c r="K268" s="47"/>
      <c r="L268" s="47"/>
      <c r="M268" s="47"/>
      <c r="N268" s="10"/>
      <c r="O268" s="47"/>
      <c r="P268" s="47"/>
      <c r="Q268" s="47"/>
      <c r="R268" s="48" t="str">
        <f aca="false">IF(Q268="","",IF(Q268=0,"below 5:00",IF(Q268&gt;=66,"16:00 or above",INT((60+2*Q268)/12)&amp;":"&amp;TEXT(MOD(60+2*Q268,12),"00"))))</f>
        <v/>
      </c>
      <c r="S268" s="47"/>
      <c r="T268" s="47"/>
      <c r="U268" s="47"/>
      <c r="V268" s="47"/>
      <c r="W268" s="47"/>
      <c r="X268" s="47"/>
      <c r="Y268" s="47"/>
      <c r="Z268" s="47"/>
      <c r="AA268" s="47"/>
      <c r="AB268" s="47"/>
      <c r="AC268" s="47"/>
      <c r="AD268" s="47"/>
      <c r="AE268" s="47"/>
      <c r="AF268" s="47"/>
      <c r="AG268" s="47"/>
      <c r="AH268" s="47"/>
      <c r="AI268" s="46"/>
      <c r="AJ268" s="46"/>
      <c r="AK268" s="46"/>
      <c r="AL268" s="7"/>
      <c r="AM268" s="49" t="str">
        <f aca="false">IF(OR(C268="",G268=""),"",IFERROR(DATEDIF(C268,G268,"m"),""))</f>
        <v/>
      </c>
      <c r="AN268" s="49" t="str">
        <f aca="false">IF(OR(Q268="",AM268=""),"",60+2*Q268-AM268)</f>
        <v/>
      </c>
      <c r="AO268" s="49" t="str">
        <f aca="false">IF(OR(G268="",AJ268=""),"",AJ268-G268)</f>
        <v/>
      </c>
      <c r="AP268" s="50" t="str">
        <f aca="false">IF(AND(A268="",B268=""),"",IF(J268="","Status needed",IF(OR(J268="Applied",J268="Visit booked",J268="Withdrawn"),"OK",IF(G268="","Date assessed needed",IF(C268="","Date of birth needed",IF(COUNTA(L268,M268,P268,U268,V268,X268,AB268)&lt;7,"Band missing",IF(AND(OR(J268="Decision confirmed",J268="Family told",J268="Enrolled"),AG268=""),"Recommendation needed",IF(AND(OR(J268="Family told",J268="Enrolled"),AJ268=""),"Date family told needed","OK"))))))))</f>
        <v/>
      </c>
    </row>
    <row r="269" customFormat="false" ht="15" hidden="false" customHeight="false" outlineLevel="0" collapsed="false">
      <c r="A269" s="7"/>
      <c r="B269" s="7"/>
      <c r="C269" s="46"/>
      <c r="D269" s="7"/>
      <c r="E269" s="47"/>
      <c r="F269" s="46"/>
      <c r="G269" s="46"/>
      <c r="H269" s="7"/>
      <c r="I269" s="7"/>
      <c r="J269" s="47"/>
      <c r="K269" s="47"/>
      <c r="L269" s="47"/>
      <c r="M269" s="47"/>
      <c r="N269" s="10"/>
      <c r="O269" s="47"/>
      <c r="P269" s="47"/>
      <c r="Q269" s="47"/>
      <c r="R269" s="48" t="str">
        <f aca="false">IF(Q269="","",IF(Q269=0,"below 5:00",IF(Q269&gt;=66,"16:00 or above",INT((60+2*Q269)/12)&amp;":"&amp;TEXT(MOD(60+2*Q269,12),"00"))))</f>
        <v/>
      </c>
      <c r="S269" s="47"/>
      <c r="T269" s="47"/>
      <c r="U269" s="47"/>
      <c r="V269" s="47"/>
      <c r="W269" s="47"/>
      <c r="X269" s="47"/>
      <c r="Y269" s="47"/>
      <c r="Z269" s="47"/>
      <c r="AA269" s="47"/>
      <c r="AB269" s="47"/>
      <c r="AC269" s="47"/>
      <c r="AD269" s="47"/>
      <c r="AE269" s="47"/>
      <c r="AF269" s="47"/>
      <c r="AG269" s="47"/>
      <c r="AH269" s="47"/>
      <c r="AI269" s="46"/>
      <c r="AJ269" s="46"/>
      <c r="AK269" s="46"/>
      <c r="AL269" s="7"/>
      <c r="AM269" s="49" t="str">
        <f aca="false">IF(OR(C269="",G269=""),"",IFERROR(DATEDIF(C269,G269,"m"),""))</f>
        <v/>
      </c>
      <c r="AN269" s="49" t="str">
        <f aca="false">IF(OR(Q269="",AM269=""),"",60+2*Q269-AM269)</f>
        <v/>
      </c>
      <c r="AO269" s="49" t="str">
        <f aca="false">IF(OR(G269="",AJ269=""),"",AJ269-G269)</f>
        <v/>
      </c>
      <c r="AP269" s="50" t="str">
        <f aca="false">IF(AND(A269="",B269=""),"",IF(J269="","Status needed",IF(OR(J269="Applied",J269="Visit booked",J269="Withdrawn"),"OK",IF(G269="","Date assessed needed",IF(C269="","Date of birth needed",IF(COUNTA(L269,M269,P269,U269,V269,X269,AB269)&lt;7,"Band missing",IF(AND(OR(J269="Decision confirmed",J269="Family told",J269="Enrolled"),AG269=""),"Recommendation needed",IF(AND(OR(J269="Family told",J269="Enrolled"),AJ269=""),"Date family told needed","OK"))))))))</f>
        <v/>
      </c>
    </row>
    <row r="270" customFormat="false" ht="15" hidden="false" customHeight="false" outlineLevel="0" collapsed="false">
      <c r="A270" s="7"/>
      <c r="B270" s="7"/>
      <c r="C270" s="46"/>
      <c r="D270" s="7"/>
      <c r="E270" s="47"/>
      <c r="F270" s="46"/>
      <c r="G270" s="46"/>
      <c r="H270" s="7"/>
      <c r="I270" s="7"/>
      <c r="J270" s="47"/>
      <c r="K270" s="47"/>
      <c r="L270" s="47"/>
      <c r="M270" s="47"/>
      <c r="N270" s="10"/>
      <c r="O270" s="47"/>
      <c r="P270" s="47"/>
      <c r="Q270" s="47"/>
      <c r="R270" s="48" t="str">
        <f aca="false">IF(Q270="","",IF(Q270=0,"below 5:00",IF(Q270&gt;=66,"16:00 or above",INT((60+2*Q270)/12)&amp;":"&amp;TEXT(MOD(60+2*Q270,12),"00"))))</f>
        <v/>
      </c>
      <c r="S270" s="47"/>
      <c r="T270" s="47"/>
      <c r="U270" s="47"/>
      <c r="V270" s="47"/>
      <c r="W270" s="47"/>
      <c r="X270" s="47"/>
      <c r="Y270" s="47"/>
      <c r="Z270" s="47"/>
      <c r="AA270" s="47"/>
      <c r="AB270" s="47"/>
      <c r="AC270" s="47"/>
      <c r="AD270" s="47"/>
      <c r="AE270" s="47"/>
      <c r="AF270" s="47"/>
      <c r="AG270" s="47"/>
      <c r="AH270" s="47"/>
      <c r="AI270" s="46"/>
      <c r="AJ270" s="46"/>
      <c r="AK270" s="46"/>
      <c r="AL270" s="7"/>
      <c r="AM270" s="49" t="str">
        <f aca="false">IF(OR(C270="",G270=""),"",IFERROR(DATEDIF(C270,G270,"m"),""))</f>
        <v/>
      </c>
      <c r="AN270" s="49" t="str">
        <f aca="false">IF(OR(Q270="",AM270=""),"",60+2*Q270-AM270)</f>
        <v/>
      </c>
      <c r="AO270" s="49" t="str">
        <f aca="false">IF(OR(G270="",AJ270=""),"",AJ270-G270)</f>
        <v/>
      </c>
      <c r="AP270" s="50" t="str">
        <f aca="false">IF(AND(A270="",B270=""),"",IF(J270="","Status needed",IF(OR(J270="Applied",J270="Visit booked",J270="Withdrawn"),"OK",IF(G270="","Date assessed needed",IF(C270="","Date of birth needed",IF(COUNTA(L270,M270,P270,U270,V270,X270,AB270)&lt;7,"Band missing",IF(AND(OR(J270="Decision confirmed",J270="Family told",J270="Enrolled"),AG270=""),"Recommendation needed",IF(AND(OR(J270="Family told",J270="Enrolled"),AJ270=""),"Date family told needed","OK"))))))))</f>
        <v/>
      </c>
    </row>
    <row r="271" customFormat="false" ht="15" hidden="false" customHeight="false" outlineLevel="0" collapsed="false">
      <c r="A271" s="7"/>
      <c r="B271" s="7"/>
      <c r="C271" s="46"/>
      <c r="D271" s="7"/>
      <c r="E271" s="47"/>
      <c r="F271" s="46"/>
      <c r="G271" s="46"/>
      <c r="H271" s="7"/>
      <c r="I271" s="7"/>
      <c r="J271" s="47"/>
      <c r="K271" s="47"/>
      <c r="L271" s="47"/>
      <c r="M271" s="47"/>
      <c r="N271" s="10"/>
      <c r="O271" s="47"/>
      <c r="P271" s="47"/>
      <c r="Q271" s="47"/>
      <c r="R271" s="48" t="str">
        <f aca="false">IF(Q271="","",IF(Q271=0,"below 5:00",IF(Q271&gt;=66,"16:00 or above",INT((60+2*Q271)/12)&amp;":"&amp;TEXT(MOD(60+2*Q271,12),"00"))))</f>
        <v/>
      </c>
      <c r="S271" s="47"/>
      <c r="T271" s="47"/>
      <c r="U271" s="47"/>
      <c r="V271" s="47"/>
      <c r="W271" s="47"/>
      <c r="X271" s="47"/>
      <c r="Y271" s="47"/>
      <c r="Z271" s="47"/>
      <c r="AA271" s="47"/>
      <c r="AB271" s="47"/>
      <c r="AC271" s="47"/>
      <c r="AD271" s="47"/>
      <c r="AE271" s="47"/>
      <c r="AF271" s="47"/>
      <c r="AG271" s="47"/>
      <c r="AH271" s="47"/>
      <c r="AI271" s="46"/>
      <c r="AJ271" s="46"/>
      <c r="AK271" s="46"/>
      <c r="AL271" s="7"/>
      <c r="AM271" s="49" t="str">
        <f aca="false">IF(OR(C271="",G271=""),"",IFERROR(DATEDIF(C271,G271,"m"),""))</f>
        <v/>
      </c>
      <c r="AN271" s="49" t="str">
        <f aca="false">IF(OR(Q271="",AM271=""),"",60+2*Q271-AM271)</f>
        <v/>
      </c>
      <c r="AO271" s="49" t="str">
        <f aca="false">IF(OR(G271="",AJ271=""),"",AJ271-G271)</f>
        <v/>
      </c>
      <c r="AP271" s="50" t="str">
        <f aca="false">IF(AND(A271="",B271=""),"",IF(J271="","Status needed",IF(OR(J271="Applied",J271="Visit booked",J271="Withdrawn"),"OK",IF(G271="","Date assessed needed",IF(C271="","Date of birth needed",IF(COUNTA(L271,M271,P271,U271,V271,X271,AB271)&lt;7,"Band missing",IF(AND(OR(J271="Decision confirmed",J271="Family told",J271="Enrolled"),AG271=""),"Recommendation needed",IF(AND(OR(J271="Family told",J271="Enrolled"),AJ271=""),"Date family told needed","OK"))))))))</f>
        <v/>
      </c>
    </row>
    <row r="272" customFormat="false" ht="15" hidden="false" customHeight="false" outlineLevel="0" collapsed="false">
      <c r="A272" s="7"/>
      <c r="B272" s="7"/>
      <c r="C272" s="46"/>
      <c r="D272" s="7"/>
      <c r="E272" s="47"/>
      <c r="F272" s="46"/>
      <c r="G272" s="46"/>
      <c r="H272" s="7"/>
      <c r="I272" s="7"/>
      <c r="J272" s="47"/>
      <c r="K272" s="47"/>
      <c r="L272" s="47"/>
      <c r="M272" s="47"/>
      <c r="N272" s="10"/>
      <c r="O272" s="47"/>
      <c r="P272" s="47"/>
      <c r="Q272" s="47"/>
      <c r="R272" s="48" t="str">
        <f aca="false">IF(Q272="","",IF(Q272=0,"below 5:00",IF(Q272&gt;=66,"16:00 or above",INT((60+2*Q272)/12)&amp;":"&amp;TEXT(MOD(60+2*Q272,12),"00"))))</f>
        <v/>
      </c>
      <c r="S272" s="47"/>
      <c r="T272" s="47"/>
      <c r="U272" s="47"/>
      <c r="V272" s="47"/>
      <c r="W272" s="47"/>
      <c r="X272" s="47"/>
      <c r="Y272" s="47"/>
      <c r="Z272" s="47"/>
      <c r="AA272" s="47"/>
      <c r="AB272" s="47"/>
      <c r="AC272" s="47"/>
      <c r="AD272" s="47"/>
      <c r="AE272" s="47"/>
      <c r="AF272" s="47"/>
      <c r="AG272" s="47"/>
      <c r="AH272" s="47"/>
      <c r="AI272" s="46"/>
      <c r="AJ272" s="46"/>
      <c r="AK272" s="46"/>
      <c r="AL272" s="7"/>
      <c r="AM272" s="49" t="str">
        <f aca="false">IF(OR(C272="",G272=""),"",IFERROR(DATEDIF(C272,G272,"m"),""))</f>
        <v/>
      </c>
      <c r="AN272" s="49" t="str">
        <f aca="false">IF(OR(Q272="",AM272=""),"",60+2*Q272-AM272)</f>
        <v/>
      </c>
      <c r="AO272" s="49" t="str">
        <f aca="false">IF(OR(G272="",AJ272=""),"",AJ272-G272)</f>
        <v/>
      </c>
      <c r="AP272" s="50" t="str">
        <f aca="false">IF(AND(A272="",B272=""),"",IF(J272="","Status needed",IF(OR(J272="Applied",J272="Visit booked",J272="Withdrawn"),"OK",IF(G272="","Date assessed needed",IF(C272="","Date of birth needed",IF(COUNTA(L272,M272,P272,U272,V272,X272,AB272)&lt;7,"Band missing",IF(AND(OR(J272="Decision confirmed",J272="Family told",J272="Enrolled"),AG272=""),"Recommendation needed",IF(AND(OR(J272="Family told",J272="Enrolled"),AJ272=""),"Date family told needed","OK"))))))))</f>
        <v/>
      </c>
    </row>
    <row r="273" customFormat="false" ht="15" hidden="false" customHeight="false" outlineLevel="0" collapsed="false">
      <c r="A273" s="7"/>
      <c r="B273" s="7"/>
      <c r="C273" s="46"/>
      <c r="D273" s="7"/>
      <c r="E273" s="47"/>
      <c r="F273" s="46"/>
      <c r="G273" s="46"/>
      <c r="H273" s="7"/>
      <c r="I273" s="7"/>
      <c r="J273" s="47"/>
      <c r="K273" s="47"/>
      <c r="L273" s="47"/>
      <c r="M273" s="47"/>
      <c r="N273" s="10"/>
      <c r="O273" s="47"/>
      <c r="P273" s="47"/>
      <c r="Q273" s="47"/>
      <c r="R273" s="48" t="str">
        <f aca="false">IF(Q273="","",IF(Q273=0,"below 5:00",IF(Q273&gt;=66,"16:00 or above",INT((60+2*Q273)/12)&amp;":"&amp;TEXT(MOD(60+2*Q273,12),"00"))))</f>
        <v/>
      </c>
      <c r="S273" s="47"/>
      <c r="T273" s="47"/>
      <c r="U273" s="47"/>
      <c r="V273" s="47"/>
      <c r="W273" s="47"/>
      <c r="X273" s="47"/>
      <c r="Y273" s="47"/>
      <c r="Z273" s="47"/>
      <c r="AA273" s="47"/>
      <c r="AB273" s="47"/>
      <c r="AC273" s="47"/>
      <c r="AD273" s="47"/>
      <c r="AE273" s="47"/>
      <c r="AF273" s="47"/>
      <c r="AG273" s="47"/>
      <c r="AH273" s="47"/>
      <c r="AI273" s="46"/>
      <c r="AJ273" s="46"/>
      <c r="AK273" s="46"/>
      <c r="AL273" s="7"/>
      <c r="AM273" s="49" t="str">
        <f aca="false">IF(OR(C273="",G273=""),"",IFERROR(DATEDIF(C273,G273,"m"),""))</f>
        <v/>
      </c>
      <c r="AN273" s="49" t="str">
        <f aca="false">IF(OR(Q273="",AM273=""),"",60+2*Q273-AM273)</f>
        <v/>
      </c>
      <c r="AO273" s="49" t="str">
        <f aca="false">IF(OR(G273="",AJ273=""),"",AJ273-G273)</f>
        <v/>
      </c>
      <c r="AP273" s="50" t="str">
        <f aca="false">IF(AND(A273="",B273=""),"",IF(J273="","Status needed",IF(OR(J273="Applied",J273="Visit booked",J273="Withdrawn"),"OK",IF(G273="","Date assessed needed",IF(C273="","Date of birth needed",IF(COUNTA(L273,M273,P273,U273,V273,X273,AB273)&lt;7,"Band missing",IF(AND(OR(J273="Decision confirmed",J273="Family told",J273="Enrolled"),AG273=""),"Recommendation needed",IF(AND(OR(J273="Family told",J273="Enrolled"),AJ273=""),"Date family told needed","OK"))))))))</f>
        <v/>
      </c>
    </row>
    <row r="274" customFormat="false" ht="15" hidden="false" customHeight="false" outlineLevel="0" collapsed="false">
      <c r="A274" s="7"/>
      <c r="B274" s="7"/>
      <c r="C274" s="46"/>
      <c r="D274" s="7"/>
      <c r="E274" s="47"/>
      <c r="F274" s="46"/>
      <c r="G274" s="46"/>
      <c r="H274" s="7"/>
      <c r="I274" s="7"/>
      <c r="J274" s="47"/>
      <c r="K274" s="47"/>
      <c r="L274" s="47"/>
      <c r="M274" s="47"/>
      <c r="N274" s="10"/>
      <c r="O274" s="47"/>
      <c r="P274" s="47"/>
      <c r="Q274" s="47"/>
      <c r="R274" s="48" t="str">
        <f aca="false">IF(Q274="","",IF(Q274=0,"below 5:00",IF(Q274&gt;=66,"16:00 or above",INT((60+2*Q274)/12)&amp;":"&amp;TEXT(MOD(60+2*Q274,12),"00"))))</f>
        <v/>
      </c>
      <c r="S274" s="47"/>
      <c r="T274" s="47"/>
      <c r="U274" s="47"/>
      <c r="V274" s="47"/>
      <c r="W274" s="47"/>
      <c r="X274" s="47"/>
      <c r="Y274" s="47"/>
      <c r="Z274" s="47"/>
      <c r="AA274" s="47"/>
      <c r="AB274" s="47"/>
      <c r="AC274" s="47"/>
      <c r="AD274" s="47"/>
      <c r="AE274" s="47"/>
      <c r="AF274" s="47"/>
      <c r="AG274" s="47"/>
      <c r="AH274" s="47"/>
      <c r="AI274" s="46"/>
      <c r="AJ274" s="46"/>
      <c r="AK274" s="46"/>
      <c r="AL274" s="7"/>
      <c r="AM274" s="49" t="str">
        <f aca="false">IF(OR(C274="",G274=""),"",IFERROR(DATEDIF(C274,G274,"m"),""))</f>
        <v/>
      </c>
      <c r="AN274" s="49" t="str">
        <f aca="false">IF(OR(Q274="",AM274=""),"",60+2*Q274-AM274)</f>
        <v/>
      </c>
      <c r="AO274" s="49" t="str">
        <f aca="false">IF(OR(G274="",AJ274=""),"",AJ274-G274)</f>
        <v/>
      </c>
      <c r="AP274" s="50" t="str">
        <f aca="false">IF(AND(A274="",B274=""),"",IF(J274="","Status needed",IF(OR(J274="Applied",J274="Visit booked",J274="Withdrawn"),"OK",IF(G274="","Date assessed needed",IF(C274="","Date of birth needed",IF(COUNTA(L274,M274,P274,U274,V274,X274,AB274)&lt;7,"Band missing",IF(AND(OR(J274="Decision confirmed",J274="Family told",J274="Enrolled"),AG274=""),"Recommendation needed",IF(AND(OR(J274="Family told",J274="Enrolled"),AJ274=""),"Date family told needed","OK"))))))))</f>
        <v/>
      </c>
    </row>
    <row r="275" customFormat="false" ht="15" hidden="false" customHeight="false" outlineLevel="0" collapsed="false">
      <c r="A275" s="7"/>
      <c r="B275" s="7"/>
      <c r="C275" s="46"/>
      <c r="D275" s="7"/>
      <c r="E275" s="47"/>
      <c r="F275" s="46"/>
      <c r="G275" s="46"/>
      <c r="H275" s="7"/>
      <c r="I275" s="7"/>
      <c r="J275" s="47"/>
      <c r="K275" s="47"/>
      <c r="L275" s="47"/>
      <c r="M275" s="47"/>
      <c r="N275" s="10"/>
      <c r="O275" s="47"/>
      <c r="P275" s="47"/>
      <c r="Q275" s="47"/>
      <c r="R275" s="48" t="str">
        <f aca="false">IF(Q275="","",IF(Q275=0,"below 5:00",IF(Q275&gt;=66,"16:00 or above",INT((60+2*Q275)/12)&amp;":"&amp;TEXT(MOD(60+2*Q275,12),"00"))))</f>
        <v/>
      </c>
      <c r="S275" s="47"/>
      <c r="T275" s="47"/>
      <c r="U275" s="47"/>
      <c r="V275" s="47"/>
      <c r="W275" s="47"/>
      <c r="X275" s="47"/>
      <c r="Y275" s="47"/>
      <c r="Z275" s="47"/>
      <c r="AA275" s="47"/>
      <c r="AB275" s="47"/>
      <c r="AC275" s="47"/>
      <c r="AD275" s="47"/>
      <c r="AE275" s="47"/>
      <c r="AF275" s="47"/>
      <c r="AG275" s="47"/>
      <c r="AH275" s="47"/>
      <c r="AI275" s="46"/>
      <c r="AJ275" s="46"/>
      <c r="AK275" s="46"/>
      <c r="AL275" s="7"/>
      <c r="AM275" s="49" t="str">
        <f aca="false">IF(OR(C275="",G275=""),"",IFERROR(DATEDIF(C275,G275,"m"),""))</f>
        <v/>
      </c>
      <c r="AN275" s="49" t="str">
        <f aca="false">IF(OR(Q275="",AM275=""),"",60+2*Q275-AM275)</f>
        <v/>
      </c>
      <c r="AO275" s="49" t="str">
        <f aca="false">IF(OR(G275="",AJ275=""),"",AJ275-G275)</f>
        <v/>
      </c>
      <c r="AP275" s="50" t="str">
        <f aca="false">IF(AND(A275="",B275=""),"",IF(J275="","Status needed",IF(OR(J275="Applied",J275="Visit booked",J275="Withdrawn"),"OK",IF(G275="","Date assessed needed",IF(C275="","Date of birth needed",IF(COUNTA(L275,M275,P275,U275,V275,X275,AB275)&lt;7,"Band missing",IF(AND(OR(J275="Decision confirmed",J275="Family told",J275="Enrolled"),AG275=""),"Recommendation needed",IF(AND(OR(J275="Family told",J275="Enrolled"),AJ275=""),"Date family told needed","OK"))))))))</f>
        <v/>
      </c>
    </row>
    <row r="276" customFormat="false" ht="15" hidden="false" customHeight="false" outlineLevel="0" collapsed="false">
      <c r="A276" s="7"/>
      <c r="B276" s="7"/>
      <c r="C276" s="46"/>
      <c r="D276" s="7"/>
      <c r="E276" s="47"/>
      <c r="F276" s="46"/>
      <c r="G276" s="46"/>
      <c r="H276" s="7"/>
      <c r="I276" s="7"/>
      <c r="J276" s="47"/>
      <c r="K276" s="47"/>
      <c r="L276" s="47"/>
      <c r="M276" s="47"/>
      <c r="N276" s="10"/>
      <c r="O276" s="47"/>
      <c r="P276" s="47"/>
      <c r="Q276" s="47"/>
      <c r="R276" s="48" t="str">
        <f aca="false">IF(Q276="","",IF(Q276=0,"below 5:00",IF(Q276&gt;=66,"16:00 or above",INT((60+2*Q276)/12)&amp;":"&amp;TEXT(MOD(60+2*Q276,12),"00"))))</f>
        <v/>
      </c>
      <c r="S276" s="47"/>
      <c r="T276" s="47"/>
      <c r="U276" s="47"/>
      <c r="V276" s="47"/>
      <c r="W276" s="47"/>
      <c r="X276" s="47"/>
      <c r="Y276" s="47"/>
      <c r="Z276" s="47"/>
      <c r="AA276" s="47"/>
      <c r="AB276" s="47"/>
      <c r="AC276" s="47"/>
      <c r="AD276" s="47"/>
      <c r="AE276" s="47"/>
      <c r="AF276" s="47"/>
      <c r="AG276" s="47"/>
      <c r="AH276" s="47"/>
      <c r="AI276" s="46"/>
      <c r="AJ276" s="46"/>
      <c r="AK276" s="46"/>
      <c r="AL276" s="7"/>
      <c r="AM276" s="49" t="str">
        <f aca="false">IF(OR(C276="",G276=""),"",IFERROR(DATEDIF(C276,G276,"m"),""))</f>
        <v/>
      </c>
      <c r="AN276" s="49" t="str">
        <f aca="false">IF(OR(Q276="",AM276=""),"",60+2*Q276-AM276)</f>
        <v/>
      </c>
      <c r="AO276" s="49" t="str">
        <f aca="false">IF(OR(G276="",AJ276=""),"",AJ276-G276)</f>
        <v/>
      </c>
      <c r="AP276" s="50" t="str">
        <f aca="false">IF(AND(A276="",B276=""),"",IF(J276="","Status needed",IF(OR(J276="Applied",J276="Visit booked",J276="Withdrawn"),"OK",IF(G276="","Date assessed needed",IF(C276="","Date of birth needed",IF(COUNTA(L276,M276,P276,U276,V276,X276,AB276)&lt;7,"Band missing",IF(AND(OR(J276="Decision confirmed",J276="Family told",J276="Enrolled"),AG276=""),"Recommendation needed",IF(AND(OR(J276="Family told",J276="Enrolled"),AJ276=""),"Date family told needed","OK"))))))))</f>
        <v/>
      </c>
    </row>
    <row r="277" customFormat="false" ht="15" hidden="false" customHeight="false" outlineLevel="0" collapsed="false">
      <c r="A277" s="7"/>
      <c r="B277" s="7"/>
      <c r="C277" s="46"/>
      <c r="D277" s="7"/>
      <c r="E277" s="47"/>
      <c r="F277" s="46"/>
      <c r="G277" s="46"/>
      <c r="H277" s="7"/>
      <c r="I277" s="7"/>
      <c r="J277" s="47"/>
      <c r="K277" s="47"/>
      <c r="L277" s="47"/>
      <c r="M277" s="47"/>
      <c r="N277" s="10"/>
      <c r="O277" s="47"/>
      <c r="P277" s="47"/>
      <c r="Q277" s="47"/>
      <c r="R277" s="48" t="str">
        <f aca="false">IF(Q277="","",IF(Q277=0,"below 5:00",IF(Q277&gt;=66,"16:00 or above",INT((60+2*Q277)/12)&amp;":"&amp;TEXT(MOD(60+2*Q277,12),"00"))))</f>
        <v/>
      </c>
      <c r="S277" s="47"/>
      <c r="T277" s="47"/>
      <c r="U277" s="47"/>
      <c r="V277" s="47"/>
      <c r="W277" s="47"/>
      <c r="X277" s="47"/>
      <c r="Y277" s="47"/>
      <c r="Z277" s="47"/>
      <c r="AA277" s="47"/>
      <c r="AB277" s="47"/>
      <c r="AC277" s="47"/>
      <c r="AD277" s="47"/>
      <c r="AE277" s="47"/>
      <c r="AF277" s="47"/>
      <c r="AG277" s="47"/>
      <c r="AH277" s="47"/>
      <c r="AI277" s="46"/>
      <c r="AJ277" s="46"/>
      <c r="AK277" s="46"/>
      <c r="AL277" s="7"/>
      <c r="AM277" s="49" t="str">
        <f aca="false">IF(OR(C277="",G277=""),"",IFERROR(DATEDIF(C277,G277,"m"),""))</f>
        <v/>
      </c>
      <c r="AN277" s="49" t="str">
        <f aca="false">IF(OR(Q277="",AM277=""),"",60+2*Q277-AM277)</f>
        <v/>
      </c>
      <c r="AO277" s="49" t="str">
        <f aca="false">IF(OR(G277="",AJ277=""),"",AJ277-G277)</f>
        <v/>
      </c>
      <c r="AP277" s="50" t="str">
        <f aca="false">IF(AND(A277="",B277=""),"",IF(J277="","Status needed",IF(OR(J277="Applied",J277="Visit booked",J277="Withdrawn"),"OK",IF(G277="","Date assessed needed",IF(C277="","Date of birth needed",IF(COUNTA(L277,M277,P277,U277,V277,X277,AB277)&lt;7,"Band missing",IF(AND(OR(J277="Decision confirmed",J277="Family told",J277="Enrolled"),AG277=""),"Recommendation needed",IF(AND(OR(J277="Family told",J277="Enrolled"),AJ277=""),"Date family told needed","OK"))))))))</f>
        <v/>
      </c>
    </row>
    <row r="278" customFormat="false" ht="15" hidden="false" customHeight="false" outlineLevel="0" collapsed="false">
      <c r="A278" s="7"/>
      <c r="B278" s="7"/>
      <c r="C278" s="46"/>
      <c r="D278" s="7"/>
      <c r="E278" s="47"/>
      <c r="F278" s="46"/>
      <c r="G278" s="46"/>
      <c r="H278" s="7"/>
      <c r="I278" s="7"/>
      <c r="J278" s="47"/>
      <c r="K278" s="47"/>
      <c r="L278" s="47"/>
      <c r="M278" s="47"/>
      <c r="N278" s="10"/>
      <c r="O278" s="47"/>
      <c r="P278" s="47"/>
      <c r="Q278" s="47"/>
      <c r="R278" s="48" t="str">
        <f aca="false">IF(Q278="","",IF(Q278=0,"below 5:00",IF(Q278&gt;=66,"16:00 or above",INT((60+2*Q278)/12)&amp;":"&amp;TEXT(MOD(60+2*Q278,12),"00"))))</f>
        <v/>
      </c>
      <c r="S278" s="47"/>
      <c r="T278" s="47"/>
      <c r="U278" s="47"/>
      <c r="V278" s="47"/>
      <c r="W278" s="47"/>
      <c r="X278" s="47"/>
      <c r="Y278" s="47"/>
      <c r="Z278" s="47"/>
      <c r="AA278" s="47"/>
      <c r="AB278" s="47"/>
      <c r="AC278" s="47"/>
      <c r="AD278" s="47"/>
      <c r="AE278" s="47"/>
      <c r="AF278" s="47"/>
      <c r="AG278" s="47"/>
      <c r="AH278" s="47"/>
      <c r="AI278" s="46"/>
      <c r="AJ278" s="46"/>
      <c r="AK278" s="46"/>
      <c r="AL278" s="7"/>
      <c r="AM278" s="49" t="str">
        <f aca="false">IF(OR(C278="",G278=""),"",IFERROR(DATEDIF(C278,G278,"m"),""))</f>
        <v/>
      </c>
      <c r="AN278" s="49" t="str">
        <f aca="false">IF(OR(Q278="",AM278=""),"",60+2*Q278-AM278)</f>
        <v/>
      </c>
      <c r="AO278" s="49" t="str">
        <f aca="false">IF(OR(G278="",AJ278=""),"",AJ278-G278)</f>
        <v/>
      </c>
      <c r="AP278" s="50" t="str">
        <f aca="false">IF(AND(A278="",B278=""),"",IF(J278="","Status needed",IF(OR(J278="Applied",J278="Visit booked",J278="Withdrawn"),"OK",IF(G278="","Date assessed needed",IF(C278="","Date of birth needed",IF(COUNTA(L278,M278,P278,U278,V278,X278,AB278)&lt;7,"Band missing",IF(AND(OR(J278="Decision confirmed",J278="Family told",J278="Enrolled"),AG278=""),"Recommendation needed",IF(AND(OR(J278="Family told",J278="Enrolled"),AJ278=""),"Date family told needed","OK"))))))))</f>
        <v/>
      </c>
    </row>
    <row r="279" customFormat="false" ht="15" hidden="false" customHeight="false" outlineLevel="0" collapsed="false">
      <c r="A279" s="7"/>
      <c r="B279" s="7"/>
      <c r="C279" s="46"/>
      <c r="D279" s="7"/>
      <c r="E279" s="47"/>
      <c r="F279" s="46"/>
      <c r="G279" s="46"/>
      <c r="H279" s="7"/>
      <c r="I279" s="7"/>
      <c r="J279" s="47"/>
      <c r="K279" s="47"/>
      <c r="L279" s="47"/>
      <c r="M279" s="47"/>
      <c r="N279" s="10"/>
      <c r="O279" s="47"/>
      <c r="P279" s="47"/>
      <c r="Q279" s="47"/>
      <c r="R279" s="48" t="str">
        <f aca="false">IF(Q279="","",IF(Q279=0,"below 5:00",IF(Q279&gt;=66,"16:00 or above",INT((60+2*Q279)/12)&amp;":"&amp;TEXT(MOD(60+2*Q279,12),"00"))))</f>
        <v/>
      </c>
      <c r="S279" s="47"/>
      <c r="T279" s="47"/>
      <c r="U279" s="47"/>
      <c r="V279" s="47"/>
      <c r="W279" s="47"/>
      <c r="X279" s="47"/>
      <c r="Y279" s="47"/>
      <c r="Z279" s="47"/>
      <c r="AA279" s="47"/>
      <c r="AB279" s="47"/>
      <c r="AC279" s="47"/>
      <c r="AD279" s="47"/>
      <c r="AE279" s="47"/>
      <c r="AF279" s="47"/>
      <c r="AG279" s="47"/>
      <c r="AH279" s="47"/>
      <c r="AI279" s="46"/>
      <c r="AJ279" s="46"/>
      <c r="AK279" s="46"/>
      <c r="AL279" s="7"/>
      <c r="AM279" s="49" t="str">
        <f aca="false">IF(OR(C279="",G279=""),"",IFERROR(DATEDIF(C279,G279,"m"),""))</f>
        <v/>
      </c>
      <c r="AN279" s="49" t="str">
        <f aca="false">IF(OR(Q279="",AM279=""),"",60+2*Q279-AM279)</f>
        <v/>
      </c>
      <c r="AO279" s="49" t="str">
        <f aca="false">IF(OR(G279="",AJ279=""),"",AJ279-G279)</f>
        <v/>
      </c>
      <c r="AP279" s="50" t="str">
        <f aca="false">IF(AND(A279="",B279=""),"",IF(J279="","Status needed",IF(OR(J279="Applied",J279="Visit booked",J279="Withdrawn"),"OK",IF(G279="","Date assessed needed",IF(C279="","Date of birth needed",IF(COUNTA(L279,M279,P279,U279,V279,X279,AB279)&lt;7,"Band missing",IF(AND(OR(J279="Decision confirmed",J279="Family told",J279="Enrolled"),AG279=""),"Recommendation needed",IF(AND(OR(J279="Family told",J279="Enrolled"),AJ279=""),"Date family told needed","OK"))))))))</f>
        <v/>
      </c>
    </row>
    <row r="280" customFormat="false" ht="15" hidden="false" customHeight="false" outlineLevel="0" collapsed="false">
      <c r="A280" s="7"/>
      <c r="B280" s="7"/>
      <c r="C280" s="46"/>
      <c r="D280" s="7"/>
      <c r="E280" s="47"/>
      <c r="F280" s="46"/>
      <c r="G280" s="46"/>
      <c r="H280" s="7"/>
      <c r="I280" s="7"/>
      <c r="J280" s="47"/>
      <c r="K280" s="47"/>
      <c r="L280" s="47"/>
      <c r="M280" s="47"/>
      <c r="N280" s="10"/>
      <c r="O280" s="47"/>
      <c r="P280" s="47"/>
      <c r="Q280" s="47"/>
      <c r="R280" s="48" t="str">
        <f aca="false">IF(Q280="","",IF(Q280=0,"below 5:00",IF(Q280&gt;=66,"16:00 or above",INT((60+2*Q280)/12)&amp;":"&amp;TEXT(MOD(60+2*Q280,12),"00"))))</f>
        <v/>
      </c>
      <c r="S280" s="47"/>
      <c r="T280" s="47"/>
      <c r="U280" s="47"/>
      <c r="V280" s="47"/>
      <c r="W280" s="47"/>
      <c r="X280" s="47"/>
      <c r="Y280" s="47"/>
      <c r="Z280" s="47"/>
      <c r="AA280" s="47"/>
      <c r="AB280" s="47"/>
      <c r="AC280" s="47"/>
      <c r="AD280" s="47"/>
      <c r="AE280" s="47"/>
      <c r="AF280" s="47"/>
      <c r="AG280" s="47"/>
      <c r="AH280" s="47"/>
      <c r="AI280" s="46"/>
      <c r="AJ280" s="46"/>
      <c r="AK280" s="46"/>
      <c r="AL280" s="7"/>
      <c r="AM280" s="49" t="str">
        <f aca="false">IF(OR(C280="",G280=""),"",IFERROR(DATEDIF(C280,G280,"m"),""))</f>
        <v/>
      </c>
      <c r="AN280" s="49" t="str">
        <f aca="false">IF(OR(Q280="",AM280=""),"",60+2*Q280-AM280)</f>
        <v/>
      </c>
      <c r="AO280" s="49" t="str">
        <f aca="false">IF(OR(G280="",AJ280=""),"",AJ280-G280)</f>
        <v/>
      </c>
      <c r="AP280" s="50" t="str">
        <f aca="false">IF(AND(A280="",B280=""),"",IF(J280="","Status needed",IF(OR(J280="Applied",J280="Visit booked",J280="Withdrawn"),"OK",IF(G280="","Date assessed needed",IF(C280="","Date of birth needed",IF(COUNTA(L280,M280,P280,U280,V280,X280,AB280)&lt;7,"Band missing",IF(AND(OR(J280="Decision confirmed",J280="Family told",J280="Enrolled"),AG280=""),"Recommendation needed",IF(AND(OR(J280="Family told",J280="Enrolled"),AJ280=""),"Date family told needed","OK"))))))))</f>
        <v/>
      </c>
    </row>
    <row r="281" customFormat="false" ht="15" hidden="false" customHeight="false" outlineLevel="0" collapsed="false">
      <c r="A281" s="7"/>
      <c r="B281" s="7"/>
      <c r="C281" s="46"/>
      <c r="D281" s="7"/>
      <c r="E281" s="47"/>
      <c r="F281" s="46"/>
      <c r="G281" s="46"/>
      <c r="H281" s="7"/>
      <c r="I281" s="7"/>
      <c r="J281" s="47"/>
      <c r="K281" s="47"/>
      <c r="L281" s="47"/>
      <c r="M281" s="47"/>
      <c r="N281" s="10"/>
      <c r="O281" s="47"/>
      <c r="P281" s="47"/>
      <c r="Q281" s="47"/>
      <c r="R281" s="48" t="str">
        <f aca="false">IF(Q281="","",IF(Q281=0,"below 5:00",IF(Q281&gt;=66,"16:00 or above",INT((60+2*Q281)/12)&amp;":"&amp;TEXT(MOD(60+2*Q281,12),"00"))))</f>
        <v/>
      </c>
      <c r="S281" s="47"/>
      <c r="T281" s="47"/>
      <c r="U281" s="47"/>
      <c r="V281" s="47"/>
      <c r="W281" s="47"/>
      <c r="X281" s="47"/>
      <c r="Y281" s="47"/>
      <c r="Z281" s="47"/>
      <c r="AA281" s="47"/>
      <c r="AB281" s="47"/>
      <c r="AC281" s="47"/>
      <c r="AD281" s="47"/>
      <c r="AE281" s="47"/>
      <c r="AF281" s="47"/>
      <c r="AG281" s="47"/>
      <c r="AH281" s="47"/>
      <c r="AI281" s="46"/>
      <c r="AJ281" s="46"/>
      <c r="AK281" s="46"/>
      <c r="AL281" s="7"/>
      <c r="AM281" s="49" t="str">
        <f aca="false">IF(OR(C281="",G281=""),"",IFERROR(DATEDIF(C281,G281,"m"),""))</f>
        <v/>
      </c>
      <c r="AN281" s="49" t="str">
        <f aca="false">IF(OR(Q281="",AM281=""),"",60+2*Q281-AM281)</f>
        <v/>
      </c>
      <c r="AO281" s="49" t="str">
        <f aca="false">IF(OR(G281="",AJ281=""),"",AJ281-G281)</f>
        <v/>
      </c>
      <c r="AP281" s="50" t="str">
        <f aca="false">IF(AND(A281="",B281=""),"",IF(J281="","Status needed",IF(OR(J281="Applied",J281="Visit booked",J281="Withdrawn"),"OK",IF(G281="","Date assessed needed",IF(C281="","Date of birth needed",IF(COUNTA(L281,M281,P281,U281,V281,X281,AB281)&lt;7,"Band missing",IF(AND(OR(J281="Decision confirmed",J281="Family told",J281="Enrolled"),AG281=""),"Recommendation needed",IF(AND(OR(J281="Family told",J281="Enrolled"),AJ281=""),"Date family told needed","OK"))))))))</f>
        <v/>
      </c>
    </row>
    <row r="282" customFormat="false" ht="15" hidden="false" customHeight="false" outlineLevel="0" collapsed="false">
      <c r="A282" s="7"/>
      <c r="B282" s="7"/>
      <c r="C282" s="46"/>
      <c r="D282" s="7"/>
      <c r="E282" s="47"/>
      <c r="F282" s="46"/>
      <c r="G282" s="46"/>
      <c r="H282" s="7"/>
      <c r="I282" s="7"/>
      <c r="J282" s="47"/>
      <c r="K282" s="47"/>
      <c r="L282" s="47"/>
      <c r="M282" s="47"/>
      <c r="N282" s="10"/>
      <c r="O282" s="47"/>
      <c r="P282" s="47"/>
      <c r="Q282" s="47"/>
      <c r="R282" s="48" t="str">
        <f aca="false">IF(Q282="","",IF(Q282=0,"below 5:00",IF(Q282&gt;=66,"16:00 or above",INT((60+2*Q282)/12)&amp;":"&amp;TEXT(MOD(60+2*Q282,12),"00"))))</f>
        <v/>
      </c>
      <c r="S282" s="47"/>
      <c r="T282" s="47"/>
      <c r="U282" s="47"/>
      <c r="V282" s="47"/>
      <c r="W282" s="47"/>
      <c r="X282" s="47"/>
      <c r="Y282" s="47"/>
      <c r="Z282" s="47"/>
      <c r="AA282" s="47"/>
      <c r="AB282" s="47"/>
      <c r="AC282" s="47"/>
      <c r="AD282" s="47"/>
      <c r="AE282" s="47"/>
      <c r="AF282" s="47"/>
      <c r="AG282" s="47"/>
      <c r="AH282" s="47"/>
      <c r="AI282" s="46"/>
      <c r="AJ282" s="46"/>
      <c r="AK282" s="46"/>
      <c r="AL282" s="7"/>
      <c r="AM282" s="49" t="str">
        <f aca="false">IF(OR(C282="",G282=""),"",IFERROR(DATEDIF(C282,G282,"m"),""))</f>
        <v/>
      </c>
      <c r="AN282" s="49" t="str">
        <f aca="false">IF(OR(Q282="",AM282=""),"",60+2*Q282-AM282)</f>
        <v/>
      </c>
      <c r="AO282" s="49" t="str">
        <f aca="false">IF(OR(G282="",AJ282=""),"",AJ282-G282)</f>
        <v/>
      </c>
      <c r="AP282" s="50" t="str">
        <f aca="false">IF(AND(A282="",B282=""),"",IF(J282="","Status needed",IF(OR(J282="Applied",J282="Visit booked",J282="Withdrawn"),"OK",IF(G282="","Date assessed needed",IF(C282="","Date of birth needed",IF(COUNTA(L282,M282,P282,U282,V282,X282,AB282)&lt;7,"Band missing",IF(AND(OR(J282="Decision confirmed",J282="Family told",J282="Enrolled"),AG282=""),"Recommendation needed",IF(AND(OR(J282="Family told",J282="Enrolled"),AJ282=""),"Date family told needed","OK"))))))))</f>
        <v/>
      </c>
    </row>
    <row r="283" customFormat="false" ht="15" hidden="false" customHeight="false" outlineLevel="0" collapsed="false">
      <c r="A283" s="7"/>
      <c r="B283" s="7"/>
      <c r="C283" s="46"/>
      <c r="D283" s="7"/>
      <c r="E283" s="47"/>
      <c r="F283" s="46"/>
      <c r="G283" s="46"/>
      <c r="H283" s="7"/>
      <c r="I283" s="7"/>
      <c r="J283" s="47"/>
      <c r="K283" s="47"/>
      <c r="L283" s="47"/>
      <c r="M283" s="47"/>
      <c r="N283" s="10"/>
      <c r="O283" s="47"/>
      <c r="P283" s="47"/>
      <c r="Q283" s="47"/>
      <c r="R283" s="48" t="str">
        <f aca="false">IF(Q283="","",IF(Q283=0,"below 5:00",IF(Q283&gt;=66,"16:00 or above",INT((60+2*Q283)/12)&amp;":"&amp;TEXT(MOD(60+2*Q283,12),"00"))))</f>
        <v/>
      </c>
      <c r="S283" s="47"/>
      <c r="T283" s="47"/>
      <c r="U283" s="47"/>
      <c r="V283" s="47"/>
      <c r="W283" s="47"/>
      <c r="X283" s="47"/>
      <c r="Y283" s="47"/>
      <c r="Z283" s="47"/>
      <c r="AA283" s="47"/>
      <c r="AB283" s="47"/>
      <c r="AC283" s="47"/>
      <c r="AD283" s="47"/>
      <c r="AE283" s="47"/>
      <c r="AF283" s="47"/>
      <c r="AG283" s="47"/>
      <c r="AH283" s="47"/>
      <c r="AI283" s="46"/>
      <c r="AJ283" s="46"/>
      <c r="AK283" s="46"/>
      <c r="AL283" s="7"/>
      <c r="AM283" s="49" t="str">
        <f aca="false">IF(OR(C283="",G283=""),"",IFERROR(DATEDIF(C283,G283,"m"),""))</f>
        <v/>
      </c>
      <c r="AN283" s="49" t="str">
        <f aca="false">IF(OR(Q283="",AM283=""),"",60+2*Q283-AM283)</f>
        <v/>
      </c>
      <c r="AO283" s="49" t="str">
        <f aca="false">IF(OR(G283="",AJ283=""),"",AJ283-G283)</f>
        <v/>
      </c>
      <c r="AP283" s="50" t="str">
        <f aca="false">IF(AND(A283="",B283=""),"",IF(J283="","Status needed",IF(OR(J283="Applied",J283="Visit booked",J283="Withdrawn"),"OK",IF(G283="","Date assessed needed",IF(C283="","Date of birth needed",IF(COUNTA(L283,M283,P283,U283,V283,X283,AB283)&lt;7,"Band missing",IF(AND(OR(J283="Decision confirmed",J283="Family told",J283="Enrolled"),AG283=""),"Recommendation needed",IF(AND(OR(J283="Family told",J283="Enrolled"),AJ283=""),"Date family told needed","OK"))))))))</f>
        <v/>
      </c>
    </row>
    <row r="284" customFormat="false" ht="15" hidden="false" customHeight="false" outlineLevel="0" collapsed="false">
      <c r="A284" s="7"/>
      <c r="B284" s="7"/>
      <c r="C284" s="46"/>
      <c r="D284" s="7"/>
      <c r="E284" s="47"/>
      <c r="F284" s="46"/>
      <c r="G284" s="46"/>
      <c r="H284" s="7"/>
      <c r="I284" s="7"/>
      <c r="J284" s="47"/>
      <c r="K284" s="47"/>
      <c r="L284" s="47"/>
      <c r="M284" s="47"/>
      <c r="N284" s="10"/>
      <c r="O284" s="47"/>
      <c r="P284" s="47"/>
      <c r="Q284" s="47"/>
      <c r="R284" s="48" t="str">
        <f aca="false">IF(Q284="","",IF(Q284=0,"below 5:00",IF(Q284&gt;=66,"16:00 or above",INT((60+2*Q284)/12)&amp;":"&amp;TEXT(MOD(60+2*Q284,12),"00"))))</f>
        <v/>
      </c>
      <c r="S284" s="47"/>
      <c r="T284" s="47"/>
      <c r="U284" s="47"/>
      <c r="V284" s="47"/>
      <c r="W284" s="47"/>
      <c r="X284" s="47"/>
      <c r="Y284" s="47"/>
      <c r="Z284" s="47"/>
      <c r="AA284" s="47"/>
      <c r="AB284" s="47"/>
      <c r="AC284" s="47"/>
      <c r="AD284" s="47"/>
      <c r="AE284" s="47"/>
      <c r="AF284" s="47"/>
      <c r="AG284" s="47"/>
      <c r="AH284" s="47"/>
      <c r="AI284" s="46"/>
      <c r="AJ284" s="46"/>
      <c r="AK284" s="46"/>
      <c r="AL284" s="7"/>
      <c r="AM284" s="49" t="str">
        <f aca="false">IF(OR(C284="",G284=""),"",IFERROR(DATEDIF(C284,G284,"m"),""))</f>
        <v/>
      </c>
      <c r="AN284" s="49" t="str">
        <f aca="false">IF(OR(Q284="",AM284=""),"",60+2*Q284-AM284)</f>
        <v/>
      </c>
      <c r="AO284" s="49" t="str">
        <f aca="false">IF(OR(G284="",AJ284=""),"",AJ284-G284)</f>
        <v/>
      </c>
      <c r="AP284" s="50" t="str">
        <f aca="false">IF(AND(A284="",B284=""),"",IF(J284="","Status needed",IF(OR(J284="Applied",J284="Visit booked",J284="Withdrawn"),"OK",IF(G284="","Date assessed needed",IF(C284="","Date of birth needed",IF(COUNTA(L284,M284,P284,U284,V284,X284,AB284)&lt;7,"Band missing",IF(AND(OR(J284="Decision confirmed",J284="Family told",J284="Enrolled"),AG284=""),"Recommendation needed",IF(AND(OR(J284="Family told",J284="Enrolled"),AJ284=""),"Date family told needed","OK"))))))))</f>
        <v/>
      </c>
    </row>
    <row r="285" customFormat="false" ht="15" hidden="false" customHeight="false" outlineLevel="0" collapsed="false">
      <c r="A285" s="7"/>
      <c r="B285" s="7"/>
      <c r="C285" s="46"/>
      <c r="D285" s="7"/>
      <c r="E285" s="47"/>
      <c r="F285" s="46"/>
      <c r="G285" s="46"/>
      <c r="H285" s="7"/>
      <c r="I285" s="7"/>
      <c r="J285" s="47"/>
      <c r="K285" s="47"/>
      <c r="L285" s="47"/>
      <c r="M285" s="47"/>
      <c r="N285" s="10"/>
      <c r="O285" s="47"/>
      <c r="P285" s="47"/>
      <c r="Q285" s="47"/>
      <c r="R285" s="48" t="str">
        <f aca="false">IF(Q285="","",IF(Q285=0,"below 5:00",IF(Q285&gt;=66,"16:00 or above",INT((60+2*Q285)/12)&amp;":"&amp;TEXT(MOD(60+2*Q285,12),"00"))))</f>
        <v/>
      </c>
      <c r="S285" s="47"/>
      <c r="T285" s="47"/>
      <c r="U285" s="47"/>
      <c r="V285" s="47"/>
      <c r="W285" s="47"/>
      <c r="X285" s="47"/>
      <c r="Y285" s="47"/>
      <c r="Z285" s="47"/>
      <c r="AA285" s="47"/>
      <c r="AB285" s="47"/>
      <c r="AC285" s="47"/>
      <c r="AD285" s="47"/>
      <c r="AE285" s="47"/>
      <c r="AF285" s="47"/>
      <c r="AG285" s="47"/>
      <c r="AH285" s="47"/>
      <c r="AI285" s="46"/>
      <c r="AJ285" s="46"/>
      <c r="AK285" s="46"/>
      <c r="AL285" s="7"/>
      <c r="AM285" s="49" t="str">
        <f aca="false">IF(OR(C285="",G285=""),"",IFERROR(DATEDIF(C285,G285,"m"),""))</f>
        <v/>
      </c>
      <c r="AN285" s="49" t="str">
        <f aca="false">IF(OR(Q285="",AM285=""),"",60+2*Q285-AM285)</f>
        <v/>
      </c>
      <c r="AO285" s="49" t="str">
        <f aca="false">IF(OR(G285="",AJ285=""),"",AJ285-G285)</f>
        <v/>
      </c>
      <c r="AP285" s="50" t="str">
        <f aca="false">IF(AND(A285="",B285=""),"",IF(J285="","Status needed",IF(OR(J285="Applied",J285="Visit booked",J285="Withdrawn"),"OK",IF(G285="","Date assessed needed",IF(C285="","Date of birth needed",IF(COUNTA(L285,M285,P285,U285,V285,X285,AB285)&lt;7,"Band missing",IF(AND(OR(J285="Decision confirmed",J285="Family told",J285="Enrolled"),AG285=""),"Recommendation needed",IF(AND(OR(J285="Family told",J285="Enrolled"),AJ285=""),"Date family told needed","OK"))))))))</f>
        <v/>
      </c>
    </row>
    <row r="286" customFormat="false" ht="15" hidden="false" customHeight="false" outlineLevel="0" collapsed="false">
      <c r="A286" s="7"/>
      <c r="B286" s="7"/>
      <c r="C286" s="46"/>
      <c r="D286" s="7"/>
      <c r="E286" s="47"/>
      <c r="F286" s="46"/>
      <c r="G286" s="46"/>
      <c r="H286" s="7"/>
      <c r="I286" s="7"/>
      <c r="J286" s="47"/>
      <c r="K286" s="47"/>
      <c r="L286" s="47"/>
      <c r="M286" s="47"/>
      <c r="N286" s="10"/>
      <c r="O286" s="47"/>
      <c r="P286" s="47"/>
      <c r="Q286" s="47"/>
      <c r="R286" s="48" t="str">
        <f aca="false">IF(Q286="","",IF(Q286=0,"below 5:00",IF(Q286&gt;=66,"16:00 or above",INT((60+2*Q286)/12)&amp;":"&amp;TEXT(MOD(60+2*Q286,12),"00"))))</f>
        <v/>
      </c>
      <c r="S286" s="47"/>
      <c r="T286" s="47"/>
      <c r="U286" s="47"/>
      <c r="V286" s="47"/>
      <c r="W286" s="47"/>
      <c r="X286" s="47"/>
      <c r="Y286" s="47"/>
      <c r="Z286" s="47"/>
      <c r="AA286" s="47"/>
      <c r="AB286" s="47"/>
      <c r="AC286" s="47"/>
      <c r="AD286" s="47"/>
      <c r="AE286" s="47"/>
      <c r="AF286" s="47"/>
      <c r="AG286" s="47"/>
      <c r="AH286" s="47"/>
      <c r="AI286" s="46"/>
      <c r="AJ286" s="46"/>
      <c r="AK286" s="46"/>
      <c r="AL286" s="7"/>
      <c r="AM286" s="49" t="str">
        <f aca="false">IF(OR(C286="",G286=""),"",IFERROR(DATEDIF(C286,G286,"m"),""))</f>
        <v/>
      </c>
      <c r="AN286" s="49" t="str">
        <f aca="false">IF(OR(Q286="",AM286=""),"",60+2*Q286-AM286)</f>
        <v/>
      </c>
      <c r="AO286" s="49" t="str">
        <f aca="false">IF(OR(G286="",AJ286=""),"",AJ286-G286)</f>
        <v/>
      </c>
      <c r="AP286" s="50" t="str">
        <f aca="false">IF(AND(A286="",B286=""),"",IF(J286="","Status needed",IF(OR(J286="Applied",J286="Visit booked",J286="Withdrawn"),"OK",IF(G286="","Date assessed needed",IF(C286="","Date of birth needed",IF(COUNTA(L286,M286,P286,U286,V286,X286,AB286)&lt;7,"Band missing",IF(AND(OR(J286="Decision confirmed",J286="Family told",J286="Enrolled"),AG286=""),"Recommendation needed",IF(AND(OR(J286="Family told",J286="Enrolled"),AJ286=""),"Date family told needed","OK"))))))))</f>
        <v/>
      </c>
    </row>
    <row r="287" customFormat="false" ht="15" hidden="false" customHeight="false" outlineLevel="0" collapsed="false">
      <c r="A287" s="7"/>
      <c r="B287" s="7"/>
      <c r="C287" s="46"/>
      <c r="D287" s="7"/>
      <c r="E287" s="47"/>
      <c r="F287" s="46"/>
      <c r="G287" s="46"/>
      <c r="H287" s="7"/>
      <c r="I287" s="7"/>
      <c r="J287" s="47"/>
      <c r="K287" s="47"/>
      <c r="L287" s="47"/>
      <c r="M287" s="47"/>
      <c r="N287" s="10"/>
      <c r="O287" s="47"/>
      <c r="P287" s="47"/>
      <c r="Q287" s="47"/>
      <c r="R287" s="48" t="str">
        <f aca="false">IF(Q287="","",IF(Q287=0,"below 5:00",IF(Q287&gt;=66,"16:00 or above",INT((60+2*Q287)/12)&amp;":"&amp;TEXT(MOD(60+2*Q287,12),"00"))))</f>
        <v/>
      </c>
      <c r="S287" s="47"/>
      <c r="T287" s="47"/>
      <c r="U287" s="47"/>
      <c r="V287" s="47"/>
      <c r="W287" s="47"/>
      <c r="X287" s="47"/>
      <c r="Y287" s="47"/>
      <c r="Z287" s="47"/>
      <c r="AA287" s="47"/>
      <c r="AB287" s="47"/>
      <c r="AC287" s="47"/>
      <c r="AD287" s="47"/>
      <c r="AE287" s="47"/>
      <c r="AF287" s="47"/>
      <c r="AG287" s="47"/>
      <c r="AH287" s="47"/>
      <c r="AI287" s="46"/>
      <c r="AJ287" s="46"/>
      <c r="AK287" s="46"/>
      <c r="AL287" s="7"/>
      <c r="AM287" s="49" t="str">
        <f aca="false">IF(OR(C287="",G287=""),"",IFERROR(DATEDIF(C287,G287,"m"),""))</f>
        <v/>
      </c>
      <c r="AN287" s="49" t="str">
        <f aca="false">IF(OR(Q287="",AM287=""),"",60+2*Q287-AM287)</f>
        <v/>
      </c>
      <c r="AO287" s="49" t="str">
        <f aca="false">IF(OR(G287="",AJ287=""),"",AJ287-G287)</f>
        <v/>
      </c>
      <c r="AP287" s="50" t="str">
        <f aca="false">IF(AND(A287="",B287=""),"",IF(J287="","Status needed",IF(OR(J287="Applied",J287="Visit booked",J287="Withdrawn"),"OK",IF(G287="","Date assessed needed",IF(C287="","Date of birth needed",IF(COUNTA(L287,M287,P287,U287,V287,X287,AB287)&lt;7,"Band missing",IF(AND(OR(J287="Decision confirmed",J287="Family told",J287="Enrolled"),AG287=""),"Recommendation needed",IF(AND(OR(J287="Family told",J287="Enrolled"),AJ287=""),"Date family told needed","OK"))))))))</f>
        <v/>
      </c>
    </row>
    <row r="288" customFormat="false" ht="15" hidden="false" customHeight="false" outlineLevel="0" collapsed="false">
      <c r="A288" s="7"/>
      <c r="B288" s="7"/>
      <c r="C288" s="46"/>
      <c r="D288" s="7"/>
      <c r="E288" s="47"/>
      <c r="F288" s="46"/>
      <c r="G288" s="46"/>
      <c r="H288" s="7"/>
      <c r="I288" s="7"/>
      <c r="J288" s="47"/>
      <c r="K288" s="47"/>
      <c r="L288" s="47"/>
      <c r="M288" s="47"/>
      <c r="N288" s="10"/>
      <c r="O288" s="47"/>
      <c r="P288" s="47"/>
      <c r="Q288" s="47"/>
      <c r="R288" s="48" t="str">
        <f aca="false">IF(Q288="","",IF(Q288=0,"below 5:00",IF(Q288&gt;=66,"16:00 or above",INT((60+2*Q288)/12)&amp;":"&amp;TEXT(MOD(60+2*Q288,12),"00"))))</f>
        <v/>
      </c>
      <c r="S288" s="47"/>
      <c r="T288" s="47"/>
      <c r="U288" s="47"/>
      <c r="V288" s="47"/>
      <c r="W288" s="47"/>
      <c r="X288" s="47"/>
      <c r="Y288" s="47"/>
      <c r="Z288" s="47"/>
      <c r="AA288" s="47"/>
      <c r="AB288" s="47"/>
      <c r="AC288" s="47"/>
      <c r="AD288" s="47"/>
      <c r="AE288" s="47"/>
      <c r="AF288" s="47"/>
      <c r="AG288" s="47"/>
      <c r="AH288" s="47"/>
      <c r="AI288" s="46"/>
      <c r="AJ288" s="46"/>
      <c r="AK288" s="46"/>
      <c r="AL288" s="7"/>
      <c r="AM288" s="49" t="str">
        <f aca="false">IF(OR(C288="",G288=""),"",IFERROR(DATEDIF(C288,G288,"m"),""))</f>
        <v/>
      </c>
      <c r="AN288" s="49" t="str">
        <f aca="false">IF(OR(Q288="",AM288=""),"",60+2*Q288-AM288)</f>
        <v/>
      </c>
      <c r="AO288" s="49" t="str">
        <f aca="false">IF(OR(G288="",AJ288=""),"",AJ288-G288)</f>
        <v/>
      </c>
      <c r="AP288" s="50" t="str">
        <f aca="false">IF(AND(A288="",B288=""),"",IF(J288="","Status needed",IF(OR(J288="Applied",J288="Visit booked",J288="Withdrawn"),"OK",IF(G288="","Date assessed needed",IF(C288="","Date of birth needed",IF(COUNTA(L288,M288,P288,U288,V288,X288,AB288)&lt;7,"Band missing",IF(AND(OR(J288="Decision confirmed",J288="Family told",J288="Enrolled"),AG288=""),"Recommendation needed",IF(AND(OR(J288="Family told",J288="Enrolled"),AJ288=""),"Date family told needed","OK"))))))))</f>
        <v/>
      </c>
    </row>
    <row r="289" customFormat="false" ht="15" hidden="false" customHeight="false" outlineLevel="0" collapsed="false">
      <c r="A289" s="7"/>
      <c r="B289" s="7"/>
      <c r="C289" s="46"/>
      <c r="D289" s="7"/>
      <c r="E289" s="47"/>
      <c r="F289" s="46"/>
      <c r="G289" s="46"/>
      <c r="H289" s="7"/>
      <c r="I289" s="7"/>
      <c r="J289" s="47"/>
      <c r="K289" s="47"/>
      <c r="L289" s="47"/>
      <c r="M289" s="47"/>
      <c r="N289" s="10"/>
      <c r="O289" s="47"/>
      <c r="P289" s="47"/>
      <c r="Q289" s="47"/>
      <c r="R289" s="48" t="str">
        <f aca="false">IF(Q289="","",IF(Q289=0,"below 5:00",IF(Q289&gt;=66,"16:00 or above",INT((60+2*Q289)/12)&amp;":"&amp;TEXT(MOD(60+2*Q289,12),"00"))))</f>
        <v/>
      </c>
      <c r="S289" s="47"/>
      <c r="T289" s="47"/>
      <c r="U289" s="47"/>
      <c r="V289" s="47"/>
      <c r="W289" s="47"/>
      <c r="X289" s="47"/>
      <c r="Y289" s="47"/>
      <c r="Z289" s="47"/>
      <c r="AA289" s="47"/>
      <c r="AB289" s="47"/>
      <c r="AC289" s="47"/>
      <c r="AD289" s="47"/>
      <c r="AE289" s="47"/>
      <c r="AF289" s="47"/>
      <c r="AG289" s="47"/>
      <c r="AH289" s="47"/>
      <c r="AI289" s="46"/>
      <c r="AJ289" s="46"/>
      <c r="AK289" s="46"/>
      <c r="AL289" s="7"/>
      <c r="AM289" s="49" t="str">
        <f aca="false">IF(OR(C289="",G289=""),"",IFERROR(DATEDIF(C289,G289,"m"),""))</f>
        <v/>
      </c>
      <c r="AN289" s="49" t="str">
        <f aca="false">IF(OR(Q289="",AM289=""),"",60+2*Q289-AM289)</f>
        <v/>
      </c>
      <c r="AO289" s="49" t="str">
        <f aca="false">IF(OR(G289="",AJ289=""),"",AJ289-G289)</f>
        <v/>
      </c>
      <c r="AP289" s="50" t="str">
        <f aca="false">IF(AND(A289="",B289=""),"",IF(J289="","Status needed",IF(OR(J289="Applied",J289="Visit booked",J289="Withdrawn"),"OK",IF(G289="","Date assessed needed",IF(C289="","Date of birth needed",IF(COUNTA(L289,M289,P289,U289,V289,X289,AB289)&lt;7,"Band missing",IF(AND(OR(J289="Decision confirmed",J289="Family told",J289="Enrolled"),AG289=""),"Recommendation needed",IF(AND(OR(J289="Family told",J289="Enrolled"),AJ289=""),"Date family told needed","OK"))))))))</f>
        <v/>
      </c>
    </row>
    <row r="290" customFormat="false" ht="15" hidden="false" customHeight="false" outlineLevel="0" collapsed="false">
      <c r="A290" s="7"/>
      <c r="B290" s="7"/>
      <c r="C290" s="46"/>
      <c r="D290" s="7"/>
      <c r="E290" s="47"/>
      <c r="F290" s="46"/>
      <c r="G290" s="46"/>
      <c r="H290" s="7"/>
      <c r="I290" s="7"/>
      <c r="J290" s="47"/>
      <c r="K290" s="47"/>
      <c r="L290" s="47"/>
      <c r="M290" s="47"/>
      <c r="N290" s="10"/>
      <c r="O290" s="47"/>
      <c r="P290" s="47"/>
      <c r="Q290" s="47"/>
      <c r="R290" s="48" t="str">
        <f aca="false">IF(Q290="","",IF(Q290=0,"below 5:00",IF(Q290&gt;=66,"16:00 or above",INT((60+2*Q290)/12)&amp;":"&amp;TEXT(MOD(60+2*Q290,12),"00"))))</f>
        <v/>
      </c>
      <c r="S290" s="47"/>
      <c r="T290" s="47"/>
      <c r="U290" s="47"/>
      <c r="V290" s="47"/>
      <c r="W290" s="47"/>
      <c r="X290" s="47"/>
      <c r="Y290" s="47"/>
      <c r="Z290" s="47"/>
      <c r="AA290" s="47"/>
      <c r="AB290" s="47"/>
      <c r="AC290" s="47"/>
      <c r="AD290" s="47"/>
      <c r="AE290" s="47"/>
      <c r="AF290" s="47"/>
      <c r="AG290" s="47"/>
      <c r="AH290" s="47"/>
      <c r="AI290" s="46"/>
      <c r="AJ290" s="46"/>
      <c r="AK290" s="46"/>
      <c r="AL290" s="7"/>
      <c r="AM290" s="49" t="str">
        <f aca="false">IF(OR(C290="",G290=""),"",IFERROR(DATEDIF(C290,G290,"m"),""))</f>
        <v/>
      </c>
      <c r="AN290" s="49" t="str">
        <f aca="false">IF(OR(Q290="",AM290=""),"",60+2*Q290-AM290)</f>
        <v/>
      </c>
      <c r="AO290" s="49" t="str">
        <f aca="false">IF(OR(G290="",AJ290=""),"",AJ290-G290)</f>
        <v/>
      </c>
      <c r="AP290" s="50" t="str">
        <f aca="false">IF(AND(A290="",B290=""),"",IF(J290="","Status needed",IF(OR(J290="Applied",J290="Visit booked",J290="Withdrawn"),"OK",IF(G290="","Date assessed needed",IF(C290="","Date of birth needed",IF(COUNTA(L290,M290,P290,U290,V290,X290,AB290)&lt;7,"Band missing",IF(AND(OR(J290="Decision confirmed",J290="Family told",J290="Enrolled"),AG290=""),"Recommendation needed",IF(AND(OR(J290="Family told",J290="Enrolled"),AJ290=""),"Date family told needed","OK"))))))))</f>
        <v/>
      </c>
    </row>
    <row r="291" customFormat="false" ht="15" hidden="false" customHeight="false" outlineLevel="0" collapsed="false">
      <c r="A291" s="7"/>
      <c r="B291" s="7"/>
      <c r="C291" s="46"/>
      <c r="D291" s="7"/>
      <c r="E291" s="47"/>
      <c r="F291" s="46"/>
      <c r="G291" s="46"/>
      <c r="H291" s="7"/>
      <c r="I291" s="7"/>
      <c r="J291" s="47"/>
      <c r="K291" s="47"/>
      <c r="L291" s="47"/>
      <c r="M291" s="47"/>
      <c r="N291" s="10"/>
      <c r="O291" s="47"/>
      <c r="P291" s="47"/>
      <c r="Q291" s="47"/>
      <c r="R291" s="48" t="str">
        <f aca="false">IF(Q291="","",IF(Q291=0,"below 5:00",IF(Q291&gt;=66,"16:00 or above",INT((60+2*Q291)/12)&amp;":"&amp;TEXT(MOD(60+2*Q291,12),"00"))))</f>
        <v/>
      </c>
      <c r="S291" s="47"/>
      <c r="T291" s="47"/>
      <c r="U291" s="47"/>
      <c r="V291" s="47"/>
      <c r="W291" s="47"/>
      <c r="X291" s="47"/>
      <c r="Y291" s="47"/>
      <c r="Z291" s="47"/>
      <c r="AA291" s="47"/>
      <c r="AB291" s="47"/>
      <c r="AC291" s="47"/>
      <c r="AD291" s="47"/>
      <c r="AE291" s="47"/>
      <c r="AF291" s="47"/>
      <c r="AG291" s="47"/>
      <c r="AH291" s="47"/>
      <c r="AI291" s="46"/>
      <c r="AJ291" s="46"/>
      <c r="AK291" s="46"/>
      <c r="AL291" s="7"/>
      <c r="AM291" s="49" t="str">
        <f aca="false">IF(OR(C291="",G291=""),"",IFERROR(DATEDIF(C291,G291,"m"),""))</f>
        <v/>
      </c>
      <c r="AN291" s="49" t="str">
        <f aca="false">IF(OR(Q291="",AM291=""),"",60+2*Q291-AM291)</f>
        <v/>
      </c>
      <c r="AO291" s="49" t="str">
        <f aca="false">IF(OR(G291="",AJ291=""),"",AJ291-G291)</f>
        <v/>
      </c>
      <c r="AP291" s="50" t="str">
        <f aca="false">IF(AND(A291="",B291=""),"",IF(J291="","Status needed",IF(OR(J291="Applied",J291="Visit booked",J291="Withdrawn"),"OK",IF(G291="","Date assessed needed",IF(C291="","Date of birth needed",IF(COUNTA(L291,M291,P291,U291,V291,X291,AB291)&lt;7,"Band missing",IF(AND(OR(J291="Decision confirmed",J291="Family told",J291="Enrolled"),AG291=""),"Recommendation needed",IF(AND(OR(J291="Family told",J291="Enrolled"),AJ291=""),"Date family told needed","OK"))))))))</f>
        <v/>
      </c>
    </row>
    <row r="292" customFormat="false" ht="15" hidden="false" customHeight="false" outlineLevel="0" collapsed="false">
      <c r="A292" s="7"/>
      <c r="B292" s="7"/>
      <c r="C292" s="46"/>
      <c r="D292" s="7"/>
      <c r="E292" s="47"/>
      <c r="F292" s="46"/>
      <c r="G292" s="46"/>
      <c r="H292" s="7"/>
      <c r="I292" s="7"/>
      <c r="J292" s="47"/>
      <c r="K292" s="47"/>
      <c r="L292" s="47"/>
      <c r="M292" s="47"/>
      <c r="N292" s="10"/>
      <c r="O292" s="47"/>
      <c r="P292" s="47"/>
      <c r="Q292" s="47"/>
      <c r="R292" s="48" t="str">
        <f aca="false">IF(Q292="","",IF(Q292=0,"below 5:00",IF(Q292&gt;=66,"16:00 or above",INT((60+2*Q292)/12)&amp;":"&amp;TEXT(MOD(60+2*Q292,12),"00"))))</f>
        <v/>
      </c>
      <c r="S292" s="47"/>
      <c r="T292" s="47"/>
      <c r="U292" s="47"/>
      <c r="V292" s="47"/>
      <c r="W292" s="47"/>
      <c r="X292" s="47"/>
      <c r="Y292" s="47"/>
      <c r="Z292" s="47"/>
      <c r="AA292" s="47"/>
      <c r="AB292" s="47"/>
      <c r="AC292" s="47"/>
      <c r="AD292" s="47"/>
      <c r="AE292" s="47"/>
      <c r="AF292" s="47"/>
      <c r="AG292" s="47"/>
      <c r="AH292" s="47"/>
      <c r="AI292" s="46"/>
      <c r="AJ292" s="46"/>
      <c r="AK292" s="46"/>
      <c r="AL292" s="7"/>
      <c r="AM292" s="49" t="str">
        <f aca="false">IF(OR(C292="",G292=""),"",IFERROR(DATEDIF(C292,G292,"m"),""))</f>
        <v/>
      </c>
      <c r="AN292" s="49" t="str">
        <f aca="false">IF(OR(Q292="",AM292=""),"",60+2*Q292-AM292)</f>
        <v/>
      </c>
      <c r="AO292" s="49" t="str">
        <f aca="false">IF(OR(G292="",AJ292=""),"",AJ292-G292)</f>
        <v/>
      </c>
      <c r="AP292" s="50" t="str">
        <f aca="false">IF(AND(A292="",B292=""),"",IF(J292="","Status needed",IF(OR(J292="Applied",J292="Visit booked",J292="Withdrawn"),"OK",IF(G292="","Date assessed needed",IF(C292="","Date of birth needed",IF(COUNTA(L292,M292,P292,U292,V292,X292,AB292)&lt;7,"Band missing",IF(AND(OR(J292="Decision confirmed",J292="Family told",J292="Enrolled"),AG292=""),"Recommendation needed",IF(AND(OR(J292="Family told",J292="Enrolled"),AJ292=""),"Date family told needed","OK"))))))))</f>
        <v/>
      </c>
    </row>
    <row r="293" customFormat="false" ht="15" hidden="false" customHeight="false" outlineLevel="0" collapsed="false">
      <c r="A293" s="7"/>
      <c r="B293" s="7"/>
      <c r="C293" s="46"/>
      <c r="D293" s="7"/>
      <c r="E293" s="47"/>
      <c r="F293" s="46"/>
      <c r="G293" s="46"/>
      <c r="H293" s="7"/>
      <c r="I293" s="7"/>
      <c r="J293" s="47"/>
      <c r="K293" s="47"/>
      <c r="L293" s="47"/>
      <c r="M293" s="47"/>
      <c r="N293" s="10"/>
      <c r="O293" s="47"/>
      <c r="P293" s="47"/>
      <c r="Q293" s="47"/>
      <c r="R293" s="48" t="str">
        <f aca="false">IF(Q293="","",IF(Q293=0,"below 5:00",IF(Q293&gt;=66,"16:00 or above",INT((60+2*Q293)/12)&amp;":"&amp;TEXT(MOD(60+2*Q293,12),"00"))))</f>
        <v/>
      </c>
      <c r="S293" s="47"/>
      <c r="T293" s="47"/>
      <c r="U293" s="47"/>
      <c r="V293" s="47"/>
      <c r="W293" s="47"/>
      <c r="X293" s="47"/>
      <c r="Y293" s="47"/>
      <c r="Z293" s="47"/>
      <c r="AA293" s="47"/>
      <c r="AB293" s="47"/>
      <c r="AC293" s="47"/>
      <c r="AD293" s="47"/>
      <c r="AE293" s="47"/>
      <c r="AF293" s="47"/>
      <c r="AG293" s="47"/>
      <c r="AH293" s="47"/>
      <c r="AI293" s="46"/>
      <c r="AJ293" s="46"/>
      <c r="AK293" s="46"/>
      <c r="AL293" s="7"/>
      <c r="AM293" s="49" t="str">
        <f aca="false">IF(OR(C293="",G293=""),"",IFERROR(DATEDIF(C293,G293,"m"),""))</f>
        <v/>
      </c>
      <c r="AN293" s="49" t="str">
        <f aca="false">IF(OR(Q293="",AM293=""),"",60+2*Q293-AM293)</f>
        <v/>
      </c>
      <c r="AO293" s="49" t="str">
        <f aca="false">IF(OR(G293="",AJ293=""),"",AJ293-G293)</f>
        <v/>
      </c>
      <c r="AP293" s="50" t="str">
        <f aca="false">IF(AND(A293="",B293=""),"",IF(J293="","Status needed",IF(OR(J293="Applied",J293="Visit booked",J293="Withdrawn"),"OK",IF(G293="","Date assessed needed",IF(C293="","Date of birth needed",IF(COUNTA(L293,M293,P293,U293,V293,X293,AB293)&lt;7,"Band missing",IF(AND(OR(J293="Decision confirmed",J293="Family told",J293="Enrolled"),AG293=""),"Recommendation needed",IF(AND(OR(J293="Family told",J293="Enrolled"),AJ293=""),"Date family told needed","OK"))))))))</f>
        <v/>
      </c>
    </row>
    <row r="294" customFormat="false" ht="15" hidden="false" customHeight="false" outlineLevel="0" collapsed="false">
      <c r="A294" s="7"/>
      <c r="B294" s="7"/>
      <c r="C294" s="46"/>
      <c r="D294" s="7"/>
      <c r="E294" s="47"/>
      <c r="F294" s="46"/>
      <c r="G294" s="46"/>
      <c r="H294" s="7"/>
      <c r="I294" s="7"/>
      <c r="J294" s="47"/>
      <c r="K294" s="47"/>
      <c r="L294" s="47"/>
      <c r="M294" s="47"/>
      <c r="N294" s="10"/>
      <c r="O294" s="47"/>
      <c r="P294" s="47"/>
      <c r="Q294" s="47"/>
      <c r="R294" s="48" t="str">
        <f aca="false">IF(Q294="","",IF(Q294=0,"below 5:00",IF(Q294&gt;=66,"16:00 or above",INT((60+2*Q294)/12)&amp;":"&amp;TEXT(MOD(60+2*Q294,12),"00"))))</f>
        <v/>
      </c>
      <c r="S294" s="47"/>
      <c r="T294" s="47"/>
      <c r="U294" s="47"/>
      <c r="V294" s="47"/>
      <c r="W294" s="47"/>
      <c r="X294" s="47"/>
      <c r="Y294" s="47"/>
      <c r="Z294" s="47"/>
      <c r="AA294" s="47"/>
      <c r="AB294" s="47"/>
      <c r="AC294" s="47"/>
      <c r="AD294" s="47"/>
      <c r="AE294" s="47"/>
      <c r="AF294" s="47"/>
      <c r="AG294" s="47"/>
      <c r="AH294" s="47"/>
      <c r="AI294" s="46"/>
      <c r="AJ294" s="46"/>
      <c r="AK294" s="46"/>
      <c r="AL294" s="7"/>
      <c r="AM294" s="49" t="str">
        <f aca="false">IF(OR(C294="",G294=""),"",IFERROR(DATEDIF(C294,G294,"m"),""))</f>
        <v/>
      </c>
      <c r="AN294" s="49" t="str">
        <f aca="false">IF(OR(Q294="",AM294=""),"",60+2*Q294-AM294)</f>
        <v/>
      </c>
      <c r="AO294" s="49" t="str">
        <f aca="false">IF(OR(G294="",AJ294=""),"",AJ294-G294)</f>
        <v/>
      </c>
      <c r="AP294" s="50" t="str">
        <f aca="false">IF(AND(A294="",B294=""),"",IF(J294="","Status needed",IF(OR(J294="Applied",J294="Visit booked",J294="Withdrawn"),"OK",IF(G294="","Date assessed needed",IF(C294="","Date of birth needed",IF(COUNTA(L294,M294,P294,U294,V294,X294,AB294)&lt;7,"Band missing",IF(AND(OR(J294="Decision confirmed",J294="Family told",J294="Enrolled"),AG294=""),"Recommendation needed",IF(AND(OR(J294="Family told",J294="Enrolled"),AJ294=""),"Date family told needed","OK"))))))))</f>
        <v/>
      </c>
    </row>
    <row r="295" customFormat="false" ht="15" hidden="false" customHeight="false" outlineLevel="0" collapsed="false">
      <c r="A295" s="7"/>
      <c r="B295" s="7"/>
      <c r="C295" s="46"/>
      <c r="D295" s="7"/>
      <c r="E295" s="47"/>
      <c r="F295" s="46"/>
      <c r="G295" s="46"/>
      <c r="H295" s="7"/>
      <c r="I295" s="7"/>
      <c r="J295" s="47"/>
      <c r="K295" s="47"/>
      <c r="L295" s="47"/>
      <c r="M295" s="47"/>
      <c r="N295" s="10"/>
      <c r="O295" s="47"/>
      <c r="P295" s="47"/>
      <c r="Q295" s="47"/>
      <c r="R295" s="48" t="str">
        <f aca="false">IF(Q295="","",IF(Q295=0,"below 5:00",IF(Q295&gt;=66,"16:00 or above",INT((60+2*Q295)/12)&amp;":"&amp;TEXT(MOD(60+2*Q295,12),"00"))))</f>
        <v/>
      </c>
      <c r="S295" s="47"/>
      <c r="T295" s="47"/>
      <c r="U295" s="47"/>
      <c r="V295" s="47"/>
      <c r="W295" s="47"/>
      <c r="X295" s="47"/>
      <c r="Y295" s="47"/>
      <c r="Z295" s="47"/>
      <c r="AA295" s="47"/>
      <c r="AB295" s="47"/>
      <c r="AC295" s="47"/>
      <c r="AD295" s="47"/>
      <c r="AE295" s="47"/>
      <c r="AF295" s="47"/>
      <c r="AG295" s="47"/>
      <c r="AH295" s="47"/>
      <c r="AI295" s="46"/>
      <c r="AJ295" s="46"/>
      <c r="AK295" s="46"/>
      <c r="AL295" s="7"/>
      <c r="AM295" s="49" t="str">
        <f aca="false">IF(OR(C295="",G295=""),"",IFERROR(DATEDIF(C295,G295,"m"),""))</f>
        <v/>
      </c>
      <c r="AN295" s="49" t="str">
        <f aca="false">IF(OR(Q295="",AM295=""),"",60+2*Q295-AM295)</f>
        <v/>
      </c>
      <c r="AO295" s="49" t="str">
        <f aca="false">IF(OR(G295="",AJ295=""),"",AJ295-G295)</f>
        <v/>
      </c>
      <c r="AP295" s="50" t="str">
        <f aca="false">IF(AND(A295="",B295=""),"",IF(J295="","Status needed",IF(OR(J295="Applied",J295="Visit booked",J295="Withdrawn"),"OK",IF(G295="","Date assessed needed",IF(C295="","Date of birth needed",IF(COUNTA(L295,M295,P295,U295,V295,X295,AB295)&lt;7,"Band missing",IF(AND(OR(J295="Decision confirmed",J295="Family told",J295="Enrolled"),AG295=""),"Recommendation needed",IF(AND(OR(J295="Family told",J295="Enrolled"),AJ295=""),"Date family told needed","OK"))))))))</f>
        <v/>
      </c>
    </row>
    <row r="296" customFormat="false" ht="15" hidden="false" customHeight="false" outlineLevel="0" collapsed="false">
      <c r="A296" s="7"/>
      <c r="B296" s="7"/>
      <c r="C296" s="46"/>
      <c r="D296" s="7"/>
      <c r="E296" s="47"/>
      <c r="F296" s="46"/>
      <c r="G296" s="46"/>
      <c r="H296" s="7"/>
      <c r="I296" s="7"/>
      <c r="J296" s="47"/>
      <c r="K296" s="47"/>
      <c r="L296" s="47"/>
      <c r="M296" s="47"/>
      <c r="N296" s="10"/>
      <c r="O296" s="47"/>
      <c r="P296" s="47"/>
      <c r="Q296" s="47"/>
      <c r="R296" s="48" t="str">
        <f aca="false">IF(Q296="","",IF(Q296=0,"below 5:00",IF(Q296&gt;=66,"16:00 or above",INT((60+2*Q296)/12)&amp;":"&amp;TEXT(MOD(60+2*Q296,12),"00"))))</f>
        <v/>
      </c>
      <c r="S296" s="47"/>
      <c r="T296" s="47"/>
      <c r="U296" s="47"/>
      <c r="V296" s="47"/>
      <c r="W296" s="47"/>
      <c r="X296" s="47"/>
      <c r="Y296" s="47"/>
      <c r="Z296" s="47"/>
      <c r="AA296" s="47"/>
      <c r="AB296" s="47"/>
      <c r="AC296" s="47"/>
      <c r="AD296" s="47"/>
      <c r="AE296" s="47"/>
      <c r="AF296" s="47"/>
      <c r="AG296" s="47"/>
      <c r="AH296" s="47"/>
      <c r="AI296" s="46"/>
      <c r="AJ296" s="46"/>
      <c r="AK296" s="46"/>
      <c r="AL296" s="7"/>
      <c r="AM296" s="49" t="str">
        <f aca="false">IF(OR(C296="",G296=""),"",IFERROR(DATEDIF(C296,G296,"m"),""))</f>
        <v/>
      </c>
      <c r="AN296" s="49" t="str">
        <f aca="false">IF(OR(Q296="",AM296=""),"",60+2*Q296-AM296)</f>
        <v/>
      </c>
      <c r="AO296" s="49" t="str">
        <f aca="false">IF(OR(G296="",AJ296=""),"",AJ296-G296)</f>
        <v/>
      </c>
      <c r="AP296" s="50" t="str">
        <f aca="false">IF(AND(A296="",B296=""),"",IF(J296="","Status needed",IF(OR(J296="Applied",J296="Visit booked",J296="Withdrawn"),"OK",IF(G296="","Date assessed needed",IF(C296="","Date of birth needed",IF(COUNTA(L296,M296,P296,U296,V296,X296,AB296)&lt;7,"Band missing",IF(AND(OR(J296="Decision confirmed",J296="Family told",J296="Enrolled"),AG296=""),"Recommendation needed",IF(AND(OR(J296="Family told",J296="Enrolled"),AJ296=""),"Date family told needed","OK"))))))))</f>
        <v/>
      </c>
    </row>
    <row r="297" customFormat="false" ht="15" hidden="false" customHeight="false" outlineLevel="0" collapsed="false">
      <c r="A297" s="7"/>
      <c r="B297" s="7"/>
      <c r="C297" s="46"/>
      <c r="D297" s="7"/>
      <c r="E297" s="47"/>
      <c r="F297" s="46"/>
      <c r="G297" s="46"/>
      <c r="H297" s="7"/>
      <c r="I297" s="7"/>
      <c r="J297" s="47"/>
      <c r="K297" s="47"/>
      <c r="L297" s="47"/>
      <c r="M297" s="47"/>
      <c r="N297" s="10"/>
      <c r="O297" s="47"/>
      <c r="P297" s="47"/>
      <c r="Q297" s="47"/>
      <c r="R297" s="48" t="str">
        <f aca="false">IF(Q297="","",IF(Q297=0,"below 5:00",IF(Q297&gt;=66,"16:00 or above",INT((60+2*Q297)/12)&amp;":"&amp;TEXT(MOD(60+2*Q297,12),"00"))))</f>
        <v/>
      </c>
      <c r="S297" s="47"/>
      <c r="T297" s="47"/>
      <c r="U297" s="47"/>
      <c r="V297" s="47"/>
      <c r="W297" s="47"/>
      <c r="X297" s="47"/>
      <c r="Y297" s="47"/>
      <c r="Z297" s="47"/>
      <c r="AA297" s="47"/>
      <c r="AB297" s="47"/>
      <c r="AC297" s="47"/>
      <c r="AD297" s="47"/>
      <c r="AE297" s="47"/>
      <c r="AF297" s="47"/>
      <c r="AG297" s="47"/>
      <c r="AH297" s="47"/>
      <c r="AI297" s="46"/>
      <c r="AJ297" s="46"/>
      <c r="AK297" s="46"/>
      <c r="AL297" s="7"/>
      <c r="AM297" s="49" t="str">
        <f aca="false">IF(OR(C297="",G297=""),"",IFERROR(DATEDIF(C297,G297,"m"),""))</f>
        <v/>
      </c>
      <c r="AN297" s="49" t="str">
        <f aca="false">IF(OR(Q297="",AM297=""),"",60+2*Q297-AM297)</f>
        <v/>
      </c>
      <c r="AO297" s="49" t="str">
        <f aca="false">IF(OR(G297="",AJ297=""),"",AJ297-G297)</f>
        <v/>
      </c>
      <c r="AP297" s="50" t="str">
        <f aca="false">IF(AND(A297="",B297=""),"",IF(J297="","Status needed",IF(OR(J297="Applied",J297="Visit booked",J297="Withdrawn"),"OK",IF(G297="","Date assessed needed",IF(C297="","Date of birth needed",IF(COUNTA(L297,M297,P297,U297,V297,X297,AB297)&lt;7,"Band missing",IF(AND(OR(J297="Decision confirmed",J297="Family told",J297="Enrolled"),AG297=""),"Recommendation needed",IF(AND(OR(J297="Family told",J297="Enrolled"),AJ297=""),"Date family told needed","OK"))))))))</f>
        <v/>
      </c>
    </row>
    <row r="298" customFormat="false" ht="15" hidden="false" customHeight="false" outlineLevel="0" collapsed="false">
      <c r="A298" s="7"/>
      <c r="B298" s="7"/>
      <c r="C298" s="46"/>
      <c r="D298" s="7"/>
      <c r="E298" s="47"/>
      <c r="F298" s="46"/>
      <c r="G298" s="46"/>
      <c r="H298" s="7"/>
      <c r="I298" s="7"/>
      <c r="J298" s="47"/>
      <c r="K298" s="47"/>
      <c r="L298" s="47"/>
      <c r="M298" s="47"/>
      <c r="N298" s="10"/>
      <c r="O298" s="47"/>
      <c r="P298" s="47"/>
      <c r="Q298" s="47"/>
      <c r="R298" s="48" t="str">
        <f aca="false">IF(Q298="","",IF(Q298=0,"below 5:00",IF(Q298&gt;=66,"16:00 or above",INT((60+2*Q298)/12)&amp;":"&amp;TEXT(MOD(60+2*Q298,12),"00"))))</f>
        <v/>
      </c>
      <c r="S298" s="47"/>
      <c r="T298" s="47"/>
      <c r="U298" s="47"/>
      <c r="V298" s="47"/>
      <c r="W298" s="47"/>
      <c r="X298" s="47"/>
      <c r="Y298" s="47"/>
      <c r="Z298" s="47"/>
      <c r="AA298" s="47"/>
      <c r="AB298" s="47"/>
      <c r="AC298" s="47"/>
      <c r="AD298" s="47"/>
      <c r="AE298" s="47"/>
      <c r="AF298" s="47"/>
      <c r="AG298" s="47"/>
      <c r="AH298" s="47"/>
      <c r="AI298" s="46"/>
      <c r="AJ298" s="46"/>
      <c r="AK298" s="46"/>
      <c r="AL298" s="7"/>
      <c r="AM298" s="49" t="str">
        <f aca="false">IF(OR(C298="",G298=""),"",IFERROR(DATEDIF(C298,G298,"m"),""))</f>
        <v/>
      </c>
      <c r="AN298" s="49" t="str">
        <f aca="false">IF(OR(Q298="",AM298=""),"",60+2*Q298-AM298)</f>
        <v/>
      </c>
      <c r="AO298" s="49" t="str">
        <f aca="false">IF(OR(G298="",AJ298=""),"",AJ298-G298)</f>
        <v/>
      </c>
      <c r="AP298" s="50" t="str">
        <f aca="false">IF(AND(A298="",B298=""),"",IF(J298="","Status needed",IF(OR(J298="Applied",J298="Visit booked",J298="Withdrawn"),"OK",IF(G298="","Date assessed needed",IF(C298="","Date of birth needed",IF(COUNTA(L298,M298,P298,U298,V298,X298,AB298)&lt;7,"Band missing",IF(AND(OR(J298="Decision confirmed",J298="Family told",J298="Enrolled"),AG298=""),"Recommendation needed",IF(AND(OR(J298="Family told",J298="Enrolled"),AJ298=""),"Date family told needed","OK"))))))))</f>
        <v/>
      </c>
    </row>
    <row r="299" customFormat="false" ht="15" hidden="false" customHeight="false" outlineLevel="0" collapsed="false">
      <c r="A299" s="7"/>
      <c r="B299" s="7"/>
      <c r="C299" s="46"/>
      <c r="D299" s="7"/>
      <c r="E299" s="47"/>
      <c r="F299" s="46"/>
      <c r="G299" s="46"/>
      <c r="H299" s="7"/>
      <c r="I299" s="7"/>
      <c r="J299" s="47"/>
      <c r="K299" s="47"/>
      <c r="L299" s="47"/>
      <c r="M299" s="47"/>
      <c r="N299" s="10"/>
      <c r="O299" s="47"/>
      <c r="P299" s="47"/>
      <c r="Q299" s="47"/>
      <c r="R299" s="48" t="str">
        <f aca="false">IF(Q299="","",IF(Q299=0,"below 5:00",IF(Q299&gt;=66,"16:00 or above",INT((60+2*Q299)/12)&amp;":"&amp;TEXT(MOD(60+2*Q299,12),"00"))))</f>
        <v/>
      </c>
      <c r="S299" s="47"/>
      <c r="T299" s="47"/>
      <c r="U299" s="47"/>
      <c r="V299" s="47"/>
      <c r="W299" s="47"/>
      <c r="X299" s="47"/>
      <c r="Y299" s="47"/>
      <c r="Z299" s="47"/>
      <c r="AA299" s="47"/>
      <c r="AB299" s="47"/>
      <c r="AC299" s="47"/>
      <c r="AD299" s="47"/>
      <c r="AE299" s="47"/>
      <c r="AF299" s="47"/>
      <c r="AG299" s="47"/>
      <c r="AH299" s="47"/>
      <c r="AI299" s="46"/>
      <c r="AJ299" s="46"/>
      <c r="AK299" s="46"/>
      <c r="AL299" s="7"/>
      <c r="AM299" s="49" t="str">
        <f aca="false">IF(OR(C299="",G299=""),"",IFERROR(DATEDIF(C299,G299,"m"),""))</f>
        <v/>
      </c>
      <c r="AN299" s="49" t="str">
        <f aca="false">IF(OR(Q299="",AM299=""),"",60+2*Q299-AM299)</f>
        <v/>
      </c>
      <c r="AO299" s="49" t="str">
        <f aca="false">IF(OR(G299="",AJ299=""),"",AJ299-G299)</f>
        <v/>
      </c>
      <c r="AP299" s="50" t="str">
        <f aca="false">IF(AND(A299="",B299=""),"",IF(J299="","Status needed",IF(OR(J299="Applied",J299="Visit booked",J299="Withdrawn"),"OK",IF(G299="","Date assessed needed",IF(C299="","Date of birth needed",IF(COUNTA(L299,M299,P299,U299,V299,X299,AB299)&lt;7,"Band missing",IF(AND(OR(J299="Decision confirmed",J299="Family told",J299="Enrolled"),AG299=""),"Recommendation needed",IF(AND(OR(J299="Family told",J299="Enrolled"),AJ299=""),"Date family told needed","OK"))))))))</f>
        <v/>
      </c>
    </row>
    <row r="300" customFormat="false" ht="15" hidden="false" customHeight="false" outlineLevel="0" collapsed="false">
      <c r="A300" s="7"/>
      <c r="B300" s="7"/>
      <c r="C300" s="46"/>
      <c r="D300" s="7"/>
      <c r="E300" s="47"/>
      <c r="F300" s="46"/>
      <c r="G300" s="46"/>
      <c r="H300" s="7"/>
      <c r="I300" s="7"/>
      <c r="J300" s="47"/>
      <c r="K300" s="47"/>
      <c r="L300" s="47"/>
      <c r="M300" s="47"/>
      <c r="N300" s="10"/>
      <c r="O300" s="47"/>
      <c r="P300" s="47"/>
      <c r="Q300" s="47"/>
      <c r="R300" s="48" t="str">
        <f aca="false">IF(Q300="","",IF(Q300=0,"below 5:00",IF(Q300&gt;=66,"16:00 or above",INT((60+2*Q300)/12)&amp;":"&amp;TEXT(MOD(60+2*Q300,12),"00"))))</f>
        <v/>
      </c>
      <c r="S300" s="47"/>
      <c r="T300" s="47"/>
      <c r="U300" s="47"/>
      <c r="V300" s="47"/>
      <c r="W300" s="47"/>
      <c r="X300" s="47"/>
      <c r="Y300" s="47"/>
      <c r="Z300" s="47"/>
      <c r="AA300" s="47"/>
      <c r="AB300" s="47"/>
      <c r="AC300" s="47"/>
      <c r="AD300" s="47"/>
      <c r="AE300" s="47"/>
      <c r="AF300" s="47"/>
      <c r="AG300" s="47"/>
      <c r="AH300" s="47"/>
      <c r="AI300" s="46"/>
      <c r="AJ300" s="46"/>
      <c r="AK300" s="46"/>
      <c r="AL300" s="7"/>
      <c r="AM300" s="49" t="str">
        <f aca="false">IF(OR(C300="",G300=""),"",IFERROR(DATEDIF(C300,G300,"m"),""))</f>
        <v/>
      </c>
      <c r="AN300" s="49" t="str">
        <f aca="false">IF(OR(Q300="",AM300=""),"",60+2*Q300-AM300)</f>
        <v/>
      </c>
      <c r="AO300" s="49" t="str">
        <f aca="false">IF(OR(G300="",AJ300=""),"",AJ300-G300)</f>
        <v/>
      </c>
      <c r="AP300" s="50" t="str">
        <f aca="false">IF(AND(A300="",B300=""),"",IF(J300="","Status needed",IF(OR(J300="Applied",J300="Visit booked",J300="Withdrawn"),"OK",IF(G300="","Date assessed needed",IF(C300="","Date of birth needed",IF(COUNTA(L300,M300,P300,U300,V300,X300,AB300)&lt;7,"Band missing",IF(AND(OR(J300="Decision confirmed",J300="Family told",J300="Enrolled"),AG300=""),"Recommendation needed",IF(AND(OR(J300="Family told",J300="Enrolled"),AJ300=""),"Date family told needed","OK"))))))))</f>
        <v/>
      </c>
    </row>
    <row r="301" customFormat="false" ht="15" hidden="false" customHeight="false" outlineLevel="0" collapsed="false">
      <c r="A301" s="7"/>
      <c r="B301" s="7"/>
      <c r="C301" s="46"/>
      <c r="D301" s="7"/>
      <c r="E301" s="47"/>
      <c r="F301" s="46"/>
      <c r="G301" s="46"/>
      <c r="H301" s="7"/>
      <c r="I301" s="7"/>
      <c r="J301" s="47"/>
      <c r="K301" s="47"/>
      <c r="L301" s="47"/>
      <c r="M301" s="47"/>
      <c r="N301" s="10"/>
      <c r="O301" s="47"/>
      <c r="P301" s="47"/>
      <c r="Q301" s="47"/>
      <c r="R301" s="48" t="str">
        <f aca="false">IF(Q301="","",IF(Q301=0,"below 5:00",IF(Q301&gt;=66,"16:00 or above",INT((60+2*Q301)/12)&amp;":"&amp;TEXT(MOD(60+2*Q301,12),"00"))))</f>
        <v/>
      </c>
      <c r="S301" s="47"/>
      <c r="T301" s="47"/>
      <c r="U301" s="47"/>
      <c r="V301" s="47"/>
      <c r="W301" s="47"/>
      <c r="X301" s="47"/>
      <c r="Y301" s="47"/>
      <c r="Z301" s="47"/>
      <c r="AA301" s="47"/>
      <c r="AB301" s="47"/>
      <c r="AC301" s="47"/>
      <c r="AD301" s="47"/>
      <c r="AE301" s="47"/>
      <c r="AF301" s="47"/>
      <c r="AG301" s="47"/>
      <c r="AH301" s="47"/>
      <c r="AI301" s="46"/>
      <c r="AJ301" s="46"/>
      <c r="AK301" s="46"/>
      <c r="AL301" s="7"/>
      <c r="AM301" s="49" t="str">
        <f aca="false">IF(OR(C301="",G301=""),"",IFERROR(DATEDIF(C301,G301,"m"),""))</f>
        <v/>
      </c>
      <c r="AN301" s="49" t="str">
        <f aca="false">IF(OR(Q301="",AM301=""),"",60+2*Q301-AM301)</f>
        <v/>
      </c>
      <c r="AO301" s="49" t="str">
        <f aca="false">IF(OR(G301="",AJ301=""),"",AJ301-G301)</f>
        <v/>
      </c>
      <c r="AP301" s="50" t="str">
        <f aca="false">IF(AND(A301="",B301=""),"",IF(J301="","Status needed",IF(OR(J301="Applied",J301="Visit booked",J301="Withdrawn"),"OK",IF(G301="","Date assessed needed",IF(C301="","Date of birth needed",IF(COUNTA(L301,M301,P301,U301,V301,X301,AB301)&lt;7,"Band missing",IF(AND(OR(J301="Decision confirmed",J301="Family told",J301="Enrolled"),AG301=""),"Recommendation needed",IF(AND(OR(J301="Family told",J301="Enrolled"),AJ301=""),"Date family told needed","OK"))))))))</f>
        <v/>
      </c>
    </row>
    <row r="302" customFormat="false" ht="15" hidden="false" customHeight="false" outlineLevel="0" collapsed="false">
      <c r="A302" s="7"/>
      <c r="B302" s="7"/>
      <c r="C302" s="46"/>
      <c r="D302" s="7"/>
      <c r="E302" s="47"/>
      <c r="F302" s="46"/>
      <c r="G302" s="46"/>
      <c r="H302" s="7"/>
      <c r="I302" s="7"/>
      <c r="J302" s="47"/>
      <c r="K302" s="47"/>
      <c r="L302" s="47"/>
      <c r="M302" s="47"/>
      <c r="N302" s="10"/>
      <c r="O302" s="47"/>
      <c r="P302" s="47"/>
      <c r="Q302" s="47"/>
      <c r="R302" s="48" t="str">
        <f aca="false">IF(Q302="","",IF(Q302=0,"below 5:00",IF(Q302&gt;=66,"16:00 or above",INT((60+2*Q302)/12)&amp;":"&amp;TEXT(MOD(60+2*Q302,12),"00"))))</f>
        <v/>
      </c>
      <c r="S302" s="47"/>
      <c r="T302" s="47"/>
      <c r="U302" s="47"/>
      <c r="V302" s="47"/>
      <c r="W302" s="47"/>
      <c r="X302" s="47"/>
      <c r="Y302" s="47"/>
      <c r="Z302" s="47"/>
      <c r="AA302" s="47"/>
      <c r="AB302" s="47"/>
      <c r="AC302" s="47"/>
      <c r="AD302" s="47"/>
      <c r="AE302" s="47"/>
      <c r="AF302" s="47"/>
      <c r="AG302" s="47"/>
      <c r="AH302" s="47"/>
      <c r="AI302" s="46"/>
      <c r="AJ302" s="46"/>
      <c r="AK302" s="46"/>
      <c r="AL302" s="7"/>
      <c r="AM302" s="49" t="str">
        <f aca="false">IF(OR(C302="",G302=""),"",IFERROR(DATEDIF(C302,G302,"m"),""))</f>
        <v/>
      </c>
      <c r="AN302" s="49" t="str">
        <f aca="false">IF(OR(Q302="",AM302=""),"",60+2*Q302-AM302)</f>
        <v/>
      </c>
      <c r="AO302" s="49" t="str">
        <f aca="false">IF(OR(G302="",AJ302=""),"",AJ302-G302)</f>
        <v/>
      </c>
      <c r="AP302" s="50" t="str">
        <f aca="false">IF(AND(A302="",B302=""),"",IF(J302="","Status needed",IF(OR(J302="Applied",J302="Visit booked",J302="Withdrawn"),"OK",IF(G302="","Date assessed needed",IF(C302="","Date of birth needed",IF(COUNTA(L302,M302,P302,U302,V302,X302,AB302)&lt;7,"Band missing",IF(AND(OR(J302="Decision confirmed",J302="Family told",J302="Enrolled"),AG302=""),"Recommendation needed",IF(AND(OR(J302="Family told",J302="Enrolled"),AJ302=""),"Date family told needed","OK"))))))))</f>
        <v/>
      </c>
    </row>
    <row r="303" customFormat="false" ht="15" hidden="false" customHeight="false" outlineLevel="0" collapsed="false">
      <c r="A303" s="7"/>
      <c r="B303" s="7"/>
      <c r="C303" s="46"/>
      <c r="D303" s="7"/>
      <c r="E303" s="47"/>
      <c r="F303" s="46"/>
      <c r="G303" s="46"/>
      <c r="H303" s="7"/>
      <c r="I303" s="7"/>
      <c r="J303" s="47"/>
      <c r="K303" s="47"/>
      <c r="L303" s="47"/>
      <c r="M303" s="47"/>
      <c r="N303" s="10"/>
      <c r="O303" s="47"/>
      <c r="P303" s="47"/>
      <c r="Q303" s="47"/>
      <c r="R303" s="48" t="str">
        <f aca="false">IF(Q303="","",IF(Q303=0,"below 5:00",IF(Q303&gt;=66,"16:00 or above",INT((60+2*Q303)/12)&amp;":"&amp;TEXT(MOD(60+2*Q303,12),"00"))))</f>
        <v/>
      </c>
      <c r="S303" s="47"/>
      <c r="T303" s="47"/>
      <c r="U303" s="47"/>
      <c r="V303" s="47"/>
      <c r="W303" s="47"/>
      <c r="X303" s="47"/>
      <c r="Y303" s="47"/>
      <c r="Z303" s="47"/>
      <c r="AA303" s="47"/>
      <c r="AB303" s="47"/>
      <c r="AC303" s="47"/>
      <c r="AD303" s="47"/>
      <c r="AE303" s="47"/>
      <c r="AF303" s="47"/>
      <c r="AG303" s="47"/>
      <c r="AH303" s="47"/>
      <c r="AI303" s="46"/>
      <c r="AJ303" s="46"/>
      <c r="AK303" s="46"/>
      <c r="AL303" s="7"/>
      <c r="AM303" s="49" t="str">
        <f aca="false">IF(OR(C303="",G303=""),"",IFERROR(DATEDIF(C303,G303,"m"),""))</f>
        <v/>
      </c>
      <c r="AN303" s="49" t="str">
        <f aca="false">IF(OR(Q303="",AM303=""),"",60+2*Q303-AM303)</f>
        <v/>
      </c>
      <c r="AO303" s="49" t="str">
        <f aca="false">IF(OR(G303="",AJ303=""),"",AJ303-G303)</f>
        <v/>
      </c>
      <c r="AP303" s="50" t="str">
        <f aca="false">IF(AND(A303="",B303=""),"",IF(J303="","Status needed",IF(OR(J303="Applied",J303="Visit booked",J303="Withdrawn"),"OK",IF(G303="","Date assessed needed",IF(C303="","Date of birth needed",IF(COUNTA(L303,M303,P303,U303,V303,X303,AB303)&lt;7,"Band missing",IF(AND(OR(J303="Decision confirmed",J303="Family told",J303="Enrolled"),AG303=""),"Recommendation needed",IF(AND(OR(J303="Family told",J303="Enrolled"),AJ303=""),"Date family told needed","OK"))))))))</f>
        <v/>
      </c>
    </row>
    <row r="304" customFormat="false" ht="15" hidden="false" customHeight="false" outlineLevel="0" collapsed="false">
      <c r="A304" s="7"/>
      <c r="B304" s="7"/>
      <c r="C304" s="46"/>
      <c r="D304" s="7"/>
      <c r="E304" s="47"/>
      <c r="F304" s="46"/>
      <c r="G304" s="46"/>
      <c r="H304" s="7"/>
      <c r="I304" s="7"/>
      <c r="J304" s="47"/>
      <c r="K304" s="47"/>
      <c r="L304" s="47"/>
      <c r="M304" s="47"/>
      <c r="N304" s="10"/>
      <c r="O304" s="47"/>
      <c r="P304" s="47"/>
      <c r="Q304" s="47"/>
      <c r="R304" s="48" t="str">
        <f aca="false">IF(Q304="","",IF(Q304=0,"below 5:00",IF(Q304&gt;=66,"16:00 or above",INT((60+2*Q304)/12)&amp;":"&amp;TEXT(MOD(60+2*Q304,12),"00"))))</f>
        <v/>
      </c>
      <c r="S304" s="47"/>
      <c r="T304" s="47"/>
      <c r="U304" s="47"/>
      <c r="V304" s="47"/>
      <c r="W304" s="47"/>
      <c r="X304" s="47"/>
      <c r="Y304" s="47"/>
      <c r="Z304" s="47"/>
      <c r="AA304" s="47"/>
      <c r="AB304" s="47"/>
      <c r="AC304" s="47"/>
      <c r="AD304" s="47"/>
      <c r="AE304" s="47"/>
      <c r="AF304" s="47"/>
      <c r="AG304" s="47"/>
      <c r="AH304" s="47"/>
      <c r="AI304" s="46"/>
      <c r="AJ304" s="46"/>
      <c r="AK304" s="46"/>
      <c r="AL304" s="7"/>
      <c r="AM304" s="49" t="str">
        <f aca="false">IF(OR(C304="",G304=""),"",IFERROR(DATEDIF(C304,G304,"m"),""))</f>
        <v/>
      </c>
      <c r="AN304" s="49" t="str">
        <f aca="false">IF(OR(Q304="",AM304=""),"",60+2*Q304-AM304)</f>
        <v/>
      </c>
      <c r="AO304" s="49" t="str">
        <f aca="false">IF(OR(G304="",AJ304=""),"",AJ304-G304)</f>
        <v/>
      </c>
      <c r="AP304" s="50" t="str">
        <f aca="false">IF(AND(A304="",B304=""),"",IF(J304="","Status needed",IF(OR(J304="Applied",J304="Visit booked",J304="Withdrawn"),"OK",IF(G304="","Date assessed needed",IF(C304="","Date of birth needed",IF(COUNTA(L304,M304,P304,U304,V304,X304,AB304)&lt;7,"Band missing",IF(AND(OR(J304="Decision confirmed",J304="Family told",J304="Enrolled"),AG304=""),"Recommendation needed",IF(AND(OR(J304="Family told",J304="Enrolled"),AJ304=""),"Date family told needed","OK"))))))))</f>
        <v/>
      </c>
    </row>
    <row r="305" customFormat="false" ht="15" hidden="false" customHeight="false" outlineLevel="0" collapsed="false">
      <c r="A305" s="7"/>
      <c r="B305" s="7"/>
      <c r="C305" s="46"/>
      <c r="D305" s="7"/>
      <c r="E305" s="47"/>
      <c r="F305" s="46"/>
      <c r="G305" s="46"/>
      <c r="H305" s="7"/>
      <c r="I305" s="7"/>
      <c r="J305" s="47"/>
      <c r="K305" s="47"/>
      <c r="L305" s="47"/>
      <c r="M305" s="47"/>
      <c r="N305" s="10"/>
      <c r="O305" s="47"/>
      <c r="P305" s="47"/>
      <c r="Q305" s="47"/>
      <c r="R305" s="48" t="str">
        <f aca="false">IF(Q305="","",IF(Q305=0,"below 5:00",IF(Q305&gt;=66,"16:00 or above",INT((60+2*Q305)/12)&amp;":"&amp;TEXT(MOD(60+2*Q305,12),"00"))))</f>
        <v/>
      </c>
      <c r="S305" s="47"/>
      <c r="T305" s="47"/>
      <c r="U305" s="47"/>
      <c r="V305" s="47"/>
      <c r="W305" s="47"/>
      <c r="X305" s="47"/>
      <c r="Y305" s="47"/>
      <c r="Z305" s="47"/>
      <c r="AA305" s="47"/>
      <c r="AB305" s="47"/>
      <c r="AC305" s="47"/>
      <c r="AD305" s="47"/>
      <c r="AE305" s="47"/>
      <c r="AF305" s="47"/>
      <c r="AG305" s="47"/>
      <c r="AH305" s="47"/>
      <c r="AI305" s="46"/>
      <c r="AJ305" s="46"/>
      <c r="AK305" s="46"/>
      <c r="AL305" s="7"/>
      <c r="AM305" s="49" t="str">
        <f aca="false">IF(OR(C305="",G305=""),"",IFERROR(DATEDIF(C305,G305,"m"),""))</f>
        <v/>
      </c>
      <c r="AN305" s="49" t="str">
        <f aca="false">IF(OR(Q305="",AM305=""),"",60+2*Q305-AM305)</f>
        <v/>
      </c>
      <c r="AO305" s="49" t="str">
        <f aca="false">IF(OR(G305="",AJ305=""),"",AJ305-G305)</f>
        <v/>
      </c>
      <c r="AP305" s="50" t="str">
        <f aca="false">IF(AND(A305="",B305=""),"",IF(J305="","Status needed",IF(OR(J305="Applied",J305="Visit booked",J305="Withdrawn"),"OK",IF(G305="","Date assessed needed",IF(C305="","Date of birth needed",IF(COUNTA(L305,M305,P305,U305,V305,X305,AB305)&lt;7,"Band missing",IF(AND(OR(J305="Decision confirmed",J305="Family told",J305="Enrolled"),AG305=""),"Recommendation needed",IF(AND(OR(J305="Family told",J305="Enrolled"),AJ305=""),"Date family told needed","OK"))))))))</f>
        <v/>
      </c>
    </row>
  </sheetData>
  <autoFilter ref="A5:AP305"/>
  <mergeCells count="7">
    <mergeCell ref="A4:E4"/>
    <mergeCell ref="F4:J4"/>
    <mergeCell ref="K4:V4"/>
    <mergeCell ref="W4:AB4"/>
    <mergeCell ref="AC4:AF4"/>
    <mergeCell ref="AG4:AL4"/>
    <mergeCell ref="AM4:AP4"/>
  </mergeCells>
  <conditionalFormatting sqref="L6:L305">
    <cfRule type="cellIs" priority="2" operator="equal" aboveAverage="0" equalAverage="0" bottom="0" percent="0" rank="0" text="" dxfId="13">
      <formula>"A"</formula>
    </cfRule>
    <cfRule type="cellIs" priority="3" operator="equal" aboveAverage="0" equalAverage="0" bottom="0" percent="0" rank="0" text="" dxfId="14">
      <formula>"B"</formula>
    </cfRule>
    <cfRule type="cellIs" priority="4" operator="equal" aboveAverage="0" equalAverage="0" bottom="0" percent="0" rank="0" text="" dxfId="15">
      <formula>"C"</formula>
    </cfRule>
    <cfRule type="cellIs" priority="5" operator="equal" aboveAverage="0" equalAverage="0" bottom="0" percent="0" rank="0" text="" dxfId="16">
      <formula>"D"</formula>
    </cfRule>
    <cfRule type="cellIs" priority="6" operator="equal" aboveAverage="0" equalAverage="0" bottom="0" percent="0" rank="0" text="" dxfId="17">
      <formula>"E"</formula>
    </cfRule>
  </conditionalFormatting>
  <conditionalFormatting sqref="M6:M305">
    <cfRule type="cellIs" priority="7" operator="equal" aboveAverage="0" equalAverage="0" bottom="0" percent="0" rank="0" text="" dxfId="13">
      <formula>"A"</formula>
    </cfRule>
    <cfRule type="cellIs" priority="8" operator="equal" aboveAverage="0" equalAverage="0" bottom="0" percent="0" rank="0" text="" dxfId="14">
      <formula>"B"</formula>
    </cfRule>
    <cfRule type="cellIs" priority="9" operator="equal" aboveAverage="0" equalAverage="0" bottom="0" percent="0" rank="0" text="" dxfId="15">
      <formula>"C"</formula>
    </cfRule>
    <cfRule type="cellIs" priority="10" operator="equal" aboveAverage="0" equalAverage="0" bottom="0" percent="0" rank="0" text="" dxfId="16">
      <formula>"D"</formula>
    </cfRule>
    <cfRule type="cellIs" priority="11" operator="equal" aboveAverage="0" equalAverage="0" bottom="0" percent="0" rank="0" text="" dxfId="17">
      <formula>"E"</formula>
    </cfRule>
  </conditionalFormatting>
  <conditionalFormatting sqref="P6:P305">
    <cfRule type="cellIs" priority="12" operator="equal" aboveAverage="0" equalAverage="0" bottom="0" percent="0" rank="0" text="" dxfId="13">
      <formula>"A"</formula>
    </cfRule>
    <cfRule type="cellIs" priority="13" operator="equal" aboveAverage="0" equalAverage="0" bottom="0" percent="0" rank="0" text="" dxfId="14">
      <formula>"B"</formula>
    </cfRule>
    <cfRule type="cellIs" priority="14" operator="equal" aboveAverage="0" equalAverage="0" bottom="0" percent="0" rank="0" text="" dxfId="15">
      <formula>"C"</formula>
    </cfRule>
    <cfRule type="cellIs" priority="15" operator="equal" aboveAverage="0" equalAverage="0" bottom="0" percent="0" rank="0" text="" dxfId="16">
      <formula>"D"</formula>
    </cfRule>
    <cfRule type="cellIs" priority="16" operator="equal" aboveAverage="0" equalAverage="0" bottom="0" percent="0" rank="0" text="" dxfId="17">
      <formula>"E"</formula>
    </cfRule>
  </conditionalFormatting>
  <conditionalFormatting sqref="S6:S305">
    <cfRule type="cellIs" priority="17" operator="equal" aboveAverage="0" equalAverage="0" bottom="0" percent="0" rank="0" text="" dxfId="13">
      <formula>"A"</formula>
    </cfRule>
    <cfRule type="cellIs" priority="18" operator="equal" aboveAverage="0" equalAverage="0" bottom="0" percent="0" rank="0" text="" dxfId="14">
      <formula>"B"</formula>
    </cfRule>
    <cfRule type="cellIs" priority="19" operator="equal" aboveAverage="0" equalAverage="0" bottom="0" percent="0" rank="0" text="" dxfId="15">
      <formula>"C"</formula>
    </cfRule>
    <cfRule type="cellIs" priority="20" operator="equal" aboveAverage="0" equalAverage="0" bottom="0" percent="0" rank="0" text="" dxfId="16">
      <formula>"D"</formula>
    </cfRule>
    <cfRule type="cellIs" priority="21" operator="equal" aboveAverage="0" equalAverage="0" bottom="0" percent="0" rank="0" text="" dxfId="17">
      <formula>"E"</formula>
    </cfRule>
  </conditionalFormatting>
  <conditionalFormatting sqref="U6:U305">
    <cfRule type="cellIs" priority="22" operator="equal" aboveAverage="0" equalAverage="0" bottom="0" percent="0" rank="0" text="" dxfId="13">
      <formula>"A"</formula>
    </cfRule>
    <cfRule type="cellIs" priority="23" operator="equal" aboveAverage="0" equalAverage="0" bottom="0" percent="0" rank="0" text="" dxfId="14">
      <formula>"B"</formula>
    </cfRule>
    <cfRule type="cellIs" priority="24" operator="equal" aboveAverage="0" equalAverage="0" bottom="0" percent="0" rank="0" text="" dxfId="15">
      <formula>"C"</formula>
    </cfRule>
    <cfRule type="cellIs" priority="25" operator="equal" aboveAverage="0" equalAverage="0" bottom="0" percent="0" rank="0" text="" dxfId="16">
      <formula>"D"</formula>
    </cfRule>
    <cfRule type="cellIs" priority="26" operator="equal" aboveAverage="0" equalAverage="0" bottom="0" percent="0" rank="0" text="" dxfId="17">
      <formula>"E"</formula>
    </cfRule>
  </conditionalFormatting>
  <conditionalFormatting sqref="V6:V305">
    <cfRule type="cellIs" priority="27" operator="equal" aboveAverage="0" equalAverage="0" bottom="0" percent="0" rank="0" text="" dxfId="13">
      <formula>"A"</formula>
    </cfRule>
    <cfRule type="cellIs" priority="28" operator="equal" aboveAverage="0" equalAverage="0" bottom="0" percent="0" rank="0" text="" dxfId="14">
      <formula>"B"</formula>
    </cfRule>
    <cfRule type="cellIs" priority="29" operator="equal" aboveAverage="0" equalAverage="0" bottom="0" percent="0" rank="0" text="" dxfId="15">
      <formula>"C"</formula>
    </cfRule>
    <cfRule type="cellIs" priority="30" operator="equal" aboveAverage="0" equalAverage="0" bottom="0" percent="0" rank="0" text="" dxfId="16">
      <formula>"D"</formula>
    </cfRule>
    <cfRule type="cellIs" priority="31" operator="equal" aboveAverage="0" equalAverage="0" bottom="0" percent="0" rank="0" text="" dxfId="17">
      <formula>"E"</formula>
    </cfRule>
  </conditionalFormatting>
  <conditionalFormatting sqref="X6:X305">
    <cfRule type="cellIs" priority="32" operator="equal" aboveAverage="0" equalAverage="0" bottom="0" percent="0" rank="0" text="" dxfId="13">
      <formula>1</formula>
    </cfRule>
    <cfRule type="cellIs" priority="33" operator="equal" aboveAverage="0" equalAverage="0" bottom="0" percent="0" rank="0" text="" dxfId="14">
      <formula>2</formula>
    </cfRule>
    <cfRule type="cellIs" priority="34" operator="equal" aboveAverage="0" equalAverage="0" bottom="0" percent="0" rank="0" text="" dxfId="16">
      <formula>3</formula>
    </cfRule>
    <cfRule type="cellIs" priority="35" operator="equal" aboveAverage="0" equalAverage="0" bottom="0" percent="0" rank="0" text="" dxfId="17">
      <formula>4</formula>
    </cfRule>
  </conditionalFormatting>
  <conditionalFormatting sqref="AB6:AB305">
    <cfRule type="cellIs" priority="36" operator="equal" aboveAverage="0" equalAverage="0" bottom="0" percent="0" rank="0" text="" dxfId="13">
      <formula>1</formula>
    </cfRule>
    <cfRule type="cellIs" priority="37" operator="equal" aboveAverage="0" equalAverage="0" bottom="0" percent="0" rank="0" text="" dxfId="14">
      <formula>2</formula>
    </cfRule>
    <cfRule type="cellIs" priority="38" operator="equal" aboveAverage="0" equalAverage="0" bottom="0" percent="0" rank="0" text="" dxfId="16">
      <formula>3</formula>
    </cfRule>
    <cfRule type="cellIs" priority="39" operator="equal" aboveAverage="0" equalAverage="0" bottom="0" percent="0" rank="0" text="" dxfId="17">
      <formula>4</formula>
    </cfRule>
  </conditionalFormatting>
  <conditionalFormatting sqref="AC6:AC305">
    <cfRule type="cellIs" priority="40" operator="equal" aboveAverage="0" equalAverage="0" bottom="0" percent="0" rank="0" text="" dxfId="13">
      <formula>1</formula>
    </cfRule>
    <cfRule type="cellIs" priority="41" operator="equal" aboveAverage="0" equalAverage="0" bottom="0" percent="0" rank="0" text="" dxfId="14">
      <formula>2</formula>
    </cfRule>
  </conditionalFormatting>
  <conditionalFormatting sqref="AD6:AD305">
    <cfRule type="cellIs" priority="42" operator="equal" aboveAverage="0" equalAverage="0" bottom="0" percent="0" rank="0" text="" dxfId="14">
      <formula>"Y"</formula>
    </cfRule>
  </conditionalFormatting>
  <conditionalFormatting sqref="AE6:AE305">
    <cfRule type="cellIs" priority="43" operator="equal" aboveAverage="0" equalAverage="0" bottom="0" percent="0" rank="0" text="" dxfId="14">
      <formula>"Y"</formula>
    </cfRule>
  </conditionalFormatting>
  <conditionalFormatting sqref="AF6:AF305">
    <cfRule type="cellIs" priority="44" operator="equal" aboveAverage="0" equalAverage="0" bottom="0" percent="0" rank="0" text="" dxfId="14">
      <formula>"Y"</formula>
    </cfRule>
  </conditionalFormatting>
  <conditionalFormatting sqref="Z6:Z305">
    <cfRule type="cellIs" priority="45" operator="equal" aboveAverage="0" equalAverage="0" bottom="0" percent="0" rank="0" text="" dxfId="14">
      <formula>"Yes"</formula>
    </cfRule>
  </conditionalFormatting>
  <conditionalFormatting sqref="AN6:AN305">
    <cfRule type="cellIs" priority="46" operator="lessThanOrEqual" aboveAverage="0" equalAverage="0" bottom="0" percent="0" rank="0" text="" dxfId="14">
      <formula>-12</formula>
    </cfRule>
  </conditionalFormatting>
  <conditionalFormatting sqref="J6:J305">
    <cfRule type="cellIs" priority="47" operator="equal" aboveAverage="0" equalAverage="0" bottom="0" percent="0" rank="0" text="" dxfId="18">
      <formula>"Withdrawn"</formula>
    </cfRule>
  </conditionalFormatting>
  <conditionalFormatting sqref="AP6:AP305">
    <cfRule type="expression" priority="48" aboveAverage="0" equalAverage="0" bottom="0" percent="0" rank="0" text="" dxfId="19">
      <formula>AND(AP6&lt;&gt;"",AP6&lt;&gt;"OK")</formula>
    </cfRule>
    <cfRule type="expression" priority="49" aboveAverage="0" equalAverage="0" bottom="0" percent="0" rank="0" text="" dxfId="20">
      <formula>AP6="OK"</formula>
    </cfRule>
  </conditionalFormatting>
  <dataValidations count="25">
    <dataValidation allowBlank="true" error="Enter a date, day first, for example 14/10/2026." errorStyle="stop" errorTitle="Date" operator="between" showDropDown="false" showErrorMessage="true" showInputMessage="false" sqref="C6:C305 F6:G305 AI6:AK305" type="date">
      <formula1>36526</formula1>
      <formula2>73050</formula2>
    </dataValidation>
    <dataValidation allowBlank="true" error="Enter the lowest strand rating on the Interview sheet: 1, 2, 3 or 4." errorStyle="stop" errorTitle="Rating" operator="between" showDropDown="false" showErrorMessage="true" showInputMessage="false" sqref="AC6:AC305" type="whole">
      <formula1>1</formula1>
      <formula2>4</formula2>
    </dataValidation>
    <dataValidation allowBlank="true" error="Enter Y or N, or leave blank." errorStyle="stop" errorTitle="Y or N" operator="between" showDropDown="false" showErrorMessage="true" showInputMessage="false" sqref="E6:E305" type="list">
      <formula1>"Y,N"</formula1>
      <formula2>0</formula2>
    </dataValidation>
    <dataValidation allowBlank="true" error="Choose a status from the list." errorStyle="stop" errorTitle="Status" operator="between" showDropDown="false" showErrorMessage="true" showInputMessage="false" sqref="J6:J305" type="list">
      <formula1>Lists!$A$2:$A$8</formula1>
      <formula2>0</formula2>
    </dataValidation>
    <dataValidation allowBlank="true" error="Enter a whole number from 0 to the maximum shown in row 3 of this column." errorStyle="stop" errorTitle="Score" operator="between" showDropDown="false" showErrorMessage="true" showInputMessage="false" sqref="K6:K305" type="whole">
      <formula1>0</formula1>
      <formula2>$K$3</formula2>
    </dataValidation>
    <dataValidation allowBlank="true" error="Enter a band from the list: A, B, C, D or E." errorStyle="stop" errorTitle="Band" operator="between" showDropDown="false" showErrorMessage="true" showInputMessage="false" sqref="L6:L305" type="list">
      <formula1>"A,B,C,D,E"</formula1>
      <formula2>0</formula2>
    </dataValidation>
    <dataValidation allowBlank="true" error="Enter a band from the list: A, B, C, D or E." errorStyle="stop" errorTitle="Band" operator="between" showDropDown="false" showErrorMessage="true" showInputMessage="false" sqref="M6:M305" type="list">
      <formula1>"A,B,C,D,E"</formula1>
      <formula2>0</formula2>
    </dataValidation>
    <dataValidation allowBlank="true" error="Enter a whole number from 0 to the maximum shown in row 3 of this column." errorStyle="stop" errorTitle="Score" operator="between" showDropDown="false" showErrorMessage="true" showInputMessage="false" sqref="O6:O305" type="whole">
      <formula1>0</formula1>
      <formula2>$O$3</formula2>
    </dataValidation>
    <dataValidation allowBlank="true" error="Enter a band from the list: A, B, C, D or E." errorStyle="stop" errorTitle="Band" operator="between" showDropDown="false" showErrorMessage="true" showInputMessage="false" sqref="P6:P305" type="list">
      <formula1>"A,B,C,D,E"</formula1>
      <formula2>0</formula2>
    </dataValidation>
    <dataValidation allowBlank="true" error="Enter a whole number from 0 to the maximum shown in row 3 of this column." errorStyle="stop" errorTitle="Score" operator="between" showDropDown="false" showErrorMessage="true" showInputMessage="false" sqref="Q6:Q305" type="whole">
      <formula1>0</formula1>
      <formula2>$Q$3</formula2>
    </dataValidation>
    <dataValidation allowBlank="true" error="Enter a band from the list: A, B, C, D or E." errorStyle="stop" errorTitle="Band" operator="between" showDropDown="false" showErrorMessage="true" showInputMessage="false" sqref="S6:S305" type="list">
      <formula1>"A,B,C,D,E"</formula1>
      <formula2>0</formula2>
    </dataValidation>
    <dataValidation allowBlank="true" error="Enter a whole number from 0 to the maximum shown in row 3 of this column." errorStyle="stop" errorTitle="Score" operator="between" showDropDown="false" showErrorMessage="true" showInputMessage="false" sqref="T6:T305" type="whole">
      <formula1>0</formula1>
      <formula2>$T$3</formula2>
    </dataValidation>
    <dataValidation allowBlank="true" error="Enter a band from the list: A, B, C, D or E." errorStyle="stop" errorTitle="Band" operator="between" showDropDown="false" showErrorMessage="true" showInputMessage="false" sqref="U6:U305" type="list">
      <formula1>"A,B,C,D,E"</formula1>
      <formula2>0</formula2>
    </dataValidation>
    <dataValidation allowBlank="true" error="Enter a band from the list: A, B, C, D or E." errorStyle="stop" errorTitle="Band" operator="between" showDropDown="false" showErrorMessage="true" showInputMessage="false" sqref="V6:V305" type="list">
      <formula1>"A,B,C,D,E"</formula1>
      <formula2>0</formula2>
    </dataValidation>
    <dataValidation allowBlank="true" error="Enter a whole number from 0 to the maximum shown in row 3 of this column." errorStyle="stop" errorTitle="Score" operator="between" showDropDown="false" showErrorMessage="true" showInputMessage="false" sqref="W6:W305" type="whole">
      <formula1>0</formula1>
      <formula2>$W$3</formula2>
    </dataValidation>
    <dataValidation allowBlank="true" error="Enter a band from the list: 1, 2, 3 or 4." errorStyle="stop" errorTitle="Band" operator="between" showDropDown="false" showErrorMessage="true" showInputMessage="false" sqref="X6:X305" type="list">
      <formula1>"1,2,3,4"</formula1>
      <formula2>0</formula2>
    </dataValidation>
    <dataValidation allowBlank="true" error="Enter a whole number from 0 to the maximum shown in row 3 of this column." errorStyle="stop" errorTitle="Score" operator="between" showDropDown="false" showErrorMessage="true" showInputMessage="false" sqref="Y6:Y305" type="whole">
      <formula1>0</formula1>
      <formula2>$Y$3</formula2>
    </dataValidation>
    <dataValidation allowBlank="true" error="Choose Yes, No or Unsure." errorStyle="stop" errorTitle="English barrier in maths" operator="between" showDropDown="false" showErrorMessage="true" showInputMessage="false" sqref="Z6:Z305" type="list">
      <formula1>Lists!$E$2:$E$4</formula1>
      <formula2>0</formula2>
    </dataValidation>
    <dataValidation allowBlank="true" error="Enter a whole number from 0 to the maximum shown in row 3 of this column." errorStyle="stop" errorTitle="Score" operator="between" showDropDown="false" showErrorMessage="true" showInputMessage="false" sqref="AA6:AA305" type="whole">
      <formula1>0</formula1>
      <formula2>$AA$3</formula2>
    </dataValidation>
    <dataValidation allowBlank="true" error="Enter a band from the list: 1, 2, 3 or 4." errorStyle="stop" errorTitle="Band" operator="between" showDropDown="false" showErrorMessage="true" showInputMessage="false" sqref="AB6:AB305" type="list">
      <formula1>"1,2,3,4"</formula1>
      <formula2>0</formula2>
    </dataValidation>
    <dataValidation allowBlank="true" error="Enter Y or N, or leave blank." errorStyle="stop" errorTitle="Y or N" operator="between" showDropDown="false" showErrorMessage="true" showInputMessage="false" sqref="AD6:AD305" type="list">
      <formula1>"Y,N"</formula1>
      <formula2>0</formula2>
    </dataValidation>
    <dataValidation allowBlank="true" error="Enter Y or N, or leave blank." errorStyle="stop" errorTitle="Y or N" operator="between" showDropDown="false" showErrorMessage="true" showInputMessage="false" sqref="AE6:AE305" type="list">
      <formula1>"Y,N"</formula1>
      <formula2>0</formula2>
    </dataValidation>
    <dataValidation allowBlank="true" error="Enter Y or N, or leave blank." errorStyle="stop" errorTitle="Y or N" operator="between" showDropDown="false" showErrorMessage="true" showInputMessage="false" sqref="AF6:AF305" type="list">
      <formula1>"Y,N"</formula1>
      <formula2>0</formula2>
    </dataValidation>
    <dataValidation allowBlank="true" error="Choose a recommendation from the list." errorStyle="stop" errorTitle="Recommendation" operator="between" showDropDown="false" showErrorMessage="true" showInputMessage="false" sqref="AG6:AG305" type="list">
      <formula1>Lists!$B$2:$B$6</formula1>
      <formula2>0</formula2>
    </dataValidation>
    <dataValidation allowBlank="true" error="Choose a support level from the list." errorStyle="stop" errorTitle="English support level" operator="between" showDropDown="false" showErrorMessage="true" showInputMessage="false" sqref="AH6:AH305" type="list">
      <formula1>Lists!$C$2:$C$5</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78D6"/>
    <pageSetUpPr fitToPage="true"/>
  </sheetPr>
  <dimension ref="A1:AP3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4"/>
    <col collapsed="false" customWidth="true" hidden="false" outlineLevel="0" max="3" min="3" style="0" width="12"/>
    <col collapsed="false" customWidth="true" hidden="false" outlineLevel="0" max="4" min="4" style="0" width="24"/>
    <col collapsed="false" customWidth="true" hidden="false" outlineLevel="0" max="5" min="5" style="0" width="9"/>
    <col collapsed="false" customWidth="true" hidden="false" outlineLevel="0" max="7" min="6" style="0" width="12"/>
    <col collapsed="false" customWidth="true" hidden="false" outlineLevel="0" max="8" min="8" style="0" width="10"/>
    <col collapsed="false" customWidth="true" hidden="false" outlineLevel="0" max="9" min="9" style="0" width="9"/>
    <col collapsed="false" customWidth="true" hidden="false" outlineLevel="0" max="10" min="10" style="0" width="18"/>
    <col collapsed="false" customWidth="true" hidden="false" outlineLevel="0" max="13" min="11" style="0" width="9"/>
    <col collapsed="false" customWidth="true" hidden="false" outlineLevel="0" max="14" min="14" style="0" width="17"/>
    <col collapsed="false" customWidth="true" hidden="false" outlineLevel="0" max="15" min="15" style="0" width="10"/>
    <col collapsed="false" customWidth="true" hidden="false" outlineLevel="0" max="16" min="16" style="0" width="9"/>
    <col collapsed="false" customWidth="true" hidden="false" outlineLevel="0" max="17" min="17" style="0" width="10"/>
    <col collapsed="false" customWidth="true" hidden="false" outlineLevel="0" max="18" min="18" style="0" width="11"/>
    <col collapsed="false" customWidth="true" hidden="false" outlineLevel="0" max="19" min="19" style="0" width="10"/>
    <col collapsed="false" customWidth="true" hidden="false" outlineLevel="0" max="24" min="20" style="0" width="9"/>
    <col collapsed="false" customWidth="true" hidden="false" outlineLevel="0" max="25" min="25" style="0" width="10"/>
    <col collapsed="false" customWidth="true" hidden="false" outlineLevel="0" max="26" min="26" style="0" width="11"/>
    <col collapsed="false" customWidth="true" hidden="false" outlineLevel="0" max="28" min="27" style="0" width="9"/>
    <col collapsed="false" customWidth="true" hidden="false" outlineLevel="0" max="29" min="29" style="0" width="11"/>
    <col collapsed="false" customWidth="true" hidden="false" outlineLevel="0" max="31" min="30" style="0" width="10"/>
    <col collapsed="false" customWidth="true" hidden="false" outlineLevel="0" max="32" min="32" style="0" width="11"/>
    <col collapsed="false" customWidth="true" hidden="false" outlineLevel="0" max="33" min="33" style="0" width="32"/>
    <col collapsed="false" customWidth="true" hidden="false" outlineLevel="0" max="34" min="34" style="0" width="28"/>
    <col collapsed="false" customWidth="true" hidden="false" outlineLevel="0" max="37" min="35" style="0" width="12"/>
    <col collapsed="false" customWidth="true" hidden="false" outlineLevel="0" max="38" min="38" style="0" width="36"/>
    <col collapsed="false" customWidth="true" hidden="false" outlineLevel="0" max="39" min="39" style="0" width="11"/>
    <col collapsed="false" customWidth="true" hidden="false" outlineLevel="0" max="41" min="40" style="0" width="12"/>
    <col collapsed="false" customWidth="true" hidden="false" outlineLevel="0" max="42" min="42" style="0" width="26"/>
  </cols>
  <sheetData>
    <row r="1" customFormat="false" ht="17.35" hidden="false" customHeight="false" outlineLevel="0" collapsed="false">
      <c r="A1" s="38" t="s">
        <v>455</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row>
    <row r="2" customFormat="false" ht="15" hidden="false" customHeight="false" outlineLevel="0" collapsed="false">
      <c r="A2" s="18" t="s">
        <v>286</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row>
    <row r="3" customFormat="false" ht="15" hidden="false" customHeight="false" outlineLevel="0" collapsed="false">
      <c r="A3" s="1"/>
      <c r="B3" s="39" t="s">
        <v>456</v>
      </c>
      <c r="C3" s="1"/>
      <c r="D3" s="1"/>
      <c r="E3" s="1"/>
      <c r="F3" s="1"/>
      <c r="G3" s="1"/>
      <c r="H3" s="1"/>
      <c r="I3" s="1"/>
      <c r="J3" s="1"/>
      <c r="K3" s="40" t="n">
        <v>16</v>
      </c>
      <c r="L3" s="1"/>
      <c r="M3" s="1"/>
      <c r="N3" s="41" t="s">
        <v>288</v>
      </c>
      <c r="O3" s="40" t="n">
        <v>16</v>
      </c>
      <c r="P3" s="1"/>
      <c r="Q3" s="40" t="n">
        <v>72</v>
      </c>
      <c r="R3" s="1"/>
      <c r="S3" s="1"/>
      <c r="T3" s="40" t="n">
        <v>16</v>
      </c>
      <c r="U3" s="1"/>
      <c r="V3" s="1"/>
      <c r="W3" s="40" t="n">
        <v>30</v>
      </c>
      <c r="X3" s="1"/>
      <c r="Y3" s="40" t="n">
        <v>8</v>
      </c>
      <c r="Z3" s="1"/>
      <c r="AA3" s="40" t="n">
        <v>10</v>
      </c>
      <c r="AB3" s="1"/>
      <c r="AC3" s="1"/>
      <c r="AD3" s="1"/>
      <c r="AE3" s="1"/>
      <c r="AF3" s="1"/>
      <c r="AG3" s="1"/>
      <c r="AH3" s="1"/>
      <c r="AI3" s="1"/>
      <c r="AJ3" s="1"/>
      <c r="AK3" s="1"/>
      <c r="AL3" s="1"/>
      <c r="AM3" s="1"/>
      <c r="AN3" s="1"/>
      <c r="AO3" s="1"/>
      <c r="AP3" s="1"/>
    </row>
    <row r="4" customFormat="false" ht="19.5" hidden="false" customHeight="true" outlineLevel="0" collapsed="false">
      <c r="A4" s="42" t="s">
        <v>289</v>
      </c>
      <c r="B4" s="42"/>
      <c r="C4" s="42"/>
      <c r="D4" s="42"/>
      <c r="E4" s="42"/>
      <c r="F4" s="42" t="s">
        <v>290</v>
      </c>
      <c r="G4" s="42"/>
      <c r="H4" s="42"/>
      <c r="I4" s="42"/>
      <c r="J4" s="42"/>
      <c r="K4" s="42" t="s">
        <v>291</v>
      </c>
      <c r="L4" s="42"/>
      <c r="M4" s="42"/>
      <c r="N4" s="42"/>
      <c r="O4" s="42"/>
      <c r="P4" s="42"/>
      <c r="Q4" s="42"/>
      <c r="R4" s="42"/>
      <c r="S4" s="42"/>
      <c r="T4" s="42"/>
      <c r="U4" s="42"/>
      <c r="V4" s="42"/>
      <c r="W4" s="42" t="s">
        <v>292</v>
      </c>
      <c r="X4" s="42"/>
      <c r="Y4" s="42"/>
      <c r="Z4" s="42"/>
      <c r="AA4" s="42"/>
      <c r="AB4" s="42"/>
      <c r="AC4" s="42" t="s">
        <v>293</v>
      </c>
      <c r="AD4" s="42"/>
      <c r="AE4" s="42"/>
      <c r="AF4" s="42"/>
      <c r="AG4" s="42" t="s">
        <v>294</v>
      </c>
      <c r="AH4" s="42"/>
      <c r="AI4" s="42"/>
      <c r="AJ4" s="42"/>
      <c r="AK4" s="42"/>
      <c r="AL4" s="42"/>
      <c r="AM4" s="43" t="s">
        <v>295</v>
      </c>
      <c r="AN4" s="43"/>
      <c r="AO4" s="43"/>
      <c r="AP4" s="43"/>
    </row>
    <row r="5" customFormat="false" ht="61.5" hidden="false" customHeight="true" outlineLevel="0" collapsed="false">
      <c r="A5" s="44" t="s">
        <v>55</v>
      </c>
      <c r="B5" s="44" t="s">
        <v>59</v>
      </c>
      <c r="C5" s="44" t="s">
        <v>62</v>
      </c>
      <c r="D5" s="44" t="s">
        <v>65</v>
      </c>
      <c r="E5" s="44" t="s">
        <v>68</v>
      </c>
      <c r="F5" s="44" t="s">
        <v>72</v>
      </c>
      <c r="G5" s="44" t="s">
        <v>76</v>
      </c>
      <c r="H5" s="44" t="s">
        <v>79</v>
      </c>
      <c r="I5" s="44" t="s">
        <v>83</v>
      </c>
      <c r="J5" s="44" t="s">
        <v>86</v>
      </c>
      <c r="K5" s="44" t="s">
        <v>88</v>
      </c>
      <c r="L5" s="44" t="s">
        <v>91</v>
      </c>
      <c r="M5" s="44" t="s">
        <v>95</v>
      </c>
      <c r="N5" s="45" t="s">
        <v>98</v>
      </c>
      <c r="O5" s="44" t="s">
        <v>102</v>
      </c>
      <c r="P5" s="44" t="s">
        <v>106</v>
      </c>
      <c r="Q5" s="44" t="s">
        <v>109</v>
      </c>
      <c r="R5" s="44" t="s">
        <v>113</v>
      </c>
      <c r="S5" s="44" t="s">
        <v>117</v>
      </c>
      <c r="T5" s="44" t="s">
        <v>120</v>
      </c>
      <c r="U5" s="44" t="s">
        <v>123</v>
      </c>
      <c r="V5" s="44" t="s">
        <v>125</v>
      </c>
      <c r="W5" s="44" t="s">
        <v>127</v>
      </c>
      <c r="X5" s="44" t="s">
        <v>130</v>
      </c>
      <c r="Y5" s="44" t="s">
        <v>134</v>
      </c>
      <c r="Z5" s="44" t="s">
        <v>136</v>
      </c>
      <c r="AA5" s="44" t="s">
        <v>139</v>
      </c>
      <c r="AB5" s="44" t="s">
        <v>141</v>
      </c>
      <c r="AC5" s="44" t="s">
        <v>143</v>
      </c>
      <c r="AD5" s="44" t="s">
        <v>146</v>
      </c>
      <c r="AE5" s="44" t="s">
        <v>149</v>
      </c>
      <c r="AF5" s="44" t="s">
        <v>151</v>
      </c>
      <c r="AG5" s="44" t="s">
        <v>48</v>
      </c>
      <c r="AH5" s="44" t="s">
        <v>156</v>
      </c>
      <c r="AI5" s="44" t="s">
        <v>160</v>
      </c>
      <c r="AJ5" s="44" t="s">
        <v>164</v>
      </c>
      <c r="AK5" s="44" t="s">
        <v>167</v>
      </c>
      <c r="AL5" s="44" t="s">
        <v>170</v>
      </c>
      <c r="AM5" s="44" t="s">
        <v>173</v>
      </c>
      <c r="AN5" s="44" t="s">
        <v>176</v>
      </c>
      <c r="AO5" s="44" t="s">
        <v>179</v>
      </c>
      <c r="AP5" s="44" t="s">
        <v>181</v>
      </c>
    </row>
    <row r="6" customFormat="false" ht="15" hidden="false" customHeight="false" outlineLevel="0" collapsed="false">
      <c r="A6" s="7" t="s">
        <v>457</v>
      </c>
      <c r="B6" s="7" t="s">
        <v>458</v>
      </c>
      <c r="C6" s="46" t="n">
        <v>41190</v>
      </c>
      <c r="D6" s="7" t="s">
        <v>298</v>
      </c>
      <c r="E6" s="47" t="s">
        <v>69</v>
      </c>
      <c r="F6" s="46" t="n">
        <v>46273</v>
      </c>
      <c r="G6" s="46" t="n">
        <v>46293</v>
      </c>
      <c r="H6" s="7" t="s">
        <v>299</v>
      </c>
      <c r="I6" s="7" t="s">
        <v>84</v>
      </c>
      <c r="J6" s="47" t="s">
        <v>35</v>
      </c>
      <c r="K6" s="47" t="n">
        <v>14</v>
      </c>
      <c r="L6" s="47" t="s">
        <v>222</v>
      </c>
      <c r="M6" s="47" t="s">
        <v>222</v>
      </c>
      <c r="N6" s="10"/>
      <c r="O6" s="47" t="n">
        <v>14</v>
      </c>
      <c r="P6" s="47" t="s">
        <v>118</v>
      </c>
      <c r="Q6" s="47" t="n">
        <v>72</v>
      </c>
      <c r="R6" s="48" t="str">
        <f aca="false">IF(Q6="","",IF(Q6=0,"below 5:00",IF(Q6&gt;=66,"16:00 or above",INT((60+2*Q6)/12)&amp;":"&amp;TEXT(MOD(60+2*Q6,12),"00"))))</f>
        <v>16:00 or above</v>
      </c>
      <c r="S6" s="47" t="s">
        <v>222</v>
      </c>
      <c r="T6" s="47" t="n">
        <v>12</v>
      </c>
      <c r="U6" s="47" t="s">
        <v>118</v>
      </c>
      <c r="V6" s="47" t="s">
        <v>222</v>
      </c>
      <c r="W6" s="47" t="n">
        <v>10</v>
      </c>
      <c r="X6" s="47" t="n">
        <v>2</v>
      </c>
      <c r="Y6" s="47" t="n">
        <v>4</v>
      </c>
      <c r="Z6" s="47" t="s">
        <v>137</v>
      </c>
      <c r="AA6" s="47" t="n">
        <v>5</v>
      </c>
      <c r="AB6" s="47" t="n">
        <v>2</v>
      </c>
      <c r="AC6" s="47" t="n">
        <v>3</v>
      </c>
      <c r="AD6" s="47"/>
      <c r="AE6" s="47" t="s">
        <v>311</v>
      </c>
      <c r="AF6" s="47"/>
      <c r="AG6" s="47" t="s">
        <v>229</v>
      </c>
      <c r="AH6" s="47" t="s">
        <v>253</v>
      </c>
      <c r="AI6" s="46" t="n">
        <v>46298</v>
      </c>
      <c r="AJ6" s="46" t="n">
        <v>46300</v>
      </c>
      <c r="AK6" s="46" t="n">
        <v>46300</v>
      </c>
      <c r="AL6" s="7"/>
      <c r="AM6" s="49" t="n">
        <f aca="false">IF(OR(C6="",G6=""),"",IFERROR(DATEDIF(C6,G6,"m"),""))</f>
        <v>167</v>
      </c>
      <c r="AN6" s="49" t="n">
        <f aca="false">IF(OR(Q6="",AM6=""),"",60+2*Q6-AM6)</f>
        <v>37</v>
      </c>
      <c r="AO6" s="49" t="n">
        <f aca="false">IF(OR(G6="",AJ6=""),"",AJ6-G6)</f>
        <v>7</v>
      </c>
      <c r="AP6" s="50" t="str">
        <f aca="false">IF(AND(A6="",B6=""),"",IF(J6="","Status needed",IF(OR(J6="Applied",J6="Visit booked",J6="Withdrawn"),"OK",IF(G6="","Date assessed needed",IF(C6="","Date of birth needed",IF(COUNTA(L6,M6,P6,U6,V6,X6,AB6)&lt;7,"Band missing",IF(AND(OR(J6="Decision confirmed",J6="Family told",J6="Enrolled"),AG6=""),"Recommendation needed",IF(AND(OR(J6="Family told",J6="Enrolled"),AJ6=""),"Date family told needed","OK"))))))))</f>
        <v>OK</v>
      </c>
    </row>
    <row r="7" customFormat="false" ht="15" hidden="false" customHeight="false" outlineLevel="0" collapsed="false">
      <c r="A7" s="7" t="s">
        <v>459</v>
      </c>
      <c r="B7" s="7" t="s">
        <v>460</v>
      </c>
      <c r="C7" s="46" t="n">
        <v>41348</v>
      </c>
      <c r="D7" s="7" t="s">
        <v>298</v>
      </c>
      <c r="E7" s="47" t="s">
        <v>311</v>
      </c>
      <c r="F7" s="46" t="n">
        <v>46238</v>
      </c>
      <c r="G7" s="46" t="n">
        <v>46287</v>
      </c>
      <c r="H7" s="7" t="s">
        <v>80</v>
      </c>
      <c r="I7" s="7" t="s">
        <v>84</v>
      </c>
      <c r="J7" s="47" t="s">
        <v>37</v>
      </c>
      <c r="K7" s="47" t="n">
        <v>8</v>
      </c>
      <c r="L7" s="47" t="s">
        <v>92</v>
      </c>
      <c r="M7" s="47" t="s">
        <v>221</v>
      </c>
      <c r="N7" s="10"/>
      <c r="O7" s="47" t="n">
        <v>7</v>
      </c>
      <c r="P7" s="47" t="s">
        <v>221</v>
      </c>
      <c r="Q7" s="47" t="n">
        <v>41</v>
      </c>
      <c r="R7" s="48" t="str">
        <f aca="false">IF(Q7="","",IF(Q7=0,"below 5:00",IF(Q7&gt;=66,"16:00 or above",INT((60+2*Q7)/12)&amp;":"&amp;TEXT(MOD(60+2*Q7,12),"00"))))</f>
        <v>11:10</v>
      </c>
      <c r="S7" s="47" t="s">
        <v>118</v>
      </c>
      <c r="T7" s="47" t="n">
        <v>6</v>
      </c>
      <c r="U7" s="47" t="s">
        <v>221</v>
      </c>
      <c r="V7" s="47" t="s">
        <v>221</v>
      </c>
      <c r="W7" s="47" t="n">
        <v>29</v>
      </c>
      <c r="X7" s="47" t="n">
        <v>4</v>
      </c>
      <c r="Y7" s="47" t="n">
        <v>7</v>
      </c>
      <c r="Z7" s="47" t="s">
        <v>137</v>
      </c>
      <c r="AA7" s="47" t="n">
        <v>8</v>
      </c>
      <c r="AB7" s="47" t="n">
        <v>3</v>
      </c>
      <c r="AC7" s="47" t="n">
        <v>2</v>
      </c>
      <c r="AD7" s="47"/>
      <c r="AE7" s="47"/>
      <c r="AF7" s="47"/>
      <c r="AG7" s="47" t="s">
        <v>153</v>
      </c>
      <c r="AH7" s="47" t="s">
        <v>252</v>
      </c>
      <c r="AI7" s="46" t="n">
        <v>46290</v>
      </c>
      <c r="AJ7" s="46" t="n">
        <v>46293</v>
      </c>
      <c r="AK7" s="46" t="n">
        <v>46293</v>
      </c>
      <c r="AL7" s="7"/>
      <c r="AM7" s="49" t="n">
        <f aca="false">IF(OR(C7="",G7=""),"",IFERROR(DATEDIF(C7,G7,"m"),""))</f>
        <v>162</v>
      </c>
      <c r="AN7" s="49" t="n">
        <f aca="false">IF(OR(Q7="",AM7=""),"",60+2*Q7-AM7)</f>
        <v>-20</v>
      </c>
      <c r="AO7" s="49" t="n">
        <f aca="false">IF(OR(G7="",AJ7=""),"",AJ7-G7)</f>
        <v>6</v>
      </c>
      <c r="AP7" s="50" t="str">
        <f aca="false">IF(AND(A7="",B7=""),"",IF(J7="","Status needed",IF(OR(J7="Applied",J7="Visit booked",J7="Withdrawn"),"OK",IF(G7="","Date assessed needed",IF(C7="","Date of birth needed",IF(COUNTA(L7,M7,P7,U7,V7,X7,AB7)&lt;7,"Band missing",IF(AND(OR(J7="Decision confirmed",J7="Family told",J7="Enrolled"),AG7=""),"Recommendation needed",IF(AND(OR(J7="Family told",J7="Enrolled"),AJ7=""),"Date family told needed","OK"))))))))</f>
        <v>OK</v>
      </c>
    </row>
    <row r="8" customFormat="false" ht="15" hidden="false" customHeight="false" outlineLevel="0" collapsed="false">
      <c r="A8" s="7" t="s">
        <v>461</v>
      </c>
      <c r="B8" s="7" t="s">
        <v>462</v>
      </c>
      <c r="C8" s="46" t="n">
        <v>41191</v>
      </c>
      <c r="D8" s="7" t="s">
        <v>423</v>
      </c>
      <c r="E8" s="47" t="s">
        <v>69</v>
      </c>
      <c r="F8" s="46" t="n">
        <v>46249</v>
      </c>
      <c r="G8" s="46" t="n">
        <v>46295</v>
      </c>
      <c r="H8" s="7" t="s">
        <v>299</v>
      </c>
      <c r="I8" s="7" t="s">
        <v>84</v>
      </c>
      <c r="J8" s="47" t="s">
        <v>31</v>
      </c>
      <c r="K8" s="47" t="n">
        <v>13</v>
      </c>
      <c r="L8" s="47" t="s">
        <v>118</v>
      </c>
      <c r="M8" s="47" t="s">
        <v>222</v>
      </c>
      <c r="N8" s="10"/>
      <c r="O8" s="47" t="n">
        <v>12</v>
      </c>
      <c r="P8" s="47" t="s">
        <v>118</v>
      </c>
      <c r="Q8" s="47" t="n">
        <v>72</v>
      </c>
      <c r="R8" s="48" t="str">
        <f aca="false">IF(Q8="","",IF(Q8=0,"below 5:00",IF(Q8&gt;=66,"16:00 or above",INT((60+2*Q8)/12)&amp;":"&amp;TEXT(MOD(60+2*Q8,12),"00"))))</f>
        <v>16:00 or above</v>
      </c>
      <c r="S8" s="47" t="s">
        <v>222</v>
      </c>
      <c r="T8" s="47" t="n">
        <v>13</v>
      </c>
      <c r="U8" s="47" t="s">
        <v>118</v>
      </c>
      <c r="V8" s="47" t="s">
        <v>118</v>
      </c>
      <c r="W8" s="47" t="n">
        <v>24</v>
      </c>
      <c r="X8" s="47" t="n">
        <v>4</v>
      </c>
      <c r="Y8" s="47" t="n">
        <v>5</v>
      </c>
      <c r="Z8" s="47" t="s">
        <v>137</v>
      </c>
      <c r="AA8" s="47" t="n">
        <v>8</v>
      </c>
      <c r="AB8" s="47" t="n">
        <v>4</v>
      </c>
      <c r="AC8" s="47" t="n">
        <v>3</v>
      </c>
      <c r="AD8" s="47"/>
      <c r="AE8" s="47"/>
      <c r="AF8" s="47"/>
      <c r="AG8" s="47"/>
      <c r="AH8" s="47"/>
      <c r="AI8" s="46"/>
      <c r="AJ8" s="46"/>
      <c r="AK8" s="46"/>
      <c r="AL8" s="7"/>
      <c r="AM8" s="49" t="n">
        <f aca="false">IF(OR(C8="",G8=""),"",IFERROR(DATEDIF(C8,G8,"m"),""))</f>
        <v>167</v>
      </c>
      <c r="AN8" s="49" t="n">
        <f aca="false">IF(OR(Q8="",AM8=""),"",60+2*Q8-AM8)</f>
        <v>37</v>
      </c>
      <c r="AO8" s="49" t="str">
        <f aca="false">IF(OR(G8="",AJ8=""),"",AJ8-G8)</f>
        <v/>
      </c>
      <c r="AP8" s="50" t="str">
        <f aca="false">IF(AND(A8="",B8=""),"",IF(J8="","Status needed",IF(OR(J8="Applied",J8="Visit booked",J8="Withdrawn"),"OK",IF(G8="","Date assessed needed",IF(C8="","Date of birth needed",IF(COUNTA(L8,M8,P8,U8,V8,X8,AB8)&lt;7,"Band missing",IF(AND(OR(J8="Decision confirmed",J8="Family told",J8="Enrolled"),AG8=""),"Recommendation needed",IF(AND(OR(J8="Family told",J8="Enrolled"),AJ8=""),"Date family told needed","OK"))))))))</f>
        <v>OK</v>
      </c>
    </row>
    <row r="9" customFormat="false" ht="15" hidden="false" customHeight="false" outlineLevel="0" collapsed="false">
      <c r="A9" s="7" t="s">
        <v>463</v>
      </c>
      <c r="B9" s="7" t="s">
        <v>464</v>
      </c>
      <c r="C9" s="46" t="n">
        <v>41209</v>
      </c>
      <c r="D9" s="7" t="s">
        <v>423</v>
      </c>
      <c r="E9" s="47" t="s">
        <v>69</v>
      </c>
      <c r="F9" s="46" t="n">
        <v>46291</v>
      </c>
      <c r="G9" s="46" t="n">
        <v>46301</v>
      </c>
      <c r="H9" s="7" t="s">
        <v>314</v>
      </c>
      <c r="I9" s="7" t="s">
        <v>84</v>
      </c>
      <c r="J9" s="47" t="s">
        <v>35</v>
      </c>
      <c r="K9" s="47" t="n">
        <v>6</v>
      </c>
      <c r="L9" s="47" t="s">
        <v>221</v>
      </c>
      <c r="M9" s="47" t="s">
        <v>92</v>
      </c>
      <c r="N9" s="10"/>
      <c r="O9" s="47" t="n">
        <v>5</v>
      </c>
      <c r="P9" s="47" t="s">
        <v>221</v>
      </c>
      <c r="Q9" s="47" t="n">
        <v>37</v>
      </c>
      <c r="R9" s="48" t="str">
        <f aca="false">IF(Q9="","",IF(Q9=0,"below 5:00",IF(Q9&gt;=66,"16:00 or above",INT((60+2*Q9)/12)&amp;":"&amp;TEXT(MOD(60+2*Q9,12),"00"))))</f>
        <v>11:02</v>
      </c>
      <c r="S9" s="47" t="s">
        <v>92</v>
      </c>
      <c r="T9" s="47" t="n">
        <v>7</v>
      </c>
      <c r="U9" s="47" t="s">
        <v>92</v>
      </c>
      <c r="V9" s="47" t="s">
        <v>92</v>
      </c>
      <c r="W9" s="47" t="n">
        <v>11</v>
      </c>
      <c r="X9" s="47" t="n">
        <v>2</v>
      </c>
      <c r="Y9" s="47" t="n">
        <v>1</v>
      </c>
      <c r="Z9" s="47" t="s">
        <v>137</v>
      </c>
      <c r="AA9" s="47" t="n">
        <v>2</v>
      </c>
      <c r="AB9" s="47" t="n">
        <v>1</v>
      </c>
      <c r="AC9" s="47" t="n">
        <v>4</v>
      </c>
      <c r="AD9" s="47"/>
      <c r="AE9" s="47"/>
      <c r="AF9" s="47"/>
      <c r="AG9" s="47" t="s">
        <v>230</v>
      </c>
      <c r="AH9" s="47" t="s">
        <v>157</v>
      </c>
      <c r="AI9" s="46" t="n">
        <v>46305</v>
      </c>
      <c r="AJ9" s="46" t="n">
        <v>46309</v>
      </c>
      <c r="AK9" s="46" t="n">
        <v>46309</v>
      </c>
      <c r="AL9" s="7" t="s">
        <v>315</v>
      </c>
      <c r="AM9" s="49" t="n">
        <f aca="false">IF(OR(C9="",G9=""),"",IFERROR(DATEDIF(C9,G9,"m"),""))</f>
        <v>167</v>
      </c>
      <c r="AN9" s="49" t="n">
        <f aca="false">IF(OR(Q9="",AM9=""),"",60+2*Q9-AM9)</f>
        <v>-33</v>
      </c>
      <c r="AO9" s="49" t="n">
        <f aca="false">IF(OR(G9="",AJ9=""),"",AJ9-G9)</f>
        <v>8</v>
      </c>
      <c r="AP9" s="50" t="str">
        <f aca="false">IF(AND(A9="",B9=""),"",IF(J9="","Status needed",IF(OR(J9="Applied",J9="Visit booked",J9="Withdrawn"),"OK",IF(G9="","Date assessed needed",IF(C9="","Date of birth needed",IF(COUNTA(L9,M9,P9,U9,V9,X9,AB9)&lt;7,"Band missing",IF(AND(OR(J9="Decision confirmed",J9="Family told",J9="Enrolled"),AG9=""),"Recommendation needed",IF(AND(OR(J9="Family told",J9="Enrolled"),AJ9=""),"Date family told needed","OK"))))))))</f>
        <v>OK</v>
      </c>
    </row>
    <row r="10" customFormat="false" ht="15" hidden="false" customHeight="false" outlineLevel="0" collapsed="false">
      <c r="A10" s="7" t="s">
        <v>465</v>
      </c>
      <c r="B10" s="7" t="s">
        <v>466</v>
      </c>
      <c r="C10" s="46" t="n">
        <v>41213</v>
      </c>
      <c r="D10" s="7" t="s">
        <v>298</v>
      </c>
      <c r="E10" s="47" t="s">
        <v>311</v>
      </c>
      <c r="F10" s="46" t="n">
        <v>46227</v>
      </c>
      <c r="G10" s="46" t="n">
        <v>46293</v>
      </c>
      <c r="H10" s="7" t="s">
        <v>314</v>
      </c>
      <c r="I10" s="7" t="s">
        <v>84</v>
      </c>
      <c r="J10" s="47" t="s">
        <v>35</v>
      </c>
      <c r="K10" s="47" t="n">
        <v>10</v>
      </c>
      <c r="L10" s="47" t="s">
        <v>92</v>
      </c>
      <c r="M10" s="47" t="s">
        <v>92</v>
      </c>
      <c r="N10" s="10"/>
      <c r="O10" s="47" t="n">
        <v>8</v>
      </c>
      <c r="P10" s="47" t="s">
        <v>92</v>
      </c>
      <c r="Q10" s="47" t="n">
        <v>52</v>
      </c>
      <c r="R10" s="48" t="str">
        <f aca="false">IF(Q10="","",IF(Q10=0,"below 5:00",IF(Q10&gt;=66,"16:00 or above",INT((60+2*Q10)/12)&amp;":"&amp;TEXT(MOD(60+2*Q10,12),"00"))))</f>
        <v>13:08</v>
      </c>
      <c r="S10" s="47" t="s">
        <v>222</v>
      </c>
      <c r="T10" s="47" t="n">
        <v>8</v>
      </c>
      <c r="U10" s="47" t="s">
        <v>92</v>
      </c>
      <c r="V10" s="47" t="s">
        <v>92</v>
      </c>
      <c r="W10" s="47" t="n">
        <v>15</v>
      </c>
      <c r="X10" s="47" t="n">
        <v>2</v>
      </c>
      <c r="Y10" s="47" t="n">
        <v>4</v>
      </c>
      <c r="Z10" s="47" t="s">
        <v>137</v>
      </c>
      <c r="AA10" s="47" t="n">
        <v>5</v>
      </c>
      <c r="AB10" s="47" t="n">
        <v>2</v>
      </c>
      <c r="AC10" s="47" t="n">
        <v>1</v>
      </c>
      <c r="AD10" s="47"/>
      <c r="AE10" s="47"/>
      <c r="AF10" s="47"/>
      <c r="AG10" s="47" t="s">
        <v>231</v>
      </c>
      <c r="AH10" s="47"/>
      <c r="AI10" s="46" t="n">
        <v>46297</v>
      </c>
      <c r="AJ10" s="46" t="n">
        <v>46300</v>
      </c>
      <c r="AK10" s="46" t="n">
        <v>46300</v>
      </c>
      <c r="AL10" s="7"/>
      <c r="AM10" s="49" t="n">
        <f aca="false">IF(OR(C10="",G10=""),"",IFERROR(DATEDIF(C10,G10,"m"),""))</f>
        <v>166</v>
      </c>
      <c r="AN10" s="49" t="n">
        <f aca="false">IF(OR(Q10="",AM10=""),"",60+2*Q10-AM10)</f>
        <v>-2</v>
      </c>
      <c r="AO10" s="49" t="n">
        <f aca="false">IF(OR(G10="",AJ10=""),"",AJ10-G10)</f>
        <v>7</v>
      </c>
      <c r="AP10" s="50" t="str">
        <f aca="false">IF(AND(A10="",B10=""),"",IF(J10="","Status needed",IF(OR(J10="Applied",J10="Visit booked",J10="Withdrawn"),"OK",IF(G10="","Date assessed needed",IF(C10="","Date of birth needed",IF(COUNTA(L10,M10,P10,U10,V10,X10,AB10)&lt;7,"Band missing",IF(AND(OR(J10="Decision confirmed",J10="Family told",J10="Enrolled"),AG10=""),"Recommendation needed",IF(AND(OR(J10="Family told",J10="Enrolled"),AJ10=""),"Date family told needed","OK"))))))))</f>
        <v>OK</v>
      </c>
    </row>
    <row r="11" customFormat="false" ht="15" hidden="false" customHeight="false" outlineLevel="0" collapsed="false">
      <c r="A11" s="7" t="s">
        <v>467</v>
      </c>
      <c r="B11" s="7" t="s">
        <v>468</v>
      </c>
      <c r="C11" s="46" t="n">
        <v>41523</v>
      </c>
      <c r="D11" s="7" t="s">
        <v>361</v>
      </c>
      <c r="E11" s="47" t="s">
        <v>69</v>
      </c>
      <c r="F11" s="46" t="n">
        <v>46296</v>
      </c>
      <c r="G11" s="46" t="n">
        <v>46307</v>
      </c>
      <c r="H11" s="7" t="s">
        <v>80</v>
      </c>
      <c r="I11" s="7" t="s">
        <v>84</v>
      </c>
      <c r="J11" s="47" t="s">
        <v>33</v>
      </c>
      <c r="K11" s="47" t="n">
        <v>7</v>
      </c>
      <c r="L11" s="47" t="s">
        <v>221</v>
      </c>
      <c r="M11" s="47" t="s">
        <v>92</v>
      </c>
      <c r="N11" s="10"/>
      <c r="O11" s="47" t="n">
        <v>7</v>
      </c>
      <c r="P11" s="47" t="s">
        <v>221</v>
      </c>
      <c r="Q11" s="47" t="n">
        <v>45</v>
      </c>
      <c r="R11" s="48" t="str">
        <f aca="false">IF(Q11="","",IF(Q11=0,"below 5:00",IF(Q11&gt;=66,"16:00 or above",INT((60+2*Q11)/12)&amp;":"&amp;TEXT(MOD(60+2*Q11,12),"00"))))</f>
        <v>12:06</v>
      </c>
      <c r="S11" s="47" t="s">
        <v>222</v>
      </c>
      <c r="T11" s="47" t="n">
        <v>7</v>
      </c>
      <c r="U11" s="47" t="s">
        <v>221</v>
      </c>
      <c r="V11" s="47" t="s">
        <v>221</v>
      </c>
      <c r="W11" s="47" t="n">
        <v>24</v>
      </c>
      <c r="X11" s="47" t="n">
        <v>3</v>
      </c>
      <c r="Y11" s="47" t="n">
        <v>6</v>
      </c>
      <c r="Z11" s="47" t="s">
        <v>426</v>
      </c>
      <c r="AA11" s="47" t="n">
        <v>7</v>
      </c>
      <c r="AB11" s="47" t="n">
        <v>3</v>
      </c>
      <c r="AC11" s="47" t="n">
        <v>4</v>
      </c>
      <c r="AD11" s="47"/>
      <c r="AE11" s="47"/>
      <c r="AF11" s="47"/>
      <c r="AG11" s="47" t="s">
        <v>153</v>
      </c>
      <c r="AH11" s="47" t="s">
        <v>252</v>
      </c>
      <c r="AI11" s="46" t="n">
        <v>46310</v>
      </c>
      <c r="AJ11" s="46"/>
      <c r="AK11" s="46"/>
      <c r="AL11" s="7" t="s">
        <v>315</v>
      </c>
      <c r="AM11" s="49" t="n">
        <f aca="false">IF(OR(C11="",G11=""),"",IFERROR(DATEDIF(C11,G11,"m"),""))</f>
        <v>157</v>
      </c>
      <c r="AN11" s="49" t="n">
        <f aca="false">IF(OR(Q11="",AM11=""),"",60+2*Q11-AM11)</f>
        <v>-7</v>
      </c>
      <c r="AO11" s="49" t="str">
        <f aca="false">IF(OR(G11="",AJ11=""),"",AJ11-G11)</f>
        <v/>
      </c>
      <c r="AP11" s="50" t="str">
        <f aca="false">IF(AND(A11="",B11=""),"",IF(J11="","Status needed",IF(OR(J11="Applied",J11="Visit booked",J11="Withdrawn"),"OK",IF(G11="","Date assessed needed",IF(C11="","Date of birth needed",IF(COUNTA(L11,M11,P11,U11,V11,X11,AB11)&lt;7,"Band missing",IF(AND(OR(J11="Decision confirmed",J11="Family told",J11="Enrolled"),AG11=""),"Recommendation needed",IF(AND(OR(J11="Family told",J11="Enrolled"),AJ11=""),"Date family told needed","OK"))))))))</f>
        <v>OK</v>
      </c>
    </row>
    <row r="12" customFormat="false" ht="15" hidden="false" customHeight="false" outlineLevel="0" collapsed="false">
      <c r="A12" s="7" t="s">
        <v>469</v>
      </c>
      <c r="B12" s="7" t="s">
        <v>470</v>
      </c>
      <c r="C12" s="46" t="n">
        <v>41269</v>
      </c>
      <c r="D12" s="7" t="s">
        <v>423</v>
      </c>
      <c r="E12" s="47" t="s">
        <v>69</v>
      </c>
      <c r="F12" s="46" t="n">
        <v>46293</v>
      </c>
      <c r="G12" s="46"/>
      <c r="H12" s="7"/>
      <c r="I12" s="7" t="s">
        <v>84</v>
      </c>
      <c r="J12" s="47" t="s">
        <v>39</v>
      </c>
      <c r="K12" s="47"/>
      <c r="L12" s="47"/>
      <c r="M12" s="47"/>
      <c r="N12" s="10"/>
      <c r="O12" s="47"/>
      <c r="P12" s="47"/>
      <c r="Q12" s="47"/>
      <c r="R12" s="48" t="str">
        <f aca="false">IF(Q12="","",IF(Q12=0,"below 5:00",IF(Q12&gt;=66,"16:00 or above",INT((60+2*Q12)/12)&amp;":"&amp;TEXT(MOD(60+2*Q12,12),"00"))))</f>
        <v/>
      </c>
      <c r="S12" s="47"/>
      <c r="T12" s="47"/>
      <c r="U12" s="47"/>
      <c r="V12" s="47"/>
      <c r="W12" s="47"/>
      <c r="X12" s="47"/>
      <c r="Y12" s="47"/>
      <c r="Z12" s="47"/>
      <c r="AA12" s="47"/>
      <c r="AB12" s="47"/>
      <c r="AC12" s="47"/>
      <c r="AD12" s="47"/>
      <c r="AE12" s="47"/>
      <c r="AF12" s="47"/>
      <c r="AG12" s="47"/>
      <c r="AH12" s="47"/>
      <c r="AI12" s="46"/>
      <c r="AJ12" s="46"/>
      <c r="AK12" s="46"/>
      <c r="AL12" s="7" t="s">
        <v>333</v>
      </c>
      <c r="AM12" s="49" t="str">
        <f aca="false">IF(OR(C12="",G12=""),"",IFERROR(DATEDIF(C12,G12,"m"),""))</f>
        <v/>
      </c>
      <c r="AN12" s="49" t="str">
        <f aca="false">IF(OR(Q12="",AM12=""),"",60+2*Q12-AM12)</f>
        <v/>
      </c>
      <c r="AO12" s="49" t="str">
        <f aca="false">IF(OR(G12="",AJ12=""),"",AJ12-G12)</f>
        <v/>
      </c>
      <c r="AP12" s="50" t="str">
        <f aca="false">IF(AND(A12="",B12=""),"",IF(J12="","Status needed",IF(OR(J12="Applied",J12="Visit booked",J12="Withdrawn"),"OK",IF(G12="","Date assessed needed",IF(C12="","Date of birth needed",IF(COUNTA(L12,M12,P12,U12,V12,X12,AB12)&lt;7,"Band missing",IF(AND(OR(J12="Decision confirmed",J12="Family told",J12="Enrolled"),AG12=""),"Recommendation needed",IF(AND(OR(J12="Family told",J12="Enrolled"),AJ12=""),"Date family told needed","OK"))))))))</f>
        <v>OK</v>
      </c>
    </row>
    <row r="13" customFormat="false" ht="15" hidden="false" customHeight="false" outlineLevel="0" collapsed="false">
      <c r="A13" s="7" t="s">
        <v>471</v>
      </c>
      <c r="B13" s="7" t="s">
        <v>472</v>
      </c>
      <c r="C13" s="46" t="n">
        <v>41373</v>
      </c>
      <c r="D13" s="7" t="s">
        <v>298</v>
      </c>
      <c r="E13" s="47" t="s">
        <v>311</v>
      </c>
      <c r="F13" s="46" t="n">
        <v>46274</v>
      </c>
      <c r="G13" s="46"/>
      <c r="H13" s="7" t="s">
        <v>80</v>
      </c>
      <c r="I13" s="7" t="s">
        <v>84</v>
      </c>
      <c r="J13" s="47" t="s">
        <v>29</v>
      </c>
      <c r="K13" s="47"/>
      <c r="L13" s="47"/>
      <c r="M13" s="47"/>
      <c r="N13" s="10"/>
      <c r="O13" s="47"/>
      <c r="P13" s="47"/>
      <c r="Q13" s="47"/>
      <c r="R13" s="48" t="str">
        <f aca="false">IF(Q13="","",IF(Q13=0,"below 5:00",IF(Q13&gt;=66,"16:00 or above",INT((60+2*Q13)/12)&amp;":"&amp;TEXT(MOD(60+2*Q13,12),"00"))))</f>
        <v/>
      </c>
      <c r="S13" s="47"/>
      <c r="T13" s="47"/>
      <c r="U13" s="47"/>
      <c r="V13" s="47"/>
      <c r="W13" s="47"/>
      <c r="X13" s="47"/>
      <c r="Y13" s="47"/>
      <c r="Z13" s="47"/>
      <c r="AA13" s="47"/>
      <c r="AB13" s="47"/>
      <c r="AC13" s="47"/>
      <c r="AD13" s="47"/>
      <c r="AE13" s="47"/>
      <c r="AF13" s="47"/>
      <c r="AG13" s="47"/>
      <c r="AH13" s="47"/>
      <c r="AI13" s="46"/>
      <c r="AJ13" s="46"/>
      <c r="AK13" s="46"/>
      <c r="AL13" s="7"/>
      <c r="AM13" s="49" t="str">
        <f aca="false">IF(OR(C13="",G13=""),"",IFERROR(DATEDIF(C13,G13,"m"),""))</f>
        <v/>
      </c>
      <c r="AN13" s="49" t="str">
        <f aca="false">IF(OR(Q13="",AM13=""),"",60+2*Q13-AM13)</f>
        <v/>
      </c>
      <c r="AO13" s="49" t="str">
        <f aca="false">IF(OR(G13="",AJ13=""),"",AJ13-G13)</f>
        <v/>
      </c>
      <c r="AP13" s="50" t="str">
        <f aca="false">IF(AND(A13="",B13=""),"",IF(J13="","Status needed",IF(OR(J13="Applied",J13="Visit booked",J13="Withdrawn"),"OK",IF(G13="","Date assessed needed",IF(C13="","Date of birth needed",IF(COUNTA(L13,M13,P13,U13,V13,X13,AB13)&lt;7,"Band missing",IF(AND(OR(J13="Decision confirmed",J13="Family told",J13="Enrolled"),AG13=""),"Recommendation needed",IF(AND(OR(J13="Family told",J13="Enrolled"),AJ13=""),"Date family told needed","OK"))))))))</f>
        <v>OK</v>
      </c>
    </row>
    <row r="14" customFormat="false" ht="15" hidden="false" customHeight="false" outlineLevel="0" collapsed="false">
      <c r="A14" s="7"/>
      <c r="B14" s="7"/>
      <c r="C14" s="46"/>
      <c r="D14" s="7"/>
      <c r="E14" s="47"/>
      <c r="F14" s="46"/>
      <c r="G14" s="46"/>
      <c r="H14" s="7"/>
      <c r="I14" s="7"/>
      <c r="J14" s="47"/>
      <c r="K14" s="47"/>
      <c r="L14" s="47"/>
      <c r="M14" s="47"/>
      <c r="N14" s="10"/>
      <c r="O14" s="47"/>
      <c r="P14" s="47"/>
      <c r="Q14" s="47"/>
      <c r="R14" s="48" t="str">
        <f aca="false">IF(Q14="","",IF(Q14=0,"below 5:00",IF(Q14&gt;=66,"16:00 or above",INT((60+2*Q14)/12)&amp;":"&amp;TEXT(MOD(60+2*Q14,12),"00"))))</f>
        <v/>
      </c>
      <c r="S14" s="47"/>
      <c r="T14" s="47"/>
      <c r="U14" s="47"/>
      <c r="V14" s="47"/>
      <c r="W14" s="47"/>
      <c r="X14" s="47"/>
      <c r="Y14" s="47"/>
      <c r="Z14" s="47"/>
      <c r="AA14" s="47"/>
      <c r="AB14" s="47"/>
      <c r="AC14" s="47"/>
      <c r="AD14" s="47"/>
      <c r="AE14" s="47"/>
      <c r="AF14" s="47"/>
      <c r="AG14" s="47"/>
      <c r="AH14" s="47"/>
      <c r="AI14" s="46"/>
      <c r="AJ14" s="46"/>
      <c r="AK14" s="46"/>
      <c r="AL14" s="7"/>
      <c r="AM14" s="49" t="str">
        <f aca="false">IF(OR(C14="",G14=""),"",IFERROR(DATEDIF(C14,G14,"m"),""))</f>
        <v/>
      </c>
      <c r="AN14" s="49" t="str">
        <f aca="false">IF(OR(Q14="",AM14=""),"",60+2*Q14-AM14)</f>
        <v/>
      </c>
      <c r="AO14" s="49" t="str">
        <f aca="false">IF(OR(G14="",AJ14=""),"",AJ14-G14)</f>
        <v/>
      </c>
      <c r="AP14" s="50" t="str">
        <f aca="false">IF(AND(A14="",B14=""),"",IF(J14="","Status needed",IF(OR(J14="Applied",J14="Visit booked",J14="Withdrawn"),"OK",IF(G14="","Date assessed needed",IF(C14="","Date of birth needed",IF(COUNTA(L14,M14,P14,U14,V14,X14,AB14)&lt;7,"Band missing",IF(AND(OR(J14="Decision confirmed",J14="Family told",J14="Enrolled"),AG14=""),"Recommendation needed",IF(AND(OR(J14="Family told",J14="Enrolled"),AJ14=""),"Date family told needed","OK"))))))))</f>
        <v/>
      </c>
    </row>
    <row r="15" customFormat="false" ht="15" hidden="false" customHeight="false" outlineLevel="0" collapsed="false">
      <c r="A15" s="7"/>
      <c r="B15" s="7"/>
      <c r="C15" s="46"/>
      <c r="D15" s="7"/>
      <c r="E15" s="47"/>
      <c r="F15" s="46"/>
      <c r="G15" s="46"/>
      <c r="H15" s="7"/>
      <c r="I15" s="7"/>
      <c r="J15" s="47"/>
      <c r="K15" s="47"/>
      <c r="L15" s="47"/>
      <c r="M15" s="47"/>
      <c r="N15" s="10"/>
      <c r="O15" s="47"/>
      <c r="P15" s="47"/>
      <c r="Q15" s="47"/>
      <c r="R15" s="48" t="str">
        <f aca="false">IF(Q15="","",IF(Q15=0,"below 5:00",IF(Q15&gt;=66,"16:00 or above",INT((60+2*Q15)/12)&amp;":"&amp;TEXT(MOD(60+2*Q15,12),"00"))))</f>
        <v/>
      </c>
      <c r="S15" s="47"/>
      <c r="T15" s="47"/>
      <c r="U15" s="47"/>
      <c r="V15" s="47"/>
      <c r="W15" s="47"/>
      <c r="X15" s="47"/>
      <c r="Y15" s="47"/>
      <c r="Z15" s="47"/>
      <c r="AA15" s="47"/>
      <c r="AB15" s="47"/>
      <c r="AC15" s="47"/>
      <c r="AD15" s="47"/>
      <c r="AE15" s="47"/>
      <c r="AF15" s="47"/>
      <c r="AG15" s="47"/>
      <c r="AH15" s="47"/>
      <c r="AI15" s="46"/>
      <c r="AJ15" s="46"/>
      <c r="AK15" s="46"/>
      <c r="AL15" s="7"/>
      <c r="AM15" s="49" t="str">
        <f aca="false">IF(OR(C15="",G15=""),"",IFERROR(DATEDIF(C15,G15,"m"),""))</f>
        <v/>
      </c>
      <c r="AN15" s="49" t="str">
        <f aca="false">IF(OR(Q15="",AM15=""),"",60+2*Q15-AM15)</f>
        <v/>
      </c>
      <c r="AO15" s="49" t="str">
        <f aca="false">IF(OR(G15="",AJ15=""),"",AJ15-G15)</f>
        <v/>
      </c>
      <c r="AP15" s="50" t="str">
        <f aca="false">IF(AND(A15="",B15=""),"",IF(J15="","Status needed",IF(OR(J15="Applied",J15="Visit booked",J15="Withdrawn"),"OK",IF(G15="","Date assessed needed",IF(C15="","Date of birth needed",IF(COUNTA(L15,M15,P15,U15,V15,X15,AB15)&lt;7,"Band missing",IF(AND(OR(J15="Decision confirmed",J15="Family told",J15="Enrolled"),AG15=""),"Recommendation needed",IF(AND(OR(J15="Family told",J15="Enrolled"),AJ15=""),"Date family told needed","OK"))))))))</f>
        <v/>
      </c>
    </row>
    <row r="16" customFormat="false" ht="15" hidden="false" customHeight="false" outlineLevel="0" collapsed="false">
      <c r="A16" s="7"/>
      <c r="B16" s="7"/>
      <c r="C16" s="46"/>
      <c r="D16" s="7"/>
      <c r="E16" s="47"/>
      <c r="F16" s="46"/>
      <c r="G16" s="46"/>
      <c r="H16" s="7"/>
      <c r="I16" s="7"/>
      <c r="J16" s="47"/>
      <c r="K16" s="47"/>
      <c r="L16" s="47"/>
      <c r="M16" s="47"/>
      <c r="N16" s="10"/>
      <c r="O16" s="47"/>
      <c r="P16" s="47"/>
      <c r="Q16" s="47"/>
      <c r="R16" s="48" t="str">
        <f aca="false">IF(Q16="","",IF(Q16=0,"below 5:00",IF(Q16&gt;=66,"16:00 or above",INT((60+2*Q16)/12)&amp;":"&amp;TEXT(MOD(60+2*Q16,12),"00"))))</f>
        <v/>
      </c>
      <c r="S16" s="47"/>
      <c r="T16" s="47"/>
      <c r="U16" s="47"/>
      <c r="V16" s="47"/>
      <c r="W16" s="47"/>
      <c r="X16" s="47"/>
      <c r="Y16" s="47"/>
      <c r="Z16" s="47"/>
      <c r="AA16" s="47"/>
      <c r="AB16" s="47"/>
      <c r="AC16" s="47"/>
      <c r="AD16" s="47"/>
      <c r="AE16" s="47"/>
      <c r="AF16" s="47"/>
      <c r="AG16" s="47"/>
      <c r="AH16" s="47"/>
      <c r="AI16" s="46"/>
      <c r="AJ16" s="46"/>
      <c r="AK16" s="46"/>
      <c r="AL16" s="7"/>
      <c r="AM16" s="49" t="str">
        <f aca="false">IF(OR(C16="",G16=""),"",IFERROR(DATEDIF(C16,G16,"m"),""))</f>
        <v/>
      </c>
      <c r="AN16" s="49" t="str">
        <f aca="false">IF(OR(Q16="",AM16=""),"",60+2*Q16-AM16)</f>
        <v/>
      </c>
      <c r="AO16" s="49" t="str">
        <f aca="false">IF(OR(G16="",AJ16=""),"",AJ16-G16)</f>
        <v/>
      </c>
      <c r="AP16" s="50" t="str">
        <f aca="false">IF(AND(A16="",B16=""),"",IF(J16="","Status needed",IF(OR(J16="Applied",J16="Visit booked",J16="Withdrawn"),"OK",IF(G16="","Date assessed needed",IF(C16="","Date of birth needed",IF(COUNTA(L16,M16,P16,U16,V16,X16,AB16)&lt;7,"Band missing",IF(AND(OR(J16="Decision confirmed",J16="Family told",J16="Enrolled"),AG16=""),"Recommendation needed",IF(AND(OR(J16="Family told",J16="Enrolled"),AJ16=""),"Date family told needed","OK"))))))))</f>
        <v/>
      </c>
    </row>
    <row r="17" customFormat="false" ht="15" hidden="false" customHeight="false" outlineLevel="0" collapsed="false">
      <c r="A17" s="7"/>
      <c r="B17" s="7"/>
      <c r="C17" s="46"/>
      <c r="D17" s="7"/>
      <c r="E17" s="47"/>
      <c r="F17" s="46"/>
      <c r="G17" s="46"/>
      <c r="H17" s="7"/>
      <c r="I17" s="7"/>
      <c r="J17" s="47"/>
      <c r="K17" s="47"/>
      <c r="L17" s="47"/>
      <c r="M17" s="47"/>
      <c r="N17" s="10"/>
      <c r="O17" s="47"/>
      <c r="P17" s="47"/>
      <c r="Q17" s="47"/>
      <c r="R17" s="48" t="str">
        <f aca="false">IF(Q17="","",IF(Q17=0,"below 5:00",IF(Q17&gt;=66,"16:00 or above",INT((60+2*Q17)/12)&amp;":"&amp;TEXT(MOD(60+2*Q17,12),"00"))))</f>
        <v/>
      </c>
      <c r="S17" s="47"/>
      <c r="T17" s="47"/>
      <c r="U17" s="47"/>
      <c r="V17" s="47"/>
      <c r="W17" s="47"/>
      <c r="X17" s="47"/>
      <c r="Y17" s="47"/>
      <c r="Z17" s="47"/>
      <c r="AA17" s="47"/>
      <c r="AB17" s="47"/>
      <c r="AC17" s="47"/>
      <c r="AD17" s="47"/>
      <c r="AE17" s="47"/>
      <c r="AF17" s="47"/>
      <c r="AG17" s="47"/>
      <c r="AH17" s="47"/>
      <c r="AI17" s="46"/>
      <c r="AJ17" s="46"/>
      <c r="AK17" s="46"/>
      <c r="AL17" s="7"/>
      <c r="AM17" s="49" t="str">
        <f aca="false">IF(OR(C17="",G17=""),"",IFERROR(DATEDIF(C17,G17,"m"),""))</f>
        <v/>
      </c>
      <c r="AN17" s="49" t="str">
        <f aca="false">IF(OR(Q17="",AM17=""),"",60+2*Q17-AM17)</f>
        <v/>
      </c>
      <c r="AO17" s="49" t="str">
        <f aca="false">IF(OR(G17="",AJ17=""),"",AJ17-G17)</f>
        <v/>
      </c>
      <c r="AP17" s="50" t="str">
        <f aca="false">IF(AND(A17="",B17=""),"",IF(J17="","Status needed",IF(OR(J17="Applied",J17="Visit booked",J17="Withdrawn"),"OK",IF(G17="","Date assessed needed",IF(C17="","Date of birth needed",IF(COUNTA(L17,M17,P17,U17,V17,X17,AB17)&lt;7,"Band missing",IF(AND(OR(J17="Decision confirmed",J17="Family told",J17="Enrolled"),AG17=""),"Recommendation needed",IF(AND(OR(J17="Family told",J17="Enrolled"),AJ17=""),"Date family told needed","OK"))))))))</f>
        <v/>
      </c>
    </row>
    <row r="18" customFormat="false" ht="15" hidden="false" customHeight="false" outlineLevel="0" collapsed="false">
      <c r="A18" s="7"/>
      <c r="B18" s="7"/>
      <c r="C18" s="46"/>
      <c r="D18" s="7"/>
      <c r="E18" s="47"/>
      <c r="F18" s="46"/>
      <c r="G18" s="46"/>
      <c r="H18" s="7"/>
      <c r="I18" s="7"/>
      <c r="J18" s="47"/>
      <c r="K18" s="47"/>
      <c r="L18" s="47"/>
      <c r="M18" s="47"/>
      <c r="N18" s="10"/>
      <c r="O18" s="47"/>
      <c r="P18" s="47"/>
      <c r="Q18" s="47"/>
      <c r="R18" s="48" t="str">
        <f aca="false">IF(Q18="","",IF(Q18=0,"below 5:00",IF(Q18&gt;=66,"16:00 or above",INT((60+2*Q18)/12)&amp;":"&amp;TEXT(MOD(60+2*Q18,12),"00"))))</f>
        <v/>
      </c>
      <c r="S18" s="47"/>
      <c r="T18" s="47"/>
      <c r="U18" s="47"/>
      <c r="V18" s="47"/>
      <c r="W18" s="47"/>
      <c r="X18" s="47"/>
      <c r="Y18" s="47"/>
      <c r="Z18" s="47"/>
      <c r="AA18" s="47"/>
      <c r="AB18" s="47"/>
      <c r="AC18" s="47"/>
      <c r="AD18" s="47"/>
      <c r="AE18" s="47"/>
      <c r="AF18" s="47"/>
      <c r="AG18" s="47"/>
      <c r="AH18" s="47"/>
      <c r="AI18" s="46"/>
      <c r="AJ18" s="46"/>
      <c r="AK18" s="46"/>
      <c r="AL18" s="7"/>
      <c r="AM18" s="49" t="str">
        <f aca="false">IF(OR(C18="",G18=""),"",IFERROR(DATEDIF(C18,G18,"m"),""))</f>
        <v/>
      </c>
      <c r="AN18" s="49" t="str">
        <f aca="false">IF(OR(Q18="",AM18=""),"",60+2*Q18-AM18)</f>
        <v/>
      </c>
      <c r="AO18" s="49" t="str">
        <f aca="false">IF(OR(G18="",AJ18=""),"",AJ18-G18)</f>
        <v/>
      </c>
      <c r="AP18" s="50" t="str">
        <f aca="false">IF(AND(A18="",B18=""),"",IF(J18="","Status needed",IF(OR(J18="Applied",J18="Visit booked",J18="Withdrawn"),"OK",IF(G18="","Date assessed needed",IF(C18="","Date of birth needed",IF(COUNTA(L18,M18,P18,U18,V18,X18,AB18)&lt;7,"Band missing",IF(AND(OR(J18="Decision confirmed",J18="Family told",J18="Enrolled"),AG18=""),"Recommendation needed",IF(AND(OR(J18="Family told",J18="Enrolled"),AJ18=""),"Date family told needed","OK"))))))))</f>
        <v/>
      </c>
    </row>
    <row r="19" customFormat="false" ht="15" hidden="false" customHeight="false" outlineLevel="0" collapsed="false">
      <c r="A19" s="7"/>
      <c r="B19" s="7"/>
      <c r="C19" s="46"/>
      <c r="D19" s="7"/>
      <c r="E19" s="47"/>
      <c r="F19" s="46"/>
      <c r="G19" s="46"/>
      <c r="H19" s="7"/>
      <c r="I19" s="7"/>
      <c r="J19" s="47"/>
      <c r="K19" s="47"/>
      <c r="L19" s="47"/>
      <c r="M19" s="47"/>
      <c r="N19" s="10"/>
      <c r="O19" s="47"/>
      <c r="P19" s="47"/>
      <c r="Q19" s="47"/>
      <c r="R19" s="48" t="str">
        <f aca="false">IF(Q19="","",IF(Q19=0,"below 5:00",IF(Q19&gt;=66,"16:00 or above",INT((60+2*Q19)/12)&amp;":"&amp;TEXT(MOD(60+2*Q19,12),"00"))))</f>
        <v/>
      </c>
      <c r="S19" s="47"/>
      <c r="T19" s="47"/>
      <c r="U19" s="47"/>
      <c r="V19" s="47"/>
      <c r="W19" s="47"/>
      <c r="X19" s="47"/>
      <c r="Y19" s="47"/>
      <c r="Z19" s="47"/>
      <c r="AA19" s="47"/>
      <c r="AB19" s="47"/>
      <c r="AC19" s="47"/>
      <c r="AD19" s="47"/>
      <c r="AE19" s="47"/>
      <c r="AF19" s="47"/>
      <c r="AG19" s="47"/>
      <c r="AH19" s="47"/>
      <c r="AI19" s="46"/>
      <c r="AJ19" s="46"/>
      <c r="AK19" s="46"/>
      <c r="AL19" s="7"/>
      <c r="AM19" s="49" t="str">
        <f aca="false">IF(OR(C19="",G19=""),"",IFERROR(DATEDIF(C19,G19,"m"),""))</f>
        <v/>
      </c>
      <c r="AN19" s="49" t="str">
        <f aca="false">IF(OR(Q19="",AM19=""),"",60+2*Q19-AM19)</f>
        <v/>
      </c>
      <c r="AO19" s="49" t="str">
        <f aca="false">IF(OR(G19="",AJ19=""),"",AJ19-G19)</f>
        <v/>
      </c>
      <c r="AP19" s="50" t="str">
        <f aca="false">IF(AND(A19="",B19=""),"",IF(J19="","Status needed",IF(OR(J19="Applied",J19="Visit booked",J19="Withdrawn"),"OK",IF(G19="","Date assessed needed",IF(C19="","Date of birth needed",IF(COUNTA(L19,M19,P19,U19,V19,X19,AB19)&lt;7,"Band missing",IF(AND(OR(J19="Decision confirmed",J19="Family told",J19="Enrolled"),AG19=""),"Recommendation needed",IF(AND(OR(J19="Family told",J19="Enrolled"),AJ19=""),"Date family told needed","OK"))))))))</f>
        <v/>
      </c>
    </row>
    <row r="20" customFormat="false" ht="15" hidden="false" customHeight="false" outlineLevel="0" collapsed="false">
      <c r="A20" s="7"/>
      <c r="B20" s="7"/>
      <c r="C20" s="46"/>
      <c r="D20" s="7"/>
      <c r="E20" s="47"/>
      <c r="F20" s="46"/>
      <c r="G20" s="46"/>
      <c r="H20" s="7"/>
      <c r="I20" s="7"/>
      <c r="J20" s="47"/>
      <c r="K20" s="47"/>
      <c r="L20" s="47"/>
      <c r="M20" s="47"/>
      <c r="N20" s="10"/>
      <c r="O20" s="47"/>
      <c r="P20" s="47"/>
      <c r="Q20" s="47"/>
      <c r="R20" s="48" t="str">
        <f aca="false">IF(Q20="","",IF(Q20=0,"below 5:00",IF(Q20&gt;=66,"16:00 or above",INT((60+2*Q20)/12)&amp;":"&amp;TEXT(MOD(60+2*Q20,12),"00"))))</f>
        <v/>
      </c>
      <c r="S20" s="47"/>
      <c r="T20" s="47"/>
      <c r="U20" s="47"/>
      <c r="V20" s="47"/>
      <c r="W20" s="47"/>
      <c r="X20" s="47"/>
      <c r="Y20" s="47"/>
      <c r="Z20" s="47"/>
      <c r="AA20" s="47"/>
      <c r="AB20" s="47"/>
      <c r="AC20" s="47"/>
      <c r="AD20" s="47"/>
      <c r="AE20" s="47"/>
      <c r="AF20" s="47"/>
      <c r="AG20" s="47"/>
      <c r="AH20" s="47"/>
      <c r="AI20" s="46"/>
      <c r="AJ20" s="46"/>
      <c r="AK20" s="46"/>
      <c r="AL20" s="7"/>
      <c r="AM20" s="49" t="str">
        <f aca="false">IF(OR(C20="",G20=""),"",IFERROR(DATEDIF(C20,G20,"m"),""))</f>
        <v/>
      </c>
      <c r="AN20" s="49" t="str">
        <f aca="false">IF(OR(Q20="",AM20=""),"",60+2*Q20-AM20)</f>
        <v/>
      </c>
      <c r="AO20" s="49" t="str">
        <f aca="false">IF(OR(G20="",AJ20=""),"",AJ20-G20)</f>
        <v/>
      </c>
      <c r="AP20" s="50" t="str">
        <f aca="false">IF(AND(A20="",B20=""),"",IF(J20="","Status needed",IF(OR(J20="Applied",J20="Visit booked",J20="Withdrawn"),"OK",IF(G20="","Date assessed needed",IF(C20="","Date of birth needed",IF(COUNTA(L20,M20,P20,U20,V20,X20,AB20)&lt;7,"Band missing",IF(AND(OR(J20="Decision confirmed",J20="Family told",J20="Enrolled"),AG20=""),"Recommendation needed",IF(AND(OR(J20="Family told",J20="Enrolled"),AJ20=""),"Date family told needed","OK"))))))))</f>
        <v/>
      </c>
    </row>
    <row r="21" customFormat="false" ht="15" hidden="false" customHeight="false" outlineLevel="0" collapsed="false">
      <c r="A21" s="7"/>
      <c r="B21" s="7"/>
      <c r="C21" s="46"/>
      <c r="D21" s="7"/>
      <c r="E21" s="47"/>
      <c r="F21" s="46"/>
      <c r="G21" s="46"/>
      <c r="H21" s="7"/>
      <c r="I21" s="7"/>
      <c r="J21" s="47"/>
      <c r="K21" s="47"/>
      <c r="L21" s="47"/>
      <c r="M21" s="47"/>
      <c r="N21" s="10"/>
      <c r="O21" s="47"/>
      <c r="P21" s="47"/>
      <c r="Q21" s="47"/>
      <c r="R21" s="48" t="str">
        <f aca="false">IF(Q21="","",IF(Q21=0,"below 5:00",IF(Q21&gt;=66,"16:00 or above",INT((60+2*Q21)/12)&amp;":"&amp;TEXT(MOD(60+2*Q21,12),"00"))))</f>
        <v/>
      </c>
      <c r="S21" s="47"/>
      <c r="T21" s="47"/>
      <c r="U21" s="47"/>
      <c r="V21" s="47"/>
      <c r="W21" s="47"/>
      <c r="X21" s="47"/>
      <c r="Y21" s="47"/>
      <c r="Z21" s="47"/>
      <c r="AA21" s="47"/>
      <c r="AB21" s="47"/>
      <c r="AC21" s="47"/>
      <c r="AD21" s="47"/>
      <c r="AE21" s="47"/>
      <c r="AF21" s="47"/>
      <c r="AG21" s="47"/>
      <c r="AH21" s="47"/>
      <c r="AI21" s="46"/>
      <c r="AJ21" s="46"/>
      <c r="AK21" s="46"/>
      <c r="AL21" s="7"/>
      <c r="AM21" s="49" t="str">
        <f aca="false">IF(OR(C21="",G21=""),"",IFERROR(DATEDIF(C21,G21,"m"),""))</f>
        <v/>
      </c>
      <c r="AN21" s="49" t="str">
        <f aca="false">IF(OR(Q21="",AM21=""),"",60+2*Q21-AM21)</f>
        <v/>
      </c>
      <c r="AO21" s="49" t="str">
        <f aca="false">IF(OR(G21="",AJ21=""),"",AJ21-G21)</f>
        <v/>
      </c>
      <c r="AP21" s="50" t="str">
        <f aca="false">IF(AND(A21="",B21=""),"",IF(J21="","Status needed",IF(OR(J21="Applied",J21="Visit booked",J21="Withdrawn"),"OK",IF(G21="","Date assessed needed",IF(C21="","Date of birth needed",IF(COUNTA(L21,M21,P21,U21,V21,X21,AB21)&lt;7,"Band missing",IF(AND(OR(J21="Decision confirmed",J21="Family told",J21="Enrolled"),AG21=""),"Recommendation needed",IF(AND(OR(J21="Family told",J21="Enrolled"),AJ21=""),"Date family told needed","OK"))))))))</f>
        <v/>
      </c>
    </row>
    <row r="22" customFormat="false" ht="15" hidden="false" customHeight="false" outlineLevel="0" collapsed="false">
      <c r="A22" s="7"/>
      <c r="B22" s="7"/>
      <c r="C22" s="46"/>
      <c r="D22" s="7"/>
      <c r="E22" s="47"/>
      <c r="F22" s="46"/>
      <c r="G22" s="46"/>
      <c r="H22" s="7"/>
      <c r="I22" s="7"/>
      <c r="J22" s="47"/>
      <c r="K22" s="47"/>
      <c r="L22" s="47"/>
      <c r="M22" s="47"/>
      <c r="N22" s="10"/>
      <c r="O22" s="47"/>
      <c r="P22" s="47"/>
      <c r="Q22" s="47"/>
      <c r="R22" s="48" t="str">
        <f aca="false">IF(Q22="","",IF(Q22=0,"below 5:00",IF(Q22&gt;=66,"16:00 or above",INT((60+2*Q22)/12)&amp;":"&amp;TEXT(MOD(60+2*Q22,12),"00"))))</f>
        <v/>
      </c>
      <c r="S22" s="47"/>
      <c r="T22" s="47"/>
      <c r="U22" s="47"/>
      <c r="V22" s="47"/>
      <c r="W22" s="47"/>
      <c r="X22" s="47"/>
      <c r="Y22" s="47"/>
      <c r="Z22" s="47"/>
      <c r="AA22" s="47"/>
      <c r="AB22" s="47"/>
      <c r="AC22" s="47"/>
      <c r="AD22" s="47"/>
      <c r="AE22" s="47"/>
      <c r="AF22" s="47"/>
      <c r="AG22" s="47"/>
      <c r="AH22" s="47"/>
      <c r="AI22" s="46"/>
      <c r="AJ22" s="46"/>
      <c r="AK22" s="46"/>
      <c r="AL22" s="7"/>
      <c r="AM22" s="49" t="str">
        <f aca="false">IF(OR(C22="",G22=""),"",IFERROR(DATEDIF(C22,G22,"m"),""))</f>
        <v/>
      </c>
      <c r="AN22" s="49" t="str">
        <f aca="false">IF(OR(Q22="",AM22=""),"",60+2*Q22-AM22)</f>
        <v/>
      </c>
      <c r="AO22" s="49" t="str">
        <f aca="false">IF(OR(G22="",AJ22=""),"",AJ22-G22)</f>
        <v/>
      </c>
      <c r="AP22" s="50" t="str">
        <f aca="false">IF(AND(A22="",B22=""),"",IF(J22="","Status needed",IF(OR(J22="Applied",J22="Visit booked",J22="Withdrawn"),"OK",IF(G22="","Date assessed needed",IF(C22="","Date of birth needed",IF(COUNTA(L22,M22,P22,U22,V22,X22,AB22)&lt;7,"Band missing",IF(AND(OR(J22="Decision confirmed",J22="Family told",J22="Enrolled"),AG22=""),"Recommendation needed",IF(AND(OR(J22="Family told",J22="Enrolled"),AJ22=""),"Date family told needed","OK"))))))))</f>
        <v/>
      </c>
    </row>
    <row r="23" customFormat="false" ht="15" hidden="false" customHeight="false" outlineLevel="0" collapsed="false">
      <c r="A23" s="7"/>
      <c r="B23" s="7"/>
      <c r="C23" s="46"/>
      <c r="D23" s="7"/>
      <c r="E23" s="47"/>
      <c r="F23" s="46"/>
      <c r="G23" s="46"/>
      <c r="H23" s="7"/>
      <c r="I23" s="7"/>
      <c r="J23" s="47"/>
      <c r="K23" s="47"/>
      <c r="L23" s="47"/>
      <c r="M23" s="47"/>
      <c r="N23" s="10"/>
      <c r="O23" s="47"/>
      <c r="P23" s="47"/>
      <c r="Q23" s="47"/>
      <c r="R23" s="48" t="str">
        <f aca="false">IF(Q23="","",IF(Q23=0,"below 5:00",IF(Q23&gt;=66,"16:00 or above",INT((60+2*Q23)/12)&amp;":"&amp;TEXT(MOD(60+2*Q23,12),"00"))))</f>
        <v/>
      </c>
      <c r="S23" s="47"/>
      <c r="T23" s="47"/>
      <c r="U23" s="47"/>
      <c r="V23" s="47"/>
      <c r="W23" s="47"/>
      <c r="X23" s="47"/>
      <c r="Y23" s="47"/>
      <c r="Z23" s="47"/>
      <c r="AA23" s="47"/>
      <c r="AB23" s="47"/>
      <c r="AC23" s="47"/>
      <c r="AD23" s="47"/>
      <c r="AE23" s="47"/>
      <c r="AF23" s="47"/>
      <c r="AG23" s="47"/>
      <c r="AH23" s="47"/>
      <c r="AI23" s="46"/>
      <c r="AJ23" s="46"/>
      <c r="AK23" s="46"/>
      <c r="AL23" s="7"/>
      <c r="AM23" s="49" t="str">
        <f aca="false">IF(OR(C23="",G23=""),"",IFERROR(DATEDIF(C23,G23,"m"),""))</f>
        <v/>
      </c>
      <c r="AN23" s="49" t="str">
        <f aca="false">IF(OR(Q23="",AM23=""),"",60+2*Q23-AM23)</f>
        <v/>
      </c>
      <c r="AO23" s="49" t="str">
        <f aca="false">IF(OR(G23="",AJ23=""),"",AJ23-G23)</f>
        <v/>
      </c>
      <c r="AP23" s="50" t="str">
        <f aca="false">IF(AND(A23="",B23=""),"",IF(J23="","Status needed",IF(OR(J23="Applied",J23="Visit booked",J23="Withdrawn"),"OK",IF(G23="","Date assessed needed",IF(C23="","Date of birth needed",IF(COUNTA(L23,M23,P23,U23,V23,X23,AB23)&lt;7,"Band missing",IF(AND(OR(J23="Decision confirmed",J23="Family told",J23="Enrolled"),AG23=""),"Recommendation needed",IF(AND(OR(J23="Family told",J23="Enrolled"),AJ23=""),"Date family told needed","OK"))))))))</f>
        <v/>
      </c>
    </row>
    <row r="24" customFormat="false" ht="15" hidden="false" customHeight="false" outlineLevel="0" collapsed="false">
      <c r="A24" s="7"/>
      <c r="B24" s="7"/>
      <c r="C24" s="46"/>
      <c r="D24" s="7"/>
      <c r="E24" s="47"/>
      <c r="F24" s="46"/>
      <c r="G24" s="46"/>
      <c r="H24" s="7"/>
      <c r="I24" s="7"/>
      <c r="J24" s="47"/>
      <c r="K24" s="47"/>
      <c r="L24" s="47"/>
      <c r="M24" s="47"/>
      <c r="N24" s="10"/>
      <c r="O24" s="47"/>
      <c r="P24" s="47"/>
      <c r="Q24" s="47"/>
      <c r="R24" s="48" t="str">
        <f aca="false">IF(Q24="","",IF(Q24=0,"below 5:00",IF(Q24&gt;=66,"16:00 or above",INT((60+2*Q24)/12)&amp;":"&amp;TEXT(MOD(60+2*Q24,12),"00"))))</f>
        <v/>
      </c>
      <c r="S24" s="47"/>
      <c r="T24" s="47"/>
      <c r="U24" s="47"/>
      <c r="V24" s="47"/>
      <c r="W24" s="47"/>
      <c r="X24" s="47"/>
      <c r="Y24" s="47"/>
      <c r="Z24" s="47"/>
      <c r="AA24" s="47"/>
      <c r="AB24" s="47"/>
      <c r="AC24" s="47"/>
      <c r="AD24" s="47"/>
      <c r="AE24" s="47"/>
      <c r="AF24" s="47"/>
      <c r="AG24" s="47"/>
      <c r="AH24" s="47"/>
      <c r="AI24" s="46"/>
      <c r="AJ24" s="46"/>
      <c r="AK24" s="46"/>
      <c r="AL24" s="7"/>
      <c r="AM24" s="49" t="str">
        <f aca="false">IF(OR(C24="",G24=""),"",IFERROR(DATEDIF(C24,G24,"m"),""))</f>
        <v/>
      </c>
      <c r="AN24" s="49" t="str">
        <f aca="false">IF(OR(Q24="",AM24=""),"",60+2*Q24-AM24)</f>
        <v/>
      </c>
      <c r="AO24" s="49" t="str">
        <f aca="false">IF(OR(G24="",AJ24=""),"",AJ24-G24)</f>
        <v/>
      </c>
      <c r="AP24" s="50" t="str">
        <f aca="false">IF(AND(A24="",B24=""),"",IF(J24="","Status needed",IF(OR(J24="Applied",J24="Visit booked",J24="Withdrawn"),"OK",IF(G24="","Date assessed needed",IF(C24="","Date of birth needed",IF(COUNTA(L24,M24,P24,U24,V24,X24,AB24)&lt;7,"Band missing",IF(AND(OR(J24="Decision confirmed",J24="Family told",J24="Enrolled"),AG24=""),"Recommendation needed",IF(AND(OR(J24="Family told",J24="Enrolled"),AJ24=""),"Date family told needed","OK"))))))))</f>
        <v/>
      </c>
    </row>
    <row r="25" customFormat="false" ht="15" hidden="false" customHeight="false" outlineLevel="0" collapsed="false">
      <c r="A25" s="7"/>
      <c r="B25" s="7"/>
      <c r="C25" s="46"/>
      <c r="D25" s="7"/>
      <c r="E25" s="47"/>
      <c r="F25" s="46"/>
      <c r="G25" s="46"/>
      <c r="H25" s="7"/>
      <c r="I25" s="7"/>
      <c r="J25" s="47"/>
      <c r="K25" s="47"/>
      <c r="L25" s="47"/>
      <c r="M25" s="47"/>
      <c r="N25" s="10"/>
      <c r="O25" s="47"/>
      <c r="P25" s="47"/>
      <c r="Q25" s="47"/>
      <c r="R25" s="48" t="str">
        <f aca="false">IF(Q25="","",IF(Q25=0,"below 5:00",IF(Q25&gt;=66,"16:00 or above",INT((60+2*Q25)/12)&amp;":"&amp;TEXT(MOD(60+2*Q25,12),"00"))))</f>
        <v/>
      </c>
      <c r="S25" s="47"/>
      <c r="T25" s="47"/>
      <c r="U25" s="47"/>
      <c r="V25" s="47"/>
      <c r="W25" s="47"/>
      <c r="X25" s="47"/>
      <c r="Y25" s="47"/>
      <c r="Z25" s="47"/>
      <c r="AA25" s="47"/>
      <c r="AB25" s="47"/>
      <c r="AC25" s="47"/>
      <c r="AD25" s="47"/>
      <c r="AE25" s="47"/>
      <c r="AF25" s="47"/>
      <c r="AG25" s="47"/>
      <c r="AH25" s="47"/>
      <c r="AI25" s="46"/>
      <c r="AJ25" s="46"/>
      <c r="AK25" s="46"/>
      <c r="AL25" s="7"/>
      <c r="AM25" s="49" t="str">
        <f aca="false">IF(OR(C25="",G25=""),"",IFERROR(DATEDIF(C25,G25,"m"),""))</f>
        <v/>
      </c>
      <c r="AN25" s="49" t="str">
        <f aca="false">IF(OR(Q25="",AM25=""),"",60+2*Q25-AM25)</f>
        <v/>
      </c>
      <c r="AO25" s="49" t="str">
        <f aca="false">IF(OR(G25="",AJ25=""),"",AJ25-G25)</f>
        <v/>
      </c>
      <c r="AP25" s="50" t="str">
        <f aca="false">IF(AND(A25="",B25=""),"",IF(J25="","Status needed",IF(OR(J25="Applied",J25="Visit booked",J25="Withdrawn"),"OK",IF(G25="","Date assessed needed",IF(C25="","Date of birth needed",IF(COUNTA(L25,M25,P25,U25,V25,X25,AB25)&lt;7,"Band missing",IF(AND(OR(J25="Decision confirmed",J25="Family told",J25="Enrolled"),AG25=""),"Recommendation needed",IF(AND(OR(J25="Family told",J25="Enrolled"),AJ25=""),"Date family told needed","OK"))))))))</f>
        <v/>
      </c>
    </row>
    <row r="26" customFormat="false" ht="15" hidden="false" customHeight="false" outlineLevel="0" collapsed="false">
      <c r="A26" s="7"/>
      <c r="B26" s="7"/>
      <c r="C26" s="46"/>
      <c r="D26" s="7"/>
      <c r="E26" s="47"/>
      <c r="F26" s="46"/>
      <c r="G26" s="46"/>
      <c r="H26" s="7"/>
      <c r="I26" s="7"/>
      <c r="J26" s="47"/>
      <c r="K26" s="47"/>
      <c r="L26" s="47"/>
      <c r="M26" s="47"/>
      <c r="N26" s="10"/>
      <c r="O26" s="47"/>
      <c r="P26" s="47"/>
      <c r="Q26" s="47"/>
      <c r="R26" s="48" t="str">
        <f aca="false">IF(Q26="","",IF(Q26=0,"below 5:00",IF(Q26&gt;=66,"16:00 or above",INT((60+2*Q26)/12)&amp;":"&amp;TEXT(MOD(60+2*Q26,12),"00"))))</f>
        <v/>
      </c>
      <c r="S26" s="47"/>
      <c r="T26" s="47"/>
      <c r="U26" s="47"/>
      <c r="V26" s="47"/>
      <c r="W26" s="47"/>
      <c r="X26" s="47"/>
      <c r="Y26" s="47"/>
      <c r="Z26" s="47"/>
      <c r="AA26" s="47"/>
      <c r="AB26" s="47"/>
      <c r="AC26" s="47"/>
      <c r="AD26" s="47"/>
      <c r="AE26" s="47"/>
      <c r="AF26" s="47"/>
      <c r="AG26" s="47"/>
      <c r="AH26" s="47"/>
      <c r="AI26" s="46"/>
      <c r="AJ26" s="46"/>
      <c r="AK26" s="46"/>
      <c r="AL26" s="7"/>
      <c r="AM26" s="49" t="str">
        <f aca="false">IF(OR(C26="",G26=""),"",IFERROR(DATEDIF(C26,G26,"m"),""))</f>
        <v/>
      </c>
      <c r="AN26" s="49" t="str">
        <f aca="false">IF(OR(Q26="",AM26=""),"",60+2*Q26-AM26)</f>
        <v/>
      </c>
      <c r="AO26" s="49" t="str">
        <f aca="false">IF(OR(G26="",AJ26=""),"",AJ26-G26)</f>
        <v/>
      </c>
      <c r="AP26" s="50" t="str">
        <f aca="false">IF(AND(A26="",B26=""),"",IF(J26="","Status needed",IF(OR(J26="Applied",J26="Visit booked",J26="Withdrawn"),"OK",IF(G26="","Date assessed needed",IF(C26="","Date of birth needed",IF(COUNTA(L26,M26,P26,U26,V26,X26,AB26)&lt;7,"Band missing",IF(AND(OR(J26="Decision confirmed",J26="Family told",J26="Enrolled"),AG26=""),"Recommendation needed",IF(AND(OR(J26="Family told",J26="Enrolled"),AJ26=""),"Date family told needed","OK"))))))))</f>
        <v/>
      </c>
    </row>
    <row r="27" customFormat="false" ht="15" hidden="false" customHeight="false" outlineLevel="0" collapsed="false">
      <c r="A27" s="7"/>
      <c r="B27" s="7"/>
      <c r="C27" s="46"/>
      <c r="D27" s="7"/>
      <c r="E27" s="47"/>
      <c r="F27" s="46"/>
      <c r="G27" s="46"/>
      <c r="H27" s="7"/>
      <c r="I27" s="7"/>
      <c r="J27" s="47"/>
      <c r="K27" s="47"/>
      <c r="L27" s="47"/>
      <c r="M27" s="47"/>
      <c r="N27" s="10"/>
      <c r="O27" s="47"/>
      <c r="P27" s="47"/>
      <c r="Q27" s="47"/>
      <c r="R27" s="48" t="str">
        <f aca="false">IF(Q27="","",IF(Q27=0,"below 5:00",IF(Q27&gt;=66,"16:00 or above",INT((60+2*Q27)/12)&amp;":"&amp;TEXT(MOD(60+2*Q27,12),"00"))))</f>
        <v/>
      </c>
      <c r="S27" s="47"/>
      <c r="T27" s="47"/>
      <c r="U27" s="47"/>
      <c r="V27" s="47"/>
      <c r="W27" s="47"/>
      <c r="X27" s="47"/>
      <c r="Y27" s="47"/>
      <c r="Z27" s="47"/>
      <c r="AA27" s="47"/>
      <c r="AB27" s="47"/>
      <c r="AC27" s="47"/>
      <c r="AD27" s="47"/>
      <c r="AE27" s="47"/>
      <c r="AF27" s="47"/>
      <c r="AG27" s="47"/>
      <c r="AH27" s="47"/>
      <c r="AI27" s="46"/>
      <c r="AJ27" s="46"/>
      <c r="AK27" s="46"/>
      <c r="AL27" s="7"/>
      <c r="AM27" s="49" t="str">
        <f aca="false">IF(OR(C27="",G27=""),"",IFERROR(DATEDIF(C27,G27,"m"),""))</f>
        <v/>
      </c>
      <c r="AN27" s="49" t="str">
        <f aca="false">IF(OR(Q27="",AM27=""),"",60+2*Q27-AM27)</f>
        <v/>
      </c>
      <c r="AO27" s="49" t="str">
        <f aca="false">IF(OR(G27="",AJ27=""),"",AJ27-G27)</f>
        <v/>
      </c>
      <c r="AP27" s="50" t="str">
        <f aca="false">IF(AND(A27="",B27=""),"",IF(J27="","Status needed",IF(OR(J27="Applied",J27="Visit booked",J27="Withdrawn"),"OK",IF(G27="","Date assessed needed",IF(C27="","Date of birth needed",IF(COUNTA(L27,M27,P27,U27,V27,X27,AB27)&lt;7,"Band missing",IF(AND(OR(J27="Decision confirmed",J27="Family told",J27="Enrolled"),AG27=""),"Recommendation needed",IF(AND(OR(J27="Family told",J27="Enrolled"),AJ27=""),"Date family told needed","OK"))))))))</f>
        <v/>
      </c>
    </row>
    <row r="28" customFormat="false" ht="15" hidden="false" customHeight="false" outlineLevel="0" collapsed="false">
      <c r="A28" s="7"/>
      <c r="B28" s="7"/>
      <c r="C28" s="46"/>
      <c r="D28" s="7"/>
      <c r="E28" s="47"/>
      <c r="F28" s="46"/>
      <c r="G28" s="46"/>
      <c r="H28" s="7"/>
      <c r="I28" s="7"/>
      <c r="J28" s="47"/>
      <c r="K28" s="47"/>
      <c r="L28" s="47"/>
      <c r="M28" s="47"/>
      <c r="N28" s="10"/>
      <c r="O28" s="47"/>
      <c r="P28" s="47"/>
      <c r="Q28" s="47"/>
      <c r="R28" s="48" t="str">
        <f aca="false">IF(Q28="","",IF(Q28=0,"below 5:00",IF(Q28&gt;=66,"16:00 or above",INT((60+2*Q28)/12)&amp;":"&amp;TEXT(MOD(60+2*Q28,12),"00"))))</f>
        <v/>
      </c>
      <c r="S28" s="47"/>
      <c r="T28" s="47"/>
      <c r="U28" s="47"/>
      <c r="V28" s="47"/>
      <c r="W28" s="47"/>
      <c r="X28" s="47"/>
      <c r="Y28" s="47"/>
      <c r="Z28" s="47"/>
      <c r="AA28" s="47"/>
      <c r="AB28" s="47"/>
      <c r="AC28" s="47"/>
      <c r="AD28" s="47"/>
      <c r="AE28" s="47"/>
      <c r="AF28" s="47"/>
      <c r="AG28" s="47"/>
      <c r="AH28" s="47"/>
      <c r="AI28" s="46"/>
      <c r="AJ28" s="46"/>
      <c r="AK28" s="46"/>
      <c r="AL28" s="7"/>
      <c r="AM28" s="49" t="str">
        <f aca="false">IF(OR(C28="",G28=""),"",IFERROR(DATEDIF(C28,G28,"m"),""))</f>
        <v/>
      </c>
      <c r="AN28" s="49" t="str">
        <f aca="false">IF(OR(Q28="",AM28=""),"",60+2*Q28-AM28)</f>
        <v/>
      </c>
      <c r="AO28" s="49" t="str">
        <f aca="false">IF(OR(G28="",AJ28=""),"",AJ28-G28)</f>
        <v/>
      </c>
      <c r="AP28" s="50" t="str">
        <f aca="false">IF(AND(A28="",B28=""),"",IF(J28="","Status needed",IF(OR(J28="Applied",J28="Visit booked",J28="Withdrawn"),"OK",IF(G28="","Date assessed needed",IF(C28="","Date of birth needed",IF(COUNTA(L28,M28,P28,U28,V28,X28,AB28)&lt;7,"Band missing",IF(AND(OR(J28="Decision confirmed",J28="Family told",J28="Enrolled"),AG28=""),"Recommendation needed",IF(AND(OR(J28="Family told",J28="Enrolled"),AJ28=""),"Date family told needed","OK"))))))))</f>
        <v/>
      </c>
    </row>
    <row r="29" customFormat="false" ht="15" hidden="false" customHeight="false" outlineLevel="0" collapsed="false">
      <c r="A29" s="7"/>
      <c r="B29" s="7"/>
      <c r="C29" s="46"/>
      <c r="D29" s="7"/>
      <c r="E29" s="47"/>
      <c r="F29" s="46"/>
      <c r="G29" s="46"/>
      <c r="H29" s="7"/>
      <c r="I29" s="7"/>
      <c r="J29" s="47"/>
      <c r="K29" s="47"/>
      <c r="L29" s="47"/>
      <c r="M29" s="47"/>
      <c r="N29" s="10"/>
      <c r="O29" s="47"/>
      <c r="P29" s="47"/>
      <c r="Q29" s="47"/>
      <c r="R29" s="48" t="str">
        <f aca="false">IF(Q29="","",IF(Q29=0,"below 5:00",IF(Q29&gt;=66,"16:00 or above",INT((60+2*Q29)/12)&amp;":"&amp;TEXT(MOD(60+2*Q29,12),"00"))))</f>
        <v/>
      </c>
      <c r="S29" s="47"/>
      <c r="T29" s="47"/>
      <c r="U29" s="47"/>
      <c r="V29" s="47"/>
      <c r="W29" s="47"/>
      <c r="X29" s="47"/>
      <c r="Y29" s="47"/>
      <c r="Z29" s="47"/>
      <c r="AA29" s="47"/>
      <c r="AB29" s="47"/>
      <c r="AC29" s="47"/>
      <c r="AD29" s="47"/>
      <c r="AE29" s="47"/>
      <c r="AF29" s="47"/>
      <c r="AG29" s="47"/>
      <c r="AH29" s="47"/>
      <c r="AI29" s="46"/>
      <c r="AJ29" s="46"/>
      <c r="AK29" s="46"/>
      <c r="AL29" s="7"/>
      <c r="AM29" s="49" t="str">
        <f aca="false">IF(OR(C29="",G29=""),"",IFERROR(DATEDIF(C29,G29,"m"),""))</f>
        <v/>
      </c>
      <c r="AN29" s="49" t="str">
        <f aca="false">IF(OR(Q29="",AM29=""),"",60+2*Q29-AM29)</f>
        <v/>
      </c>
      <c r="AO29" s="49" t="str">
        <f aca="false">IF(OR(G29="",AJ29=""),"",AJ29-G29)</f>
        <v/>
      </c>
      <c r="AP29" s="50" t="str">
        <f aca="false">IF(AND(A29="",B29=""),"",IF(J29="","Status needed",IF(OR(J29="Applied",J29="Visit booked",J29="Withdrawn"),"OK",IF(G29="","Date assessed needed",IF(C29="","Date of birth needed",IF(COUNTA(L29,M29,P29,U29,V29,X29,AB29)&lt;7,"Band missing",IF(AND(OR(J29="Decision confirmed",J29="Family told",J29="Enrolled"),AG29=""),"Recommendation needed",IF(AND(OR(J29="Family told",J29="Enrolled"),AJ29=""),"Date family told needed","OK"))))))))</f>
        <v/>
      </c>
    </row>
    <row r="30" customFormat="false" ht="15" hidden="false" customHeight="false" outlineLevel="0" collapsed="false">
      <c r="A30" s="7"/>
      <c r="B30" s="7"/>
      <c r="C30" s="46"/>
      <c r="D30" s="7"/>
      <c r="E30" s="47"/>
      <c r="F30" s="46"/>
      <c r="G30" s="46"/>
      <c r="H30" s="7"/>
      <c r="I30" s="7"/>
      <c r="J30" s="47"/>
      <c r="K30" s="47"/>
      <c r="L30" s="47"/>
      <c r="M30" s="47"/>
      <c r="N30" s="10"/>
      <c r="O30" s="47"/>
      <c r="P30" s="47"/>
      <c r="Q30" s="47"/>
      <c r="R30" s="48" t="str">
        <f aca="false">IF(Q30="","",IF(Q30=0,"below 5:00",IF(Q30&gt;=66,"16:00 or above",INT((60+2*Q30)/12)&amp;":"&amp;TEXT(MOD(60+2*Q30,12),"00"))))</f>
        <v/>
      </c>
      <c r="S30" s="47"/>
      <c r="T30" s="47"/>
      <c r="U30" s="47"/>
      <c r="V30" s="47"/>
      <c r="W30" s="47"/>
      <c r="X30" s="47"/>
      <c r="Y30" s="47"/>
      <c r="Z30" s="47"/>
      <c r="AA30" s="47"/>
      <c r="AB30" s="47"/>
      <c r="AC30" s="47"/>
      <c r="AD30" s="47"/>
      <c r="AE30" s="47"/>
      <c r="AF30" s="47"/>
      <c r="AG30" s="47"/>
      <c r="AH30" s="47"/>
      <c r="AI30" s="46"/>
      <c r="AJ30" s="46"/>
      <c r="AK30" s="46"/>
      <c r="AL30" s="7"/>
      <c r="AM30" s="49" t="str">
        <f aca="false">IF(OR(C30="",G30=""),"",IFERROR(DATEDIF(C30,G30,"m"),""))</f>
        <v/>
      </c>
      <c r="AN30" s="49" t="str">
        <f aca="false">IF(OR(Q30="",AM30=""),"",60+2*Q30-AM30)</f>
        <v/>
      </c>
      <c r="AO30" s="49" t="str">
        <f aca="false">IF(OR(G30="",AJ30=""),"",AJ30-G30)</f>
        <v/>
      </c>
      <c r="AP30" s="50" t="str">
        <f aca="false">IF(AND(A30="",B30=""),"",IF(J30="","Status needed",IF(OR(J30="Applied",J30="Visit booked",J30="Withdrawn"),"OK",IF(G30="","Date assessed needed",IF(C30="","Date of birth needed",IF(COUNTA(L30,M30,P30,U30,V30,X30,AB30)&lt;7,"Band missing",IF(AND(OR(J30="Decision confirmed",J30="Family told",J30="Enrolled"),AG30=""),"Recommendation needed",IF(AND(OR(J30="Family told",J30="Enrolled"),AJ30=""),"Date family told needed","OK"))))))))</f>
        <v/>
      </c>
    </row>
    <row r="31" customFormat="false" ht="15" hidden="false" customHeight="false" outlineLevel="0" collapsed="false">
      <c r="A31" s="7"/>
      <c r="B31" s="7"/>
      <c r="C31" s="46"/>
      <c r="D31" s="7"/>
      <c r="E31" s="47"/>
      <c r="F31" s="46"/>
      <c r="G31" s="46"/>
      <c r="H31" s="7"/>
      <c r="I31" s="7"/>
      <c r="J31" s="47"/>
      <c r="K31" s="47"/>
      <c r="L31" s="47"/>
      <c r="M31" s="47"/>
      <c r="N31" s="10"/>
      <c r="O31" s="47"/>
      <c r="P31" s="47"/>
      <c r="Q31" s="47"/>
      <c r="R31" s="48" t="str">
        <f aca="false">IF(Q31="","",IF(Q31=0,"below 5:00",IF(Q31&gt;=66,"16:00 or above",INT((60+2*Q31)/12)&amp;":"&amp;TEXT(MOD(60+2*Q31,12),"00"))))</f>
        <v/>
      </c>
      <c r="S31" s="47"/>
      <c r="T31" s="47"/>
      <c r="U31" s="47"/>
      <c r="V31" s="47"/>
      <c r="W31" s="47"/>
      <c r="X31" s="47"/>
      <c r="Y31" s="47"/>
      <c r="Z31" s="47"/>
      <c r="AA31" s="47"/>
      <c r="AB31" s="47"/>
      <c r="AC31" s="47"/>
      <c r="AD31" s="47"/>
      <c r="AE31" s="47"/>
      <c r="AF31" s="47"/>
      <c r="AG31" s="47"/>
      <c r="AH31" s="47"/>
      <c r="AI31" s="46"/>
      <c r="AJ31" s="46"/>
      <c r="AK31" s="46"/>
      <c r="AL31" s="7"/>
      <c r="AM31" s="49" t="str">
        <f aca="false">IF(OR(C31="",G31=""),"",IFERROR(DATEDIF(C31,G31,"m"),""))</f>
        <v/>
      </c>
      <c r="AN31" s="49" t="str">
        <f aca="false">IF(OR(Q31="",AM31=""),"",60+2*Q31-AM31)</f>
        <v/>
      </c>
      <c r="AO31" s="49" t="str">
        <f aca="false">IF(OR(G31="",AJ31=""),"",AJ31-G31)</f>
        <v/>
      </c>
      <c r="AP31" s="50" t="str">
        <f aca="false">IF(AND(A31="",B31=""),"",IF(J31="","Status needed",IF(OR(J31="Applied",J31="Visit booked",J31="Withdrawn"),"OK",IF(G31="","Date assessed needed",IF(C31="","Date of birth needed",IF(COUNTA(L31,M31,P31,U31,V31,X31,AB31)&lt;7,"Band missing",IF(AND(OR(J31="Decision confirmed",J31="Family told",J31="Enrolled"),AG31=""),"Recommendation needed",IF(AND(OR(J31="Family told",J31="Enrolled"),AJ31=""),"Date family told needed","OK"))))))))</f>
        <v/>
      </c>
    </row>
    <row r="32" customFormat="false" ht="15" hidden="false" customHeight="false" outlineLevel="0" collapsed="false">
      <c r="A32" s="7"/>
      <c r="B32" s="7"/>
      <c r="C32" s="46"/>
      <c r="D32" s="7"/>
      <c r="E32" s="47"/>
      <c r="F32" s="46"/>
      <c r="G32" s="46"/>
      <c r="H32" s="7"/>
      <c r="I32" s="7"/>
      <c r="J32" s="47"/>
      <c r="K32" s="47"/>
      <c r="L32" s="47"/>
      <c r="M32" s="47"/>
      <c r="N32" s="10"/>
      <c r="O32" s="47"/>
      <c r="P32" s="47"/>
      <c r="Q32" s="47"/>
      <c r="R32" s="48" t="str">
        <f aca="false">IF(Q32="","",IF(Q32=0,"below 5:00",IF(Q32&gt;=66,"16:00 or above",INT((60+2*Q32)/12)&amp;":"&amp;TEXT(MOD(60+2*Q32,12),"00"))))</f>
        <v/>
      </c>
      <c r="S32" s="47"/>
      <c r="T32" s="47"/>
      <c r="U32" s="47"/>
      <c r="V32" s="47"/>
      <c r="W32" s="47"/>
      <c r="X32" s="47"/>
      <c r="Y32" s="47"/>
      <c r="Z32" s="47"/>
      <c r="AA32" s="47"/>
      <c r="AB32" s="47"/>
      <c r="AC32" s="47"/>
      <c r="AD32" s="47"/>
      <c r="AE32" s="47"/>
      <c r="AF32" s="47"/>
      <c r="AG32" s="47"/>
      <c r="AH32" s="47"/>
      <c r="AI32" s="46"/>
      <c r="AJ32" s="46"/>
      <c r="AK32" s="46"/>
      <c r="AL32" s="7"/>
      <c r="AM32" s="49" t="str">
        <f aca="false">IF(OR(C32="",G32=""),"",IFERROR(DATEDIF(C32,G32,"m"),""))</f>
        <v/>
      </c>
      <c r="AN32" s="49" t="str">
        <f aca="false">IF(OR(Q32="",AM32=""),"",60+2*Q32-AM32)</f>
        <v/>
      </c>
      <c r="AO32" s="49" t="str">
        <f aca="false">IF(OR(G32="",AJ32=""),"",AJ32-G32)</f>
        <v/>
      </c>
      <c r="AP32" s="50" t="str">
        <f aca="false">IF(AND(A32="",B32=""),"",IF(J32="","Status needed",IF(OR(J32="Applied",J32="Visit booked",J32="Withdrawn"),"OK",IF(G32="","Date assessed needed",IF(C32="","Date of birth needed",IF(COUNTA(L32,M32,P32,U32,V32,X32,AB32)&lt;7,"Band missing",IF(AND(OR(J32="Decision confirmed",J32="Family told",J32="Enrolled"),AG32=""),"Recommendation needed",IF(AND(OR(J32="Family told",J32="Enrolled"),AJ32=""),"Date family told needed","OK"))))))))</f>
        <v/>
      </c>
    </row>
    <row r="33" customFormat="false" ht="15" hidden="false" customHeight="false" outlineLevel="0" collapsed="false">
      <c r="A33" s="7"/>
      <c r="B33" s="7"/>
      <c r="C33" s="46"/>
      <c r="D33" s="7"/>
      <c r="E33" s="47"/>
      <c r="F33" s="46"/>
      <c r="G33" s="46"/>
      <c r="H33" s="7"/>
      <c r="I33" s="7"/>
      <c r="J33" s="47"/>
      <c r="K33" s="47"/>
      <c r="L33" s="47"/>
      <c r="M33" s="47"/>
      <c r="N33" s="10"/>
      <c r="O33" s="47"/>
      <c r="P33" s="47"/>
      <c r="Q33" s="47"/>
      <c r="R33" s="48" t="str">
        <f aca="false">IF(Q33="","",IF(Q33=0,"below 5:00",IF(Q33&gt;=66,"16:00 or above",INT((60+2*Q33)/12)&amp;":"&amp;TEXT(MOD(60+2*Q33,12),"00"))))</f>
        <v/>
      </c>
      <c r="S33" s="47"/>
      <c r="T33" s="47"/>
      <c r="U33" s="47"/>
      <c r="V33" s="47"/>
      <c r="W33" s="47"/>
      <c r="X33" s="47"/>
      <c r="Y33" s="47"/>
      <c r="Z33" s="47"/>
      <c r="AA33" s="47"/>
      <c r="AB33" s="47"/>
      <c r="AC33" s="47"/>
      <c r="AD33" s="47"/>
      <c r="AE33" s="47"/>
      <c r="AF33" s="47"/>
      <c r="AG33" s="47"/>
      <c r="AH33" s="47"/>
      <c r="AI33" s="46"/>
      <c r="AJ33" s="46"/>
      <c r="AK33" s="46"/>
      <c r="AL33" s="7"/>
      <c r="AM33" s="49" t="str">
        <f aca="false">IF(OR(C33="",G33=""),"",IFERROR(DATEDIF(C33,G33,"m"),""))</f>
        <v/>
      </c>
      <c r="AN33" s="49" t="str">
        <f aca="false">IF(OR(Q33="",AM33=""),"",60+2*Q33-AM33)</f>
        <v/>
      </c>
      <c r="AO33" s="49" t="str">
        <f aca="false">IF(OR(G33="",AJ33=""),"",AJ33-G33)</f>
        <v/>
      </c>
      <c r="AP33" s="50" t="str">
        <f aca="false">IF(AND(A33="",B33=""),"",IF(J33="","Status needed",IF(OR(J33="Applied",J33="Visit booked",J33="Withdrawn"),"OK",IF(G33="","Date assessed needed",IF(C33="","Date of birth needed",IF(COUNTA(L33,M33,P33,U33,V33,X33,AB33)&lt;7,"Band missing",IF(AND(OR(J33="Decision confirmed",J33="Family told",J33="Enrolled"),AG33=""),"Recommendation needed",IF(AND(OR(J33="Family told",J33="Enrolled"),AJ33=""),"Date family told needed","OK"))))))))</f>
        <v/>
      </c>
    </row>
    <row r="34" customFormat="false" ht="15" hidden="false" customHeight="false" outlineLevel="0" collapsed="false">
      <c r="A34" s="7"/>
      <c r="B34" s="7"/>
      <c r="C34" s="46"/>
      <c r="D34" s="7"/>
      <c r="E34" s="47"/>
      <c r="F34" s="46"/>
      <c r="G34" s="46"/>
      <c r="H34" s="7"/>
      <c r="I34" s="7"/>
      <c r="J34" s="47"/>
      <c r="K34" s="47"/>
      <c r="L34" s="47"/>
      <c r="M34" s="47"/>
      <c r="N34" s="10"/>
      <c r="O34" s="47"/>
      <c r="P34" s="47"/>
      <c r="Q34" s="47"/>
      <c r="R34" s="48" t="str">
        <f aca="false">IF(Q34="","",IF(Q34=0,"below 5:00",IF(Q34&gt;=66,"16:00 or above",INT((60+2*Q34)/12)&amp;":"&amp;TEXT(MOD(60+2*Q34,12),"00"))))</f>
        <v/>
      </c>
      <c r="S34" s="47"/>
      <c r="T34" s="47"/>
      <c r="U34" s="47"/>
      <c r="V34" s="47"/>
      <c r="W34" s="47"/>
      <c r="X34" s="47"/>
      <c r="Y34" s="47"/>
      <c r="Z34" s="47"/>
      <c r="AA34" s="47"/>
      <c r="AB34" s="47"/>
      <c r="AC34" s="47"/>
      <c r="AD34" s="47"/>
      <c r="AE34" s="47"/>
      <c r="AF34" s="47"/>
      <c r="AG34" s="47"/>
      <c r="AH34" s="47"/>
      <c r="AI34" s="46"/>
      <c r="AJ34" s="46"/>
      <c r="AK34" s="46"/>
      <c r="AL34" s="7"/>
      <c r="AM34" s="49" t="str">
        <f aca="false">IF(OR(C34="",G34=""),"",IFERROR(DATEDIF(C34,G34,"m"),""))</f>
        <v/>
      </c>
      <c r="AN34" s="49" t="str">
        <f aca="false">IF(OR(Q34="",AM34=""),"",60+2*Q34-AM34)</f>
        <v/>
      </c>
      <c r="AO34" s="49" t="str">
        <f aca="false">IF(OR(G34="",AJ34=""),"",AJ34-G34)</f>
        <v/>
      </c>
      <c r="AP34" s="50" t="str">
        <f aca="false">IF(AND(A34="",B34=""),"",IF(J34="","Status needed",IF(OR(J34="Applied",J34="Visit booked",J34="Withdrawn"),"OK",IF(G34="","Date assessed needed",IF(C34="","Date of birth needed",IF(COUNTA(L34,M34,P34,U34,V34,X34,AB34)&lt;7,"Band missing",IF(AND(OR(J34="Decision confirmed",J34="Family told",J34="Enrolled"),AG34=""),"Recommendation needed",IF(AND(OR(J34="Family told",J34="Enrolled"),AJ34=""),"Date family told needed","OK"))))))))</f>
        <v/>
      </c>
    </row>
    <row r="35" customFormat="false" ht="15" hidden="false" customHeight="false" outlineLevel="0" collapsed="false">
      <c r="A35" s="7"/>
      <c r="B35" s="7"/>
      <c r="C35" s="46"/>
      <c r="D35" s="7"/>
      <c r="E35" s="47"/>
      <c r="F35" s="46"/>
      <c r="G35" s="46"/>
      <c r="H35" s="7"/>
      <c r="I35" s="7"/>
      <c r="J35" s="47"/>
      <c r="K35" s="47"/>
      <c r="L35" s="47"/>
      <c r="M35" s="47"/>
      <c r="N35" s="10"/>
      <c r="O35" s="47"/>
      <c r="P35" s="47"/>
      <c r="Q35" s="47"/>
      <c r="R35" s="48" t="str">
        <f aca="false">IF(Q35="","",IF(Q35=0,"below 5:00",IF(Q35&gt;=66,"16:00 or above",INT((60+2*Q35)/12)&amp;":"&amp;TEXT(MOD(60+2*Q35,12),"00"))))</f>
        <v/>
      </c>
      <c r="S35" s="47"/>
      <c r="T35" s="47"/>
      <c r="U35" s="47"/>
      <c r="V35" s="47"/>
      <c r="W35" s="47"/>
      <c r="X35" s="47"/>
      <c r="Y35" s="47"/>
      <c r="Z35" s="47"/>
      <c r="AA35" s="47"/>
      <c r="AB35" s="47"/>
      <c r="AC35" s="47"/>
      <c r="AD35" s="47"/>
      <c r="AE35" s="47"/>
      <c r="AF35" s="47"/>
      <c r="AG35" s="47"/>
      <c r="AH35" s="47"/>
      <c r="AI35" s="46"/>
      <c r="AJ35" s="46"/>
      <c r="AK35" s="46"/>
      <c r="AL35" s="7"/>
      <c r="AM35" s="49" t="str">
        <f aca="false">IF(OR(C35="",G35=""),"",IFERROR(DATEDIF(C35,G35,"m"),""))</f>
        <v/>
      </c>
      <c r="AN35" s="49" t="str">
        <f aca="false">IF(OR(Q35="",AM35=""),"",60+2*Q35-AM35)</f>
        <v/>
      </c>
      <c r="AO35" s="49" t="str">
        <f aca="false">IF(OR(G35="",AJ35=""),"",AJ35-G35)</f>
        <v/>
      </c>
      <c r="AP35" s="50" t="str">
        <f aca="false">IF(AND(A35="",B35=""),"",IF(J35="","Status needed",IF(OR(J35="Applied",J35="Visit booked",J35="Withdrawn"),"OK",IF(G35="","Date assessed needed",IF(C35="","Date of birth needed",IF(COUNTA(L35,M35,P35,U35,V35,X35,AB35)&lt;7,"Band missing",IF(AND(OR(J35="Decision confirmed",J35="Family told",J35="Enrolled"),AG35=""),"Recommendation needed",IF(AND(OR(J35="Family told",J35="Enrolled"),AJ35=""),"Date family told needed","OK"))))))))</f>
        <v/>
      </c>
    </row>
    <row r="36" customFormat="false" ht="15" hidden="false" customHeight="false" outlineLevel="0" collapsed="false">
      <c r="A36" s="7"/>
      <c r="B36" s="7"/>
      <c r="C36" s="46"/>
      <c r="D36" s="7"/>
      <c r="E36" s="47"/>
      <c r="F36" s="46"/>
      <c r="G36" s="46"/>
      <c r="H36" s="7"/>
      <c r="I36" s="7"/>
      <c r="J36" s="47"/>
      <c r="K36" s="47"/>
      <c r="L36" s="47"/>
      <c r="M36" s="47"/>
      <c r="N36" s="10"/>
      <c r="O36" s="47"/>
      <c r="P36" s="47"/>
      <c r="Q36" s="47"/>
      <c r="R36" s="48" t="str">
        <f aca="false">IF(Q36="","",IF(Q36=0,"below 5:00",IF(Q36&gt;=66,"16:00 or above",INT((60+2*Q36)/12)&amp;":"&amp;TEXT(MOD(60+2*Q36,12),"00"))))</f>
        <v/>
      </c>
      <c r="S36" s="47"/>
      <c r="T36" s="47"/>
      <c r="U36" s="47"/>
      <c r="V36" s="47"/>
      <c r="W36" s="47"/>
      <c r="X36" s="47"/>
      <c r="Y36" s="47"/>
      <c r="Z36" s="47"/>
      <c r="AA36" s="47"/>
      <c r="AB36" s="47"/>
      <c r="AC36" s="47"/>
      <c r="AD36" s="47"/>
      <c r="AE36" s="47"/>
      <c r="AF36" s="47"/>
      <c r="AG36" s="47"/>
      <c r="AH36" s="47"/>
      <c r="AI36" s="46"/>
      <c r="AJ36" s="46"/>
      <c r="AK36" s="46"/>
      <c r="AL36" s="7"/>
      <c r="AM36" s="49" t="str">
        <f aca="false">IF(OR(C36="",G36=""),"",IFERROR(DATEDIF(C36,G36,"m"),""))</f>
        <v/>
      </c>
      <c r="AN36" s="49" t="str">
        <f aca="false">IF(OR(Q36="",AM36=""),"",60+2*Q36-AM36)</f>
        <v/>
      </c>
      <c r="AO36" s="49" t="str">
        <f aca="false">IF(OR(G36="",AJ36=""),"",AJ36-G36)</f>
        <v/>
      </c>
      <c r="AP36" s="50" t="str">
        <f aca="false">IF(AND(A36="",B36=""),"",IF(J36="","Status needed",IF(OR(J36="Applied",J36="Visit booked",J36="Withdrawn"),"OK",IF(G36="","Date assessed needed",IF(C36="","Date of birth needed",IF(COUNTA(L36,M36,P36,U36,V36,X36,AB36)&lt;7,"Band missing",IF(AND(OR(J36="Decision confirmed",J36="Family told",J36="Enrolled"),AG36=""),"Recommendation needed",IF(AND(OR(J36="Family told",J36="Enrolled"),AJ36=""),"Date family told needed","OK"))))))))</f>
        <v/>
      </c>
    </row>
    <row r="37" customFormat="false" ht="15" hidden="false" customHeight="false" outlineLevel="0" collapsed="false">
      <c r="A37" s="7"/>
      <c r="B37" s="7"/>
      <c r="C37" s="46"/>
      <c r="D37" s="7"/>
      <c r="E37" s="47"/>
      <c r="F37" s="46"/>
      <c r="G37" s="46"/>
      <c r="H37" s="7"/>
      <c r="I37" s="7"/>
      <c r="J37" s="47"/>
      <c r="K37" s="47"/>
      <c r="L37" s="47"/>
      <c r="M37" s="47"/>
      <c r="N37" s="10"/>
      <c r="O37" s="47"/>
      <c r="P37" s="47"/>
      <c r="Q37" s="47"/>
      <c r="R37" s="48" t="str">
        <f aca="false">IF(Q37="","",IF(Q37=0,"below 5:00",IF(Q37&gt;=66,"16:00 or above",INT((60+2*Q37)/12)&amp;":"&amp;TEXT(MOD(60+2*Q37,12),"00"))))</f>
        <v/>
      </c>
      <c r="S37" s="47"/>
      <c r="T37" s="47"/>
      <c r="U37" s="47"/>
      <c r="V37" s="47"/>
      <c r="W37" s="47"/>
      <c r="X37" s="47"/>
      <c r="Y37" s="47"/>
      <c r="Z37" s="47"/>
      <c r="AA37" s="47"/>
      <c r="AB37" s="47"/>
      <c r="AC37" s="47"/>
      <c r="AD37" s="47"/>
      <c r="AE37" s="47"/>
      <c r="AF37" s="47"/>
      <c r="AG37" s="47"/>
      <c r="AH37" s="47"/>
      <c r="AI37" s="46"/>
      <c r="AJ37" s="46"/>
      <c r="AK37" s="46"/>
      <c r="AL37" s="7"/>
      <c r="AM37" s="49" t="str">
        <f aca="false">IF(OR(C37="",G37=""),"",IFERROR(DATEDIF(C37,G37,"m"),""))</f>
        <v/>
      </c>
      <c r="AN37" s="49" t="str">
        <f aca="false">IF(OR(Q37="",AM37=""),"",60+2*Q37-AM37)</f>
        <v/>
      </c>
      <c r="AO37" s="49" t="str">
        <f aca="false">IF(OR(G37="",AJ37=""),"",AJ37-G37)</f>
        <v/>
      </c>
      <c r="AP37" s="50" t="str">
        <f aca="false">IF(AND(A37="",B37=""),"",IF(J37="","Status needed",IF(OR(J37="Applied",J37="Visit booked",J37="Withdrawn"),"OK",IF(G37="","Date assessed needed",IF(C37="","Date of birth needed",IF(COUNTA(L37,M37,P37,U37,V37,X37,AB37)&lt;7,"Band missing",IF(AND(OR(J37="Decision confirmed",J37="Family told",J37="Enrolled"),AG37=""),"Recommendation needed",IF(AND(OR(J37="Family told",J37="Enrolled"),AJ37=""),"Date family told needed","OK"))))))))</f>
        <v/>
      </c>
    </row>
    <row r="38" customFormat="false" ht="15" hidden="false" customHeight="false" outlineLevel="0" collapsed="false">
      <c r="A38" s="7"/>
      <c r="B38" s="7"/>
      <c r="C38" s="46"/>
      <c r="D38" s="7"/>
      <c r="E38" s="47"/>
      <c r="F38" s="46"/>
      <c r="G38" s="46"/>
      <c r="H38" s="7"/>
      <c r="I38" s="7"/>
      <c r="J38" s="47"/>
      <c r="K38" s="47"/>
      <c r="L38" s="47"/>
      <c r="M38" s="47"/>
      <c r="N38" s="10"/>
      <c r="O38" s="47"/>
      <c r="P38" s="47"/>
      <c r="Q38" s="47"/>
      <c r="R38" s="48" t="str">
        <f aca="false">IF(Q38="","",IF(Q38=0,"below 5:00",IF(Q38&gt;=66,"16:00 or above",INT((60+2*Q38)/12)&amp;":"&amp;TEXT(MOD(60+2*Q38,12),"00"))))</f>
        <v/>
      </c>
      <c r="S38" s="47"/>
      <c r="T38" s="47"/>
      <c r="U38" s="47"/>
      <c r="V38" s="47"/>
      <c r="W38" s="47"/>
      <c r="X38" s="47"/>
      <c r="Y38" s="47"/>
      <c r="Z38" s="47"/>
      <c r="AA38" s="47"/>
      <c r="AB38" s="47"/>
      <c r="AC38" s="47"/>
      <c r="AD38" s="47"/>
      <c r="AE38" s="47"/>
      <c r="AF38" s="47"/>
      <c r="AG38" s="47"/>
      <c r="AH38" s="47"/>
      <c r="AI38" s="46"/>
      <c r="AJ38" s="46"/>
      <c r="AK38" s="46"/>
      <c r="AL38" s="7"/>
      <c r="AM38" s="49" t="str">
        <f aca="false">IF(OR(C38="",G38=""),"",IFERROR(DATEDIF(C38,G38,"m"),""))</f>
        <v/>
      </c>
      <c r="AN38" s="49" t="str">
        <f aca="false">IF(OR(Q38="",AM38=""),"",60+2*Q38-AM38)</f>
        <v/>
      </c>
      <c r="AO38" s="49" t="str">
        <f aca="false">IF(OR(G38="",AJ38=""),"",AJ38-G38)</f>
        <v/>
      </c>
      <c r="AP38" s="50" t="str">
        <f aca="false">IF(AND(A38="",B38=""),"",IF(J38="","Status needed",IF(OR(J38="Applied",J38="Visit booked",J38="Withdrawn"),"OK",IF(G38="","Date assessed needed",IF(C38="","Date of birth needed",IF(COUNTA(L38,M38,P38,U38,V38,X38,AB38)&lt;7,"Band missing",IF(AND(OR(J38="Decision confirmed",J38="Family told",J38="Enrolled"),AG38=""),"Recommendation needed",IF(AND(OR(J38="Family told",J38="Enrolled"),AJ38=""),"Date family told needed","OK"))))))))</f>
        <v/>
      </c>
    </row>
    <row r="39" customFormat="false" ht="15" hidden="false" customHeight="false" outlineLevel="0" collapsed="false">
      <c r="A39" s="7"/>
      <c r="B39" s="7"/>
      <c r="C39" s="46"/>
      <c r="D39" s="7"/>
      <c r="E39" s="47"/>
      <c r="F39" s="46"/>
      <c r="G39" s="46"/>
      <c r="H39" s="7"/>
      <c r="I39" s="7"/>
      <c r="J39" s="47"/>
      <c r="K39" s="47"/>
      <c r="L39" s="47"/>
      <c r="M39" s="47"/>
      <c r="N39" s="10"/>
      <c r="O39" s="47"/>
      <c r="P39" s="47"/>
      <c r="Q39" s="47"/>
      <c r="R39" s="48" t="str">
        <f aca="false">IF(Q39="","",IF(Q39=0,"below 5:00",IF(Q39&gt;=66,"16:00 or above",INT((60+2*Q39)/12)&amp;":"&amp;TEXT(MOD(60+2*Q39,12),"00"))))</f>
        <v/>
      </c>
      <c r="S39" s="47"/>
      <c r="T39" s="47"/>
      <c r="U39" s="47"/>
      <c r="V39" s="47"/>
      <c r="W39" s="47"/>
      <c r="X39" s="47"/>
      <c r="Y39" s="47"/>
      <c r="Z39" s="47"/>
      <c r="AA39" s="47"/>
      <c r="AB39" s="47"/>
      <c r="AC39" s="47"/>
      <c r="AD39" s="47"/>
      <c r="AE39" s="47"/>
      <c r="AF39" s="47"/>
      <c r="AG39" s="47"/>
      <c r="AH39" s="47"/>
      <c r="AI39" s="46"/>
      <c r="AJ39" s="46"/>
      <c r="AK39" s="46"/>
      <c r="AL39" s="7"/>
      <c r="AM39" s="49" t="str">
        <f aca="false">IF(OR(C39="",G39=""),"",IFERROR(DATEDIF(C39,G39,"m"),""))</f>
        <v/>
      </c>
      <c r="AN39" s="49" t="str">
        <f aca="false">IF(OR(Q39="",AM39=""),"",60+2*Q39-AM39)</f>
        <v/>
      </c>
      <c r="AO39" s="49" t="str">
        <f aca="false">IF(OR(G39="",AJ39=""),"",AJ39-G39)</f>
        <v/>
      </c>
      <c r="AP39" s="50" t="str">
        <f aca="false">IF(AND(A39="",B39=""),"",IF(J39="","Status needed",IF(OR(J39="Applied",J39="Visit booked",J39="Withdrawn"),"OK",IF(G39="","Date assessed needed",IF(C39="","Date of birth needed",IF(COUNTA(L39,M39,P39,U39,V39,X39,AB39)&lt;7,"Band missing",IF(AND(OR(J39="Decision confirmed",J39="Family told",J39="Enrolled"),AG39=""),"Recommendation needed",IF(AND(OR(J39="Family told",J39="Enrolled"),AJ39=""),"Date family told needed","OK"))))))))</f>
        <v/>
      </c>
    </row>
    <row r="40" customFormat="false" ht="15" hidden="false" customHeight="false" outlineLevel="0" collapsed="false">
      <c r="A40" s="7"/>
      <c r="B40" s="7"/>
      <c r="C40" s="46"/>
      <c r="D40" s="7"/>
      <c r="E40" s="47"/>
      <c r="F40" s="46"/>
      <c r="G40" s="46"/>
      <c r="H40" s="7"/>
      <c r="I40" s="7"/>
      <c r="J40" s="47"/>
      <c r="K40" s="47"/>
      <c r="L40" s="47"/>
      <c r="M40" s="47"/>
      <c r="N40" s="10"/>
      <c r="O40" s="47"/>
      <c r="P40" s="47"/>
      <c r="Q40" s="47"/>
      <c r="R40" s="48" t="str">
        <f aca="false">IF(Q40="","",IF(Q40=0,"below 5:00",IF(Q40&gt;=66,"16:00 or above",INT((60+2*Q40)/12)&amp;":"&amp;TEXT(MOD(60+2*Q40,12),"00"))))</f>
        <v/>
      </c>
      <c r="S40" s="47"/>
      <c r="T40" s="47"/>
      <c r="U40" s="47"/>
      <c r="V40" s="47"/>
      <c r="W40" s="47"/>
      <c r="X40" s="47"/>
      <c r="Y40" s="47"/>
      <c r="Z40" s="47"/>
      <c r="AA40" s="47"/>
      <c r="AB40" s="47"/>
      <c r="AC40" s="47"/>
      <c r="AD40" s="47"/>
      <c r="AE40" s="47"/>
      <c r="AF40" s="47"/>
      <c r="AG40" s="47"/>
      <c r="AH40" s="47"/>
      <c r="AI40" s="46"/>
      <c r="AJ40" s="46"/>
      <c r="AK40" s="46"/>
      <c r="AL40" s="7"/>
      <c r="AM40" s="49" t="str">
        <f aca="false">IF(OR(C40="",G40=""),"",IFERROR(DATEDIF(C40,G40,"m"),""))</f>
        <v/>
      </c>
      <c r="AN40" s="49" t="str">
        <f aca="false">IF(OR(Q40="",AM40=""),"",60+2*Q40-AM40)</f>
        <v/>
      </c>
      <c r="AO40" s="49" t="str">
        <f aca="false">IF(OR(G40="",AJ40=""),"",AJ40-G40)</f>
        <v/>
      </c>
      <c r="AP40" s="50" t="str">
        <f aca="false">IF(AND(A40="",B40=""),"",IF(J40="","Status needed",IF(OR(J40="Applied",J40="Visit booked",J40="Withdrawn"),"OK",IF(G40="","Date assessed needed",IF(C40="","Date of birth needed",IF(COUNTA(L40,M40,P40,U40,V40,X40,AB40)&lt;7,"Band missing",IF(AND(OR(J40="Decision confirmed",J40="Family told",J40="Enrolled"),AG40=""),"Recommendation needed",IF(AND(OR(J40="Family told",J40="Enrolled"),AJ40=""),"Date family told needed","OK"))))))))</f>
        <v/>
      </c>
    </row>
    <row r="41" customFormat="false" ht="15" hidden="false" customHeight="false" outlineLevel="0" collapsed="false">
      <c r="A41" s="7"/>
      <c r="B41" s="7"/>
      <c r="C41" s="46"/>
      <c r="D41" s="7"/>
      <c r="E41" s="47"/>
      <c r="F41" s="46"/>
      <c r="G41" s="46"/>
      <c r="H41" s="7"/>
      <c r="I41" s="7"/>
      <c r="J41" s="47"/>
      <c r="K41" s="47"/>
      <c r="L41" s="47"/>
      <c r="M41" s="47"/>
      <c r="N41" s="10"/>
      <c r="O41" s="47"/>
      <c r="P41" s="47"/>
      <c r="Q41" s="47"/>
      <c r="R41" s="48" t="str">
        <f aca="false">IF(Q41="","",IF(Q41=0,"below 5:00",IF(Q41&gt;=66,"16:00 or above",INT((60+2*Q41)/12)&amp;":"&amp;TEXT(MOD(60+2*Q41,12),"00"))))</f>
        <v/>
      </c>
      <c r="S41" s="47"/>
      <c r="T41" s="47"/>
      <c r="U41" s="47"/>
      <c r="V41" s="47"/>
      <c r="W41" s="47"/>
      <c r="X41" s="47"/>
      <c r="Y41" s="47"/>
      <c r="Z41" s="47"/>
      <c r="AA41" s="47"/>
      <c r="AB41" s="47"/>
      <c r="AC41" s="47"/>
      <c r="AD41" s="47"/>
      <c r="AE41" s="47"/>
      <c r="AF41" s="47"/>
      <c r="AG41" s="47"/>
      <c r="AH41" s="47"/>
      <c r="AI41" s="46"/>
      <c r="AJ41" s="46"/>
      <c r="AK41" s="46"/>
      <c r="AL41" s="7"/>
      <c r="AM41" s="49" t="str">
        <f aca="false">IF(OR(C41="",G41=""),"",IFERROR(DATEDIF(C41,G41,"m"),""))</f>
        <v/>
      </c>
      <c r="AN41" s="49" t="str">
        <f aca="false">IF(OR(Q41="",AM41=""),"",60+2*Q41-AM41)</f>
        <v/>
      </c>
      <c r="AO41" s="49" t="str">
        <f aca="false">IF(OR(G41="",AJ41=""),"",AJ41-G41)</f>
        <v/>
      </c>
      <c r="AP41" s="50" t="str">
        <f aca="false">IF(AND(A41="",B41=""),"",IF(J41="","Status needed",IF(OR(J41="Applied",J41="Visit booked",J41="Withdrawn"),"OK",IF(G41="","Date assessed needed",IF(C41="","Date of birth needed",IF(COUNTA(L41,M41,P41,U41,V41,X41,AB41)&lt;7,"Band missing",IF(AND(OR(J41="Decision confirmed",J41="Family told",J41="Enrolled"),AG41=""),"Recommendation needed",IF(AND(OR(J41="Family told",J41="Enrolled"),AJ41=""),"Date family told needed","OK"))))))))</f>
        <v/>
      </c>
    </row>
    <row r="42" customFormat="false" ht="15" hidden="false" customHeight="false" outlineLevel="0" collapsed="false">
      <c r="A42" s="7"/>
      <c r="B42" s="7"/>
      <c r="C42" s="46"/>
      <c r="D42" s="7"/>
      <c r="E42" s="47"/>
      <c r="F42" s="46"/>
      <c r="G42" s="46"/>
      <c r="H42" s="7"/>
      <c r="I42" s="7"/>
      <c r="J42" s="47"/>
      <c r="K42" s="47"/>
      <c r="L42" s="47"/>
      <c r="M42" s="47"/>
      <c r="N42" s="10"/>
      <c r="O42" s="47"/>
      <c r="P42" s="47"/>
      <c r="Q42" s="47"/>
      <c r="R42" s="48" t="str">
        <f aca="false">IF(Q42="","",IF(Q42=0,"below 5:00",IF(Q42&gt;=66,"16:00 or above",INT((60+2*Q42)/12)&amp;":"&amp;TEXT(MOD(60+2*Q42,12),"00"))))</f>
        <v/>
      </c>
      <c r="S42" s="47"/>
      <c r="T42" s="47"/>
      <c r="U42" s="47"/>
      <c r="V42" s="47"/>
      <c r="W42" s="47"/>
      <c r="X42" s="47"/>
      <c r="Y42" s="47"/>
      <c r="Z42" s="47"/>
      <c r="AA42" s="47"/>
      <c r="AB42" s="47"/>
      <c r="AC42" s="47"/>
      <c r="AD42" s="47"/>
      <c r="AE42" s="47"/>
      <c r="AF42" s="47"/>
      <c r="AG42" s="47"/>
      <c r="AH42" s="47"/>
      <c r="AI42" s="46"/>
      <c r="AJ42" s="46"/>
      <c r="AK42" s="46"/>
      <c r="AL42" s="7"/>
      <c r="AM42" s="49" t="str">
        <f aca="false">IF(OR(C42="",G42=""),"",IFERROR(DATEDIF(C42,G42,"m"),""))</f>
        <v/>
      </c>
      <c r="AN42" s="49" t="str">
        <f aca="false">IF(OR(Q42="",AM42=""),"",60+2*Q42-AM42)</f>
        <v/>
      </c>
      <c r="AO42" s="49" t="str">
        <f aca="false">IF(OR(G42="",AJ42=""),"",AJ42-G42)</f>
        <v/>
      </c>
      <c r="AP42" s="50" t="str">
        <f aca="false">IF(AND(A42="",B42=""),"",IF(J42="","Status needed",IF(OR(J42="Applied",J42="Visit booked",J42="Withdrawn"),"OK",IF(G42="","Date assessed needed",IF(C42="","Date of birth needed",IF(COUNTA(L42,M42,P42,U42,V42,X42,AB42)&lt;7,"Band missing",IF(AND(OR(J42="Decision confirmed",J42="Family told",J42="Enrolled"),AG42=""),"Recommendation needed",IF(AND(OR(J42="Family told",J42="Enrolled"),AJ42=""),"Date family told needed","OK"))))))))</f>
        <v/>
      </c>
    </row>
    <row r="43" customFormat="false" ht="15" hidden="false" customHeight="false" outlineLevel="0" collapsed="false">
      <c r="A43" s="7"/>
      <c r="B43" s="7"/>
      <c r="C43" s="46"/>
      <c r="D43" s="7"/>
      <c r="E43" s="47"/>
      <c r="F43" s="46"/>
      <c r="G43" s="46"/>
      <c r="H43" s="7"/>
      <c r="I43" s="7"/>
      <c r="J43" s="47"/>
      <c r="K43" s="47"/>
      <c r="L43" s="47"/>
      <c r="M43" s="47"/>
      <c r="N43" s="10"/>
      <c r="O43" s="47"/>
      <c r="P43" s="47"/>
      <c r="Q43" s="47"/>
      <c r="R43" s="48" t="str">
        <f aca="false">IF(Q43="","",IF(Q43=0,"below 5:00",IF(Q43&gt;=66,"16:00 or above",INT((60+2*Q43)/12)&amp;":"&amp;TEXT(MOD(60+2*Q43,12),"00"))))</f>
        <v/>
      </c>
      <c r="S43" s="47"/>
      <c r="T43" s="47"/>
      <c r="U43" s="47"/>
      <c r="V43" s="47"/>
      <c r="W43" s="47"/>
      <c r="X43" s="47"/>
      <c r="Y43" s="47"/>
      <c r="Z43" s="47"/>
      <c r="AA43" s="47"/>
      <c r="AB43" s="47"/>
      <c r="AC43" s="47"/>
      <c r="AD43" s="47"/>
      <c r="AE43" s="47"/>
      <c r="AF43" s="47"/>
      <c r="AG43" s="47"/>
      <c r="AH43" s="47"/>
      <c r="AI43" s="46"/>
      <c r="AJ43" s="46"/>
      <c r="AK43" s="46"/>
      <c r="AL43" s="7"/>
      <c r="AM43" s="49" t="str">
        <f aca="false">IF(OR(C43="",G43=""),"",IFERROR(DATEDIF(C43,G43,"m"),""))</f>
        <v/>
      </c>
      <c r="AN43" s="49" t="str">
        <f aca="false">IF(OR(Q43="",AM43=""),"",60+2*Q43-AM43)</f>
        <v/>
      </c>
      <c r="AO43" s="49" t="str">
        <f aca="false">IF(OR(G43="",AJ43=""),"",AJ43-G43)</f>
        <v/>
      </c>
      <c r="AP43" s="50" t="str">
        <f aca="false">IF(AND(A43="",B43=""),"",IF(J43="","Status needed",IF(OR(J43="Applied",J43="Visit booked",J43="Withdrawn"),"OK",IF(G43="","Date assessed needed",IF(C43="","Date of birth needed",IF(COUNTA(L43,M43,P43,U43,V43,X43,AB43)&lt;7,"Band missing",IF(AND(OR(J43="Decision confirmed",J43="Family told",J43="Enrolled"),AG43=""),"Recommendation needed",IF(AND(OR(J43="Family told",J43="Enrolled"),AJ43=""),"Date family told needed","OK"))))))))</f>
        <v/>
      </c>
    </row>
    <row r="44" customFormat="false" ht="15" hidden="false" customHeight="false" outlineLevel="0" collapsed="false">
      <c r="A44" s="7"/>
      <c r="B44" s="7"/>
      <c r="C44" s="46"/>
      <c r="D44" s="7"/>
      <c r="E44" s="47"/>
      <c r="F44" s="46"/>
      <c r="G44" s="46"/>
      <c r="H44" s="7"/>
      <c r="I44" s="7"/>
      <c r="J44" s="47"/>
      <c r="K44" s="47"/>
      <c r="L44" s="47"/>
      <c r="M44" s="47"/>
      <c r="N44" s="10"/>
      <c r="O44" s="47"/>
      <c r="P44" s="47"/>
      <c r="Q44" s="47"/>
      <c r="R44" s="48" t="str">
        <f aca="false">IF(Q44="","",IF(Q44=0,"below 5:00",IF(Q44&gt;=66,"16:00 or above",INT((60+2*Q44)/12)&amp;":"&amp;TEXT(MOD(60+2*Q44,12),"00"))))</f>
        <v/>
      </c>
      <c r="S44" s="47"/>
      <c r="T44" s="47"/>
      <c r="U44" s="47"/>
      <c r="V44" s="47"/>
      <c r="W44" s="47"/>
      <c r="X44" s="47"/>
      <c r="Y44" s="47"/>
      <c r="Z44" s="47"/>
      <c r="AA44" s="47"/>
      <c r="AB44" s="47"/>
      <c r="AC44" s="47"/>
      <c r="AD44" s="47"/>
      <c r="AE44" s="47"/>
      <c r="AF44" s="47"/>
      <c r="AG44" s="47"/>
      <c r="AH44" s="47"/>
      <c r="AI44" s="46"/>
      <c r="AJ44" s="46"/>
      <c r="AK44" s="46"/>
      <c r="AL44" s="7"/>
      <c r="AM44" s="49" t="str">
        <f aca="false">IF(OR(C44="",G44=""),"",IFERROR(DATEDIF(C44,G44,"m"),""))</f>
        <v/>
      </c>
      <c r="AN44" s="49" t="str">
        <f aca="false">IF(OR(Q44="",AM44=""),"",60+2*Q44-AM44)</f>
        <v/>
      </c>
      <c r="AO44" s="49" t="str">
        <f aca="false">IF(OR(G44="",AJ44=""),"",AJ44-G44)</f>
        <v/>
      </c>
      <c r="AP44" s="50" t="str">
        <f aca="false">IF(AND(A44="",B44=""),"",IF(J44="","Status needed",IF(OR(J44="Applied",J44="Visit booked",J44="Withdrawn"),"OK",IF(G44="","Date assessed needed",IF(C44="","Date of birth needed",IF(COUNTA(L44,M44,P44,U44,V44,X44,AB44)&lt;7,"Band missing",IF(AND(OR(J44="Decision confirmed",J44="Family told",J44="Enrolled"),AG44=""),"Recommendation needed",IF(AND(OR(J44="Family told",J44="Enrolled"),AJ44=""),"Date family told needed","OK"))))))))</f>
        <v/>
      </c>
    </row>
    <row r="45" customFormat="false" ht="15" hidden="false" customHeight="false" outlineLevel="0" collapsed="false">
      <c r="A45" s="7"/>
      <c r="B45" s="7"/>
      <c r="C45" s="46"/>
      <c r="D45" s="7"/>
      <c r="E45" s="47"/>
      <c r="F45" s="46"/>
      <c r="G45" s="46"/>
      <c r="H45" s="7"/>
      <c r="I45" s="7"/>
      <c r="J45" s="47"/>
      <c r="K45" s="47"/>
      <c r="L45" s="47"/>
      <c r="M45" s="47"/>
      <c r="N45" s="10"/>
      <c r="O45" s="47"/>
      <c r="P45" s="47"/>
      <c r="Q45" s="47"/>
      <c r="R45" s="48" t="str">
        <f aca="false">IF(Q45="","",IF(Q45=0,"below 5:00",IF(Q45&gt;=66,"16:00 or above",INT((60+2*Q45)/12)&amp;":"&amp;TEXT(MOD(60+2*Q45,12),"00"))))</f>
        <v/>
      </c>
      <c r="S45" s="47"/>
      <c r="T45" s="47"/>
      <c r="U45" s="47"/>
      <c r="V45" s="47"/>
      <c r="W45" s="47"/>
      <c r="X45" s="47"/>
      <c r="Y45" s="47"/>
      <c r="Z45" s="47"/>
      <c r="AA45" s="47"/>
      <c r="AB45" s="47"/>
      <c r="AC45" s="47"/>
      <c r="AD45" s="47"/>
      <c r="AE45" s="47"/>
      <c r="AF45" s="47"/>
      <c r="AG45" s="47"/>
      <c r="AH45" s="47"/>
      <c r="AI45" s="46"/>
      <c r="AJ45" s="46"/>
      <c r="AK45" s="46"/>
      <c r="AL45" s="7"/>
      <c r="AM45" s="49" t="str">
        <f aca="false">IF(OR(C45="",G45=""),"",IFERROR(DATEDIF(C45,G45,"m"),""))</f>
        <v/>
      </c>
      <c r="AN45" s="49" t="str">
        <f aca="false">IF(OR(Q45="",AM45=""),"",60+2*Q45-AM45)</f>
        <v/>
      </c>
      <c r="AO45" s="49" t="str">
        <f aca="false">IF(OR(G45="",AJ45=""),"",AJ45-G45)</f>
        <v/>
      </c>
      <c r="AP45" s="50" t="str">
        <f aca="false">IF(AND(A45="",B45=""),"",IF(J45="","Status needed",IF(OR(J45="Applied",J45="Visit booked",J45="Withdrawn"),"OK",IF(G45="","Date assessed needed",IF(C45="","Date of birth needed",IF(COUNTA(L45,M45,P45,U45,V45,X45,AB45)&lt;7,"Band missing",IF(AND(OR(J45="Decision confirmed",J45="Family told",J45="Enrolled"),AG45=""),"Recommendation needed",IF(AND(OR(J45="Family told",J45="Enrolled"),AJ45=""),"Date family told needed","OK"))))))))</f>
        <v/>
      </c>
    </row>
    <row r="46" customFormat="false" ht="15" hidden="false" customHeight="false" outlineLevel="0" collapsed="false">
      <c r="A46" s="7"/>
      <c r="B46" s="7"/>
      <c r="C46" s="46"/>
      <c r="D46" s="7"/>
      <c r="E46" s="47"/>
      <c r="F46" s="46"/>
      <c r="G46" s="46"/>
      <c r="H46" s="7"/>
      <c r="I46" s="7"/>
      <c r="J46" s="47"/>
      <c r="K46" s="47"/>
      <c r="L46" s="47"/>
      <c r="M46" s="47"/>
      <c r="N46" s="10"/>
      <c r="O46" s="47"/>
      <c r="P46" s="47"/>
      <c r="Q46" s="47"/>
      <c r="R46" s="48" t="str">
        <f aca="false">IF(Q46="","",IF(Q46=0,"below 5:00",IF(Q46&gt;=66,"16:00 or above",INT((60+2*Q46)/12)&amp;":"&amp;TEXT(MOD(60+2*Q46,12),"00"))))</f>
        <v/>
      </c>
      <c r="S46" s="47"/>
      <c r="T46" s="47"/>
      <c r="U46" s="47"/>
      <c r="V46" s="47"/>
      <c r="W46" s="47"/>
      <c r="X46" s="47"/>
      <c r="Y46" s="47"/>
      <c r="Z46" s="47"/>
      <c r="AA46" s="47"/>
      <c r="AB46" s="47"/>
      <c r="AC46" s="47"/>
      <c r="AD46" s="47"/>
      <c r="AE46" s="47"/>
      <c r="AF46" s="47"/>
      <c r="AG46" s="47"/>
      <c r="AH46" s="47"/>
      <c r="AI46" s="46"/>
      <c r="AJ46" s="46"/>
      <c r="AK46" s="46"/>
      <c r="AL46" s="7"/>
      <c r="AM46" s="49" t="str">
        <f aca="false">IF(OR(C46="",G46=""),"",IFERROR(DATEDIF(C46,G46,"m"),""))</f>
        <v/>
      </c>
      <c r="AN46" s="49" t="str">
        <f aca="false">IF(OR(Q46="",AM46=""),"",60+2*Q46-AM46)</f>
        <v/>
      </c>
      <c r="AO46" s="49" t="str">
        <f aca="false">IF(OR(G46="",AJ46=""),"",AJ46-G46)</f>
        <v/>
      </c>
      <c r="AP46" s="50" t="str">
        <f aca="false">IF(AND(A46="",B46=""),"",IF(J46="","Status needed",IF(OR(J46="Applied",J46="Visit booked",J46="Withdrawn"),"OK",IF(G46="","Date assessed needed",IF(C46="","Date of birth needed",IF(COUNTA(L46,M46,P46,U46,V46,X46,AB46)&lt;7,"Band missing",IF(AND(OR(J46="Decision confirmed",J46="Family told",J46="Enrolled"),AG46=""),"Recommendation needed",IF(AND(OR(J46="Family told",J46="Enrolled"),AJ46=""),"Date family told needed","OK"))))))))</f>
        <v/>
      </c>
    </row>
    <row r="47" customFormat="false" ht="15" hidden="false" customHeight="false" outlineLevel="0" collapsed="false">
      <c r="A47" s="7"/>
      <c r="B47" s="7"/>
      <c r="C47" s="46"/>
      <c r="D47" s="7"/>
      <c r="E47" s="47"/>
      <c r="F47" s="46"/>
      <c r="G47" s="46"/>
      <c r="H47" s="7"/>
      <c r="I47" s="7"/>
      <c r="J47" s="47"/>
      <c r="K47" s="47"/>
      <c r="L47" s="47"/>
      <c r="M47" s="47"/>
      <c r="N47" s="10"/>
      <c r="O47" s="47"/>
      <c r="P47" s="47"/>
      <c r="Q47" s="47"/>
      <c r="R47" s="48" t="str">
        <f aca="false">IF(Q47="","",IF(Q47=0,"below 5:00",IF(Q47&gt;=66,"16:00 or above",INT((60+2*Q47)/12)&amp;":"&amp;TEXT(MOD(60+2*Q47,12),"00"))))</f>
        <v/>
      </c>
      <c r="S47" s="47"/>
      <c r="T47" s="47"/>
      <c r="U47" s="47"/>
      <c r="V47" s="47"/>
      <c r="W47" s="47"/>
      <c r="X47" s="47"/>
      <c r="Y47" s="47"/>
      <c r="Z47" s="47"/>
      <c r="AA47" s="47"/>
      <c r="AB47" s="47"/>
      <c r="AC47" s="47"/>
      <c r="AD47" s="47"/>
      <c r="AE47" s="47"/>
      <c r="AF47" s="47"/>
      <c r="AG47" s="47"/>
      <c r="AH47" s="47"/>
      <c r="AI47" s="46"/>
      <c r="AJ47" s="46"/>
      <c r="AK47" s="46"/>
      <c r="AL47" s="7"/>
      <c r="AM47" s="49" t="str">
        <f aca="false">IF(OR(C47="",G47=""),"",IFERROR(DATEDIF(C47,G47,"m"),""))</f>
        <v/>
      </c>
      <c r="AN47" s="49" t="str">
        <f aca="false">IF(OR(Q47="",AM47=""),"",60+2*Q47-AM47)</f>
        <v/>
      </c>
      <c r="AO47" s="49" t="str">
        <f aca="false">IF(OR(G47="",AJ47=""),"",AJ47-G47)</f>
        <v/>
      </c>
      <c r="AP47" s="50" t="str">
        <f aca="false">IF(AND(A47="",B47=""),"",IF(J47="","Status needed",IF(OR(J47="Applied",J47="Visit booked",J47="Withdrawn"),"OK",IF(G47="","Date assessed needed",IF(C47="","Date of birth needed",IF(COUNTA(L47,M47,P47,U47,V47,X47,AB47)&lt;7,"Band missing",IF(AND(OR(J47="Decision confirmed",J47="Family told",J47="Enrolled"),AG47=""),"Recommendation needed",IF(AND(OR(J47="Family told",J47="Enrolled"),AJ47=""),"Date family told needed","OK"))))))))</f>
        <v/>
      </c>
    </row>
    <row r="48" customFormat="false" ht="15" hidden="false" customHeight="false" outlineLevel="0" collapsed="false">
      <c r="A48" s="7"/>
      <c r="B48" s="7"/>
      <c r="C48" s="46"/>
      <c r="D48" s="7"/>
      <c r="E48" s="47"/>
      <c r="F48" s="46"/>
      <c r="G48" s="46"/>
      <c r="H48" s="7"/>
      <c r="I48" s="7"/>
      <c r="J48" s="47"/>
      <c r="K48" s="47"/>
      <c r="L48" s="47"/>
      <c r="M48" s="47"/>
      <c r="N48" s="10"/>
      <c r="O48" s="47"/>
      <c r="P48" s="47"/>
      <c r="Q48" s="47"/>
      <c r="R48" s="48" t="str">
        <f aca="false">IF(Q48="","",IF(Q48=0,"below 5:00",IF(Q48&gt;=66,"16:00 or above",INT((60+2*Q48)/12)&amp;":"&amp;TEXT(MOD(60+2*Q48,12),"00"))))</f>
        <v/>
      </c>
      <c r="S48" s="47"/>
      <c r="T48" s="47"/>
      <c r="U48" s="47"/>
      <c r="V48" s="47"/>
      <c r="W48" s="47"/>
      <c r="X48" s="47"/>
      <c r="Y48" s="47"/>
      <c r="Z48" s="47"/>
      <c r="AA48" s="47"/>
      <c r="AB48" s="47"/>
      <c r="AC48" s="47"/>
      <c r="AD48" s="47"/>
      <c r="AE48" s="47"/>
      <c r="AF48" s="47"/>
      <c r="AG48" s="47"/>
      <c r="AH48" s="47"/>
      <c r="AI48" s="46"/>
      <c r="AJ48" s="46"/>
      <c r="AK48" s="46"/>
      <c r="AL48" s="7"/>
      <c r="AM48" s="49" t="str">
        <f aca="false">IF(OR(C48="",G48=""),"",IFERROR(DATEDIF(C48,G48,"m"),""))</f>
        <v/>
      </c>
      <c r="AN48" s="49" t="str">
        <f aca="false">IF(OR(Q48="",AM48=""),"",60+2*Q48-AM48)</f>
        <v/>
      </c>
      <c r="AO48" s="49" t="str">
        <f aca="false">IF(OR(G48="",AJ48=""),"",AJ48-G48)</f>
        <v/>
      </c>
      <c r="AP48" s="50" t="str">
        <f aca="false">IF(AND(A48="",B48=""),"",IF(J48="","Status needed",IF(OR(J48="Applied",J48="Visit booked",J48="Withdrawn"),"OK",IF(G48="","Date assessed needed",IF(C48="","Date of birth needed",IF(COUNTA(L48,M48,P48,U48,V48,X48,AB48)&lt;7,"Band missing",IF(AND(OR(J48="Decision confirmed",J48="Family told",J48="Enrolled"),AG48=""),"Recommendation needed",IF(AND(OR(J48="Family told",J48="Enrolled"),AJ48=""),"Date family told needed","OK"))))))))</f>
        <v/>
      </c>
    </row>
    <row r="49" customFormat="false" ht="15" hidden="false" customHeight="false" outlineLevel="0" collapsed="false">
      <c r="A49" s="7"/>
      <c r="B49" s="7"/>
      <c r="C49" s="46"/>
      <c r="D49" s="7"/>
      <c r="E49" s="47"/>
      <c r="F49" s="46"/>
      <c r="G49" s="46"/>
      <c r="H49" s="7"/>
      <c r="I49" s="7"/>
      <c r="J49" s="47"/>
      <c r="K49" s="47"/>
      <c r="L49" s="47"/>
      <c r="M49" s="47"/>
      <c r="N49" s="10"/>
      <c r="O49" s="47"/>
      <c r="P49" s="47"/>
      <c r="Q49" s="47"/>
      <c r="R49" s="48" t="str">
        <f aca="false">IF(Q49="","",IF(Q49=0,"below 5:00",IF(Q49&gt;=66,"16:00 or above",INT((60+2*Q49)/12)&amp;":"&amp;TEXT(MOD(60+2*Q49,12),"00"))))</f>
        <v/>
      </c>
      <c r="S49" s="47"/>
      <c r="T49" s="47"/>
      <c r="U49" s="47"/>
      <c r="V49" s="47"/>
      <c r="W49" s="47"/>
      <c r="X49" s="47"/>
      <c r="Y49" s="47"/>
      <c r="Z49" s="47"/>
      <c r="AA49" s="47"/>
      <c r="AB49" s="47"/>
      <c r="AC49" s="47"/>
      <c r="AD49" s="47"/>
      <c r="AE49" s="47"/>
      <c r="AF49" s="47"/>
      <c r="AG49" s="47"/>
      <c r="AH49" s="47"/>
      <c r="AI49" s="46"/>
      <c r="AJ49" s="46"/>
      <c r="AK49" s="46"/>
      <c r="AL49" s="7"/>
      <c r="AM49" s="49" t="str">
        <f aca="false">IF(OR(C49="",G49=""),"",IFERROR(DATEDIF(C49,G49,"m"),""))</f>
        <v/>
      </c>
      <c r="AN49" s="49" t="str">
        <f aca="false">IF(OR(Q49="",AM49=""),"",60+2*Q49-AM49)</f>
        <v/>
      </c>
      <c r="AO49" s="49" t="str">
        <f aca="false">IF(OR(G49="",AJ49=""),"",AJ49-G49)</f>
        <v/>
      </c>
      <c r="AP49" s="50" t="str">
        <f aca="false">IF(AND(A49="",B49=""),"",IF(J49="","Status needed",IF(OR(J49="Applied",J49="Visit booked",J49="Withdrawn"),"OK",IF(G49="","Date assessed needed",IF(C49="","Date of birth needed",IF(COUNTA(L49,M49,P49,U49,V49,X49,AB49)&lt;7,"Band missing",IF(AND(OR(J49="Decision confirmed",J49="Family told",J49="Enrolled"),AG49=""),"Recommendation needed",IF(AND(OR(J49="Family told",J49="Enrolled"),AJ49=""),"Date family told needed","OK"))))))))</f>
        <v/>
      </c>
    </row>
    <row r="50" customFormat="false" ht="15" hidden="false" customHeight="false" outlineLevel="0" collapsed="false">
      <c r="A50" s="7"/>
      <c r="B50" s="7"/>
      <c r="C50" s="46"/>
      <c r="D50" s="7"/>
      <c r="E50" s="47"/>
      <c r="F50" s="46"/>
      <c r="G50" s="46"/>
      <c r="H50" s="7"/>
      <c r="I50" s="7"/>
      <c r="J50" s="47"/>
      <c r="K50" s="47"/>
      <c r="L50" s="47"/>
      <c r="M50" s="47"/>
      <c r="N50" s="10"/>
      <c r="O50" s="47"/>
      <c r="P50" s="47"/>
      <c r="Q50" s="47"/>
      <c r="R50" s="48" t="str">
        <f aca="false">IF(Q50="","",IF(Q50=0,"below 5:00",IF(Q50&gt;=66,"16:00 or above",INT((60+2*Q50)/12)&amp;":"&amp;TEXT(MOD(60+2*Q50,12),"00"))))</f>
        <v/>
      </c>
      <c r="S50" s="47"/>
      <c r="T50" s="47"/>
      <c r="U50" s="47"/>
      <c r="V50" s="47"/>
      <c r="W50" s="47"/>
      <c r="X50" s="47"/>
      <c r="Y50" s="47"/>
      <c r="Z50" s="47"/>
      <c r="AA50" s="47"/>
      <c r="AB50" s="47"/>
      <c r="AC50" s="47"/>
      <c r="AD50" s="47"/>
      <c r="AE50" s="47"/>
      <c r="AF50" s="47"/>
      <c r="AG50" s="47"/>
      <c r="AH50" s="47"/>
      <c r="AI50" s="46"/>
      <c r="AJ50" s="46"/>
      <c r="AK50" s="46"/>
      <c r="AL50" s="7"/>
      <c r="AM50" s="49" t="str">
        <f aca="false">IF(OR(C50="",G50=""),"",IFERROR(DATEDIF(C50,G50,"m"),""))</f>
        <v/>
      </c>
      <c r="AN50" s="49" t="str">
        <f aca="false">IF(OR(Q50="",AM50=""),"",60+2*Q50-AM50)</f>
        <v/>
      </c>
      <c r="AO50" s="49" t="str">
        <f aca="false">IF(OR(G50="",AJ50=""),"",AJ50-G50)</f>
        <v/>
      </c>
      <c r="AP50" s="50" t="str">
        <f aca="false">IF(AND(A50="",B50=""),"",IF(J50="","Status needed",IF(OR(J50="Applied",J50="Visit booked",J50="Withdrawn"),"OK",IF(G50="","Date assessed needed",IF(C50="","Date of birth needed",IF(COUNTA(L50,M50,P50,U50,V50,X50,AB50)&lt;7,"Band missing",IF(AND(OR(J50="Decision confirmed",J50="Family told",J50="Enrolled"),AG50=""),"Recommendation needed",IF(AND(OR(J50="Family told",J50="Enrolled"),AJ50=""),"Date family told needed","OK"))))))))</f>
        <v/>
      </c>
    </row>
    <row r="51" customFormat="false" ht="15" hidden="false" customHeight="false" outlineLevel="0" collapsed="false">
      <c r="A51" s="7"/>
      <c r="B51" s="7"/>
      <c r="C51" s="46"/>
      <c r="D51" s="7"/>
      <c r="E51" s="47"/>
      <c r="F51" s="46"/>
      <c r="G51" s="46"/>
      <c r="H51" s="7"/>
      <c r="I51" s="7"/>
      <c r="J51" s="47"/>
      <c r="K51" s="47"/>
      <c r="L51" s="47"/>
      <c r="M51" s="47"/>
      <c r="N51" s="10"/>
      <c r="O51" s="47"/>
      <c r="P51" s="47"/>
      <c r="Q51" s="47"/>
      <c r="R51" s="48" t="str">
        <f aca="false">IF(Q51="","",IF(Q51=0,"below 5:00",IF(Q51&gt;=66,"16:00 or above",INT((60+2*Q51)/12)&amp;":"&amp;TEXT(MOD(60+2*Q51,12),"00"))))</f>
        <v/>
      </c>
      <c r="S51" s="47"/>
      <c r="T51" s="47"/>
      <c r="U51" s="47"/>
      <c r="V51" s="47"/>
      <c r="W51" s="47"/>
      <c r="X51" s="47"/>
      <c r="Y51" s="47"/>
      <c r="Z51" s="47"/>
      <c r="AA51" s="47"/>
      <c r="AB51" s="47"/>
      <c r="AC51" s="47"/>
      <c r="AD51" s="47"/>
      <c r="AE51" s="47"/>
      <c r="AF51" s="47"/>
      <c r="AG51" s="47"/>
      <c r="AH51" s="47"/>
      <c r="AI51" s="46"/>
      <c r="AJ51" s="46"/>
      <c r="AK51" s="46"/>
      <c r="AL51" s="7"/>
      <c r="AM51" s="49" t="str">
        <f aca="false">IF(OR(C51="",G51=""),"",IFERROR(DATEDIF(C51,G51,"m"),""))</f>
        <v/>
      </c>
      <c r="AN51" s="49" t="str">
        <f aca="false">IF(OR(Q51="",AM51=""),"",60+2*Q51-AM51)</f>
        <v/>
      </c>
      <c r="AO51" s="49" t="str">
        <f aca="false">IF(OR(G51="",AJ51=""),"",AJ51-G51)</f>
        <v/>
      </c>
      <c r="AP51" s="50" t="str">
        <f aca="false">IF(AND(A51="",B51=""),"",IF(J51="","Status needed",IF(OR(J51="Applied",J51="Visit booked",J51="Withdrawn"),"OK",IF(G51="","Date assessed needed",IF(C51="","Date of birth needed",IF(COUNTA(L51,M51,P51,U51,V51,X51,AB51)&lt;7,"Band missing",IF(AND(OR(J51="Decision confirmed",J51="Family told",J51="Enrolled"),AG51=""),"Recommendation needed",IF(AND(OR(J51="Family told",J51="Enrolled"),AJ51=""),"Date family told needed","OK"))))))))</f>
        <v/>
      </c>
    </row>
    <row r="52" customFormat="false" ht="15" hidden="false" customHeight="false" outlineLevel="0" collapsed="false">
      <c r="A52" s="7"/>
      <c r="B52" s="7"/>
      <c r="C52" s="46"/>
      <c r="D52" s="7"/>
      <c r="E52" s="47"/>
      <c r="F52" s="46"/>
      <c r="G52" s="46"/>
      <c r="H52" s="7"/>
      <c r="I52" s="7"/>
      <c r="J52" s="47"/>
      <c r="K52" s="47"/>
      <c r="L52" s="47"/>
      <c r="M52" s="47"/>
      <c r="N52" s="10"/>
      <c r="O52" s="47"/>
      <c r="P52" s="47"/>
      <c r="Q52" s="47"/>
      <c r="R52" s="48" t="str">
        <f aca="false">IF(Q52="","",IF(Q52=0,"below 5:00",IF(Q52&gt;=66,"16:00 or above",INT((60+2*Q52)/12)&amp;":"&amp;TEXT(MOD(60+2*Q52,12),"00"))))</f>
        <v/>
      </c>
      <c r="S52" s="47"/>
      <c r="T52" s="47"/>
      <c r="U52" s="47"/>
      <c r="V52" s="47"/>
      <c r="W52" s="47"/>
      <c r="X52" s="47"/>
      <c r="Y52" s="47"/>
      <c r="Z52" s="47"/>
      <c r="AA52" s="47"/>
      <c r="AB52" s="47"/>
      <c r="AC52" s="47"/>
      <c r="AD52" s="47"/>
      <c r="AE52" s="47"/>
      <c r="AF52" s="47"/>
      <c r="AG52" s="47"/>
      <c r="AH52" s="47"/>
      <c r="AI52" s="46"/>
      <c r="AJ52" s="46"/>
      <c r="AK52" s="46"/>
      <c r="AL52" s="7"/>
      <c r="AM52" s="49" t="str">
        <f aca="false">IF(OR(C52="",G52=""),"",IFERROR(DATEDIF(C52,G52,"m"),""))</f>
        <v/>
      </c>
      <c r="AN52" s="49" t="str">
        <f aca="false">IF(OR(Q52="",AM52=""),"",60+2*Q52-AM52)</f>
        <v/>
      </c>
      <c r="AO52" s="49" t="str">
        <f aca="false">IF(OR(G52="",AJ52=""),"",AJ52-G52)</f>
        <v/>
      </c>
      <c r="AP52" s="50" t="str">
        <f aca="false">IF(AND(A52="",B52=""),"",IF(J52="","Status needed",IF(OR(J52="Applied",J52="Visit booked",J52="Withdrawn"),"OK",IF(G52="","Date assessed needed",IF(C52="","Date of birth needed",IF(COUNTA(L52,M52,P52,U52,V52,X52,AB52)&lt;7,"Band missing",IF(AND(OR(J52="Decision confirmed",J52="Family told",J52="Enrolled"),AG52=""),"Recommendation needed",IF(AND(OR(J52="Family told",J52="Enrolled"),AJ52=""),"Date family told needed","OK"))))))))</f>
        <v/>
      </c>
    </row>
    <row r="53" customFormat="false" ht="15" hidden="false" customHeight="false" outlineLevel="0" collapsed="false">
      <c r="A53" s="7"/>
      <c r="B53" s="7"/>
      <c r="C53" s="46"/>
      <c r="D53" s="7"/>
      <c r="E53" s="47"/>
      <c r="F53" s="46"/>
      <c r="G53" s="46"/>
      <c r="H53" s="7"/>
      <c r="I53" s="7"/>
      <c r="J53" s="47"/>
      <c r="K53" s="47"/>
      <c r="L53" s="47"/>
      <c r="M53" s="47"/>
      <c r="N53" s="10"/>
      <c r="O53" s="47"/>
      <c r="P53" s="47"/>
      <c r="Q53" s="47"/>
      <c r="R53" s="48" t="str">
        <f aca="false">IF(Q53="","",IF(Q53=0,"below 5:00",IF(Q53&gt;=66,"16:00 or above",INT((60+2*Q53)/12)&amp;":"&amp;TEXT(MOD(60+2*Q53,12),"00"))))</f>
        <v/>
      </c>
      <c r="S53" s="47"/>
      <c r="T53" s="47"/>
      <c r="U53" s="47"/>
      <c r="V53" s="47"/>
      <c r="W53" s="47"/>
      <c r="X53" s="47"/>
      <c r="Y53" s="47"/>
      <c r="Z53" s="47"/>
      <c r="AA53" s="47"/>
      <c r="AB53" s="47"/>
      <c r="AC53" s="47"/>
      <c r="AD53" s="47"/>
      <c r="AE53" s="47"/>
      <c r="AF53" s="47"/>
      <c r="AG53" s="47"/>
      <c r="AH53" s="47"/>
      <c r="AI53" s="46"/>
      <c r="AJ53" s="46"/>
      <c r="AK53" s="46"/>
      <c r="AL53" s="7"/>
      <c r="AM53" s="49" t="str">
        <f aca="false">IF(OR(C53="",G53=""),"",IFERROR(DATEDIF(C53,G53,"m"),""))</f>
        <v/>
      </c>
      <c r="AN53" s="49" t="str">
        <f aca="false">IF(OR(Q53="",AM53=""),"",60+2*Q53-AM53)</f>
        <v/>
      </c>
      <c r="AO53" s="49" t="str">
        <f aca="false">IF(OR(G53="",AJ53=""),"",AJ53-G53)</f>
        <v/>
      </c>
      <c r="AP53" s="50" t="str">
        <f aca="false">IF(AND(A53="",B53=""),"",IF(J53="","Status needed",IF(OR(J53="Applied",J53="Visit booked",J53="Withdrawn"),"OK",IF(G53="","Date assessed needed",IF(C53="","Date of birth needed",IF(COUNTA(L53,M53,P53,U53,V53,X53,AB53)&lt;7,"Band missing",IF(AND(OR(J53="Decision confirmed",J53="Family told",J53="Enrolled"),AG53=""),"Recommendation needed",IF(AND(OR(J53="Family told",J53="Enrolled"),AJ53=""),"Date family told needed","OK"))))))))</f>
        <v/>
      </c>
    </row>
    <row r="54" customFormat="false" ht="15" hidden="false" customHeight="false" outlineLevel="0" collapsed="false">
      <c r="A54" s="7"/>
      <c r="B54" s="7"/>
      <c r="C54" s="46"/>
      <c r="D54" s="7"/>
      <c r="E54" s="47"/>
      <c r="F54" s="46"/>
      <c r="G54" s="46"/>
      <c r="H54" s="7"/>
      <c r="I54" s="7"/>
      <c r="J54" s="47"/>
      <c r="K54" s="47"/>
      <c r="L54" s="47"/>
      <c r="M54" s="47"/>
      <c r="N54" s="10"/>
      <c r="O54" s="47"/>
      <c r="P54" s="47"/>
      <c r="Q54" s="47"/>
      <c r="R54" s="48" t="str">
        <f aca="false">IF(Q54="","",IF(Q54=0,"below 5:00",IF(Q54&gt;=66,"16:00 or above",INT((60+2*Q54)/12)&amp;":"&amp;TEXT(MOD(60+2*Q54,12),"00"))))</f>
        <v/>
      </c>
      <c r="S54" s="47"/>
      <c r="T54" s="47"/>
      <c r="U54" s="47"/>
      <c r="V54" s="47"/>
      <c r="W54" s="47"/>
      <c r="X54" s="47"/>
      <c r="Y54" s="47"/>
      <c r="Z54" s="47"/>
      <c r="AA54" s="47"/>
      <c r="AB54" s="47"/>
      <c r="AC54" s="47"/>
      <c r="AD54" s="47"/>
      <c r="AE54" s="47"/>
      <c r="AF54" s="47"/>
      <c r="AG54" s="47"/>
      <c r="AH54" s="47"/>
      <c r="AI54" s="46"/>
      <c r="AJ54" s="46"/>
      <c r="AK54" s="46"/>
      <c r="AL54" s="7"/>
      <c r="AM54" s="49" t="str">
        <f aca="false">IF(OR(C54="",G54=""),"",IFERROR(DATEDIF(C54,G54,"m"),""))</f>
        <v/>
      </c>
      <c r="AN54" s="49" t="str">
        <f aca="false">IF(OR(Q54="",AM54=""),"",60+2*Q54-AM54)</f>
        <v/>
      </c>
      <c r="AO54" s="49" t="str">
        <f aca="false">IF(OR(G54="",AJ54=""),"",AJ54-G54)</f>
        <v/>
      </c>
      <c r="AP54" s="50" t="str">
        <f aca="false">IF(AND(A54="",B54=""),"",IF(J54="","Status needed",IF(OR(J54="Applied",J54="Visit booked",J54="Withdrawn"),"OK",IF(G54="","Date assessed needed",IF(C54="","Date of birth needed",IF(COUNTA(L54,M54,P54,U54,V54,X54,AB54)&lt;7,"Band missing",IF(AND(OR(J54="Decision confirmed",J54="Family told",J54="Enrolled"),AG54=""),"Recommendation needed",IF(AND(OR(J54="Family told",J54="Enrolled"),AJ54=""),"Date family told needed","OK"))))))))</f>
        <v/>
      </c>
    </row>
    <row r="55" customFormat="false" ht="15" hidden="false" customHeight="false" outlineLevel="0" collapsed="false">
      <c r="A55" s="7"/>
      <c r="B55" s="7"/>
      <c r="C55" s="46"/>
      <c r="D55" s="7"/>
      <c r="E55" s="47"/>
      <c r="F55" s="46"/>
      <c r="G55" s="46"/>
      <c r="H55" s="7"/>
      <c r="I55" s="7"/>
      <c r="J55" s="47"/>
      <c r="K55" s="47"/>
      <c r="L55" s="47"/>
      <c r="M55" s="47"/>
      <c r="N55" s="10"/>
      <c r="O55" s="47"/>
      <c r="P55" s="47"/>
      <c r="Q55" s="47"/>
      <c r="R55" s="48" t="str">
        <f aca="false">IF(Q55="","",IF(Q55=0,"below 5:00",IF(Q55&gt;=66,"16:00 or above",INT((60+2*Q55)/12)&amp;":"&amp;TEXT(MOD(60+2*Q55,12),"00"))))</f>
        <v/>
      </c>
      <c r="S55" s="47"/>
      <c r="T55" s="47"/>
      <c r="U55" s="47"/>
      <c r="V55" s="47"/>
      <c r="W55" s="47"/>
      <c r="X55" s="47"/>
      <c r="Y55" s="47"/>
      <c r="Z55" s="47"/>
      <c r="AA55" s="47"/>
      <c r="AB55" s="47"/>
      <c r="AC55" s="47"/>
      <c r="AD55" s="47"/>
      <c r="AE55" s="47"/>
      <c r="AF55" s="47"/>
      <c r="AG55" s="47"/>
      <c r="AH55" s="47"/>
      <c r="AI55" s="46"/>
      <c r="AJ55" s="46"/>
      <c r="AK55" s="46"/>
      <c r="AL55" s="7"/>
      <c r="AM55" s="49" t="str">
        <f aca="false">IF(OR(C55="",G55=""),"",IFERROR(DATEDIF(C55,G55,"m"),""))</f>
        <v/>
      </c>
      <c r="AN55" s="49" t="str">
        <f aca="false">IF(OR(Q55="",AM55=""),"",60+2*Q55-AM55)</f>
        <v/>
      </c>
      <c r="AO55" s="49" t="str">
        <f aca="false">IF(OR(G55="",AJ55=""),"",AJ55-G55)</f>
        <v/>
      </c>
      <c r="AP55" s="50" t="str">
        <f aca="false">IF(AND(A55="",B55=""),"",IF(J55="","Status needed",IF(OR(J55="Applied",J55="Visit booked",J55="Withdrawn"),"OK",IF(G55="","Date assessed needed",IF(C55="","Date of birth needed",IF(COUNTA(L55,M55,P55,U55,V55,X55,AB55)&lt;7,"Band missing",IF(AND(OR(J55="Decision confirmed",J55="Family told",J55="Enrolled"),AG55=""),"Recommendation needed",IF(AND(OR(J55="Family told",J55="Enrolled"),AJ55=""),"Date family told needed","OK"))))))))</f>
        <v/>
      </c>
    </row>
    <row r="56" customFormat="false" ht="15" hidden="false" customHeight="false" outlineLevel="0" collapsed="false">
      <c r="A56" s="7"/>
      <c r="B56" s="7"/>
      <c r="C56" s="46"/>
      <c r="D56" s="7"/>
      <c r="E56" s="47"/>
      <c r="F56" s="46"/>
      <c r="G56" s="46"/>
      <c r="H56" s="7"/>
      <c r="I56" s="7"/>
      <c r="J56" s="47"/>
      <c r="K56" s="47"/>
      <c r="L56" s="47"/>
      <c r="M56" s="47"/>
      <c r="N56" s="10"/>
      <c r="O56" s="47"/>
      <c r="P56" s="47"/>
      <c r="Q56" s="47"/>
      <c r="R56" s="48" t="str">
        <f aca="false">IF(Q56="","",IF(Q56=0,"below 5:00",IF(Q56&gt;=66,"16:00 or above",INT((60+2*Q56)/12)&amp;":"&amp;TEXT(MOD(60+2*Q56,12),"00"))))</f>
        <v/>
      </c>
      <c r="S56" s="47"/>
      <c r="T56" s="47"/>
      <c r="U56" s="47"/>
      <c r="V56" s="47"/>
      <c r="W56" s="47"/>
      <c r="X56" s="47"/>
      <c r="Y56" s="47"/>
      <c r="Z56" s="47"/>
      <c r="AA56" s="47"/>
      <c r="AB56" s="47"/>
      <c r="AC56" s="47"/>
      <c r="AD56" s="47"/>
      <c r="AE56" s="47"/>
      <c r="AF56" s="47"/>
      <c r="AG56" s="47"/>
      <c r="AH56" s="47"/>
      <c r="AI56" s="46"/>
      <c r="AJ56" s="46"/>
      <c r="AK56" s="46"/>
      <c r="AL56" s="7"/>
      <c r="AM56" s="49" t="str">
        <f aca="false">IF(OR(C56="",G56=""),"",IFERROR(DATEDIF(C56,G56,"m"),""))</f>
        <v/>
      </c>
      <c r="AN56" s="49" t="str">
        <f aca="false">IF(OR(Q56="",AM56=""),"",60+2*Q56-AM56)</f>
        <v/>
      </c>
      <c r="AO56" s="49" t="str">
        <f aca="false">IF(OR(G56="",AJ56=""),"",AJ56-G56)</f>
        <v/>
      </c>
      <c r="AP56" s="50" t="str">
        <f aca="false">IF(AND(A56="",B56=""),"",IF(J56="","Status needed",IF(OR(J56="Applied",J56="Visit booked",J56="Withdrawn"),"OK",IF(G56="","Date assessed needed",IF(C56="","Date of birth needed",IF(COUNTA(L56,M56,P56,U56,V56,X56,AB56)&lt;7,"Band missing",IF(AND(OR(J56="Decision confirmed",J56="Family told",J56="Enrolled"),AG56=""),"Recommendation needed",IF(AND(OR(J56="Family told",J56="Enrolled"),AJ56=""),"Date family told needed","OK"))))))))</f>
        <v/>
      </c>
    </row>
    <row r="57" customFormat="false" ht="15" hidden="false" customHeight="false" outlineLevel="0" collapsed="false">
      <c r="A57" s="7"/>
      <c r="B57" s="7"/>
      <c r="C57" s="46"/>
      <c r="D57" s="7"/>
      <c r="E57" s="47"/>
      <c r="F57" s="46"/>
      <c r="G57" s="46"/>
      <c r="H57" s="7"/>
      <c r="I57" s="7"/>
      <c r="J57" s="47"/>
      <c r="K57" s="47"/>
      <c r="L57" s="47"/>
      <c r="M57" s="47"/>
      <c r="N57" s="10"/>
      <c r="O57" s="47"/>
      <c r="P57" s="47"/>
      <c r="Q57" s="47"/>
      <c r="R57" s="48" t="str">
        <f aca="false">IF(Q57="","",IF(Q57=0,"below 5:00",IF(Q57&gt;=66,"16:00 or above",INT((60+2*Q57)/12)&amp;":"&amp;TEXT(MOD(60+2*Q57,12),"00"))))</f>
        <v/>
      </c>
      <c r="S57" s="47"/>
      <c r="T57" s="47"/>
      <c r="U57" s="47"/>
      <c r="V57" s="47"/>
      <c r="W57" s="47"/>
      <c r="X57" s="47"/>
      <c r="Y57" s="47"/>
      <c r="Z57" s="47"/>
      <c r="AA57" s="47"/>
      <c r="AB57" s="47"/>
      <c r="AC57" s="47"/>
      <c r="AD57" s="47"/>
      <c r="AE57" s="47"/>
      <c r="AF57" s="47"/>
      <c r="AG57" s="47"/>
      <c r="AH57" s="47"/>
      <c r="AI57" s="46"/>
      <c r="AJ57" s="46"/>
      <c r="AK57" s="46"/>
      <c r="AL57" s="7"/>
      <c r="AM57" s="49" t="str">
        <f aca="false">IF(OR(C57="",G57=""),"",IFERROR(DATEDIF(C57,G57,"m"),""))</f>
        <v/>
      </c>
      <c r="AN57" s="49" t="str">
        <f aca="false">IF(OR(Q57="",AM57=""),"",60+2*Q57-AM57)</f>
        <v/>
      </c>
      <c r="AO57" s="49" t="str">
        <f aca="false">IF(OR(G57="",AJ57=""),"",AJ57-G57)</f>
        <v/>
      </c>
      <c r="AP57" s="50" t="str">
        <f aca="false">IF(AND(A57="",B57=""),"",IF(J57="","Status needed",IF(OR(J57="Applied",J57="Visit booked",J57="Withdrawn"),"OK",IF(G57="","Date assessed needed",IF(C57="","Date of birth needed",IF(COUNTA(L57,M57,P57,U57,V57,X57,AB57)&lt;7,"Band missing",IF(AND(OR(J57="Decision confirmed",J57="Family told",J57="Enrolled"),AG57=""),"Recommendation needed",IF(AND(OR(J57="Family told",J57="Enrolled"),AJ57=""),"Date family told needed","OK"))))))))</f>
        <v/>
      </c>
    </row>
    <row r="58" customFormat="false" ht="15" hidden="false" customHeight="false" outlineLevel="0" collapsed="false">
      <c r="A58" s="7"/>
      <c r="B58" s="7"/>
      <c r="C58" s="46"/>
      <c r="D58" s="7"/>
      <c r="E58" s="47"/>
      <c r="F58" s="46"/>
      <c r="G58" s="46"/>
      <c r="H58" s="7"/>
      <c r="I58" s="7"/>
      <c r="J58" s="47"/>
      <c r="K58" s="47"/>
      <c r="L58" s="47"/>
      <c r="M58" s="47"/>
      <c r="N58" s="10"/>
      <c r="O58" s="47"/>
      <c r="P58" s="47"/>
      <c r="Q58" s="47"/>
      <c r="R58" s="48" t="str">
        <f aca="false">IF(Q58="","",IF(Q58=0,"below 5:00",IF(Q58&gt;=66,"16:00 or above",INT((60+2*Q58)/12)&amp;":"&amp;TEXT(MOD(60+2*Q58,12),"00"))))</f>
        <v/>
      </c>
      <c r="S58" s="47"/>
      <c r="T58" s="47"/>
      <c r="U58" s="47"/>
      <c r="V58" s="47"/>
      <c r="W58" s="47"/>
      <c r="X58" s="47"/>
      <c r="Y58" s="47"/>
      <c r="Z58" s="47"/>
      <c r="AA58" s="47"/>
      <c r="AB58" s="47"/>
      <c r="AC58" s="47"/>
      <c r="AD58" s="47"/>
      <c r="AE58" s="47"/>
      <c r="AF58" s="47"/>
      <c r="AG58" s="47"/>
      <c r="AH58" s="47"/>
      <c r="AI58" s="46"/>
      <c r="AJ58" s="46"/>
      <c r="AK58" s="46"/>
      <c r="AL58" s="7"/>
      <c r="AM58" s="49" t="str">
        <f aca="false">IF(OR(C58="",G58=""),"",IFERROR(DATEDIF(C58,G58,"m"),""))</f>
        <v/>
      </c>
      <c r="AN58" s="49" t="str">
        <f aca="false">IF(OR(Q58="",AM58=""),"",60+2*Q58-AM58)</f>
        <v/>
      </c>
      <c r="AO58" s="49" t="str">
        <f aca="false">IF(OR(G58="",AJ58=""),"",AJ58-G58)</f>
        <v/>
      </c>
      <c r="AP58" s="50" t="str">
        <f aca="false">IF(AND(A58="",B58=""),"",IF(J58="","Status needed",IF(OR(J58="Applied",J58="Visit booked",J58="Withdrawn"),"OK",IF(G58="","Date assessed needed",IF(C58="","Date of birth needed",IF(COUNTA(L58,M58,P58,U58,V58,X58,AB58)&lt;7,"Band missing",IF(AND(OR(J58="Decision confirmed",J58="Family told",J58="Enrolled"),AG58=""),"Recommendation needed",IF(AND(OR(J58="Family told",J58="Enrolled"),AJ58=""),"Date family told needed","OK"))))))))</f>
        <v/>
      </c>
    </row>
    <row r="59" customFormat="false" ht="15" hidden="false" customHeight="false" outlineLevel="0" collapsed="false">
      <c r="A59" s="7"/>
      <c r="B59" s="7"/>
      <c r="C59" s="46"/>
      <c r="D59" s="7"/>
      <c r="E59" s="47"/>
      <c r="F59" s="46"/>
      <c r="G59" s="46"/>
      <c r="H59" s="7"/>
      <c r="I59" s="7"/>
      <c r="J59" s="47"/>
      <c r="K59" s="47"/>
      <c r="L59" s="47"/>
      <c r="M59" s="47"/>
      <c r="N59" s="10"/>
      <c r="O59" s="47"/>
      <c r="P59" s="47"/>
      <c r="Q59" s="47"/>
      <c r="R59" s="48" t="str">
        <f aca="false">IF(Q59="","",IF(Q59=0,"below 5:00",IF(Q59&gt;=66,"16:00 or above",INT((60+2*Q59)/12)&amp;":"&amp;TEXT(MOD(60+2*Q59,12),"00"))))</f>
        <v/>
      </c>
      <c r="S59" s="47"/>
      <c r="T59" s="47"/>
      <c r="U59" s="47"/>
      <c r="V59" s="47"/>
      <c r="W59" s="47"/>
      <c r="X59" s="47"/>
      <c r="Y59" s="47"/>
      <c r="Z59" s="47"/>
      <c r="AA59" s="47"/>
      <c r="AB59" s="47"/>
      <c r="AC59" s="47"/>
      <c r="AD59" s="47"/>
      <c r="AE59" s="47"/>
      <c r="AF59" s="47"/>
      <c r="AG59" s="47"/>
      <c r="AH59" s="47"/>
      <c r="AI59" s="46"/>
      <c r="AJ59" s="46"/>
      <c r="AK59" s="46"/>
      <c r="AL59" s="7"/>
      <c r="AM59" s="49" t="str">
        <f aca="false">IF(OR(C59="",G59=""),"",IFERROR(DATEDIF(C59,G59,"m"),""))</f>
        <v/>
      </c>
      <c r="AN59" s="49" t="str">
        <f aca="false">IF(OR(Q59="",AM59=""),"",60+2*Q59-AM59)</f>
        <v/>
      </c>
      <c r="AO59" s="49" t="str">
        <f aca="false">IF(OR(G59="",AJ59=""),"",AJ59-G59)</f>
        <v/>
      </c>
      <c r="AP59" s="50" t="str">
        <f aca="false">IF(AND(A59="",B59=""),"",IF(J59="","Status needed",IF(OR(J59="Applied",J59="Visit booked",J59="Withdrawn"),"OK",IF(G59="","Date assessed needed",IF(C59="","Date of birth needed",IF(COUNTA(L59,M59,P59,U59,V59,X59,AB59)&lt;7,"Band missing",IF(AND(OR(J59="Decision confirmed",J59="Family told",J59="Enrolled"),AG59=""),"Recommendation needed",IF(AND(OR(J59="Family told",J59="Enrolled"),AJ59=""),"Date family told needed","OK"))))))))</f>
        <v/>
      </c>
    </row>
    <row r="60" customFormat="false" ht="15" hidden="false" customHeight="false" outlineLevel="0" collapsed="false">
      <c r="A60" s="7"/>
      <c r="B60" s="7"/>
      <c r="C60" s="46"/>
      <c r="D60" s="7"/>
      <c r="E60" s="47"/>
      <c r="F60" s="46"/>
      <c r="G60" s="46"/>
      <c r="H60" s="7"/>
      <c r="I60" s="7"/>
      <c r="J60" s="47"/>
      <c r="K60" s="47"/>
      <c r="L60" s="47"/>
      <c r="M60" s="47"/>
      <c r="N60" s="10"/>
      <c r="O60" s="47"/>
      <c r="P60" s="47"/>
      <c r="Q60" s="47"/>
      <c r="R60" s="48" t="str">
        <f aca="false">IF(Q60="","",IF(Q60=0,"below 5:00",IF(Q60&gt;=66,"16:00 or above",INT((60+2*Q60)/12)&amp;":"&amp;TEXT(MOD(60+2*Q60,12),"00"))))</f>
        <v/>
      </c>
      <c r="S60" s="47"/>
      <c r="T60" s="47"/>
      <c r="U60" s="47"/>
      <c r="V60" s="47"/>
      <c r="W60" s="47"/>
      <c r="X60" s="47"/>
      <c r="Y60" s="47"/>
      <c r="Z60" s="47"/>
      <c r="AA60" s="47"/>
      <c r="AB60" s="47"/>
      <c r="AC60" s="47"/>
      <c r="AD60" s="47"/>
      <c r="AE60" s="47"/>
      <c r="AF60" s="47"/>
      <c r="AG60" s="47"/>
      <c r="AH60" s="47"/>
      <c r="AI60" s="46"/>
      <c r="AJ60" s="46"/>
      <c r="AK60" s="46"/>
      <c r="AL60" s="7"/>
      <c r="AM60" s="49" t="str">
        <f aca="false">IF(OR(C60="",G60=""),"",IFERROR(DATEDIF(C60,G60,"m"),""))</f>
        <v/>
      </c>
      <c r="AN60" s="49" t="str">
        <f aca="false">IF(OR(Q60="",AM60=""),"",60+2*Q60-AM60)</f>
        <v/>
      </c>
      <c r="AO60" s="49" t="str">
        <f aca="false">IF(OR(G60="",AJ60=""),"",AJ60-G60)</f>
        <v/>
      </c>
      <c r="AP60" s="50" t="str">
        <f aca="false">IF(AND(A60="",B60=""),"",IF(J60="","Status needed",IF(OR(J60="Applied",J60="Visit booked",J60="Withdrawn"),"OK",IF(G60="","Date assessed needed",IF(C60="","Date of birth needed",IF(COUNTA(L60,M60,P60,U60,V60,X60,AB60)&lt;7,"Band missing",IF(AND(OR(J60="Decision confirmed",J60="Family told",J60="Enrolled"),AG60=""),"Recommendation needed",IF(AND(OR(J60="Family told",J60="Enrolled"),AJ60=""),"Date family told needed","OK"))))))))</f>
        <v/>
      </c>
    </row>
    <row r="61" customFormat="false" ht="15" hidden="false" customHeight="false" outlineLevel="0" collapsed="false">
      <c r="A61" s="7"/>
      <c r="B61" s="7"/>
      <c r="C61" s="46"/>
      <c r="D61" s="7"/>
      <c r="E61" s="47"/>
      <c r="F61" s="46"/>
      <c r="G61" s="46"/>
      <c r="H61" s="7"/>
      <c r="I61" s="7"/>
      <c r="J61" s="47"/>
      <c r="K61" s="47"/>
      <c r="L61" s="47"/>
      <c r="M61" s="47"/>
      <c r="N61" s="10"/>
      <c r="O61" s="47"/>
      <c r="P61" s="47"/>
      <c r="Q61" s="47"/>
      <c r="R61" s="48" t="str">
        <f aca="false">IF(Q61="","",IF(Q61=0,"below 5:00",IF(Q61&gt;=66,"16:00 or above",INT((60+2*Q61)/12)&amp;":"&amp;TEXT(MOD(60+2*Q61,12),"00"))))</f>
        <v/>
      </c>
      <c r="S61" s="47"/>
      <c r="T61" s="47"/>
      <c r="U61" s="47"/>
      <c r="V61" s="47"/>
      <c r="W61" s="47"/>
      <c r="X61" s="47"/>
      <c r="Y61" s="47"/>
      <c r="Z61" s="47"/>
      <c r="AA61" s="47"/>
      <c r="AB61" s="47"/>
      <c r="AC61" s="47"/>
      <c r="AD61" s="47"/>
      <c r="AE61" s="47"/>
      <c r="AF61" s="47"/>
      <c r="AG61" s="47"/>
      <c r="AH61" s="47"/>
      <c r="AI61" s="46"/>
      <c r="AJ61" s="46"/>
      <c r="AK61" s="46"/>
      <c r="AL61" s="7"/>
      <c r="AM61" s="49" t="str">
        <f aca="false">IF(OR(C61="",G61=""),"",IFERROR(DATEDIF(C61,G61,"m"),""))</f>
        <v/>
      </c>
      <c r="AN61" s="49" t="str">
        <f aca="false">IF(OR(Q61="",AM61=""),"",60+2*Q61-AM61)</f>
        <v/>
      </c>
      <c r="AO61" s="49" t="str">
        <f aca="false">IF(OR(G61="",AJ61=""),"",AJ61-G61)</f>
        <v/>
      </c>
      <c r="AP61" s="50" t="str">
        <f aca="false">IF(AND(A61="",B61=""),"",IF(J61="","Status needed",IF(OR(J61="Applied",J61="Visit booked",J61="Withdrawn"),"OK",IF(G61="","Date assessed needed",IF(C61="","Date of birth needed",IF(COUNTA(L61,M61,P61,U61,V61,X61,AB61)&lt;7,"Band missing",IF(AND(OR(J61="Decision confirmed",J61="Family told",J61="Enrolled"),AG61=""),"Recommendation needed",IF(AND(OR(J61="Family told",J61="Enrolled"),AJ61=""),"Date family told needed","OK"))))))))</f>
        <v/>
      </c>
    </row>
    <row r="62" customFormat="false" ht="15" hidden="false" customHeight="false" outlineLevel="0" collapsed="false">
      <c r="A62" s="7"/>
      <c r="B62" s="7"/>
      <c r="C62" s="46"/>
      <c r="D62" s="7"/>
      <c r="E62" s="47"/>
      <c r="F62" s="46"/>
      <c r="G62" s="46"/>
      <c r="H62" s="7"/>
      <c r="I62" s="7"/>
      <c r="J62" s="47"/>
      <c r="K62" s="47"/>
      <c r="L62" s="47"/>
      <c r="M62" s="47"/>
      <c r="N62" s="10"/>
      <c r="O62" s="47"/>
      <c r="P62" s="47"/>
      <c r="Q62" s="47"/>
      <c r="R62" s="48" t="str">
        <f aca="false">IF(Q62="","",IF(Q62=0,"below 5:00",IF(Q62&gt;=66,"16:00 or above",INT((60+2*Q62)/12)&amp;":"&amp;TEXT(MOD(60+2*Q62,12),"00"))))</f>
        <v/>
      </c>
      <c r="S62" s="47"/>
      <c r="T62" s="47"/>
      <c r="U62" s="47"/>
      <c r="V62" s="47"/>
      <c r="W62" s="47"/>
      <c r="X62" s="47"/>
      <c r="Y62" s="47"/>
      <c r="Z62" s="47"/>
      <c r="AA62" s="47"/>
      <c r="AB62" s="47"/>
      <c r="AC62" s="47"/>
      <c r="AD62" s="47"/>
      <c r="AE62" s="47"/>
      <c r="AF62" s="47"/>
      <c r="AG62" s="47"/>
      <c r="AH62" s="47"/>
      <c r="AI62" s="46"/>
      <c r="AJ62" s="46"/>
      <c r="AK62" s="46"/>
      <c r="AL62" s="7"/>
      <c r="AM62" s="49" t="str">
        <f aca="false">IF(OR(C62="",G62=""),"",IFERROR(DATEDIF(C62,G62,"m"),""))</f>
        <v/>
      </c>
      <c r="AN62" s="49" t="str">
        <f aca="false">IF(OR(Q62="",AM62=""),"",60+2*Q62-AM62)</f>
        <v/>
      </c>
      <c r="AO62" s="49" t="str">
        <f aca="false">IF(OR(G62="",AJ62=""),"",AJ62-G62)</f>
        <v/>
      </c>
      <c r="AP62" s="50" t="str">
        <f aca="false">IF(AND(A62="",B62=""),"",IF(J62="","Status needed",IF(OR(J62="Applied",J62="Visit booked",J62="Withdrawn"),"OK",IF(G62="","Date assessed needed",IF(C62="","Date of birth needed",IF(COUNTA(L62,M62,P62,U62,V62,X62,AB62)&lt;7,"Band missing",IF(AND(OR(J62="Decision confirmed",J62="Family told",J62="Enrolled"),AG62=""),"Recommendation needed",IF(AND(OR(J62="Family told",J62="Enrolled"),AJ62=""),"Date family told needed","OK"))))))))</f>
        <v/>
      </c>
    </row>
    <row r="63" customFormat="false" ht="15" hidden="false" customHeight="false" outlineLevel="0" collapsed="false">
      <c r="A63" s="7"/>
      <c r="B63" s="7"/>
      <c r="C63" s="46"/>
      <c r="D63" s="7"/>
      <c r="E63" s="47"/>
      <c r="F63" s="46"/>
      <c r="G63" s="46"/>
      <c r="H63" s="7"/>
      <c r="I63" s="7"/>
      <c r="J63" s="47"/>
      <c r="K63" s="47"/>
      <c r="L63" s="47"/>
      <c r="M63" s="47"/>
      <c r="N63" s="10"/>
      <c r="O63" s="47"/>
      <c r="P63" s="47"/>
      <c r="Q63" s="47"/>
      <c r="R63" s="48" t="str">
        <f aca="false">IF(Q63="","",IF(Q63=0,"below 5:00",IF(Q63&gt;=66,"16:00 or above",INT((60+2*Q63)/12)&amp;":"&amp;TEXT(MOD(60+2*Q63,12),"00"))))</f>
        <v/>
      </c>
      <c r="S63" s="47"/>
      <c r="T63" s="47"/>
      <c r="U63" s="47"/>
      <c r="V63" s="47"/>
      <c r="W63" s="47"/>
      <c r="X63" s="47"/>
      <c r="Y63" s="47"/>
      <c r="Z63" s="47"/>
      <c r="AA63" s="47"/>
      <c r="AB63" s="47"/>
      <c r="AC63" s="47"/>
      <c r="AD63" s="47"/>
      <c r="AE63" s="47"/>
      <c r="AF63" s="47"/>
      <c r="AG63" s="47"/>
      <c r="AH63" s="47"/>
      <c r="AI63" s="46"/>
      <c r="AJ63" s="46"/>
      <c r="AK63" s="46"/>
      <c r="AL63" s="7"/>
      <c r="AM63" s="49" t="str">
        <f aca="false">IF(OR(C63="",G63=""),"",IFERROR(DATEDIF(C63,G63,"m"),""))</f>
        <v/>
      </c>
      <c r="AN63" s="49" t="str">
        <f aca="false">IF(OR(Q63="",AM63=""),"",60+2*Q63-AM63)</f>
        <v/>
      </c>
      <c r="AO63" s="49" t="str">
        <f aca="false">IF(OR(G63="",AJ63=""),"",AJ63-G63)</f>
        <v/>
      </c>
      <c r="AP63" s="50" t="str">
        <f aca="false">IF(AND(A63="",B63=""),"",IF(J63="","Status needed",IF(OR(J63="Applied",J63="Visit booked",J63="Withdrawn"),"OK",IF(G63="","Date assessed needed",IF(C63="","Date of birth needed",IF(COUNTA(L63,M63,P63,U63,V63,X63,AB63)&lt;7,"Band missing",IF(AND(OR(J63="Decision confirmed",J63="Family told",J63="Enrolled"),AG63=""),"Recommendation needed",IF(AND(OR(J63="Family told",J63="Enrolled"),AJ63=""),"Date family told needed","OK"))))))))</f>
        <v/>
      </c>
    </row>
    <row r="64" customFormat="false" ht="15" hidden="false" customHeight="false" outlineLevel="0" collapsed="false">
      <c r="A64" s="7"/>
      <c r="B64" s="7"/>
      <c r="C64" s="46"/>
      <c r="D64" s="7"/>
      <c r="E64" s="47"/>
      <c r="F64" s="46"/>
      <c r="G64" s="46"/>
      <c r="H64" s="7"/>
      <c r="I64" s="7"/>
      <c r="J64" s="47"/>
      <c r="K64" s="47"/>
      <c r="L64" s="47"/>
      <c r="M64" s="47"/>
      <c r="N64" s="10"/>
      <c r="O64" s="47"/>
      <c r="P64" s="47"/>
      <c r="Q64" s="47"/>
      <c r="R64" s="48" t="str">
        <f aca="false">IF(Q64="","",IF(Q64=0,"below 5:00",IF(Q64&gt;=66,"16:00 or above",INT((60+2*Q64)/12)&amp;":"&amp;TEXT(MOD(60+2*Q64,12),"00"))))</f>
        <v/>
      </c>
      <c r="S64" s="47"/>
      <c r="T64" s="47"/>
      <c r="U64" s="47"/>
      <c r="V64" s="47"/>
      <c r="W64" s="47"/>
      <c r="X64" s="47"/>
      <c r="Y64" s="47"/>
      <c r="Z64" s="47"/>
      <c r="AA64" s="47"/>
      <c r="AB64" s="47"/>
      <c r="AC64" s="47"/>
      <c r="AD64" s="47"/>
      <c r="AE64" s="47"/>
      <c r="AF64" s="47"/>
      <c r="AG64" s="47"/>
      <c r="AH64" s="47"/>
      <c r="AI64" s="46"/>
      <c r="AJ64" s="46"/>
      <c r="AK64" s="46"/>
      <c r="AL64" s="7"/>
      <c r="AM64" s="49" t="str">
        <f aca="false">IF(OR(C64="",G64=""),"",IFERROR(DATEDIF(C64,G64,"m"),""))</f>
        <v/>
      </c>
      <c r="AN64" s="49" t="str">
        <f aca="false">IF(OR(Q64="",AM64=""),"",60+2*Q64-AM64)</f>
        <v/>
      </c>
      <c r="AO64" s="49" t="str">
        <f aca="false">IF(OR(G64="",AJ64=""),"",AJ64-G64)</f>
        <v/>
      </c>
      <c r="AP64" s="50" t="str">
        <f aca="false">IF(AND(A64="",B64=""),"",IF(J64="","Status needed",IF(OR(J64="Applied",J64="Visit booked",J64="Withdrawn"),"OK",IF(G64="","Date assessed needed",IF(C64="","Date of birth needed",IF(COUNTA(L64,M64,P64,U64,V64,X64,AB64)&lt;7,"Band missing",IF(AND(OR(J64="Decision confirmed",J64="Family told",J64="Enrolled"),AG64=""),"Recommendation needed",IF(AND(OR(J64="Family told",J64="Enrolled"),AJ64=""),"Date family told needed","OK"))))))))</f>
        <v/>
      </c>
    </row>
    <row r="65" customFormat="false" ht="15" hidden="false" customHeight="false" outlineLevel="0" collapsed="false">
      <c r="A65" s="7"/>
      <c r="B65" s="7"/>
      <c r="C65" s="46"/>
      <c r="D65" s="7"/>
      <c r="E65" s="47"/>
      <c r="F65" s="46"/>
      <c r="G65" s="46"/>
      <c r="H65" s="7"/>
      <c r="I65" s="7"/>
      <c r="J65" s="47"/>
      <c r="K65" s="47"/>
      <c r="L65" s="47"/>
      <c r="M65" s="47"/>
      <c r="N65" s="10"/>
      <c r="O65" s="47"/>
      <c r="P65" s="47"/>
      <c r="Q65" s="47"/>
      <c r="R65" s="48" t="str">
        <f aca="false">IF(Q65="","",IF(Q65=0,"below 5:00",IF(Q65&gt;=66,"16:00 or above",INT((60+2*Q65)/12)&amp;":"&amp;TEXT(MOD(60+2*Q65,12),"00"))))</f>
        <v/>
      </c>
      <c r="S65" s="47"/>
      <c r="T65" s="47"/>
      <c r="U65" s="47"/>
      <c r="V65" s="47"/>
      <c r="W65" s="47"/>
      <c r="X65" s="47"/>
      <c r="Y65" s="47"/>
      <c r="Z65" s="47"/>
      <c r="AA65" s="47"/>
      <c r="AB65" s="47"/>
      <c r="AC65" s="47"/>
      <c r="AD65" s="47"/>
      <c r="AE65" s="47"/>
      <c r="AF65" s="47"/>
      <c r="AG65" s="47"/>
      <c r="AH65" s="47"/>
      <c r="AI65" s="46"/>
      <c r="AJ65" s="46"/>
      <c r="AK65" s="46"/>
      <c r="AL65" s="7"/>
      <c r="AM65" s="49" t="str">
        <f aca="false">IF(OR(C65="",G65=""),"",IFERROR(DATEDIF(C65,G65,"m"),""))</f>
        <v/>
      </c>
      <c r="AN65" s="49" t="str">
        <f aca="false">IF(OR(Q65="",AM65=""),"",60+2*Q65-AM65)</f>
        <v/>
      </c>
      <c r="AO65" s="49" t="str">
        <f aca="false">IF(OR(G65="",AJ65=""),"",AJ65-G65)</f>
        <v/>
      </c>
      <c r="AP65" s="50" t="str">
        <f aca="false">IF(AND(A65="",B65=""),"",IF(J65="","Status needed",IF(OR(J65="Applied",J65="Visit booked",J65="Withdrawn"),"OK",IF(G65="","Date assessed needed",IF(C65="","Date of birth needed",IF(COUNTA(L65,M65,P65,U65,V65,X65,AB65)&lt;7,"Band missing",IF(AND(OR(J65="Decision confirmed",J65="Family told",J65="Enrolled"),AG65=""),"Recommendation needed",IF(AND(OR(J65="Family told",J65="Enrolled"),AJ65=""),"Date family told needed","OK"))))))))</f>
        <v/>
      </c>
    </row>
    <row r="66" customFormat="false" ht="15" hidden="false" customHeight="false" outlineLevel="0" collapsed="false">
      <c r="A66" s="7"/>
      <c r="B66" s="7"/>
      <c r="C66" s="46"/>
      <c r="D66" s="7"/>
      <c r="E66" s="47"/>
      <c r="F66" s="46"/>
      <c r="G66" s="46"/>
      <c r="H66" s="7"/>
      <c r="I66" s="7"/>
      <c r="J66" s="47"/>
      <c r="K66" s="47"/>
      <c r="L66" s="47"/>
      <c r="M66" s="47"/>
      <c r="N66" s="10"/>
      <c r="O66" s="47"/>
      <c r="P66" s="47"/>
      <c r="Q66" s="47"/>
      <c r="R66" s="48" t="str">
        <f aca="false">IF(Q66="","",IF(Q66=0,"below 5:00",IF(Q66&gt;=66,"16:00 or above",INT((60+2*Q66)/12)&amp;":"&amp;TEXT(MOD(60+2*Q66,12),"00"))))</f>
        <v/>
      </c>
      <c r="S66" s="47"/>
      <c r="T66" s="47"/>
      <c r="U66" s="47"/>
      <c r="V66" s="47"/>
      <c r="W66" s="47"/>
      <c r="X66" s="47"/>
      <c r="Y66" s="47"/>
      <c r="Z66" s="47"/>
      <c r="AA66" s="47"/>
      <c r="AB66" s="47"/>
      <c r="AC66" s="47"/>
      <c r="AD66" s="47"/>
      <c r="AE66" s="47"/>
      <c r="AF66" s="47"/>
      <c r="AG66" s="47"/>
      <c r="AH66" s="47"/>
      <c r="AI66" s="46"/>
      <c r="AJ66" s="46"/>
      <c r="AK66" s="46"/>
      <c r="AL66" s="7"/>
      <c r="AM66" s="49" t="str">
        <f aca="false">IF(OR(C66="",G66=""),"",IFERROR(DATEDIF(C66,G66,"m"),""))</f>
        <v/>
      </c>
      <c r="AN66" s="49" t="str">
        <f aca="false">IF(OR(Q66="",AM66=""),"",60+2*Q66-AM66)</f>
        <v/>
      </c>
      <c r="AO66" s="49" t="str">
        <f aca="false">IF(OR(G66="",AJ66=""),"",AJ66-G66)</f>
        <v/>
      </c>
      <c r="AP66" s="50" t="str">
        <f aca="false">IF(AND(A66="",B66=""),"",IF(J66="","Status needed",IF(OR(J66="Applied",J66="Visit booked",J66="Withdrawn"),"OK",IF(G66="","Date assessed needed",IF(C66="","Date of birth needed",IF(COUNTA(L66,M66,P66,U66,V66,X66,AB66)&lt;7,"Band missing",IF(AND(OR(J66="Decision confirmed",J66="Family told",J66="Enrolled"),AG66=""),"Recommendation needed",IF(AND(OR(J66="Family told",J66="Enrolled"),AJ66=""),"Date family told needed","OK"))))))))</f>
        <v/>
      </c>
    </row>
    <row r="67" customFormat="false" ht="15" hidden="false" customHeight="false" outlineLevel="0" collapsed="false">
      <c r="A67" s="7"/>
      <c r="B67" s="7"/>
      <c r="C67" s="46"/>
      <c r="D67" s="7"/>
      <c r="E67" s="47"/>
      <c r="F67" s="46"/>
      <c r="G67" s="46"/>
      <c r="H67" s="7"/>
      <c r="I67" s="7"/>
      <c r="J67" s="47"/>
      <c r="K67" s="47"/>
      <c r="L67" s="47"/>
      <c r="M67" s="47"/>
      <c r="N67" s="10"/>
      <c r="O67" s="47"/>
      <c r="P67" s="47"/>
      <c r="Q67" s="47"/>
      <c r="R67" s="48" t="str">
        <f aca="false">IF(Q67="","",IF(Q67=0,"below 5:00",IF(Q67&gt;=66,"16:00 or above",INT((60+2*Q67)/12)&amp;":"&amp;TEXT(MOD(60+2*Q67,12),"00"))))</f>
        <v/>
      </c>
      <c r="S67" s="47"/>
      <c r="T67" s="47"/>
      <c r="U67" s="47"/>
      <c r="V67" s="47"/>
      <c r="W67" s="47"/>
      <c r="X67" s="47"/>
      <c r="Y67" s="47"/>
      <c r="Z67" s="47"/>
      <c r="AA67" s="47"/>
      <c r="AB67" s="47"/>
      <c r="AC67" s="47"/>
      <c r="AD67" s="47"/>
      <c r="AE67" s="47"/>
      <c r="AF67" s="47"/>
      <c r="AG67" s="47"/>
      <c r="AH67" s="47"/>
      <c r="AI67" s="46"/>
      <c r="AJ67" s="46"/>
      <c r="AK67" s="46"/>
      <c r="AL67" s="7"/>
      <c r="AM67" s="49" t="str">
        <f aca="false">IF(OR(C67="",G67=""),"",IFERROR(DATEDIF(C67,G67,"m"),""))</f>
        <v/>
      </c>
      <c r="AN67" s="49" t="str">
        <f aca="false">IF(OR(Q67="",AM67=""),"",60+2*Q67-AM67)</f>
        <v/>
      </c>
      <c r="AO67" s="49" t="str">
        <f aca="false">IF(OR(G67="",AJ67=""),"",AJ67-G67)</f>
        <v/>
      </c>
      <c r="AP67" s="50" t="str">
        <f aca="false">IF(AND(A67="",B67=""),"",IF(J67="","Status needed",IF(OR(J67="Applied",J67="Visit booked",J67="Withdrawn"),"OK",IF(G67="","Date assessed needed",IF(C67="","Date of birth needed",IF(COUNTA(L67,M67,P67,U67,V67,X67,AB67)&lt;7,"Band missing",IF(AND(OR(J67="Decision confirmed",J67="Family told",J67="Enrolled"),AG67=""),"Recommendation needed",IF(AND(OR(J67="Family told",J67="Enrolled"),AJ67=""),"Date family told needed","OK"))))))))</f>
        <v/>
      </c>
    </row>
    <row r="68" customFormat="false" ht="15" hidden="false" customHeight="false" outlineLevel="0" collapsed="false">
      <c r="A68" s="7"/>
      <c r="B68" s="7"/>
      <c r="C68" s="46"/>
      <c r="D68" s="7"/>
      <c r="E68" s="47"/>
      <c r="F68" s="46"/>
      <c r="G68" s="46"/>
      <c r="H68" s="7"/>
      <c r="I68" s="7"/>
      <c r="J68" s="47"/>
      <c r="K68" s="47"/>
      <c r="L68" s="47"/>
      <c r="M68" s="47"/>
      <c r="N68" s="10"/>
      <c r="O68" s="47"/>
      <c r="P68" s="47"/>
      <c r="Q68" s="47"/>
      <c r="R68" s="48" t="str">
        <f aca="false">IF(Q68="","",IF(Q68=0,"below 5:00",IF(Q68&gt;=66,"16:00 or above",INT((60+2*Q68)/12)&amp;":"&amp;TEXT(MOD(60+2*Q68,12),"00"))))</f>
        <v/>
      </c>
      <c r="S68" s="47"/>
      <c r="T68" s="47"/>
      <c r="U68" s="47"/>
      <c r="V68" s="47"/>
      <c r="W68" s="47"/>
      <c r="X68" s="47"/>
      <c r="Y68" s="47"/>
      <c r="Z68" s="47"/>
      <c r="AA68" s="47"/>
      <c r="AB68" s="47"/>
      <c r="AC68" s="47"/>
      <c r="AD68" s="47"/>
      <c r="AE68" s="47"/>
      <c r="AF68" s="47"/>
      <c r="AG68" s="47"/>
      <c r="AH68" s="47"/>
      <c r="AI68" s="46"/>
      <c r="AJ68" s="46"/>
      <c r="AK68" s="46"/>
      <c r="AL68" s="7"/>
      <c r="AM68" s="49" t="str">
        <f aca="false">IF(OR(C68="",G68=""),"",IFERROR(DATEDIF(C68,G68,"m"),""))</f>
        <v/>
      </c>
      <c r="AN68" s="49" t="str">
        <f aca="false">IF(OR(Q68="",AM68=""),"",60+2*Q68-AM68)</f>
        <v/>
      </c>
      <c r="AO68" s="49" t="str">
        <f aca="false">IF(OR(G68="",AJ68=""),"",AJ68-G68)</f>
        <v/>
      </c>
      <c r="AP68" s="50" t="str">
        <f aca="false">IF(AND(A68="",B68=""),"",IF(J68="","Status needed",IF(OR(J68="Applied",J68="Visit booked",J68="Withdrawn"),"OK",IF(G68="","Date assessed needed",IF(C68="","Date of birth needed",IF(COUNTA(L68,M68,P68,U68,V68,X68,AB68)&lt;7,"Band missing",IF(AND(OR(J68="Decision confirmed",J68="Family told",J68="Enrolled"),AG68=""),"Recommendation needed",IF(AND(OR(J68="Family told",J68="Enrolled"),AJ68=""),"Date family told needed","OK"))))))))</f>
        <v/>
      </c>
    </row>
    <row r="69" customFormat="false" ht="15" hidden="false" customHeight="false" outlineLevel="0" collapsed="false">
      <c r="A69" s="7"/>
      <c r="B69" s="7"/>
      <c r="C69" s="46"/>
      <c r="D69" s="7"/>
      <c r="E69" s="47"/>
      <c r="F69" s="46"/>
      <c r="G69" s="46"/>
      <c r="H69" s="7"/>
      <c r="I69" s="7"/>
      <c r="J69" s="47"/>
      <c r="K69" s="47"/>
      <c r="L69" s="47"/>
      <c r="M69" s="47"/>
      <c r="N69" s="10"/>
      <c r="O69" s="47"/>
      <c r="P69" s="47"/>
      <c r="Q69" s="47"/>
      <c r="R69" s="48" t="str">
        <f aca="false">IF(Q69="","",IF(Q69=0,"below 5:00",IF(Q69&gt;=66,"16:00 or above",INT((60+2*Q69)/12)&amp;":"&amp;TEXT(MOD(60+2*Q69,12),"00"))))</f>
        <v/>
      </c>
      <c r="S69" s="47"/>
      <c r="T69" s="47"/>
      <c r="U69" s="47"/>
      <c r="V69" s="47"/>
      <c r="W69" s="47"/>
      <c r="X69" s="47"/>
      <c r="Y69" s="47"/>
      <c r="Z69" s="47"/>
      <c r="AA69" s="47"/>
      <c r="AB69" s="47"/>
      <c r="AC69" s="47"/>
      <c r="AD69" s="47"/>
      <c r="AE69" s="47"/>
      <c r="AF69" s="47"/>
      <c r="AG69" s="47"/>
      <c r="AH69" s="47"/>
      <c r="AI69" s="46"/>
      <c r="AJ69" s="46"/>
      <c r="AK69" s="46"/>
      <c r="AL69" s="7"/>
      <c r="AM69" s="49" t="str">
        <f aca="false">IF(OR(C69="",G69=""),"",IFERROR(DATEDIF(C69,G69,"m"),""))</f>
        <v/>
      </c>
      <c r="AN69" s="49" t="str">
        <f aca="false">IF(OR(Q69="",AM69=""),"",60+2*Q69-AM69)</f>
        <v/>
      </c>
      <c r="AO69" s="49" t="str">
        <f aca="false">IF(OR(G69="",AJ69=""),"",AJ69-G69)</f>
        <v/>
      </c>
      <c r="AP69" s="50" t="str">
        <f aca="false">IF(AND(A69="",B69=""),"",IF(J69="","Status needed",IF(OR(J69="Applied",J69="Visit booked",J69="Withdrawn"),"OK",IF(G69="","Date assessed needed",IF(C69="","Date of birth needed",IF(COUNTA(L69,M69,P69,U69,V69,X69,AB69)&lt;7,"Band missing",IF(AND(OR(J69="Decision confirmed",J69="Family told",J69="Enrolled"),AG69=""),"Recommendation needed",IF(AND(OR(J69="Family told",J69="Enrolled"),AJ69=""),"Date family told needed","OK"))))))))</f>
        <v/>
      </c>
    </row>
    <row r="70" customFormat="false" ht="15" hidden="false" customHeight="false" outlineLevel="0" collapsed="false">
      <c r="A70" s="7"/>
      <c r="B70" s="7"/>
      <c r="C70" s="46"/>
      <c r="D70" s="7"/>
      <c r="E70" s="47"/>
      <c r="F70" s="46"/>
      <c r="G70" s="46"/>
      <c r="H70" s="7"/>
      <c r="I70" s="7"/>
      <c r="J70" s="47"/>
      <c r="K70" s="47"/>
      <c r="L70" s="47"/>
      <c r="M70" s="47"/>
      <c r="N70" s="10"/>
      <c r="O70" s="47"/>
      <c r="P70" s="47"/>
      <c r="Q70" s="47"/>
      <c r="R70" s="48" t="str">
        <f aca="false">IF(Q70="","",IF(Q70=0,"below 5:00",IF(Q70&gt;=66,"16:00 or above",INT((60+2*Q70)/12)&amp;":"&amp;TEXT(MOD(60+2*Q70,12),"00"))))</f>
        <v/>
      </c>
      <c r="S70" s="47"/>
      <c r="T70" s="47"/>
      <c r="U70" s="47"/>
      <c r="V70" s="47"/>
      <c r="W70" s="47"/>
      <c r="X70" s="47"/>
      <c r="Y70" s="47"/>
      <c r="Z70" s="47"/>
      <c r="AA70" s="47"/>
      <c r="AB70" s="47"/>
      <c r="AC70" s="47"/>
      <c r="AD70" s="47"/>
      <c r="AE70" s="47"/>
      <c r="AF70" s="47"/>
      <c r="AG70" s="47"/>
      <c r="AH70" s="47"/>
      <c r="AI70" s="46"/>
      <c r="AJ70" s="46"/>
      <c r="AK70" s="46"/>
      <c r="AL70" s="7"/>
      <c r="AM70" s="49" t="str">
        <f aca="false">IF(OR(C70="",G70=""),"",IFERROR(DATEDIF(C70,G70,"m"),""))</f>
        <v/>
      </c>
      <c r="AN70" s="49" t="str">
        <f aca="false">IF(OR(Q70="",AM70=""),"",60+2*Q70-AM70)</f>
        <v/>
      </c>
      <c r="AO70" s="49" t="str">
        <f aca="false">IF(OR(G70="",AJ70=""),"",AJ70-G70)</f>
        <v/>
      </c>
      <c r="AP70" s="50" t="str">
        <f aca="false">IF(AND(A70="",B70=""),"",IF(J70="","Status needed",IF(OR(J70="Applied",J70="Visit booked",J70="Withdrawn"),"OK",IF(G70="","Date assessed needed",IF(C70="","Date of birth needed",IF(COUNTA(L70,M70,P70,U70,V70,X70,AB70)&lt;7,"Band missing",IF(AND(OR(J70="Decision confirmed",J70="Family told",J70="Enrolled"),AG70=""),"Recommendation needed",IF(AND(OR(J70="Family told",J70="Enrolled"),AJ70=""),"Date family told needed","OK"))))))))</f>
        <v/>
      </c>
    </row>
    <row r="71" customFormat="false" ht="15" hidden="false" customHeight="false" outlineLevel="0" collapsed="false">
      <c r="A71" s="7"/>
      <c r="B71" s="7"/>
      <c r="C71" s="46"/>
      <c r="D71" s="7"/>
      <c r="E71" s="47"/>
      <c r="F71" s="46"/>
      <c r="G71" s="46"/>
      <c r="H71" s="7"/>
      <c r="I71" s="7"/>
      <c r="J71" s="47"/>
      <c r="K71" s="47"/>
      <c r="L71" s="47"/>
      <c r="M71" s="47"/>
      <c r="N71" s="10"/>
      <c r="O71" s="47"/>
      <c r="P71" s="47"/>
      <c r="Q71" s="47"/>
      <c r="R71" s="48" t="str">
        <f aca="false">IF(Q71="","",IF(Q71=0,"below 5:00",IF(Q71&gt;=66,"16:00 or above",INT((60+2*Q71)/12)&amp;":"&amp;TEXT(MOD(60+2*Q71,12),"00"))))</f>
        <v/>
      </c>
      <c r="S71" s="47"/>
      <c r="T71" s="47"/>
      <c r="U71" s="47"/>
      <c r="V71" s="47"/>
      <c r="W71" s="47"/>
      <c r="X71" s="47"/>
      <c r="Y71" s="47"/>
      <c r="Z71" s="47"/>
      <c r="AA71" s="47"/>
      <c r="AB71" s="47"/>
      <c r="AC71" s="47"/>
      <c r="AD71" s="47"/>
      <c r="AE71" s="47"/>
      <c r="AF71" s="47"/>
      <c r="AG71" s="47"/>
      <c r="AH71" s="47"/>
      <c r="AI71" s="46"/>
      <c r="AJ71" s="46"/>
      <c r="AK71" s="46"/>
      <c r="AL71" s="7"/>
      <c r="AM71" s="49" t="str">
        <f aca="false">IF(OR(C71="",G71=""),"",IFERROR(DATEDIF(C71,G71,"m"),""))</f>
        <v/>
      </c>
      <c r="AN71" s="49" t="str">
        <f aca="false">IF(OR(Q71="",AM71=""),"",60+2*Q71-AM71)</f>
        <v/>
      </c>
      <c r="AO71" s="49" t="str">
        <f aca="false">IF(OR(G71="",AJ71=""),"",AJ71-G71)</f>
        <v/>
      </c>
      <c r="AP71" s="50" t="str">
        <f aca="false">IF(AND(A71="",B71=""),"",IF(J71="","Status needed",IF(OR(J71="Applied",J71="Visit booked",J71="Withdrawn"),"OK",IF(G71="","Date assessed needed",IF(C71="","Date of birth needed",IF(COUNTA(L71,M71,P71,U71,V71,X71,AB71)&lt;7,"Band missing",IF(AND(OR(J71="Decision confirmed",J71="Family told",J71="Enrolled"),AG71=""),"Recommendation needed",IF(AND(OR(J71="Family told",J71="Enrolled"),AJ71=""),"Date family told needed","OK"))))))))</f>
        <v/>
      </c>
    </row>
    <row r="72" customFormat="false" ht="15" hidden="false" customHeight="false" outlineLevel="0" collapsed="false">
      <c r="A72" s="7"/>
      <c r="B72" s="7"/>
      <c r="C72" s="46"/>
      <c r="D72" s="7"/>
      <c r="E72" s="47"/>
      <c r="F72" s="46"/>
      <c r="G72" s="46"/>
      <c r="H72" s="7"/>
      <c r="I72" s="7"/>
      <c r="J72" s="47"/>
      <c r="K72" s="47"/>
      <c r="L72" s="47"/>
      <c r="M72" s="47"/>
      <c r="N72" s="10"/>
      <c r="O72" s="47"/>
      <c r="P72" s="47"/>
      <c r="Q72" s="47"/>
      <c r="R72" s="48" t="str">
        <f aca="false">IF(Q72="","",IF(Q72=0,"below 5:00",IF(Q72&gt;=66,"16:00 or above",INT((60+2*Q72)/12)&amp;":"&amp;TEXT(MOD(60+2*Q72,12),"00"))))</f>
        <v/>
      </c>
      <c r="S72" s="47"/>
      <c r="T72" s="47"/>
      <c r="U72" s="47"/>
      <c r="V72" s="47"/>
      <c r="W72" s="47"/>
      <c r="X72" s="47"/>
      <c r="Y72" s="47"/>
      <c r="Z72" s="47"/>
      <c r="AA72" s="47"/>
      <c r="AB72" s="47"/>
      <c r="AC72" s="47"/>
      <c r="AD72" s="47"/>
      <c r="AE72" s="47"/>
      <c r="AF72" s="47"/>
      <c r="AG72" s="47"/>
      <c r="AH72" s="47"/>
      <c r="AI72" s="46"/>
      <c r="AJ72" s="46"/>
      <c r="AK72" s="46"/>
      <c r="AL72" s="7"/>
      <c r="AM72" s="49" t="str">
        <f aca="false">IF(OR(C72="",G72=""),"",IFERROR(DATEDIF(C72,G72,"m"),""))</f>
        <v/>
      </c>
      <c r="AN72" s="49" t="str">
        <f aca="false">IF(OR(Q72="",AM72=""),"",60+2*Q72-AM72)</f>
        <v/>
      </c>
      <c r="AO72" s="49" t="str">
        <f aca="false">IF(OR(G72="",AJ72=""),"",AJ72-G72)</f>
        <v/>
      </c>
      <c r="AP72" s="50" t="str">
        <f aca="false">IF(AND(A72="",B72=""),"",IF(J72="","Status needed",IF(OR(J72="Applied",J72="Visit booked",J72="Withdrawn"),"OK",IF(G72="","Date assessed needed",IF(C72="","Date of birth needed",IF(COUNTA(L72,M72,P72,U72,V72,X72,AB72)&lt;7,"Band missing",IF(AND(OR(J72="Decision confirmed",J72="Family told",J72="Enrolled"),AG72=""),"Recommendation needed",IF(AND(OR(J72="Family told",J72="Enrolled"),AJ72=""),"Date family told needed","OK"))))))))</f>
        <v/>
      </c>
    </row>
    <row r="73" customFormat="false" ht="15" hidden="false" customHeight="false" outlineLevel="0" collapsed="false">
      <c r="A73" s="7"/>
      <c r="B73" s="7"/>
      <c r="C73" s="46"/>
      <c r="D73" s="7"/>
      <c r="E73" s="47"/>
      <c r="F73" s="46"/>
      <c r="G73" s="46"/>
      <c r="H73" s="7"/>
      <c r="I73" s="7"/>
      <c r="J73" s="47"/>
      <c r="K73" s="47"/>
      <c r="L73" s="47"/>
      <c r="M73" s="47"/>
      <c r="N73" s="10"/>
      <c r="O73" s="47"/>
      <c r="P73" s="47"/>
      <c r="Q73" s="47"/>
      <c r="R73" s="48" t="str">
        <f aca="false">IF(Q73="","",IF(Q73=0,"below 5:00",IF(Q73&gt;=66,"16:00 or above",INT((60+2*Q73)/12)&amp;":"&amp;TEXT(MOD(60+2*Q73,12),"00"))))</f>
        <v/>
      </c>
      <c r="S73" s="47"/>
      <c r="T73" s="47"/>
      <c r="U73" s="47"/>
      <c r="V73" s="47"/>
      <c r="W73" s="47"/>
      <c r="X73" s="47"/>
      <c r="Y73" s="47"/>
      <c r="Z73" s="47"/>
      <c r="AA73" s="47"/>
      <c r="AB73" s="47"/>
      <c r="AC73" s="47"/>
      <c r="AD73" s="47"/>
      <c r="AE73" s="47"/>
      <c r="AF73" s="47"/>
      <c r="AG73" s="47"/>
      <c r="AH73" s="47"/>
      <c r="AI73" s="46"/>
      <c r="AJ73" s="46"/>
      <c r="AK73" s="46"/>
      <c r="AL73" s="7"/>
      <c r="AM73" s="49" t="str">
        <f aca="false">IF(OR(C73="",G73=""),"",IFERROR(DATEDIF(C73,G73,"m"),""))</f>
        <v/>
      </c>
      <c r="AN73" s="49" t="str">
        <f aca="false">IF(OR(Q73="",AM73=""),"",60+2*Q73-AM73)</f>
        <v/>
      </c>
      <c r="AO73" s="49" t="str">
        <f aca="false">IF(OR(G73="",AJ73=""),"",AJ73-G73)</f>
        <v/>
      </c>
      <c r="AP73" s="50" t="str">
        <f aca="false">IF(AND(A73="",B73=""),"",IF(J73="","Status needed",IF(OR(J73="Applied",J73="Visit booked",J73="Withdrawn"),"OK",IF(G73="","Date assessed needed",IF(C73="","Date of birth needed",IF(COUNTA(L73,M73,P73,U73,V73,X73,AB73)&lt;7,"Band missing",IF(AND(OR(J73="Decision confirmed",J73="Family told",J73="Enrolled"),AG73=""),"Recommendation needed",IF(AND(OR(J73="Family told",J73="Enrolled"),AJ73=""),"Date family told needed","OK"))))))))</f>
        <v/>
      </c>
    </row>
    <row r="74" customFormat="false" ht="15" hidden="false" customHeight="false" outlineLevel="0" collapsed="false">
      <c r="A74" s="7"/>
      <c r="B74" s="7"/>
      <c r="C74" s="46"/>
      <c r="D74" s="7"/>
      <c r="E74" s="47"/>
      <c r="F74" s="46"/>
      <c r="G74" s="46"/>
      <c r="H74" s="7"/>
      <c r="I74" s="7"/>
      <c r="J74" s="47"/>
      <c r="K74" s="47"/>
      <c r="L74" s="47"/>
      <c r="M74" s="47"/>
      <c r="N74" s="10"/>
      <c r="O74" s="47"/>
      <c r="P74" s="47"/>
      <c r="Q74" s="47"/>
      <c r="R74" s="48" t="str">
        <f aca="false">IF(Q74="","",IF(Q74=0,"below 5:00",IF(Q74&gt;=66,"16:00 or above",INT((60+2*Q74)/12)&amp;":"&amp;TEXT(MOD(60+2*Q74,12),"00"))))</f>
        <v/>
      </c>
      <c r="S74" s="47"/>
      <c r="T74" s="47"/>
      <c r="U74" s="47"/>
      <c r="V74" s="47"/>
      <c r="W74" s="47"/>
      <c r="X74" s="47"/>
      <c r="Y74" s="47"/>
      <c r="Z74" s="47"/>
      <c r="AA74" s="47"/>
      <c r="AB74" s="47"/>
      <c r="AC74" s="47"/>
      <c r="AD74" s="47"/>
      <c r="AE74" s="47"/>
      <c r="AF74" s="47"/>
      <c r="AG74" s="47"/>
      <c r="AH74" s="47"/>
      <c r="AI74" s="46"/>
      <c r="AJ74" s="46"/>
      <c r="AK74" s="46"/>
      <c r="AL74" s="7"/>
      <c r="AM74" s="49" t="str">
        <f aca="false">IF(OR(C74="",G74=""),"",IFERROR(DATEDIF(C74,G74,"m"),""))</f>
        <v/>
      </c>
      <c r="AN74" s="49" t="str">
        <f aca="false">IF(OR(Q74="",AM74=""),"",60+2*Q74-AM74)</f>
        <v/>
      </c>
      <c r="AO74" s="49" t="str">
        <f aca="false">IF(OR(G74="",AJ74=""),"",AJ74-G74)</f>
        <v/>
      </c>
      <c r="AP74" s="50" t="str">
        <f aca="false">IF(AND(A74="",B74=""),"",IF(J74="","Status needed",IF(OR(J74="Applied",J74="Visit booked",J74="Withdrawn"),"OK",IF(G74="","Date assessed needed",IF(C74="","Date of birth needed",IF(COUNTA(L74,M74,P74,U74,V74,X74,AB74)&lt;7,"Band missing",IF(AND(OR(J74="Decision confirmed",J74="Family told",J74="Enrolled"),AG74=""),"Recommendation needed",IF(AND(OR(J74="Family told",J74="Enrolled"),AJ74=""),"Date family told needed","OK"))))))))</f>
        <v/>
      </c>
    </row>
    <row r="75" customFormat="false" ht="15" hidden="false" customHeight="false" outlineLevel="0" collapsed="false">
      <c r="A75" s="7"/>
      <c r="B75" s="7"/>
      <c r="C75" s="46"/>
      <c r="D75" s="7"/>
      <c r="E75" s="47"/>
      <c r="F75" s="46"/>
      <c r="G75" s="46"/>
      <c r="H75" s="7"/>
      <c r="I75" s="7"/>
      <c r="J75" s="47"/>
      <c r="K75" s="47"/>
      <c r="L75" s="47"/>
      <c r="M75" s="47"/>
      <c r="N75" s="10"/>
      <c r="O75" s="47"/>
      <c r="P75" s="47"/>
      <c r="Q75" s="47"/>
      <c r="R75" s="48" t="str">
        <f aca="false">IF(Q75="","",IF(Q75=0,"below 5:00",IF(Q75&gt;=66,"16:00 or above",INT((60+2*Q75)/12)&amp;":"&amp;TEXT(MOD(60+2*Q75,12),"00"))))</f>
        <v/>
      </c>
      <c r="S75" s="47"/>
      <c r="T75" s="47"/>
      <c r="U75" s="47"/>
      <c r="V75" s="47"/>
      <c r="W75" s="47"/>
      <c r="X75" s="47"/>
      <c r="Y75" s="47"/>
      <c r="Z75" s="47"/>
      <c r="AA75" s="47"/>
      <c r="AB75" s="47"/>
      <c r="AC75" s="47"/>
      <c r="AD75" s="47"/>
      <c r="AE75" s="47"/>
      <c r="AF75" s="47"/>
      <c r="AG75" s="47"/>
      <c r="AH75" s="47"/>
      <c r="AI75" s="46"/>
      <c r="AJ75" s="46"/>
      <c r="AK75" s="46"/>
      <c r="AL75" s="7"/>
      <c r="AM75" s="49" t="str">
        <f aca="false">IF(OR(C75="",G75=""),"",IFERROR(DATEDIF(C75,G75,"m"),""))</f>
        <v/>
      </c>
      <c r="AN75" s="49" t="str">
        <f aca="false">IF(OR(Q75="",AM75=""),"",60+2*Q75-AM75)</f>
        <v/>
      </c>
      <c r="AO75" s="49" t="str">
        <f aca="false">IF(OR(G75="",AJ75=""),"",AJ75-G75)</f>
        <v/>
      </c>
      <c r="AP75" s="50" t="str">
        <f aca="false">IF(AND(A75="",B75=""),"",IF(J75="","Status needed",IF(OR(J75="Applied",J75="Visit booked",J75="Withdrawn"),"OK",IF(G75="","Date assessed needed",IF(C75="","Date of birth needed",IF(COUNTA(L75,M75,P75,U75,V75,X75,AB75)&lt;7,"Band missing",IF(AND(OR(J75="Decision confirmed",J75="Family told",J75="Enrolled"),AG75=""),"Recommendation needed",IF(AND(OR(J75="Family told",J75="Enrolled"),AJ75=""),"Date family told needed","OK"))))))))</f>
        <v/>
      </c>
    </row>
    <row r="76" customFormat="false" ht="15" hidden="false" customHeight="false" outlineLevel="0" collapsed="false">
      <c r="A76" s="7"/>
      <c r="B76" s="7"/>
      <c r="C76" s="46"/>
      <c r="D76" s="7"/>
      <c r="E76" s="47"/>
      <c r="F76" s="46"/>
      <c r="G76" s="46"/>
      <c r="H76" s="7"/>
      <c r="I76" s="7"/>
      <c r="J76" s="47"/>
      <c r="K76" s="47"/>
      <c r="L76" s="47"/>
      <c r="M76" s="47"/>
      <c r="N76" s="10"/>
      <c r="O76" s="47"/>
      <c r="P76" s="47"/>
      <c r="Q76" s="47"/>
      <c r="R76" s="48" t="str">
        <f aca="false">IF(Q76="","",IF(Q76=0,"below 5:00",IF(Q76&gt;=66,"16:00 or above",INT((60+2*Q76)/12)&amp;":"&amp;TEXT(MOD(60+2*Q76,12),"00"))))</f>
        <v/>
      </c>
      <c r="S76" s="47"/>
      <c r="T76" s="47"/>
      <c r="U76" s="47"/>
      <c r="V76" s="47"/>
      <c r="W76" s="47"/>
      <c r="X76" s="47"/>
      <c r="Y76" s="47"/>
      <c r="Z76" s="47"/>
      <c r="AA76" s="47"/>
      <c r="AB76" s="47"/>
      <c r="AC76" s="47"/>
      <c r="AD76" s="47"/>
      <c r="AE76" s="47"/>
      <c r="AF76" s="47"/>
      <c r="AG76" s="47"/>
      <c r="AH76" s="47"/>
      <c r="AI76" s="46"/>
      <c r="AJ76" s="46"/>
      <c r="AK76" s="46"/>
      <c r="AL76" s="7"/>
      <c r="AM76" s="49" t="str">
        <f aca="false">IF(OR(C76="",G76=""),"",IFERROR(DATEDIF(C76,G76,"m"),""))</f>
        <v/>
      </c>
      <c r="AN76" s="49" t="str">
        <f aca="false">IF(OR(Q76="",AM76=""),"",60+2*Q76-AM76)</f>
        <v/>
      </c>
      <c r="AO76" s="49" t="str">
        <f aca="false">IF(OR(G76="",AJ76=""),"",AJ76-G76)</f>
        <v/>
      </c>
      <c r="AP76" s="50" t="str">
        <f aca="false">IF(AND(A76="",B76=""),"",IF(J76="","Status needed",IF(OR(J76="Applied",J76="Visit booked",J76="Withdrawn"),"OK",IF(G76="","Date assessed needed",IF(C76="","Date of birth needed",IF(COUNTA(L76,M76,P76,U76,V76,X76,AB76)&lt;7,"Band missing",IF(AND(OR(J76="Decision confirmed",J76="Family told",J76="Enrolled"),AG76=""),"Recommendation needed",IF(AND(OR(J76="Family told",J76="Enrolled"),AJ76=""),"Date family told needed","OK"))))))))</f>
        <v/>
      </c>
    </row>
    <row r="77" customFormat="false" ht="15" hidden="false" customHeight="false" outlineLevel="0" collapsed="false">
      <c r="A77" s="7"/>
      <c r="B77" s="7"/>
      <c r="C77" s="46"/>
      <c r="D77" s="7"/>
      <c r="E77" s="47"/>
      <c r="F77" s="46"/>
      <c r="G77" s="46"/>
      <c r="H77" s="7"/>
      <c r="I77" s="7"/>
      <c r="J77" s="47"/>
      <c r="K77" s="47"/>
      <c r="L77" s="47"/>
      <c r="M77" s="47"/>
      <c r="N77" s="10"/>
      <c r="O77" s="47"/>
      <c r="P77" s="47"/>
      <c r="Q77" s="47"/>
      <c r="R77" s="48" t="str">
        <f aca="false">IF(Q77="","",IF(Q77=0,"below 5:00",IF(Q77&gt;=66,"16:00 or above",INT((60+2*Q77)/12)&amp;":"&amp;TEXT(MOD(60+2*Q77,12),"00"))))</f>
        <v/>
      </c>
      <c r="S77" s="47"/>
      <c r="T77" s="47"/>
      <c r="U77" s="47"/>
      <c r="V77" s="47"/>
      <c r="W77" s="47"/>
      <c r="X77" s="47"/>
      <c r="Y77" s="47"/>
      <c r="Z77" s="47"/>
      <c r="AA77" s="47"/>
      <c r="AB77" s="47"/>
      <c r="AC77" s="47"/>
      <c r="AD77" s="47"/>
      <c r="AE77" s="47"/>
      <c r="AF77" s="47"/>
      <c r="AG77" s="47"/>
      <c r="AH77" s="47"/>
      <c r="AI77" s="46"/>
      <c r="AJ77" s="46"/>
      <c r="AK77" s="46"/>
      <c r="AL77" s="7"/>
      <c r="AM77" s="49" t="str">
        <f aca="false">IF(OR(C77="",G77=""),"",IFERROR(DATEDIF(C77,G77,"m"),""))</f>
        <v/>
      </c>
      <c r="AN77" s="49" t="str">
        <f aca="false">IF(OR(Q77="",AM77=""),"",60+2*Q77-AM77)</f>
        <v/>
      </c>
      <c r="AO77" s="49" t="str">
        <f aca="false">IF(OR(G77="",AJ77=""),"",AJ77-G77)</f>
        <v/>
      </c>
      <c r="AP77" s="50" t="str">
        <f aca="false">IF(AND(A77="",B77=""),"",IF(J77="","Status needed",IF(OR(J77="Applied",J77="Visit booked",J77="Withdrawn"),"OK",IF(G77="","Date assessed needed",IF(C77="","Date of birth needed",IF(COUNTA(L77,M77,P77,U77,V77,X77,AB77)&lt;7,"Band missing",IF(AND(OR(J77="Decision confirmed",J77="Family told",J77="Enrolled"),AG77=""),"Recommendation needed",IF(AND(OR(J77="Family told",J77="Enrolled"),AJ77=""),"Date family told needed","OK"))))))))</f>
        <v/>
      </c>
    </row>
    <row r="78" customFormat="false" ht="15" hidden="false" customHeight="false" outlineLevel="0" collapsed="false">
      <c r="A78" s="7"/>
      <c r="B78" s="7"/>
      <c r="C78" s="46"/>
      <c r="D78" s="7"/>
      <c r="E78" s="47"/>
      <c r="F78" s="46"/>
      <c r="G78" s="46"/>
      <c r="H78" s="7"/>
      <c r="I78" s="7"/>
      <c r="J78" s="47"/>
      <c r="K78" s="47"/>
      <c r="L78" s="47"/>
      <c r="M78" s="47"/>
      <c r="N78" s="10"/>
      <c r="O78" s="47"/>
      <c r="P78" s="47"/>
      <c r="Q78" s="47"/>
      <c r="R78" s="48" t="str">
        <f aca="false">IF(Q78="","",IF(Q78=0,"below 5:00",IF(Q78&gt;=66,"16:00 or above",INT((60+2*Q78)/12)&amp;":"&amp;TEXT(MOD(60+2*Q78,12),"00"))))</f>
        <v/>
      </c>
      <c r="S78" s="47"/>
      <c r="T78" s="47"/>
      <c r="U78" s="47"/>
      <c r="V78" s="47"/>
      <c r="W78" s="47"/>
      <c r="X78" s="47"/>
      <c r="Y78" s="47"/>
      <c r="Z78" s="47"/>
      <c r="AA78" s="47"/>
      <c r="AB78" s="47"/>
      <c r="AC78" s="47"/>
      <c r="AD78" s="47"/>
      <c r="AE78" s="47"/>
      <c r="AF78" s="47"/>
      <c r="AG78" s="47"/>
      <c r="AH78" s="47"/>
      <c r="AI78" s="46"/>
      <c r="AJ78" s="46"/>
      <c r="AK78" s="46"/>
      <c r="AL78" s="7"/>
      <c r="AM78" s="49" t="str">
        <f aca="false">IF(OR(C78="",G78=""),"",IFERROR(DATEDIF(C78,G78,"m"),""))</f>
        <v/>
      </c>
      <c r="AN78" s="49" t="str">
        <f aca="false">IF(OR(Q78="",AM78=""),"",60+2*Q78-AM78)</f>
        <v/>
      </c>
      <c r="AO78" s="49" t="str">
        <f aca="false">IF(OR(G78="",AJ78=""),"",AJ78-G78)</f>
        <v/>
      </c>
      <c r="AP78" s="50" t="str">
        <f aca="false">IF(AND(A78="",B78=""),"",IF(J78="","Status needed",IF(OR(J78="Applied",J78="Visit booked",J78="Withdrawn"),"OK",IF(G78="","Date assessed needed",IF(C78="","Date of birth needed",IF(COUNTA(L78,M78,P78,U78,V78,X78,AB78)&lt;7,"Band missing",IF(AND(OR(J78="Decision confirmed",J78="Family told",J78="Enrolled"),AG78=""),"Recommendation needed",IF(AND(OR(J78="Family told",J78="Enrolled"),AJ78=""),"Date family told needed","OK"))))))))</f>
        <v/>
      </c>
    </row>
    <row r="79" customFormat="false" ht="15" hidden="false" customHeight="false" outlineLevel="0" collapsed="false">
      <c r="A79" s="7"/>
      <c r="B79" s="7"/>
      <c r="C79" s="46"/>
      <c r="D79" s="7"/>
      <c r="E79" s="47"/>
      <c r="F79" s="46"/>
      <c r="G79" s="46"/>
      <c r="H79" s="7"/>
      <c r="I79" s="7"/>
      <c r="J79" s="47"/>
      <c r="K79" s="47"/>
      <c r="L79" s="47"/>
      <c r="M79" s="47"/>
      <c r="N79" s="10"/>
      <c r="O79" s="47"/>
      <c r="P79" s="47"/>
      <c r="Q79" s="47"/>
      <c r="R79" s="48" t="str">
        <f aca="false">IF(Q79="","",IF(Q79=0,"below 5:00",IF(Q79&gt;=66,"16:00 or above",INT((60+2*Q79)/12)&amp;":"&amp;TEXT(MOD(60+2*Q79,12),"00"))))</f>
        <v/>
      </c>
      <c r="S79" s="47"/>
      <c r="T79" s="47"/>
      <c r="U79" s="47"/>
      <c r="V79" s="47"/>
      <c r="W79" s="47"/>
      <c r="X79" s="47"/>
      <c r="Y79" s="47"/>
      <c r="Z79" s="47"/>
      <c r="AA79" s="47"/>
      <c r="AB79" s="47"/>
      <c r="AC79" s="47"/>
      <c r="AD79" s="47"/>
      <c r="AE79" s="47"/>
      <c r="AF79" s="47"/>
      <c r="AG79" s="47"/>
      <c r="AH79" s="47"/>
      <c r="AI79" s="46"/>
      <c r="AJ79" s="46"/>
      <c r="AK79" s="46"/>
      <c r="AL79" s="7"/>
      <c r="AM79" s="49" t="str">
        <f aca="false">IF(OR(C79="",G79=""),"",IFERROR(DATEDIF(C79,G79,"m"),""))</f>
        <v/>
      </c>
      <c r="AN79" s="49" t="str">
        <f aca="false">IF(OR(Q79="",AM79=""),"",60+2*Q79-AM79)</f>
        <v/>
      </c>
      <c r="AO79" s="49" t="str">
        <f aca="false">IF(OR(G79="",AJ79=""),"",AJ79-G79)</f>
        <v/>
      </c>
      <c r="AP79" s="50" t="str">
        <f aca="false">IF(AND(A79="",B79=""),"",IF(J79="","Status needed",IF(OR(J79="Applied",J79="Visit booked",J79="Withdrawn"),"OK",IF(G79="","Date assessed needed",IF(C79="","Date of birth needed",IF(COUNTA(L79,M79,P79,U79,V79,X79,AB79)&lt;7,"Band missing",IF(AND(OR(J79="Decision confirmed",J79="Family told",J79="Enrolled"),AG79=""),"Recommendation needed",IF(AND(OR(J79="Family told",J79="Enrolled"),AJ79=""),"Date family told needed","OK"))))))))</f>
        <v/>
      </c>
    </row>
    <row r="80" customFormat="false" ht="15" hidden="false" customHeight="false" outlineLevel="0" collapsed="false">
      <c r="A80" s="7"/>
      <c r="B80" s="7"/>
      <c r="C80" s="46"/>
      <c r="D80" s="7"/>
      <c r="E80" s="47"/>
      <c r="F80" s="46"/>
      <c r="G80" s="46"/>
      <c r="H80" s="7"/>
      <c r="I80" s="7"/>
      <c r="J80" s="47"/>
      <c r="K80" s="47"/>
      <c r="L80" s="47"/>
      <c r="M80" s="47"/>
      <c r="N80" s="10"/>
      <c r="O80" s="47"/>
      <c r="P80" s="47"/>
      <c r="Q80" s="47"/>
      <c r="R80" s="48" t="str">
        <f aca="false">IF(Q80="","",IF(Q80=0,"below 5:00",IF(Q80&gt;=66,"16:00 or above",INT((60+2*Q80)/12)&amp;":"&amp;TEXT(MOD(60+2*Q80,12),"00"))))</f>
        <v/>
      </c>
      <c r="S80" s="47"/>
      <c r="T80" s="47"/>
      <c r="U80" s="47"/>
      <c r="V80" s="47"/>
      <c r="W80" s="47"/>
      <c r="X80" s="47"/>
      <c r="Y80" s="47"/>
      <c r="Z80" s="47"/>
      <c r="AA80" s="47"/>
      <c r="AB80" s="47"/>
      <c r="AC80" s="47"/>
      <c r="AD80" s="47"/>
      <c r="AE80" s="47"/>
      <c r="AF80" s="47"/>
      <c r="AG80" s="47"/>
      <c r="AH80" s="47"/>
      <c r="AI80" s="46"/>
      <c r="AJ80" s="46"/>
      <c r="AK80" s="46"/>
      <c r="AL80" s="7"/>
      <c r="AM80" s="49" t="str">
        <f aca="false">IF(OR(C80="",G80=""),"",IFERROR(DATEDIF(C80,G80,"m"),""))</f>
        <v/>
      </c>
      <c r="AN80" s="49" t="str">
        <f aca="false">IF(OR(Q80="",AM80=""),"",60+2*Q80-AM80)</f>
        <v/>
      </c>
      <c r="AO80" s="49" t="str">
        <f aca="false">IF(OR(G80="",AJ80=""),"",AJ80-G80)</f>
        <v/>
      </c>
      <c r="AP80" s="50" t="str">
        <f aca="false">IF(AND(A80="",B80=""),"",IF(J80="","Status needed",IF(OR(J80="Applied",J80="Visit booked",J80="Withdrawn"),"OK",IF(G80="","Date assessed needed",IF(C80="","Date of birth needed",IF(COUNTA(L80,M80,P80,U80,V80,X80,AB80)&lt;7,"Band missing",IF(AND(OR(J80="Decision confirmed",J80="Family told",J80="Enrolled"),AG80=""),"Recommendation needed",IF(AND(OR(J80="Family told",J80="Enrolled"),AJ80=""),"Date family told needed","OK"))))))))</f>
        <v/>
      </c>
    </row>
    <row r="81" customFormat="false" ht="15" hidden="false" customHeight="false" outlineLevel="0" collapsed="false">
      <c r="A81" s="7"/>
      <c r="B81" s="7"/>
      <c r="C81" s="46"/>
      <c r="D81" s="7"/>
      <c r="E81" s="47"/>
      <c r="F81" s="46"/>
      <c r="G81" s="46"/>
      <c r="H81" s="7"/>
      <c r="I81" s="7"/>
      <c r="J81" s="47"/>
      <c r="K81" s="47"/>
      <c r="L81" s="47"/>
      <c r="M81" s="47"/>
      <c r="N81" s="10"/>
      <c r="O81" s="47"/>
      <c r="P81" s="47"/>
      <c r="Q81" s="47"/>
      <c r="R81" s="48" t="str">
        <f aca="false">IF(Q81="","",IF(Q81=0,"below 5:00",IF(Q81&gt;=66,"16:00 or above",INT((60+2*Q81)/12)&amp;":"&amp;TEXT(MOD(60+2*Q81,12),"00"))))</f>
        <v/>
      </c>
      <c r="S81" s="47"/>
      <c r="T81" s="47"/>
      <c r="U81" s="47"/>
      <c r="V81" s="47"/>
      <c r="W81" s="47"/>
      <c r="X81" s="47"/>
      <c r="Y81" s="47"/>
      <c r="Z81" s="47"/>
      <c r="AA81" s="47"/>
      <c r="AB81" s="47"/>
      <c r="AC81" s="47"/>
      <c r="AD81" s="47"/>
      <c r="AE81" s="47"/>
      <c r="AF81" s="47"/>
      <c r="AG81" s="47"/>
      <c r="AH81" s="47"/>
      <c r="AI81" s="46"/>
      <c r="AJ81" s="46"/>
      <c r="AK81" s="46"/>
      <c r="AL81" s="7"/>
      <c r="AM81" s="49" t="str">
        <f aca="false">IF(OR(C81="",G81=""),"",IFERROR(DATEDIF(C81,G81,"m"),""))</f>
        <v/>
      </c>
      <c r="AN81" s="49" t="str">
        <f aca="false">IF(OR(Q81="",AM81=""),"",60+2*Q81-AM81)</f>
        <v/>
      </c>
      <c r="AO81" s="49" t="str">
        <f aca="false">IF(OR(G81="",AJ81=""),"",AJ81-G81)</f>
        <v/>
      </c>
      <c r="AP81" s="50" t="str">
        <f aca="false">IF(AND(A81="",B81=""),"",IF(J81="","Status needed",IF(OR(J81="Applied",J81="Visit booked",J81="Withdrawn"),"OK",IF(G81="","Date assessed needed",IF(C81="","Date of birth needed",IF(COUNTA(L81,M81,P81,U81,V81,X81,AB81)&lt;7,"Band missing",IF(AND(OR(J81="Decision confirmed",J81="Family told",J81="Enrolled"),AG81=""),"Recommendation needed",IF(AND(OR(J81="Family told",J81="Enrolled"),AJ81=""),"Date family told needed","OK"))))))))</f>
        <v/>
      </c>
    </row>
    <row r="82" customFormat="false" ht="15" hidden="false" customHeight="false" outlineLevel="0" collapsed="false">
      <c r="A82" s="7"/>
      <c r="B82" s="7"/>
      <c r="C82" s="46"/>
      <c r="D82" s="7"/>
      <c r="E82" s="47"/>
      <c r="F82" s="46"/>
      <c r="G82" s="46"/>
      <c r="H82" s="7"/>
      <c r="I82" s="7"/>
      <c r="J82" s="47"/>
      <c r="K82" s="47"/>
      <c r="L82" s="47"/>
      <c r="M82" s="47"/>
      <c r="N82" s="10"/>
      <c r="O82" s="47"/>
      <c r="P82" s="47"/>
      <c r="Q82" s="47"/>
      <c r="R82" s="48" t="str">
        <f aca="false">IF(Q82="","",IF(Q82=0,"below 5:00",IF(Q82&gt;=66,"16:00 or above",INT((60+2*Q82)/12)&amp;":"&amp;TEXT(MOD(60+2*Q82,12),"00"))))</f>
        <v/>
      </c>
      <c r="S82" s="47"/>
      <c r="T82" s="47"/>
      <c r="U82" s="47"/>
      <c r="V82" s="47"/>
      <c r="W82" s="47"/>
      <c r="X82" s="47"/>
      <c r="Y82" s="47"/>
      <c r="Z82" s="47"/>
      <c r="AA82" s="47"/>
      <c r="AB82" s="47"/>
      <c r="AC82" s="47"/>
      <c r="AD82" s="47"/>
      <c r="AE82" s="47"/>
      <c r="AF82" s="47"/>
      <c r="AG82" s="47"/>
      <c r="AH82" s="47"/>
      <c r="AI82" s="46"/>
      <c r="AJ82" s="46"/>
      <c r="AK82" s="46"/>
      <c r="AL82" s="7"/>
      <c r="AM82" s="49" t="str">
        <f aca="false">IF(OR(C82="",G82=""),"",IFERROR(DATEDIF(C82,G82,"m"),""))</f>
        <v/>
      </c>
      <c r="AN82" s="49" t="str">
        <f aca="false">IF(OR(Q82="",AM82=""),"",60+2*Q82-AM82)</f>
        <v/>
      </c>
      <c r="AO82" s="49" t="str">
        <f aca="false">IF(OR(G82="",AJ82=""),"",AJ82-G82)</f>
        <v/>
      </c>
      <c r="AP82" s="50" t="str">
        <f aca="false">IF(AND(A82="",B82=""),"",IF(J82="","Status needed",IF(OR(J82="Applied",J82="Visit booked",J82="Withdrawn"),"OK",IF(G82="","Date assessed needed",IF(C82="","Date of birth needed",IF(COUNTA(L82,M82,P82,U82,V82,X82,AB82)&lt;7,"Band missing",IF(AND(OR(J82="Decision confirmed",J82="Family told",J82="Enrolled"),AG82=""),"Recommendation needed",IF(AND(OR(J82="Family told",J82="Enrolled"),AJ82=""),"Date family told needed","OK"))))))))</f>
        <v/>
      </c>
    </row>
    <row r="83" customFormat="false" ht="15" hidden="false" customHeight="false" outlineLevel="0" collapsed="false">
      <c r="A83" s="7"/>
      <c r="B83" s="7"/>
      <c r="C83" s="46"/>
      <c r="D83" s="7"/>
      <c r="E83" s="47"/>
      <c r="F83" s="46"/>
      <c r="G83" s="46"/>
      <c r="H83" s="7"/>
      <c r="I83" s="7"/>
      <c r="J83" s="47"/>
      <c r="K83" s="47"/>
      <c r="L83" s="47"/>
      <c r="M83" s="47"/>
      <c r="N83" s="10"/>
      <c r="O83" s="47"/>
      <c r="P83" s="47"/>
      <c r="Q83" s="47"/>
      <c r="R83" s="48" t="str">
        <f aca="false">IF(Q83="","",IF(Q83=0,"below 5:00",IF(Q83&gt;=66,"16:00 or above",INT((60+2*Q83)/12)&amp;":"&amp;TEXT(MOD(60+2*Q83,12),"00"))))</f>
        <v/>
      </c>
      <c r="S83" s="47"/>
      <c r="T83" s="47"/>
      <c r="U83" s="47"/>
      <c r="V83" s="47"/>
      <c r="W83" s="47"/>
      <c r="X83" s="47"/>
      <c r="Y83" s="47"/>
      <c r="Z83" s="47"/>
      <c r="AA83" s="47"/>
      <c r="AB83" s="47"/>
      <c r="AC83" s="47"/>
      <c r="AD83" s="47"/>
      <c r="AE83" s="47"/>
      <c r="AF83" s="47"/>
      <c r="AG83" s="47"/>
      <c r="AH83" s="47"/>
      <c r="AI83" s="46"/>
      <c r="AJ83" s="46"/>
      <c r="AK83" s="46"/>
      <c r="AL83" s="7"/>
      <c r="AM83" s="49" t="str">
        <f aca="false">IF(OR(C83="",G83=""),"",IFERROR(DATEDIF(C83,G83,"m"),""))</f>
        <v/>
      </c>
      <c r="AN83" s="49" t="str">
        <f aca="false">IF(OR(Q83="",AM83=""),"",60+2*Q83-AM83)</f>
        <v/>
      </c>
      <c r="AO83" s="49" t="str">
        <f aca="false">IF(OR(G83="",AJ83=""),"",AJ83-G83)</f>
        <v/>
      </c>
      <c r="AP83" s="50" t="str">
        <f aca="false">IF(AND(A83="",B83=""),"",IF(J83="","Status needed",IF(OR(J83="Applied",J83="Visit booked",J83="Withdrawn"),"OK",IF(G83="","Date assessed needed",IF(C83="","Date of birth needed",IF(COUNTA(L83,M83,P83,U83,V83,X83,AB83)&lt;7,"Band missing",IF(AND(OR(J83="Decision confirmed",J83="Family told",J83="Enrolled"),AG83=""),"Recommendation needed",IF(AND(OR(J83="Family told",J83="Enrolled"),AJ83=""),"Date family told needed","OK"))))))))</f>
        <v/>
      </c>
    </row>
    <row r="84" customFormat="false" ht="15" hidden="false" customHeight="false" outlineLevel="0" collapsed="false">
      <c r="A84" s="7"/>
      <c r="B84" s="7"/>
      <c r="C84" s="46"/>
      <c r="D84" s="7"/>
      <c r="E84" s="47"/>
      <c r="F84" s="46"/>
      <c r="G84" s="46"/>
      <c r="H84" s="7"/>
      <c r="I84" s="7"/>
      <c r="J84" s="47"/>
      <c r="K84" s="47"/>
      <c r="L84" s="47"/>
      <c r="M84" s="47"/>
      <c r="N84" s="10"/>
      <c r="O84" s="47"/>
      <c r="P84" s="47"/>
      <c r="Q84" s="47"/>
      <c r="R84" s="48" t="str">
        <f aca="false">IF(Q84="","",IF(Q84=0,"below 5:00",IF(Q84&gt;=66,"16:00 or above",INT((60+2*Q84)/12)&amp;":"&amp;TEXT(MOD(60+2*Q84,12),"00"))))</f>
        <v/>
      </c>
      <c r="S84" s="47"/>
      <c r="T84" s="47"/>
      <c r="U84" s="47"/>
      <c r="V84" s="47"/>
      <c r="W84" s="47"/>
      <c r="X84" s="47"/>
      <c r="Y84" s="47"/>
      <c r="Z84" s="47"/>
      <c r="AA84" s="47"/>
      <c r="AB84" s="47"/>
      <c r="AC84" s="47"/>
      <c r="AD84" s="47"/>
      <c r="AE84" s="47"/>
      <c r="AF84" s="47"/>
      <c r="AG84" s="47"/>
      <c r="AH84" s="47"/>
      <c r="AI84" s="46"/>
      <c r="AJ84" s="46"/>
      <c r="AK84" s="46"/>
      <c r="AL84" s="7"/>
      <c r="AM84" s="49" t="str">
        <f aca="false">IF(OR(C84="",G84=""),"",IFERROR(DATEDIF(C84,G84,"m"),""))</f>
        <v/>
      </c>
      <c r="AN84" s="49" t="str">
        <f aca="false">IF(OR(Q84="",AM84=""),"",60+2*Q84-AM84)</f>
        <v/>
      </c>
      <c r="AO84" s="49" t="str">
        <f aca="false">IF(OR(G84="",AJ84=""),"",AJ84-G84)</f>
        <v/>
      </c>
      <c r="AP84" s="50" t="str">
        <f aca="false">IF(AND(A84="",B84=""),"",IF(J84="","Status needed",IF(OR(J84="Applied",J84="Visit booked",J84="Withdrawn"),"OK",IF(G84="","Date assessed needed",IF(C84="","Date of birth needed",IF(COUNTA(L84,M84,P84,U84,V84,X84,AB84)&lt;7,"Band missing",IF(AND(OR(J84="Decision confirmed",J84="Family told",J84="Enrolled"),AG84=""),"Recommendation needed",IF(AND(OR(J84="Family told",J84="Enrolled"),AJ84=""),"Date family told needed","OK"))))))))</f>
        <v/>
      </c>
    </row>
    <row r="85" customFormat="false" ht="15" hidden="false" customHeight="false" outlineLevel="0" collapsed="false">
      <c r="A85" s="7"/>
      <c r="B85" s="7"/>
      <c r="C85" s="46"/>
      <c r="D85" s="7"/>
      <c r="E85" s="47"/>
      <c r="F85" s="46"/>
      <c r="G85" s="46"/>
      <c r="H85" s="7"/>
      <c r="I85" s="7"/>
      <c r="J85" s="47"/>
      <c r="K85" s="47"/>
      <c r="L85" s="47"/>
      <c r="M85" s="47"/>
      <c r="N85" s="10"/>
      <c r="O85" s="47"/>
      <c r="P85" s="47"/>
      <c r="Q85" s="47"/>
      <c r="R85" s="48" t="str">
        <f aca="false">IF(Q85="","",IF(Q85=0,"below 5:00",IF(Q85&gt;=66,"16:00 or above",INT((60+2*Q85)/12)&amp;":"&amp;TEXT(MOD(60+2*Q85,12),"00"))))</f>
        <v/>
      </c>
      <c r="S85" s="47"/>
      <c r="T85" s="47"/>
      <c r="U85" s="47"/>
      <c r="V85" s="47"/>
      <c r="W85" s="47"/>
      <c r="X85" s="47"/>
      <c r="Y85" s="47"/>
      <c r="Z85" s="47"/>
      <c r="AA85" s="47"/>
      <c r="AB85" s="47"/>
      <c r="AC85" s="47"/>
      <c r="AD85" s="47"/>
      <c r="AE85" s="47"/>
      <c r="AF85" s="47"/>
      <c r="AG85" s="47"/>
      <c r="AH85" s="47"/>
      <c r="AI85" s="46"/>
      <c r="AJ85" s="46"/>
      <c r="AK85" s="46"/>
      <c r="AL85" s="7"/>
      <c r="AM85" s="49" t="str">
        <f aca="false">IF(OR(C85="",G85=""),"",IFERROR(DATEDIF(C85,G85,"m"),""))</f>
        <v/>
      </c>
      <c r="AN85" s="49" t="str">
        <f aca="false">IF(OR(Q85="",AM85=""),"",60+2*Q85-AM85)</f>
        <v/>
      </c>
      <c r="AO85" s="49" t="str">
        <f aca="false">IF(OR(G85="",AJ85=""),"",AJ85-G85)</f>
        <v/>
      </c>
      <c r="AP85" s="50" t="str">
        <f aca="false">IF(AND(A85="",B85=""),"",IF(J85="","Status needed",IF(OR(J85="Applied",J85="Visit booked",J85="Withdrawn"),"OK",IF(G85="","Date assessed needed",IF(C85="","Date of birth needed",IF(COUNTA(L85,M85,P85,U85,V85,X85,AB85)&lt;7,"Band missing",IF(AND(OR(J85="Decision confirmed",J85="Family told",J85="Enrolled"),AG85=""),"Recommendation needed",IF(AND(OR(J85="Family told",J85="Enrolled"),AJ85=""),"Date family told needed","OK"))))))))</f>
        <v/>
      </c>
    </row>
    <row r="86" customFormat="false" ht="15" hidden="false" customHeight="false" outlineLevel="0" collapsed="false">
      <c r="A86" s="7"/>
      <c r="B86" s="7"/>
      <c r="C86" s="46"/>
      <c r="D86" s="7"/>
      <c r="E86" s="47"/>
      <c r="F86" s="46"/>
      <c r="G86" s="46"/>
      <c r="H86" s="7"/>
      <c r="I86" s="7"/>
      <c r="J86" s="47"/>
      <c r="K86" s="47"/>
      <c r="L86" s="47"/>
      <c r="M86" s="47"/>
      <c r="N86" s="10"/>
      <c r="O86" s="47"/>
      <c r="P86" s="47"/>
      <c r="Q86" s="47"/>
      <c r="R86" s="48" t="str">
        <f aca="false">IF(Q86="","",IF(Q86=0,"below 5:00",IF(Q86&gt;=66,"16:00 or above",INT((60+2*Q86)/12)&amp;":"&amp;TEXT(MOD(60+2*Q86,12),"00"))))</f>
        <v/>
      </c>
      <c r="S86" s="47"/>
      <c r="T86" s="47"/>
      <c r="U86" s="47"/>
      <c r="V86" s="47"/>
      <c r="W86" s="47"/>
      <c r="X86" s="47"/>
      <c r="Y86" s="47"/>
      <c r="Z86" s="47"/>
      <c r="AA86" s="47"/>
      <c r="AB86" s="47"/>
      <c r="AC86" s="47"/>
      <c r="AD86" s="47"/>
      <c r="AE86" s="47"/>
      <c r="AF86" s="47"/>
      <c r="AG86" s="47"/>
      <c r="AH86" s="47"/>
      <c r="AI86" s="46"/>
      <c r="AJ86" s="46"/>
      <c r="AK86" s="46"/>
      <c r="AL86" s="7"/>
      <c r="AM86" s="49" t="str">
        <f aca="false">IF(OR(C86="",G86=""),"",IFERROR(DATEDIF(C86,G86,"m"),""))</f>
        <v/>
      </c>
      <c r="AN86" s="49" t="str">
        <f aca="false">IF(OR(Q86="",AM86=""),"",60+2*Q86-AM86)</f>
        <v/>
      </c>
      <c r="AO86" s="49" t="str">
        <f aca="false">IF(OR(G86="",AJ86=""),"",AJ86-G86)</f>
        <v/>
      </c>
      <c r="AP86" s="50" t="str">
        <f aca="false">IF(AND(A86="",B86=""),"",IF(J86="","Status needed",IF(OR(J86="Applied",J86="Visit booked",J86="Withdrawn"),"OK",IF(G86="","Date assessed needed",IF(C86="","Date of birth needed",IF(COUNTA(L86,M86,P86,U86,V86,X86,AB86)&lt;7,"Band missing",IF(AND(OR(J86="Decision confirmed",J86="Family told",J86="Enrolled"),AG86=""),"Recommendation needed",IF(AND(OR(J86="Family told",J86="Enrolled"),AJ86=""),"Date family told needed","OK"))))))))</f>
        <v/>
      </c>
    </row>
    <row r="87" customFormat="false" ht="15" hidden="false" customHeight="false" outlineLevel="0" collapsed="false">
      <c r="A87" s="7"/>
      <c r="B87" s="7"/>
      <c r="C87" s="46"/>
      <c r="D87" s="7"/>
      <c r="E87" s="47"/>
      <c r="F87" s="46"/>
      <c r="G87" s="46"/>
      <c r="H87" s="7"/>
      <c r="I87" s="7"/>
      <c r="J87" s="47"/>
      <c r="K87" s="47"/>
      <c r="L87" s="47"/>
      <c r="M87" s="47"/>
      <c r="N87" s="10"/>
      <c r="O87" s="47"/>
      <c r="P87" s="47"/>
      <c r="Q87" s="47"/>
      <c r="R87" s="48" t="str">
        <f aca="false">IF(Q87="","",IF(Q87=0,"below 5:00",IF(Q87&gt;=66,"16:00 or above",INT((60+2*Q87)/12)&amp;":"&amp;TEXT(MOD(60+2*Q87,12),"00"))))</f>
        <v/>
      </c>
      <c r="S87" s="47"/>
      <c r="T87" s="47"/>
      <c r="U87" s="47"/>
      <c r="V87" s="47"/>
      <c r="W87" s="47"/>
      <c r="X87" s="47"/>
      <c r="Y87" s="47"/>
      <c r="Z87" s="47"/>
      <c r="AA87" s="47"/>
      <c r="AB87" s="47"/>
      <c r="AC87" s="47"/>
      <c r="AD87" s="47"/>
      <c r="AE87" s="47"/>
      <c r="AF87" s="47"/>
      <c r="AG87" s="47"/>
      <c r="AH87" s="47"/>
      <c r="AI87" s="46"/>
      <c r="AJ87" s="46"/>
      <c r="AK87" s="46"/>
      <c r="AL87" s="7"/>
      <c r="AM87" s="49" t="str">
        <f aca="false">IF(OR(C87="",G87=""),"",IFERROR(DATEDIF(C87,G87,"m"),""))</f>
        <v/>
      </c>
      <c r="AN87" s="49" t="str">
        <f aca="false">IF(OR(Q87="",AM87=""),"",60+2*Q87-AM87)</f>
        <v/>
      </c>
      <c r="AO87" s="49" t="str">
        <f aca="false">IF(OR(G87="",AJ87=""),"",AJ87-G87)</f>
        <v/>
      </c>
      <c r="AP87" s="50" t="str">
        <f aca="false">IF(AND(A87="",B87=""),"",IF(J87="","Status needed",IF(OR(J87="Applied",J87="Visit booked",J87="Withdrawn"),"OK",IF(G87="","Date assessed needed",IF(C87="","Date of birth needed",IF(COUNTA(L87,M87,P87,U87,V87,X87,AB87)&lt;7,"Band missing",IF(AND(OR(J87="Decision confirmed",J87="Family told",J87="Enrolled"),AG87=""),"Recommendation needed",IF(AND(OR(J87="Family told",J87="Enrolled"),AJ87=""),"Date family told needed","OK"))))))))</f>
        <v/>
      </c>
    </row>
    <row r="88" customFormat="false" ht="15" hidden="false" customHeight="false" outlineLevel="0" collapsed="false">
      <c r="A88" s="7"/>
      <c r="B88" s="7"/>
      <c r="C88" s="46"/>
      <c r="D88" s="7"/>
      <c r="E88" s="47"/>
      <c r="F88" s="46"/>
      <c r="G88" s="46"/>
      <c r="H88" s="7"/>
      <c r="I88" s="7"/>
      <c r="J88" s="47"/>
      <c r="K88" s="47"/>
      <c r="L88" s="47"/>
      <c r="M88" s="47"/>
      <c r="N88" s="10"/>
      <c r="O88" s="47"/>
      <c r="P88" s="47"/>
      <c r="Q88" s="47"/>
      <c r="R88" s="48" t="str">
        <f aca="false">IF(Q88="","",IF(Q88=0,"below 5:00",IF(Q88&gt;=66,"16:00 or above",INT((60+2*Q88)/12)&amp;":"&amp;TEXT(MOD(60+2*Q88,12),"00"))))</f>
        <v/>
      </c>
      <c r="S88" s="47"/>
      <c r="T88" s="47"/>
      <c r="U88" s="47"/>
      <c r="V88" s="47"/>
      <c r="W88" s="47"/>
      <c r="X88" s="47"/>
      <c r="Y88" s="47"/>
      <c r="Z88" s="47"/>
      <c r="AA88" s="47"/>
      <c r="AB88" s="47"/>
      <c r="AC88" s="47"/>
      <c r="AD88" s="47"/>
      <c r="AE88" s="47"/>
      <c r="AF88" s="47"/>
      <c r="AG88" s="47"/>
      <c r="AH88" s="47"/>
      <c r="AI88" s="46"/>
      <c r="AJ88" s="46"/>
      <c r="AK88" s="46"/>
      <c r="AL88" s="7"/>
      <c r="AM88" s="49" t="str">
        <f aca="false">IF(OR(C88="",G88=""),"",IFERROR(DATEDIF(C88,G88,"m"),""))</f>
        <v/>
      </c>
      <c r="AN88" s="49" t="str">
        <f aca="false">IF(OR(Q88="",AM88=""),"",60+2*Q88-AM88)</f>
        <v/>
      </c>
      <c r="AO88" s="49" t="str">
        <f aca="false">IF(OR(G88="",AJ88=""),"",AJ88-G88)</f>
        <v/>
      </c>
      <c r="AP88" s="50" t="str">
        <f aca="false">IF(AND(A88="",B88=""),"",IF(J88="","Status needed",IF(OR(J88="Applied",J88="Visit booked",J88="Withdrawn"),"OK",IF(G88="","Date assessed needed",IF(C88="","Date of birth needed",IF(COUNTA(L88,M88,P88,U88,V88,X88,AB88)&lt;7,"Band missing",IF(AND(OR(J88="Decision confirmed",J88="Family told",J88="Enrolled"),AG88=""),"Recommendation needed",IF(AND(OR(J88="Family told",J88="Enrolled"),AJ88=""),"Date family told needed","OK"))))))))</f>
        <v/>
      </c>
    </row>
    <row r="89" customFormat="false" ht="15" hidden="false" customHeight="false" outlineLevel="0" collapsed="false">
      <c r="A89" s="7"/>
      <c r="B89" s="7"/>
      <c r="C89" s="46"/>
      <c r="D89" s="7"/>
      <c r="E89" s="47"/>
      <c r="F89" s="46"/>
      <c r="G89" s="46"/>
      <c r="H89" s="7"/>
      <c r="I89" s="7"/>
      <c r="J89" s="47"/>
      <c r="K89" s="47"/>
      <c r="L89" s="47"/>
      <c r="M89" s="47"/>
      <c r="N89" s="10"/>
      <c r="O89" s="47"/>
      <c r="P89" s="47"/>
      <c r="Q89" s="47"/>
      <c r="R89" s="48" t="str">
        <f aca="false">IF(Q89="","",IF(Q89=0,"below 5:00",IF(Q89&gt;=66,"16:00 or above",INT((60+2*Q89)/12)&amp;":"&amp;TEXT(MOD(60+2*Q89,12),"00"))))</f>
        <v/>
      </c>
      <c r="S89" s="47"/>
      <c r="T89" s="47"/>
      <c r="U89" s="47"/>
      <c r="V89" s="47"/>
      <c r="W89" s="47"/>
      <c r="X89" s="47"/>
      <c r="Y89" s="47"/>
      <c r="Z89" s="47"/>
      <c r="AA89" s="47"/>
      <c r="AB89" s="47"/>
      <c r="AC89" s="47"/>
      <c r="AD89" s="47"/>
      <c r="AE89" s="47"/>
      <c r="AF89" s="47"/>
      <c r="AG89" s="47"/>
      <c r="AH89" s="47"/>
      <c r="AI89" s="46"/>
      <c r="AJ89" s="46"/>
      <c r="AK89" s="46"/>
      <c r="AL89" s="7"/>
      <c r="AM89" s="49" t="str">
        <f aca="false">IF(OR(C89="",G89=""),"",IFERROR(DATEDIF(C89,G89,"m"),""))</f>
        <v/>
      </c>
      <c r="AN89" s="49" t="str">
        <f aca="false">IF(OR(Q89="",AM89=""),"",60+2*Q89-AM89)</f>
        <v/>
      </c>
      <c r="AO89" s="49" t="str">
        <f aca="false">IF(OR(G89="",AJ89=""),"",AJ89-G89)</f>
        <v/>
      </c>
      <c r="AP89" s="50" t="str">
        <f aca="false">IF(AND(A89="",B89=""),"",IF(J89="","Status needed",IF(OR(J89="Applied",J89="Visit booked",J89="Withdrawn"),"OK",IF(G89="","Date assessed needed",IF(C89="","Date of birth needed",IF(COUNTA(L89,M89,P89,U89,V89,X89,AB89)&lt;7,"Band missing",IF(AND(OR(J89="Decision confirmed",J89="Family told",J89="Enrolled"),AG89=""),"Recommendation needed",IF(AND(OR(J89="Family told",J89="Enrolled"),AJ89=""),"Date family told needed","OK"))))))))</f>
        <v/>
      </c>
    </row>
    <row r="90" customFormat="false" ht="15" hidden="false" customHeight="false" outlineLevel="0" collapsed="false">
      <c r="A90" s="7"/>
      <c r="B90" s="7"/>
      <c r="C90" s="46"/>
      <c r="D90" s="7"/>
      <c r="E90" s="47"/>
      <c r="F90" s="46"/>
      <c r="G90" s="46"/>
      <c r="H90" s="7"/>
      <c r="I90" s="7"/>
      <c r="J90" s="47"/>
      <c r="K90" s="47"/>
      <c r="L90" s="47"/>
      <c r="M90" s="47"/>
      <c r="N90" s="10"/>
      <c r="O90" s="47"/>
      <c r="P90" s="47"/>
      <c r="Q90" s="47"/>
      <c r="R90" s="48" t="str">
        <f aca="false">IF(Q90="","",IF(Q90=0,"below 5:00",IF(Q90&gt;=66,"16:00 or above",INT((60+2*Q90)/12)&amp;":"&amp;TEXT(MOD(60+2*Q90,12),"00"))))</f>
        <v/>
      </c>
      <c r="S90" s="47"/>
      <c r="T90" s="47"/>
      <c r="U90" s="47"/>
      <c r="V90" s="47"/>
      <c r="W90" s="47"/>
      <c r="X90" s="47"/>
      <c r="Y90" s="47"/>
      <c r="Z90" s="47"/>
      <c r="AA90" s="47"/>
      <c r="AB90" s="47"/>
      <c r="AC90" s="47"/>
      <c r="AD90" s="47"/>
      <c r="AE90" s="47"/>
      <c r="AF90" s="47"/>
      <c r="AG90" s="47"/>
      <c r="AH90" s="47"/>
      <c r="AI90" s="46"/>
      <c r="AJ90" s="46"/>
      <c r="AK90" s="46"/>
      <c r="AL90" s="7"/>
      <c r="AM90" s="49" t="str">
        <f aca="false">IF(OR(C90="",G90=""),"",IFERROR(DATEDIF(C90,G90,"m"),""))</f>
        <v/>
      </c>
      <c r="AN90" s="49" t="str">
        <f aca="false">IF(OR(Q90="",AM90=""),"",60+2*Q90-AM90)</f>
        <v/>
      </c>
      <c r="AO90" s="49" t="str">
        <f aca="false">IF(OR(G90="",AJ90=""),"",AJ90-G90)</f>
        <v/>
      </c>
      <c r="AP90" s="50" t="str">
        <f aca="false">IF(AND(A90="",B90=""),"",IF(J90="","Status needed",IF(OR(J90="Applied",J90="Visit booked",J90="Withdrawn"),"OK",IF(G90="","Date assessed needed",IF(C90="","Date of birth needed",IF(COUNTA(L90,M90,P90,U90,V90,X90,AB90)&lt;7,"Band missing",IF(AND(OR(J90="Decision confirmed",J90="Family told",J90="Enrolled"),AG90=""),"Recommendation needed",IF(AND(OR(J90="Family told",J90="Enrolled"),AJ90=""),"Date family told needed","OK"))))))))</f>
        <v/>
      </c>
    </row>
    <row r="91" customFormat="false" ht="15" hidden="false" customHeight="false" outlineLevel="0" collapsed="false">
      <c r="A91" s="7"/>
      <c r="B91" s="7"/>
      <c r="C91" s="46"/>
      <c r="D91" s="7"/>
      <c r="E91" s="47"/>
      <c r="F91" s="46"/>
      <c r="G91" s="46"/>
      <c r="H91" s="7"/>
      <c r="I91" s="7"/>
      <c r="J91" s="47"/>
      <c r="K91" s="47"/>
      <c r="L91" s="47"/>
      <c r="M91" s="47"/>
      <c r="N91" s="10"/>
      <c r="O91" s="47"/>
      <c r="P91" s="47"/>
      <c r="Q91" s="47"/>
      <c r="R91" s="48" t="str">
        <f aca="false">IF(Q91="","",IF(Q91=0,"below 5:00",IF(Q91&gt;=66,"16:00 or above",INT((60+2*Q91)/12)&amp;":"&amp;TEXT(MOD(60+2*Q91,12),"00"))))</f>
        <v/>
      </c>
      <c r="S91" s="47"/>
      <c r="T91" s="47"/>
      <c r="U91" s="47"/>
      <c r="V91" s="47"/>
      <c r="W91" s="47"/>
      <c r="X91" s="47"/>
      <c r="Y91" s="47"/>
      <c r="Z91" s="47"/>
      <c r="AA91" s="47"/>
      <c r="AB91" s="47"/>
      <c r="AC91" s="47"/>
      <c r="AD91" s="47"/>
      <c r="AE91" s="47"/>
      <c r="AF91" s="47"/>
      <c r="AG91" s="47"/>
      <c r="AH91" s="47"/>
      <c r="AI91" s="46"/>
      <c r="AJ91" s="46"/>
      <c r="AK91" s="46"/>
      <c r="AL91" s="7"/>
      <c r="AM91" s="49" t="str">
        <f aca="false">IF(OR(C91="",G91=""),"",IFERROR(DATEDIF(C91,G91,"m"),""))</f>
        <v/>
      </c>
      <c r="AN91" s="49" t="str">
        <f aca="false">IF(OR(Q91="",AM91=""),"",60+2*Q91-AM91)</f>
        <v/>
      </c>
      <c r="AO91" s="49" t="str">
        <f aca="false">IF(OR(G91="",AJ91=""),"",AJ91-G91)</f>
        <v/>
      </c>
      <c r="AP91" s="50" t="str">
        <f aca="false">IF(AND(A91="",B91=""),"",IF(J91="","Status needed",IF(OR(J91="Applied",J91="Visit booked",J91="Withdrawn"),"OK",IF(G91="","Date assessed needed",IF(C91="","Date of birth needed",IF(COUNTA(L91,M91,P91,U91,V91,X91,AB91)&lt;7,"Band missing",IF(AND(OR(J91="Decision confirmed",J91="Family told",J91="Enrolled"),AG91=""),"Recommendation needed",IF(AND(OR(J91="Family told",J91="Enrolled"),AJ91=""),"Date family told needed","OK"))))))))</f>
        <v/>
      </c>
    </row>
    <row r="92" customFormat="false" ht="15" hidden="false" customHeight="false" outlineLevel="0" collapsed="false">
      <c r="A92" s="7"/>
      <c r="B92" s="7"/>
      <c r="C92" s="46"/>
      <c r="D92" s="7"/>
      <c r="E92" s="47"/>
      <c r="F92" s="46"/>
      <c r="G92" s="46"/>
      <c r="H92" s="7"/>
      <c r="I92" s="7"/>
      <c r="J92" s="47"/>
      <c r="K92" s="47"/>
      <c r="L92" s="47"/>
      <c r="M92" s="47"/>
      <c r="N92" s="10"/>
      <c r="O92" s="47"/>
      <c r="P92" s="47"/>
      <c r="Q92" s="47"/>
      <c r="R92" s="48" t="str">
        <f aca="false">IF(Q92="","",IF(Q92=0,"below 5:00",IF(Q92&gt;=66,"16:00 or above",INT((60+2*Q92)/12)&amp;":"&amp;TEXT(MOD(60+2*Q92,12),"00"))))</f>
        <v/>
      </c>
      <c r="S92" s="47"/>
      <c r="T92" s="47"/>
      <c r="U92" s="47"/>
      <c r="V92" s="47"/>
      <c r="W92" s="47"/>
      <c r="X92" s="47"/>
      <c r="Y92" s="47"/>
      <c r="Z92" s="47"/>
      <c r="AA92" s="47"/>
      <c r="AB92" s="47"/>
      <c r="AC92" s="47"/>
      <c r="AD92" s="47"/>
      <c r="AE92" s="47"/>
      <c r="AF92" s="47"/>
      <c r="AG92" s="47"/>
      <c r="AH92" s="47"/>
      <c r="AI92" s="46"/>
      <c r="AJ92" s="46"/>
      <c r="AK92" s="46"/>
      <c r="AL92" s="7"/>
      <c r="AM92" s="49" t="str">
        <f aca="false">IF(OR(C92="",G92=""),"",IFERROR(DATEDIF(C92,G92,"m"),""))</f>
        <v/>
      </c>
      <c r="AN92" s="49" t="str">
        <f aca="false">IF(OR(Q92="",AM92=""),"",60+2*Q92-AM92)</f>
        <v/>
      </c>
      <c r="AO92" s="49" t="str">
        <f aca="false">IF(OR(G92="",AJ92=""),"",AJ92-G92)</f>
        <v/>
      </c>
      <c r="AP92" s="50" t="str">
        <f aca="false">IF(AND(A92="",B92=""),"",IF(J92="","Status needed",IF(OR(J92="Applied",J92="Visit booked",J92="Withdrawn"),"OK",IF(G92="","Date assessed needed",IF(C92="","Date of birth needed",IF(COUNTA(L92,M92,P92,U92,V92,X92,AB92)&lt;7,"Band missing",IF(AND(OR(J92="Decision confirmed",J92="Family told",J92="Enrolled"),AG92=""),"Recommendation needed",IF(AND(OR(J92="Family told",J92="Enrolled"),AJ92=""),"Date family told needed","OK"))))))))</f>
        <v/>
      </c>
    </row>
    <row r="93" customFormat="false" ht="15" hidden="false" customHeight="false" outlineLevel="0" collapsed="false">
      <c r="A93" s="7"/>
      <c r="B93" s="7"/>
      <c r="C93" s="46"/>
      <c r="D93" s="7"/>
      <c r="E93" s="47"/>
      <c r="F93" s="46"/>
      <c r="G93" s="46"/>
      <c r="H93" s="7"/>
      <c r="I93" s="7"/>
      <c r="J93" s="47"/>
      <c r="K93" s="47"/>
      <c r="L93" s="47"/>
      <c r="M93" s="47"/>
      <c r="N93" s="10"/>
      <c r="O93" s="47"/>
      <c r="P93" s="47"/>
      <c r="Q93" s="47"/>
      <c r="R93" s="48" t="str">
        <f aca="false">IF(Q93="","",IF(Q93=0,"below 5:00",IF(Q93&gt;=66,"16:00 or above",INT((60+2*Q93)/12)&amp;":"&amp;TEXT(MOD(60+2*Q93,12),"00"))))</f>
        <v/>
      </c>
      <c r="S93" s="47"/>
      <c r="T93" s="47"/>
      <c r="U93" s="47"/>
      <c r="V93" s="47"/>
      <c r="W93" s="47"/>
      <c r="X93" s="47"/>
      <c r="Y93" s="47"/>
      <c r="Z93" s="47"/>
      <c r="AA93" s="47"/>
      <c r="AB93" s="47"/>
      <c r="AC93" s="47"/>
      <c r="AD93" s="47"/>
      <c r="AE93" s="47"/>
      <c r="AF93" s="47"/>
      <c r="AG93" s="47"/>
      <c r="AH93" s="47"/>
      <c r="AI93" s="46"/>
      <c r="AJ93" s="46"/>
      <c r="AK93" s="46"/>
      <c r="AL93" s="7"/>
      <c r="AM93" s="49" t="str">
        <f aca="false">IF(OR(C93="",G93=""),"",IFERROR(DATEDIF(C93,G93,"m"),""))</f>
        <v/>
      </c>
      <c r="AN93" s="49" t="str">
        <f aca="false">IF(OR(Q93="",AM93=""),"",60+2*Q93-AM93)</f>
        <v/>
      </c>
      <c r="AO93" s="49" t="str">
        <f aca="false">IF(OR(G93="",AJ93=""),"",AJ93-G93)</f>
        <v/>
      </c>
      <c r="AP93" s="50" t="str">
        <f aca="false">IF(AND(A93="",B93=""),"",IF(J93="","Status needed",IF(OR(J93="Applied",J93="Visit booked",J93="Withdrawn"),"OK",IF(G93="","Date assessed needed",IF(C93="","Date of birth needed",IF(COUNTA(L93,M93,P93,U93,V93,X93,AB93)&lt;7,"Band missing",IF(AND(OR(J93="Decision confirmed",J93="Family told",J93="Enrolled"),AG93=""),"Recommendation needed",IF(AND(OR(J93="Family told",J93="Enrolled"),AJ93=""),"Date family told needed","OK"))))))))</f>
        <v/>
      </c>
    </row>
    <row r="94" customFormat="false" ht="15" hidden="false" customHeight="false" outlineLevel="0" collapsed="false">
      <c r="A94" s="7"/>
      <c r="B94" s="7"/>
      <c r="C94" s="46"/>
      <c r="D94" s="7"/>
      <c r="E94" s="47"/>
      <c r="F94" s="46"/>
      <c r="G94" s="46"/>
      <c r="H94" s="7"/>
      <c r="I94" s="7"/>
      <c r="J94" s="47"/>
      <c r="K94" s="47"/>
      <c r="L94" s="47"/>
      <c r="M94" s="47"/>
      <c r="N94" s="10"/>
      <c r="O94" s="47"/>
      <c r="P94" s="47"/>
      <c r="Q94" s="47"/>
      <c r="R94" s="48" t="str">
        <f aca="false">IF(Q94="","",IF(Q94=0,"below 5:00",IF(Q94&gt;=66,"16:00 or above",INT((60+2*Q94)/12)&amp;":"&amp;TEXT(MOD(60+2*Q94,12),"00"))))</f>
        <v/>
      </c>
      <c r="S94" s="47"/>
      <c r="T94" s="47"/>
      <c r="U94" s="47"/>
      <c r="V94" s="47"/>
      <c r="W94" s="47"/>
      <c r="X94" s="47"/>
      <c r="Y94" s="47"/>
      <c r="Z94" s="47"/>
      <c r="AA94" s="47"/>
      <c r="AB94" s="47"/>
      <c r="AC94" s="47"/>
      <c r="AD94" s="47"/>
      <c r="AE94" s="47"/>
      <c r="AF94" s="47"/>
      <c r="AG94" s="47"/>
      <c r="AH94" s="47"/>
      <c r="AI94" s="46"/>
      <c r="AJ94" s="46"/>
      <c r="AK94" s="46"/>
      <c r="AL94" s="7"/>
      <c r="AM94" s="49" t="str">
        <f aca="false">IF(OR(C94="",G94=""),"",IFERROR(DATEDIF(C94,G94,"m"),""))</f>
        <v/>
      </c>
      <c r="AN94" s="49" t="str">
        <f aca="false">IF(OR(Q94="",AM94=""),"",60+2*Q94-AM94)</f>
        <v/>
      </c>
      <c r="AO94" s="49" t="str">
        <f aca="false">IF(OR(G94="",AJ94=""),"",AJ94-G94)</f>
        <v/>
      </c>
      <c r="AP94" s="50" t="str">
        <f aca="false">IF(AND(A94="",B94=""),"",IF(J94="","Status needed",IF(OR(J94="Applied",J94="Visit booked",J94="Withdrawn"),"OK",IF(G94="","Date assessed needed",IF(C94="","Date of birth needed",IF(COUNTA(L94,M94,P94,U94,V94,X94,AB94)&lt;7,"Band missing",IF(AND(OR(J94="Decision confirmed",J94="Family told",J94="Enrolled"),AG94=""),"Recommendation needed",IF(AND(OR(J94="Family told",J94="Enrolled"),AJ94=""),"Date family told needed","OK"))))))))</f>
        <v/>
      </c>
    </row>
    <row r="95" customFormat="false" ht="15" hidden="false" customHeight="false" outlineLevel="0" collapsed="false">
      <c r="A95" s="7"/>
      <c r="B95" s="7"/>
      <c r="C95" s="46"/>
      <c r="D95" s="7"/>
      <c r="E95" s="47"/>
      <c r="F95" s="46"/>
      <c r="G95" s="46"/>
      <c r="H95" s="7"/>
      <c r="I95" s="7"/>
      <c r="J95" s="47"/>
      <c r="K95" s="47"/>
      <c r="L95" s="47"/>
      <c r="M95" s="47"/>
      <c r="N95" s="10"/>
      <c r="O95" s="47"/>
      <c r="P95" s="47"/>
      <c r="Q95" s="47"/>
      <c r="R95" s="48" t="str">
        <f aca="false">IF(Q95="","",IF(Q95=0,"below 5:00",IF(Q95&gt;=66,"16:00 or above",INT((60+2*Q95)/12)&amp;":"&amp;TEXT(MOD(60+2*Q95,12),"00"))))</f>
        <v/>
      </c>
      <c r="S95" s="47"/>
      <c r="T95" s="47"/>
      <c r="U95" s="47"/>
      <c r="V95" s="47"/>
      <c r="W95" s="47"/>
      <c r="X95" s="47"/>
      <c r="Y95" s="47"/>
      <c r="Z95" s="47"/>
      <c r="AA95" s="47"/>
      <c r="AB95" s="47"/>
      <c r="AC95" s="47"/>
      <c r="AD95" s="47"/>
      <c r="AE95" s="47"/>
      <c r="AF95" s="47"/>
      <c r="AG95" s="47"/>
      <c r="AH95" s="47"/>
      <c r="AI95" s="46"/>
      <c r="AJ95" s="46"/>
      <c r="AK95" s="46"/>
      <c r="AL95" s="7"/>
      <c r="AM95" s="49" t="str">
        <f aca="false">IF(OR(C95="",G95=""),"",IFERROR(DATEDIF(C95,G95,"m"),""))</f>
        <v/>
      </c>
      <c r="AN95" s="49" t="str">
        <f aca="false">IF(OR(Q95="",AM95=""),"",60+2*Q95-AM95)</f>
        <v/>
      </c>
      <c r="AO95" s="49" t="str">
        <f aca="false">IF(OR(G95="",AJ95=""),"",AJ95-G95)</f>
        <v/>
      </c>
      <c r="AP95" s="50" t="str">
        <f aca="false">IF(AND(A95="",B95=""),"",IF(J95="","Status needed",IF(OR(J95="Applied",J95="Visit booked",J95="Withdrawn"),"OK",IF(G95="","Date assessed needed",IF(C95="","Date of birth needed",IF(COUNTA(L95,M95,P95,U95,V95,X95,AB95)&lt;7,"Band missing",IF(AND(OR(J95="Decision confirmed",J95="Family told",J95="Enrolled"),AG95=""),"Recommendation needed",IF(AND(OR(J95="Family told",J95="Enrolled"),AJ95=""),"Date family told needed","OK"))))))))</f>
        <v/>
      </c>
    </row>
    <row r="96" customFormat="false" ht="15" hidden="false" customHeight="false" outlineLevel="0" collapsed="false">
      <c r="A96" s="7"/>
      <c r="B96" s="7"/>
      <c r="C96" s="46"/>
      <c r="D96" s="7"/>
      <c r="E96" s="47"/>
      <c r="F96" s="46"/>
      <c r="G96" s="46"/>
      <c r="H96" s="7"/>
      <c r="I96" s="7"/>
      <c r="J96" s="47"/>
      <c r="K96" s="47"/>
      <c r="L96" s="47"/>
      <c r="M96" s="47"/>
      <c r="N96" s="10"/>
      <c r="O96" s="47"/>
      <c r="P96" s="47"/>
      <c r="Q96" s="47"/>
      <c r="R96" s="48" t="str">
        <f aca="false">IF(Q96="","",IF(Q96=0,"below 5:00",IF(Q96&gt;=66,"16:00 or above",INT((60+2*Q96)/12)&amp;":"&amp;TEXT(MOD(60+2*Q96,12),"00"))))</f>
        <v/>
      </c>
      <c r="S96" s="47"/>
      <c r="T96" s="47"/>
      <c r="U96" s="47"/>
      <c r="V96" s="47"/>
      <c r="W96" s="47"/>
      <c r="X96" s="47"/>
      <c r="Y96" s="47"/>
      <c r="Z96" s="47"/>
      <c r="AA96" s="47"/>
      <c r="AB96" s="47"/>
      <c r="AC96" s="47"/>
      <c r="AD96" s="47"/>
      <c r="AE96" s="47"/>
      <c r="AF96" s="47"/>
      <c r="AG96" s="47"/>
      <c r="AH96" s="47"/>
      <c r="AI96" s="46"/>
      <c r="AJ96" s="46"/>
      <c r="AK96" s="46"/>
      <c r="AL96" s="7"/>
      <c r="AM96" s="49" t="str">
        <f aca="false">IF(OR(C96="",G96=""),"",IFERROR(DATEDIF(C96,G96,"m"),""))</f>
        <v/>
      </c>
      <c r="AN96" s="49" t="str">
        <f aca="false">IF(OR(Q96="",AM96=""),"",60+2*Q96-AM96)</f>
        <v/>
      </c>
      <c r="AO96" s="49" t="str">
        <f aca="false">IF(OR(G96="",AJ96=""),"",AJ96-G96)</f>
        <v/>
      </c>
      <c r="AP96" s="50" t="str">
        <f aca="false">IF(AND(A96="",B96=""),"",IF(J96="","Status needed",IF(OR(J96="Applied",J96="Visit booked",J96="Withdrawn"),"OK",IF(G96="","Date assessed needed",IF(C96="","Date of birth needed",IF(COUNTA(L96,M96,P96,U96,V96,X96,AB96)&lt;7,"Band missing",IF(AND(OR(J96="Decision confirmed",J96="Family told",J96="Enrolled"),AG96=""),"Recommendation needed",IF(AND(OR(J96="Family told",J96="Enrolled"),AJ96=""),"Date family told needed","OK"))))))))</f>
        <v/>
      </c>
    </row>
    <row r="97" customFormat="false" ht="15" hidden="false" customHeight="false" outlineLevel="0" collapsed="false">
      <c r="A97" s="7"/>
      <c r="B97" s="7"/>
      <c r="C97" s="46"/>
      <c r="D97" s="7"/>
      <c r="E97" s="47"/>
      <c r="F97" s="46"/>
      <c r="G97" s="46"/>
      <c r="H97" s="7"/>
      <c r="I97" s="7"/>
      <c r="J97" s="47"/>
      <c r="K97" s="47"/>
      <c r="L97" s="47"/>
      <c r="M97" s="47"/>
      <c r="N97" s="10"/>
      <c r="O97" s="47"/>
      <c r="P97" s="47"/>
      <c r="Q97" s="47"/>
      <c r="R97" s="48" t="str">
        <f aca="false">IF(Q97="","",IF(Q97=0,"below 5:00",IF(Q97&gt;=66,"16:00 or above",INT((60+2*Q97)/12)&amp;":"&amp;TEXT(MOD(60+2*Q97,12),"00"))))</f>
        <v/>
      </c>
      <c r="S97" s="47"/>
      <c r="T97" s="47"/>
      <c r="U97" s="47"/>
      <c r="V97" s="47"/>
      <c r="W97" s="47"/>
      <c r="X97" s="47"/>
      <c r="Y97" s="47"/>
      <c r="Z97" s="47"/>
      <c r="AA97" s="47"/>
      <c r="AB97" s="47"/>
      <c r="AC97" s="47"/>
      <c r="AD97" s="47"/>
      <c r="AE97" s="47"/>
      <c r="AF97" s="47"/>
      <c r="AG97" s="47"/>
      <c r="AH97" s="47"/>
      <c r="AI97" s="46"/>
      <c r="AJ97" s="46"/>
      <c r="AK97" s="46"/>
      <c r="AL97" s="7"/>
      <c r="AM97" s="49" t="str">
        <f aca="false">IF(OR(C97="",G97=""),"",IFERROR(DATEDIF(C97,G97,"m"),""))</f>
        <v/>
      </c>
      <c r="AN97" s="49" t="str">
        <f aca="false">IF(OR(Q97="",AM97=""),"",60+2*Q97-AM97)</f>
        <v/>
      </c>
      <c r="AO97" s="49" t="str">
        <f aca="false">IF(OR(G97="",AJ97=""),"",AJ97-G97)</f>
        <v/>
      </c>
      <c r="AP97" s="50" t="str">
        <f aca="false">IF(AND(A97="",B97=""),"",IF(J97="","Status needed",IF(OR(J97="Applied",J97="Visit booked",J97="Withdrawn"),"OK",IF(G97="","Date assessed needed",IF(C97="","Date of birth needed",IF(COUNTA(L97,M97,P97,U97,V97,X97,AB97)&lt;7,"Band missing",IF(AND(OR(J97="Decision confirmed",J97="Family told",J97="Enrolled"),AG97=""),"Recommendation needed",IF(AND(OR(J97="Family told",J97="Enrolled"),AJ97=""),"Date family told needed","OK"))))))))</f>
        <v/>
      </c>
    </row>
    <row r="98" customFormat="false" ht="15" hidden="false" customHeight="false" outlineLevel="0" collapsed="false">
      <c r="A98" s="7"/>
      <c r="B98" s="7"/>
      <c r="C98" s="46"/>
      <c r="D98" s="7"/>
      <c r="E98" s="47"/>
      <c r="F98" s="46"/>
      <c r="G98" s="46"/>
      <c r="H98" s="7"/>
      <c r="I98" s="7"/>
      <c r="J98" s="47"/>
      <c r="K98" s="47"/>
      <c r="L98" s="47"/>
      <c r="M98" s="47"/>
      <c r="N98" s="10"/>
      <c r="O98" s="47"/>
      <c r="P98" s="47"/>
      <c r="Q98" s="47"/>
      <c r="R98" s="48" t="str">
        <f aca="false">IF(Q98="","",IF(Q98=0,"below 5:00",IF(Q98&gt;=66,"16:00 or above",INT((60+2*Q98)/12)&amp;":"&amp;TEXT(MOD(60+2*Q98,12),"00"))))</f>
        <v/>
      </c>
      <c r="S98" s="47"/>
      <c r="T98" s="47"/>
      <c r="U98" s="47"/>
      <c r="V98" s="47"/>
      <c r="W98" s="47"/>
      <c r="X98" s="47"/>
      <c r="Y98" s="47"/>
      <c r="Z98" s="47"/>
      <c r="AA98" s="47"/>
      <c r="AB98" s="47"/>
      <c r="AC98" s="47"/>
      <c r="AD98" s="47"/>
      <c r="AE98" s="47"/>
      <c r="AF98" s="47"/>
      <c r="AG98" s="47"/>
      <c r="AH98" s="47"/>
      <c r="AI98" s="46"/>
      <c r="AJ98" s="46"/>
      <c r="AK98" s="46"/>
      <c r="AL98" s="7"/>
      <c r="AM98" s="49" t="str">
        <f aca="false">IF(OR(C98="",G98=""),"",IFERROR(DATEDIF(C98,G98,"m"),""))</f>
        <v/>
      </c>
      <c r="AN98" s="49" t="str">
        <f aca="false">IF(OR(Q98="",AM98=""),"",60+2*Q98-AM98)</f>
        <v/>
      </c>
      <c r="AO98" s="49" t="str">
        <f aca="false">IF(OR(G98="",AJ98=""),"",AJ98-G98)</f>
        <v/>
      </c>
      <c r="AP98" s="50" t="str">
        <f aca="false">IF(AND(A98="",B98=""),"",IF(J98="","Status needed",IF(OR(J98="Applied",J98="Visit booked",J98="Withdrawn"),"OK",IF(G98="","Date assessed needed",IF(C98="","Date of birth needed",IF(COUNTA(L98,M98,P98,U98,V98,X98,AB98)&lt;7,"Band missing",IF(AND(OR(J98="Decision confirmed",J98="Family told",J98="Enrolled"),AG98=""),"Recommendation needed",IF(AND(OR(J98="Family told",J98="Enrolled"),AJ98=""),"Date family told needed","OK"))))))))</f>
        <v/>
      </c>
    </row>
    <row r="99" customFormat="false" ht="15" hidden="false" customHeight="false" outlineLevel="0" collapsed="false">
      <c r="A99" s="7"/>
      <c r="B99" s="7"/>
      <c r="C99" s="46"/>
      <c r="D99" s="7"/>
      <c r="E99" s="47"/>
      <c r="F99" s="46"/>
      <c r="G99" s="46"/>
      <c r="H99" s="7"/>
      <c r="I99" s="7"/>
      <c r="J99" s="47"/>
      <c r="K99" s="47"/>
      <c r="L99" s="47"/>
      <c r="M99" s="47"/>
      <c r="N99" s="10"/>
      <c r="O99" s="47"/>
      <c r="P99" s="47"/>
      <c r="Q99" s="47"/>
      <c r="R99" s="48" t="str">
        <f aca="false">IF(Q99="","",IF(Q99=0,"below 5:00",IF(Q99&gt;=66,"16:00 or above",INT((60+2*Q99)/12)&amp;":"&amp;TEXT(MOD(60+2*Q99,12),"00"))))</f>
        <v/>
      </c>
      <c r="S99" s="47"/>
      <c r="T99" s="47"/>
      <c r="U99" s="47"/>
      <c r="V99" s="47"/>
      <c r="W99" s="47"/>
      <c r="X99" s="47"/>
      <c r="Y99" s="47"/>
      <c r="Z99" s="47"/>
      <c r="AA99" s="47"/>
      <c r="AB99" s="47"/>
      <c r="AC99" s="47"/>
      <c r="AD99" s="47"/>
      <c r="AE99" s="47"/>
      <c r="AF99" s="47"/>
      <c r="AG99" s="47"/>
      <c r="AH99" s="47"/>
      <c r="AI99" s="46"/>
      <c r="AJ99" s="46"/>
      <c r="AK99" s="46"/>
      <c r="AL99" s="7"/>
      <c r="AM99" s="49" t="str">
        <f aca="false">IF(OR(C99="",G99=""),"",IFERROR(DATEDIF(C99,G99,"m"),""))</f>
        <v/>
      </c>
      <c r="AN99" s="49" t="str">
        <f aca="false">IF(OR(Q99="",AM99=""),"",60+2*Q99-AM99)</f>
        <v/>
      </c>
      <c r="AO99" s="49" t="str">
        <f aca="false">IF(OR(G99="",AJ99=""),"",AJ99-G99)</f>
        <v/>
      </c>
      <c r="AP99" s="50" t="str">
        <f aca="false">IF(AND(A99="",B99=""),"",IF(J99="","Status needed",IF(OR(J99="Applied",J99="Visit booked",J99="Withdrawn"),"OK",IF(G99="","Date assessed needed",IF(C99="","Date of birth needed",IF(COUNTA(L99,M99,P99,U99,V99,X99,AB99)&lt;7,"Band missing",IF(AND(OR(J99="Decision confirmed",J99="Family told",J99="Enrolled"),AG99=""),"Recommendation needed",IF(AND(OR(J99="Family told",J99="Enrolled"),AJ99=""),"Date family told needed","OK"))))))))</f>
        <v/>
      </c>
    </row>
    <row r="100" customFormat="false" ht="15" hidden="false" customHeight="false" outlineLevel="0" collapsed="false">
      <c r="A100" s="7"/>
      <c r="B100" s="7"/>
      <c r="C100" s="46"/>
      <c r="D100" s="7"/>
      <c r="E100" s="47"/>
      <c r="F100" s="46"/>
      <c r="G100" s="46"/>
      <c r="H100" s="7"/>
      <c r="I100" s="7"/>
      <c r="J100" s="47"/>
      <c r="K100" s="47"/>
      <c r="L100" s="47"/>
      <c r="M100" s="47"/>
      <c r="N100" s="10"/>
      <c r="O100" s="47"/>
      <c r="P100" s="47"/>
      <c r="Q100" s="47"/>
      <c r="R100" s="48" t="str">
        <f aca="false">IF(Q100="","",IF(Q100=0,"below 5:00",IF(Q100&gt;=66,"16:00 or above",INT((60+2*Q100)/12)&amp;":"&amp;TEXT(MOD(60+2*Q100,12),"00"))))</f>
        <v/>
      </c>
      <c r="S100" s="47"/>
      <c r="T100" s="47"/>
      <c r="U100" s="47"/>
      <c r="V100" s="47"/>
      <c r="W100" s="47"/>
      <c r="X100" s="47"/>
      <c r="Y100" s="47"/>
      <c r="Z100" s="47"/>
      <c r="AA100" s="47"/>
      <c r="AB100" s="47"/>
      <c r="AC100" s="47"/>
      <c r="AD100" s="47"/>
      <c r="AE100" s="47"/>
      <c r="AF100" s="47"/>
      <c r="AG100" s="47"/>
      <c r="AH100" s="47"/>
      <c r="AI100" s="46"/>
      <c r="AJ100" s="46"/>
      <c r="AK100" s="46"/>
      <c r="AL100" s="7"/>
      <c r="AM100" s="49" t="str">
        <f aca="false">IF(OR(C100="",G100=""),"",IFERROR(DATEDIF(C100,G100,"m"),""))</f>
        <v/>
      </c>
      <c r="AN100" s="49" t="str">
        <f aca="false">IF(OR(Q100="",AM100=""),"",60+2*Q100-AM100)</f>
        <v/>
      </c>
      <c r="AO100" s="49" t="str">
        <f aca="false">IF(OR(G100="",AJ100=""),"",AJ100-G100)</f>
        <v/>
      </c>
      <c r="AP100" s="50" t="str">
        <f aca="false">IF(AND(A100="",B100=""),"",IF(J100="","Status needed",IF(OR(J100="Applied",J100="Visit booked",J100="Withdrawn"),"OK",IF(G100="","Date assessed needed",IF(C100="","Date of birth needed",IF(COUNTA(L100,M100,P100,U100,V100,X100,AB100)&lt;7,"Band missing",IF(AND(OR(J100="Decision confirmed",J100="Family told",J100="Enrolled"),AG100=""),"Recommendation needed",IF(AND(OR(J100="Family told",J100="Enrolled"),AJ100=""),"Date family told needed","OK"))))))))</f>
        <v/>
      </c>
    </row>
    <row r="101" customFormat="false" ht="15" hidden="false" customHeight="false" outlineLevel="0" collapsed="false">
      <c r="A101" s="7"/>
      <c r="B101" s="7"/>
      <c r="C101" s="46"/>
      <c r="D101" s="7"/>
      <c r="E101" s="47"/>
      <c r="F101" s="46"/>
      <c r="G101" s="46"/>
      <c r="H101" s="7"/>
      <c r="I101" s="7"/>
      <c r="J101" s="47"/>
      <c r="K101" s="47"/>
      <c r="L101" s="47"/>
      <c r="M101" s="47"/>
      <c r="N101" s="10"/>
      <c r="O101" s="47"/>
      <c r="P101" s="47"/>
      <c r="Q101" s="47"/>
      <c r="R101" s="48" t="str">
        <f aca="false">IF(Q101="","",IF(Q101=0,"below 5:00",IF(Q101&gt;=66,"16:00 or above",INT((60+2*Q101)/12)&amp;":"&amp;TEXT(MOD(60+2*Q101,12),"00"))))</f>
        <v/>
      </c>
      <c r="S101" s="47"/>
      <c r="T101" s="47"/>
      <c r="U101" s="47"/>
      <c r="V101" s="47"/>
      <c r="W101" s="47"/>
      <c r="X101" s="47"/>
      <c r="Y101" s="47"/>
      <c r="Z101" s="47"/>
      <c r="AA101" s="47"/>
      <c r="AB101" s="47"/>
      <c r="AC101" s="47"/>
      <c r="AD101" s="47"/>
      <c r="AE101" s="47"/>
      <c r="AF101" s="47"/>
      <c r="AG101" s="47"/>
      <c r="AH101" s="47"/>
      <c r="AI101" s="46"/>
      <c r="AJ101" s="46"/>
      <c r="AK101" s="46"/>
      <c r="AL101" s="7"/>
      <c r="AM101" s="49" t="str">
        <f aca="false">IF(OR(C101="",G101=""),"",IFERROR(DATEDIF(C101,G101,"m"),""))</f>
        <v/>
      </c>
      <c r="AN101" s="49" t="str">
        <f aca="false">IF(OR(Q101="",AM101=""),"",60+2*Q101-AM101)</f>
        <v/>
      </c>
      <c r="AO101" s="49" t="str">
        <f aca="false">IF(OR(G101="",AJ101=""),"",AJ101-G101)</f>
        <v/>
      </c>
      <c r="AP101" s="50" t="str">
        <f aca="false">IF(AND(A101="",B101=""),"",IF(J101="","Status needed",IF(OR(J101="Applied",J101="Visit booked",J101="Withdrawn"),"OK",IF(G101="","Date assessed needed",IF(C101="","Date of birth needed",IF(COUNTA(L101,M101,P101,U101,V101,X101,AB101)&lt;7,"Band missing",IF(AND(OR(J101="Decision confirmed",J101="Family told",J101="Enrolled"),AG101=""),"Recommendation needed",IF(AND(OR(J101="Family told",J101="Enrolled"),AJ101=""),"Date family told needed","OK"))))))))</f>
        <v/>
      </c>
    </row>
    <row r="102" customFormat="false" ht="15" hidden="false" customHeight="false" outlineLevel="0" collapsed="false">
      <c r="A102" s="7"/>
      <c r="B102" s="7"/>
      <c r="C102" s="46"/>
      <c r="D102" s="7"/>
      <c r="E102" s="47"/>
      <c r="F102" s="46"/>
      <c r="G102" s="46"/>
      <c r="H102" s="7"/>
      <c r="I102" s="7"/>
      <c r="J102" s="47"/>
      <c r="K102" s="47"/>
      <c r="L102" s="47"/>
      <c r="M102" s="47"/>
      <c r="N102" s="10"/>
      <c r="O102" s="47"/>
      <c r="P102" s="47"/>
      <c r="Q102" s="47"/>
      <c r="R102" s="48" t="str">
        <f aca="false">IF(Q102="","",IF(Q102=0,"below 5:00",IF(Q102&gt;=66,"16:00 or above",INT((60+2*Q102)/12)&amp;":"&amp;TEXT(MOD(60+2*Q102,12),"00"))))</f>
        <v/>
      </c>
      <c r="S102" s="47"/>
      <c r="T102" s="47"/>
      <c r="U102" s="47"/>
      <c r="V102" s="47"/>
      <c r="W102" s="47"/>
      <c r="X102" s="47"/>
      <c r="Y102" s="47"/>
      <c r="Z102" s="47"/>
      <c r="AA102" s="47"/>
      <c r="AB102" s="47"/>
      <c r="AC102" s="47"/>
      <c r="AD102" s="47"/>
      <c r="AE102" s="47"/>
      <c r="AF102" s="47"/>
      <c r="AG102" s="47"/>
      <c r="AH102" s="47"/>
      <c r="AI102" s="46"/>
      <c r="AJ102" s="46"/>
      <c r="AK102" s="46"/>
      <c r="AL102" s="7"/>
      <c r="AM102" s="49" t="str">
        <f aca="false">IF(OR(C102="",G102=""),"",IFERROR(DATEDIF(C102,G102,"m"),""))</f>
        <v/>
      </c>
      <c r="AN102" s="49" t="str">
        <f aca="false">IF(OR(Q102="",AM102=""),"",60+2*Q102-AM102)</f>
        <v/>
      </c>
      <c r="AO102" s="49" t="str">
        <f aca="false">IF(OR(G102="",AJ102=""),"",AJ102-G102)</f>
        <v/>
      </c>
      <c r="AP102" s="50" t="str">
        <f aca="false">IF(AND(A102="",B102=""),"",IF(J102="","Status needed",IF(OR(J102="Applied",J102="Visit booked",J102="Withdrawn"),"OK",IF(G102="","Date assessed needed",IF(C102="","Date of birth needed",IF(COUNTA(L102,M102,P102,U102,V102,X102,AB102)&lt;7,"Band missing",IF(AND(OR(J102="Decision confirmed",J102="Family told",J102="Enrolled"),AG102=""),"Recommendation needed",IF(AND(OR(J102="Family told",J102="Enrolled"),AJ102=""),"Date family told needed","OK"))))))))</f>
        <v/>
      </c>
    </row>
    <row r="103" customFormat="false" ht="15" hidden="false" customHeight="false" outlineLevel="0" collapsed="false">
      <c r="A103" s="7"/>
      <c r="B103" s="7"/>
      <c r="C103" s="46"/>
      <c r="D103" s="7"/>
      <c r="E103" s="47"/>
      <c r="F103" s="46"/>
      <c r="G103" s="46"/>
      <c r="H103" s="7"/>
      <c r="I103" s="7"/>
      <c r="J103" s="47"/>
      <c r="K103" s="47"/>
      <c r="L103" s="47"/>
      <c r="M103" s="47"/>
      <c r="N103" s="10"/>
      <c r="O103" s="47"/>
      <c r="P103" s="47"/>
      <c r="Q103" s="47"/>
      <c r="R103" s="48" t="str">
        <f aca="false">IF(Q103="","",IF(Q103=0,"below 5:00",IF(Q103&gt;=66,"16:00 or above",INT((60+2*Q103)/12)&amp;":"&amp;TEXT(MOD(60+2*Q103,12),"00"))))</f>
        <v/>
      </c>
      <c r="S103" s="47"/>
      <c r="T103" s="47"/>
      <c r="U103" s="47"/>
      <c r="V103" s="47"/>
      <c r="W103" s="47"/>
      <c r="X103" s="47"/>
      <c r="Y103" s="47"/>
      <c r="Z103" s="47"/>
      <c r="AA103" s="47"/>
      <c r="AB103" s="47"/>
      <c r="AC103" s="47"/>
      <c r="AD103" s="47"/>
      <c r="AE103" s="47"/>
      <c r="AF103" s="47"/>
      <c r="AG103" s="47"/>
      <c r="AH103" s="47"/>
      <c r="AI103" s="46"/>
      <c r="AJ103" s="46"/>
      <c r="AK103" s="46"/>
      <c r="AL103" s="7"/>
      <c r="AM103" s="49" t="str">
        <f aca="false">IF(OR(C103="",G103=""),"",IFERROR(DATEDIF(C103,G103,"m"),""))</f>
        <v/>
      </c>
      <c r="AN103" s="49" t="str">
        <f aca="false">IF(OR(Q103="",AM103=""),"",60+2*Q103-AM103)</f>
        <v/>
      </c>
      <c r="AO103" s="49" t="str">
        <f aca="false">IF(OR(G103="",AJ103=""),"",AJ103-G103)</f>
        <v/>
      </c>
      <c r="AP103" s="50" t="str">
        <f aca="false">IF(AND(A103="",B103=""),"",IF(J103="","Status needed",IF(OR(J103="Applied",J103="Visit booked",J103="Withdrawn"),"OK",IF(G103="","Date assessed needed",IF(C103="","Date of birth needed",IF(COUNTA(L103,M103,P103,U103,V103,X103,AB103)&lt;7,"Band missing",IF(AND(OR(J103="Decision confirmed",J103="Family told",J103="Enrolled"),AG103=""),"Recommendation needed",IF(AND(OR(J103="Family told",J103="Enrolled"),AJ103=""),"Date family told needed","OK"))))))))</f>
        <v/>
      </c>
    </row>
    <row r="104" customFormat="false" ht="15" hidden="false" customHeight="false" outlineLevel="0" collapsed="false">
      <c r="A104" s="7"/>
      <c r="B104" s="7"/>
      <c r="C104" s="46"/>
      <c r="D104" s="7"/>
      <c r="E104" s="47"/>
      <c r="F104" s="46"/>
      <c r="G104" s="46"/>
      <c r="H104" s="7"/>
      <c r="I104" s="7"/>
      <c r="J104" s="47"/>
      <c r="K104" s="47"/>
      <c r="L104" s="47"/>
      <c r="M104" s="47"/>
      <c r="N104" s="10"/>
      <c r="O104" s="47"/>
      <c r="P104" s="47"/>
      <c r="Q104" s="47"/>
      <c r="R104" s="48" t="str">
        <f aca="false">IF(Q104="","",IF(Q104=0,"below 5:00",IF(Q104&gt;=66,"16:00 or above",INT((60+2*Q104)/12)&amp;":"&amp;TEXT(MOD(60+2*Q104,12),"00"))))</f>
        <v/>
      </c>
      <c r="S104" s="47"/>
      <c r="T104" s="47"/>
      <c r="U104" s="47"/>
      <c r="V104" s="47"/>
      <c r="W104" s="47"/>
      <c r="X104" s="47"/>
      <c r="Y104" s="47"/>
      <c r="Z104" s="47"/>
      <c r="AA104" s="47"/>
      <c r="AB104" s="47"/>
      <c r="AC104" s="47"/>
      <c r="AD104" s="47"/>
      <c r="AE104" s="47"/>
      <c r="AF104" s="47"/>
      <c r="AG104" s="47"/>
      <c r="AH104" s="47"/>
      <c r="AI104" s="46"/>
      <c r="AJ104" s="46"/>
      <c r="AK104" s="46"/>
      <c r="AL104" s="7"/>
      <c r="AM104" s="49" t="str">
        <f aca="false">IF(OR(C104="",G104=""),"",IFERROR(DATEDIF(C104,G104,"m"),""))</f>
        <v/>
      </c>
      <c r="AN104" s="49" t="str">
        <f aca="false">IF(OR(Q104="",AM104=""),"",60+2*Q104-AM104)</f>
        <v/>
      </c>
      <c r="AO104" s="49" t="str">
        <f aca="false">IF(OR(G104="",AJ104=""),"",AJ104-G104)</f>
        <v/>
      </c>
      <c r="AP104" s="50" t="str">
        <f aca="false">IF(AND(A104="",B104=""),"",IF(J104="","Status needed",IF(OR(J104="Applied",J104="Visit booked",J104="Withdrawn"),"OK",IF(G104="","Date assessed needed",IF(C104="","Date of birth needed",IF(COUNTA(L104,M104,P104,U104,V104,X104,AB104)&lt;7,"Band missing",IF(AND(OR(J104="Decision confirmed",J104="Family told",J104="Enrolled"),AG104=""),"Recommendation needed",IF(AND(OR(J104="Family told",J104="Enrolled"),AJ104=""),"Date family told needed","OK"))))))))</f>
        <v/>
      </c>
    </row>
    <row r="105" customFormat="false" ht="15" hidden="false" customHeight="false" outlineLevel="0" collapsed="false">
      <c r="A105" s="7"/>
      <c r="B105" s="7"/>
      <c r="C105" s="46"/>
      <c r="D105" s="7"/>
      <c r="E105" s="47"/>
      <c r="F105" s="46"/>
      <c r="G105" s="46"/>
      <c r="H105" s="7"/>
      <c r="I105" s="7"/>
      <c r="J105" s="47"/>
      <c r="K105" s="47"/>
      <c r="L105" s="47"/>
      <c r="M105" s="47"/>
      <c r="N105" s="10"/>
      <c r="O105" s="47"/>
      <c r="P105" s="47"/>
      <c r="Q105" s="47"/>
      <c r="R105" s="48" t="str">
        <f aca="false">IF(Q105="","",IF(Q105=0,"below 5:00",IF(Q105&gt;=66,"16:00 or above",INT((60+2*Q105)/12)&amp;":"&amp;TEXT(MOD(60+2*Q105,12),"00"))))</f>
        <v/>
      </c>
      <c r="S105" s="47"/>
      <c r="T105" s="47"/>
      <c r="U105" s="47"/>
      <c r="V105" s="47"/>
      <c r="W105" s="47"/>
      <c r="X105" s="47"/>
      <c r="Y105" s="47"/>
      <c r="Z105" s="47"/>
      <c r="AA105" s="47"/>
      <c r="AB105" s="47"/>
      <c r="AC105" s="47"/>
      <c r="AD105" s="47"/>
      <c r="AE105" s="47"/>
      <c r="AF105" s="47"/>
      <c r="AG105" s="47"/>
      <c r="AH105" s="47"/>
      <c r="AI105" s="46"/>
      <c r="AJ105" s="46"/>
      <c r="AK105" s="46"/>
      <c r="AL105" s="7"/>
      <c r="AM105" s="49" t="str">
        <f aca="false">IF(OR(C105="",G105=""),"",IFERROR(DATEDIF(C105,G105,"m"),""))</f>
        <v/>
      </c>
      <c r="AN105" s="49" t="str">
        <f aca="false">IF(OR(Q105="",AM105=""),"",60+2*Q105-AM105)</f>
        <v/>
      </c>
      <c r="AO105" s="49" t="str">
        <f aca="false">IF(OR(G105="",AJ105=""),"",AJ105-G105)</f>
        <v/>
      </c>
      <c r="AP105" s="50" t="str">
        <f aca="false">IF(AND(A105="",B105=""),"",IF(J105="","Status needed",IF(OR(J105="Applied",J105="Visit booked",J105="Withdrawn"),"OK",IF(G105="","Date assessed needed",IF(C105="","Date of birth needed",IF(COUNTA(L105,M105,P105,U105,V105,X105,AB105)&lt;7,"Band missing",IF(AND(OR(J105="Decision confirmed",J105="Family told",J105="Enrolled"),AG105=""),"Recommendation needed",IF(AND(OR(J105="Family told",J105="Enrolled"),AJ105=""),"Date family told needed","OK"))))))))</f>
        <v/>
      </c>
    </row>
    <row r="106" customFormat="false" ht="15" hidden="false" customHeight="false" outlineLevel="0" collapsed="false">
      <c r="A106" s="7"/>
      <c r="B106" s="7"/>
      <c r="C106" s="46"/>
      <c r="D106" s="7"/>
      <c r="E106" s="47"/>
      <c r="F106" s="46"/>
      <c r="G106" s="46"/>
      <c r="H106" s="7"/>
      <c r="I106" s="7"/>
      <c r="J106" s="47"/>
      <c r="K106" s="47"/>
      <c r="L106" s="47"/>
      <c r="M106" s="47"/>
      <c r="N106" s="10"/>
      <c r="O106" s="47"/>
      <c r="P106" s="47"/>
      <c r="Q106" s="47"/>
      <c r="R106" s="48" t="str">
        <f aca="false">IF(Q106="","",IF(Q106=0,"below 5:00",IF(Q106&gt;=66,"16:00 or above",INT((60+2*Q106)/12)&amp;":"&amp;TEXT(MOD(60+2*Q106,12),"00"))))</f>
        <v/>
      </c>
      <c r="S106" s="47"/>
      <c r="T106" s="47"/>
      <c r="U106" s="47"/>
      <c r="V106" s="47"/>
      <c r="W106" s="47"/>
      <c r="X106" s="47"/>
      <c r="Y106" s="47"/>
      <c r="Z106" s="47"/>
      <c r="AA106" s="47"/>
      <c r="AB106" s="47"/>
      <c r="AC106" s="47"/>
      <c r="AD106" s="47"/>
      <c r="AE106" s="47"/>
      <c r="AF106" s="47"/>
      <c r="AG106" s="47"/>
      <c r="AH106" s="47"/>
      <c r="AI106" s="46"/>
      <c r="AJ106" s="46"/>
      <c r="AK106" s="46"/>
      <c r="AL106" s="7"/>
      <c r="AM106" s="49" t="str">
        <f aca="false">IF(OR(C106="",G106=""),"",IFERROR(DATEDIF(C106,G106,"m"),""))</f>
        <v/>
      </c>
      <c r="AN106" s="49" t="str">
        <f aca="false">IF(OR(Q106="",AM106=""),"",60+2*Q106-AM106)</f>
        <v/>
      </c>
      <c r="AO106" s="49" t="str">
        <f aca="false">IF(OR(G106="",AJ106=""),"",AJ106-G106)</f>
        <v/>
      </c>
      <c r="AP106" s="50" t="str">
        <f aca="false">IF(AND(A106="",B106=""),"",IF(J106="","Status needed",IF(OR(J106="Applied",J106="Visit booked",J106="Withdrawn"),"OK",IF(G106="","Date assessed needed",IF(C106="","Date of birth needed",IF(COUNTA(L106,M106,P106,U106,V106,X106,AB106)&lt;7,"Band missing",IF(AND(OR(J106="Decision confirmed",J106="Family told",J106="Enrolled"),AG106=""),"Recommendation needed",IF(AND(OR(J106="Family told",J106="Enrolled"),AJ106=""),"Date family told needed","OK"))))))))</f>
        <v/>
      </c>
    </row>
    <row r="107" customFormat="false" ht="15" hidden="false" customHeight="false" outlineLevel="0" collapsed="false">
      <c r="A107" s="7"/>
      <c r="B107" s="7"/>
      <c r="C107" s="46"/>
      <c r="D107" s="7"/>
      <c r="E107" s="47"/>
      <c r="F107" s="46"/>
      <c r="G107" s="46"/>
      <c r="H107" s="7"/>
      <c r="I107" s="7"/>
      <c r="J107" s="47"/>
      <c r="K107" s="47"/>
      <c r="L107" s="47"/>
      <c r="M107" s="47"/>
      <c r="N107" s="10"/>
      <c r="O107" s="47"/>
      <c r="P107" s="47"/>
      <c r="Q107" s="47"/>
      <c r="R107" s="48" t="str">
        <f aca="false">IF(Q107="","",IF(Q107=0,"below 5:00",IF(Q107&gt;=66,"16:00 or above",INT((60+2*Q107)/12)&amp;":"&amp;TEXT(MOD(60+2*Q107,12),"00"))))</f>
        <v/>
      </c>
      <c r="S107" s="47"/>
      <c r="T107" s="47"/>
      <c r="U107" s="47"/>
      <c r="V107" s="47"/>
      <c r="W107" s="47"/>
      <c r="X107" s="47"/>
      <c r="Y107" s="47"/>
      <c r="Z107" s="47"/>
      <c r="AA107" s="47"/>
      <c r="AB107" s="47"/>
      <c r="AC107" s="47"/>
      <c r="AD107" s="47"/>
      <c r="AE107" s="47"/>
      <c r="AF107" s="47"/>
      <c r="AG107" s="47"/>
      <c r="AH107" s="47"/>
      <c r="AI107" s="46"/>
      <c r="AJ107" s="46"/>
      <c r="AK107" s="46"/>
      <c r="AL107" s="7"/>
      <c r="AM107" s="49" t="str">
        <f aca="false">IF(OR(C107="",G107=""),"",IFERROR(DATEDIF(C107,G107,"m"),""))</f>
        <v/>
      </c>
      <c r="AN107" s="49" t="str">
        <f aca="false">IF(OR(Q107="",AM107=""),"",60+2*Q107-AM107)</f>
        <v/>
      </c>
      <c r="AO107" s="49" t="str">
        <f aca="false">IF(OR(G107="",AJ107=""),"",AJ107-G107)</f>
        <v/>
      </c>
      <c r="AP107" s="50" t="str">
        <f aca="false">IF(AND(A107="",B107=""),"",IF(J107="","Status needed",IF(OR(J107="Applied",J107="Visit booked",J107="Withdrawn"),"OK",IF(G107="","Date assessed needed",IF(C107="","Date of birth needed",IF(COUNTA(L107,M107,P107,U107,V107,X107,AB107)&lt;7,"Band missing",IF(AND(OR(J107="Decision confirmed",J107="Family told",J107="Enrolled"),AG107=""),"Recommendation needed",IF(AND(OR(J107="Family told",J107="Enrolled"),AJ107=""),"Date family told needed","OK"))))))))</f>
        <v/>
      </c>
    </row>
    <row r="108" customFormat="false" ht="15" hidden="false" customHeight="false" outlineLevel="0" collapsed="false">
      <c r="A108" s="7"/>
      <c r="B108" s="7"/>
      <c r="C108" s="46"/>
      <c r="D108" s="7"/>
      <c r="E108" s="47"/>
      <c r="F108" s="46"/>
      <c r="G108" s="46"/>
      <c r="H108" s="7"/>
      <c r="I108" s="7"/>
      <c r="J108" s="47"/>
      <c r="K108" s="47"/>
      <c r="L108" s="47"/>
      <c r="M108" s="47"/>
      <c r="N108" s="10"/>
      <c r="O108" s="47"/>
      <c r="P108" s="47"/>
      <c r="Q108" s="47"/>
      <c r="R108" s="48" t="str">
        <f aca="false">IF(Q108="","",IF(Q108=0,"below 5:00",IF(Q108&gt;=66,"16:00 or above",INT((60+2*Q108)/12)&amp;":"&amp;TEXT(MOD(60+2*Q108,12),"00"))))</f>
        <v/>
      </c>
      <c r="S108" s="47"/>
      <c r="T108" s="47"/>
      <c r="U108" s="47"/>
      <c r="V108" s="47"/>
      <c r="W108" s="47"/>
      <c r="X108" s="47"/>
      <c r="Y108" s="47"/>
      <c r="Z108" s="47"/>
      <c r="AA108" s="47"/>
      <c r="AB108" s="47"/>
      <c r="AC108" s="47"/>
      <c r="AD108" s="47"/>
      <c r="AE108" s="47"/>
      <c r="AF108" s="47"/>
      <c r="AG108" s="47"/>
      <c r="AH108" s="47"/>
      <c r="AI108" s="46"/>
      <c r="AJ108" s="46"/>
      <c r="AK108" s="46"/>
      <c r="AL108" s="7"/>
      <c r="AM108" s="49" t="str">
        <f aca="false">IF(OR(C108="",G108=""),"",IFERROR(DATEDIF(C108,G108,"m"),""))</f>
        <v/>
      </c>
      <c r="AN108" s="49" t="str">
        <f aca="false">IF(OR(Q108="",AM108=""),"",60+2*Q108-AM108)</f>
        <v/>
      </c>
      <c r="AO108" s="49" t="str">
        <f aca="false">IF(OR(G108="",AJ108=""),"",AJ108-G108)</f>
        <v/>
      </c>
      <c r="AP108" s="50" t="str">
        <f aca="false">IF(AND(A108="",B108=""),"",IF(J108="","Status needed",IF(OR(J108="Applied",J108="Visit booked",J108="Withdrawn"),"OK",IF(G108="","Date assessed needed",IF(C108="","Date of birth needed",IF(COUNTA(L108,M108,P108,U108,V108,X108,AB108)&lt;7,"Band missing",IF(AND(OR(J108="Decision confirmed",J108="Family told",J108="Enrolled"),AG108=""),"Recommendation needed",IF(AND(OR(J108="Family told",J108="Enrolled"),AJ108=""),"Date family told needed","OK"))))))))</f>
        <v/>
      </c>
    </row>
    <row r="109" customFormat="false" ht="15" hidden="false" customHeight="false" outlineLevel="0" collapsed="false">
      <c r="A109" s="7"/>
      <c r="B109" s="7"/>
      <c r="C109" s="46"/>
      <c r="D109" s="7"/>
      <c r="E109" s="47"/>
      <c r="F109" s="46"/>
      <c r="G109" s="46"/>
      <c r="H109" s="7"/>
      <c r="I109" s="7"/>
      <c r="J109" s="47"/>
      <c r="K109" s="47"/>
      <c r="L109" s="47"/>
      <c r="M109" s="47"/>
      <c r="N109" s="10"/>
      <c r="O109" s="47"/>
      <c r="P109" s="47"/>
      <c r="Q109" s="47"/>
      <c r="R109" s="48" t="str">
        <f aca="false">IF(Q109="","",IF(Q109=0,"below 5:00",IF(Q109&gt;=66,"16:00 or above",INT((60+2*Q109)/12)&amp;":"&amp;TEXT(MOD(60+2*Q109,12),"00"))))</f>
        <v/>
      </c>
      <c r="S109" s="47"/>
      <c r="T109" s="47"/>
      <c r="U109" s="47"/>
      <c r="V109" s="47"/>
      <c r="W109" s="47"/>
      <c r="X109" s="47"/>
      <c r="Y109" s="47"/>
      <c r="Z109" s="47"/>
      <c r="AA109" s="47"/>
      <c r="AB109" s="47"/>
      <c r="AC109" s="47"/>
      <c r="AD109" s="47"/>
      <c r="AE109" s="47"/>
      <c r="AF109" s="47"/>
      <c r="AG109" s="47"/>
      <c r="AH109" s="47"/>
      <c r="AI109" s="46"/>
      <c r="AJ109" s="46"/>
      <c r="AK109" s="46"/>
      <c r="AL109" s="7"/>
      <c r="AM109" s="49" t="str">
        <f aca="false">IF(OR(C109="",G109=""),"",IFERROR(DATEDIF(C109,G109,"m"),""))</f>
        <v/>
      </c>
      <c r="AN109" s="49" t="str">
        <f aca="false">IF(OR(Q109="",AM109=""),"",60+2*Q109-AM109)</f>
        <v/>
      </c>
      <c r="AO109" s="49" t="str">
        <f aca="false">IF(OR(G109="",AJ109=""),"",AJ109-G109)</f>
        <v/>
      </c>
      <c r="AP109" s="50" t="str">
        <f aca="false">IF(AND(A109="",B109=""),"",IF(J109="","Status needed",IF(OR(J109="Applied",J109="Visit booked",J109="Withdrawn"),"OK",IF(G109="","Date assessed needed",IF(C109="","Date of birth needed",IF(COUNTA(L109,M109,P109,U109,V109,X109,AB109)&lt;7,"Band missing",IF(AND(OR(J109="Decision confirmed",J109="Family told",J109="Enrolled"),AG109=""),"Recommendation needed",IF(AND(OR(J109="Family told",J109="Enrolled"),AJ109=""),"Date family told needed","OK"))))))))</f>
        <v/>
      </c>
    </row>
    <row r="110" customFormat="false" ht="15" hidden="false" customHeight="false" outlineLevel="0" collapsed="false">
      <c r="A110" s="7"/>
      <c r="B110" s="7"/>
      <c r="C110" s="46"/>
      <c r="D110" s="7"/>
      <c r="E110" s="47"/>
      <c r="F110" s="46"/>
      <c r="G110" s="46"/>
      <c r="H110" s="7"/>
      <c r="I110" s="7"/>
      <c r="J110" s="47"/>
      <c r="K110" s="47"/>
      <c r="L110" s="47"/>
      <c r="M110" s="47"/>
      <c r="N110" s="10"/>
      <c r="O110" s="47"/>
      <c r="P110" s="47"/>
      <c r="Q110" s="47"/>
      <c r="R110" s="48" t="str">
        <f aca="false">IF(Q110="","",IF(Q110=0,"below 5:00",IF(Q110&gt;=66,"16:00 or above",INT((60+2*Q110)/12)&amp;":"&amp;TEXT(MOD(60+2*Q110,12),"00"))))</f>
        <v/>
      </c>
      <c r="S110" s="47"/>
      <c r="T110" s="47"/>
      <c r="U110" s="47"/>
      <c r="V110" s="47"/>
      <c r="W110" s="47"/>
      <c r="X110" s="47"/>
      <c r="Y110" s="47"/>
      <c r="Z110" s="47"/>
      <c r="AA110" s="47"/>
      <c r="AB110" s="47"/>
      <c r="AC110" s="47"/>
      <c r="AD110" s="47"/>
      <c r="AE110" s="47"/>
      <c r="AF110" s="47"/>
      <c r="AG110" s="47"/>
      <c r="AH110" s="47"/>
      <c r="AI110" s="46"/>
      <c r="AJ110" s="46"/>
      <c r="AK110" s="46"/>
      <c r="AL110" s="7"/>
      <c r="AM110" s="49" t="str">
        <f aca="false">IF(OR(C110="",G110=""),"",IFERROR(DATEDIF(C110,G110,"m"),""))</f>
        <v/>
      </c>
      <c r="AN110" s="49" t="str">
        <f aca="false">IF(OR(Q110="",AM110=""),"",60+2*Q110-AM110)</f>
        <v/>
      </c>
      <c r="AO110" s="49" t="str">
        <f aca="false">IF(OR(G110="",AJ110=""),"",AJ110-G110)</f>
        <v/>
      </c>
      <c r="AP110" s="50" t="str">
        <f aca="false">IF(AND(A110="",B110=""),"",IF(J110="","Status needed",IF(OR(J110="Applied",J110="Visit booked",J110="Withdrawn"),"OK",IF(G110="","Date assessed needed",IF(C110="","Date of birth needed",IF(COUNTA(L110,M110,P110,U110,V110,X110,AB110)&lt;7,"Band missing",IF(AND(OR(J110="Decision confirmed",J110="Family told",J110="Enrolled"),AG110=""),"Recommendation needed",IF(AND(OR(J110="Family told",J110="Enrolled"),AJ110=""),"Date family told needed","OK"))))))))</f>
        <v/>
      </c>
    </row>
    <row r="111" customFormat="false" ht="15" hidden="false" customHeight="false" outlineLevel="0" collapsed="false">
      <c r="A111" s="7"/>
      <c r="B111" s="7"/>
      <c r="C111" s="46"/>
      <c r="D111" s="7"/>
      <c r="E111" s="47"/>
      <c r="F111" s="46"/>
      <c r="G111" s="46"/>
      <c r="H111" s="7"/>
      <c r="I111" s="7"/>
      <c r="J111" s="47"/>
      <c r="K111" s="47"/>
      <c r="L111" s="47"/>
      <c r="M111" s="47"/>
      <c r="N111" s="10"/>
      <c r="O111" s="47"/>
      <c r="P111" s="47"/>
      <c r="Q111" s="47"/>
      <c r="R111" s="48" t="str">
        <f aca="false">IF(Q111="","",IF(Q111=0,"below 5:00",IF(Q111&gt;=66,"16:00 or above",INT((60+2*Q111)/12)&amp;":"&amp;TEXT(MOD(60+2*Q111,12),"00"))))</f>
        <v/>
      </c>
      <c r="S111" s="47"/>
      <c r="T111" s="47"/>
      <c r="U111" s="47"/>
      <c r="V111" s="47"/>
      <c r="W111" s="47"/>
      <c r="X111" s="47"/>
      <c r="Y111" s="47"/>
      <c r="Z111" s="47"/>
      <c r="AA111" s="47"/>
      <c r="AB111" s="47"/>
      <c r="AC111" s="47"/>
      <c r="AD111" s="47"/>
      <c r="AE111" s="47"/>
      <c r="AF111" s="47"/>
      <c r="AG111" s="47"/>
      <c r="AH111" s="47"/>
      <c r="AI111" s="46"/>
      <c r="AJ111" s="46"/>
      <c r="AK111" s="46"/>
      <c r="AL111" s="7"/>
      <c r="AM111" s="49" t="str">
        <f aca="false">IF(OR(C111="",G111=""),"",IFERROR(DATEDIF(C111,G111,"m"),""))</f>
        <v/>
      </c>
      <c r="AN111" s="49" t="str">
        <f aca="false">IF(OR(Q111="",AM111=""),"",60+2*Q111-AM111)</f>
        <v/>
      </c>
      <c r="AO111" s="49" t="str">
        <f aca="false">IF(OR(G111="",AJ111=""),"",AJ111-G111)</f>
        <v/>
      </c>
      <c r="AP111" s="50" t="str">
        <f aca="false">IF(AND(A111="",B111=""),"",IF(J111="","Status needed",IF(OR(J111="Applied",J111="Visit booked",J111="Withdrawn"),"OK",IF(G111="","Date assessed needed",IF(C111="","Date of birth needed",IF(COUNTA(L111,M111,P111,U111,V111,X111,AB111)&lt;7,"Band missing",IF(AND(OR(J111="Decision confirmed",J111="Family told",J111="Enrolled"),AG111=""),"Recommendation needed",IF(AND(OR(J111="Family told",J111="Enrolled"),AJ111=""),"Date family told needed","OK"))))))))</f>
        <v/>
      </c>
    </row>
    <row r="112" customFormat="false" ht="15" hidden="false" customHeight="false" outlineLevel="0" collapsed="false">
      <c r="A112" s="7"/>
      <c r="B112" s="7"/>
      <c r="C112" s="46"/>
      <c r="D112" s="7"/>
      <c r="E112" s="47"/>
      <c r="F112" s="46"/>
      <c r="G112" s="46"/>
      <c r="H112" s="7"/>
      <c r="I112" s="7"/>
      <c r="J112" s="47"/>
      <c r="K112" s="47"/>
      <c r="L112" s="47"/>
      <c r="M112" s="47"/>
      <c r="N112" s="10"/>
      <c r="O112" s="47"/>
      <c r="P112" s="47"/>
      <c r="Q112" s="47"/>
      <c r="R112" s="48" t="str">
        <f aca="false">IF(Q112="","",IF(Q112=0,"below 5:00",IF(Q112&gt;=66,"16:00 or above",INT((60+2*Q112)/12)&amp;":"&amp;TEXT(MOD(60+2*Q112,12),"00"))))</f>
        <v/>
      </c>
      <c r="S112" s="47"/>
      <c r="T112" s="47"/>
      <c r="U112" s="47"/>
      <c r="V112" s="47"/>
      <c r="W112" s="47"/>
      <c r="X112" s="47"/>
      <c r="Y112" s="47"/>
      <c r="Z112" s="47"/>
      <c r="AA112" s="47"/>
      <c r="AB112" s="47"/>
      <c r="AC112" s="47"/>
      <c r="AD112" s="47"/>
      <c r="AE112" s="47"/>
      <c r="AF112" s="47"/>
      <c r="AG112" s="47"/>
      <c r="AH112" s="47"/>
      <c r="AI112" s="46"/>
      <c r="AJ112" s="46"/>
      <c r="AK112" s="46"/>
      <c r="AL112" s="7"/>
      <c r="AM112" s="49" t="str">
        <f aca="false">IF(OR(C112="",G112=""),"",IFERROR(DATEDIF(C112,G112,"m"),""))</f>
        <v/>
      </c>
      <c r="AN112" s="49" t="str">
        <f aca="false">IF(OR(Q112="",AM112=""),"",60+2*Q112-AM112)</f>
        <v/>
      </c>
      <c r="AO112" s="49" t="str">
        <f aca="false">IF(OR(G112="",AJ112=""),"",AJ112-G112)</f>
        <v/>
      </c>
      <c r="AP112" s="50" t="str">
        <f aca="false">IF(AND(A112="",B112=""),"",IF(J112="","Status needed",IF(OR(J112="Applied",J112="Visit booked",J112="Withdrawn"),"OK",IF(G112="","Date assessed needed",IF(C112="","Date of birth needed",IF(COUNTA(L112,M112,P112,U112,V112,X112,AB112)&lt;7,"Band missing",IF(AND(OR(J112="Decision confirmed",J112="Family told",J112="Enrolled"),AG112=""),"Recommendation needed",IF(AND(OR(J112="Family told",J112="Enrolled"),AJ112=""),"Date family told needed","OK"))))))))</f>
        <v/>
      </c>
    </row>
    <row r="113" customFormat="false" ht="15" hidden="false" customHeight="false" outlineLevel="0" collapsed="false">
      <c r="A113" s="7"/>
      <c r="B113" s="7"/>
      <c r="C113" s="46"/>
      <c r="D113" s="7"/>
      <c r="E113" s="47"/>
      <c r="F113" s="46"/>
      <c r="G113" s="46"/>
      <c r="H113" s="7"/>
      <c r="I113" s="7"/>
      <c r="J113" s="47"/>
      <c r="K113" s="47"/>
      <c r="L113" s="47"/>
      <c r="M113" s="47"/>
      <c r="N113" s="10"/>
      <c r="O113" s="47"/>
      <c r="P113" s="47"/>
      <c r="Q113" s="47"/>
      <c r="R113" s="48" t="str">
        <f aca="false">IF(Q113="","",IF(Q113=0,"below 5:00",IF(Q113&gt;=66,"16:00 or above",INT((60+2*Q113)/12)&amp;":"&amp;TEXT(MOD(60+2*Q113,12),"00"))))</f>
        <v/>
      </c>
      <c r="S113" s="47"/>
      <c r="T113" s="47"/>
      <c r="U113" s="47"/>
      <c r="V113" s="47"/>
      <c r="W113" s="47"/>
      <c r="X113" s="47"/>
      <c r="Y113" s="47"/>
      <c r="Z113" s="47"/>
      <c r="AA113" s="47"/>
      <c r="AB113" s="47"/>
      <c r="AC113" s="47"/>
      <c r="AD113" s="47"/>
      <c r="AE113" s="47"/>
      <c r="AF113" s="47"/>
      <c r="AG113" s="47"/>
      <c r="AH113" s="47"/>
      <c r="AI113" s="46"/>
      <c r="AJ113" s="46"/>
      <c r="AK113" s="46"/>
      <c r="AL113" s="7"/>
      <c r="AM113" s="49" t="str">
        <f aca="false">IF(OR(C113="",G113=""),"",IFERROR(DATEDIF(C113,G113,"m"),""))</f>
        <v/>
      </c>
      <c r="AN113" s="49" t="str">
        <f aca="false">IF(OR(Q113="",AM113=""),"",60+2*Q113-AM113)</f>
        <v/>
      </c>
      <c r="AO113" s="49" t="str">
        <f aca="false">IF(OR(G113="",AJ113=""),"",AJ113-G113)</f>
        <v/>
      </c>
      <c r="AP113" s="50" t="str">
        <f aca="false">IF(AND(A113="",B113=""),"",IF(J113="","Status needed",IF(OR(J113="Applied",J113="Visit booked",J113="Withdrawn"),"OK",IF(G113="","Date assessed needed",IF(C113="","Date of birth needed",IF(COUNTA(L113,M113,P113,U113,V113,X113,AB113)&lt;7,"Band missing",IF(AND(OR(J113="Decision confirmed",J113="Family told",J113="Enrolled"),AG113=""),"Recommendation needed",IF(AND(OR(J113="Family told",J113="Enrolled"),AJ113=""),"Date family told needed","OK"))))))))</f>
        <v/>
      </c>
    </row>
    <row r="114" customFormat="false" ht="15" hidden="false" customHeight="false" outlineLevel="0" collapsed="false">
      <c r="A114" s="7"/>
      <c r="B114" s="7"/>
      <c r="C114" s="46"/>
      <c r="D114" s="7"/>
      <c r="E114" s="47"/>
      <c r="F114" s="46"/>
      <c r="G114" s="46"/>
      <c r="H114" s="7"/>
      <c r="I114" s="7"/>
      <c r="J114" s="47"/>
      <c r="K114" s="47"/>
      <c r="L114" s="47"/>
      <c r="M114" s="47"/>
      <c r="N114" s="10"/>
      <c r="O114" s="47"/>
      <c r="P114" s="47"/>
      <c r="Q114" s="47"/>
      <c r="R114" s="48" t="str">
        <f aca="false">IF(Q114="","",IF(Q114=0,"below 5:00",IF(Q114&gt;=66,"16:00 or above",INT((60+2*Q114)/12)&amp;":"&amp;TEXT(MOD(60+2*Q114,12),"00"))))</f>
        <v/>
      </c>
      <c r="S114" s="47"/>
      <c r="T114" s="47"/>
      <c r="U114" s="47"/>
      <c r="V114" s="47"/>
      <c r="W114" s="47"/>
      <c r="X114" s="47"/>
      <c r="Y114" s="47"/>
      <c r="Z114" s="47"/>
      <c r="AA114" s="47"/>
      <c r="AB114" s="47"/>
      <c r="AC114" s="47"/>
      <c r="AD114" s="47"/>
      <c r="AE114" s="47"/>
      <c r="AF114" s="47"/>
      <c r="AG114" s="47"/>
      <c r="AH114" s="47"/>
      <c r="AI114" s="46"/>
      <c r="AJ114" s="46"/>
      <c r="AK114" s="46"/>
      <c r="AL114" s="7"/>
      <c r="AM114" s="49" t="str">
        <f aca="false">IF(OR(C114="",G114=""),"",IFERROR(DATEDIF(C114,G114,"m"),""))</f>
        <v/>
      </c>
      <c r="AN114" s="49" t="str">
        <f aca="false">IF(OR(Q114="",AM114=""),"",60+2*Q114-AM114)</f>
        <v/>
      </c>
      <c r="AO114" s="49" t="str">
        <f aca="false">IF(OR(G114="",AJ114=""),"",AJ114-G114)</f>
        <v/>
      </c>
      <c r="AP114" s="50" t="str">
        <f aca="false">IF(AND(A114="",B114=""),"",IF(J114="","Status needed",IF(OR(J114="Applied",J114="Visit booked",J114="Withdrawn"),"OK",IF(G114="","Date assessed needed",IF(C114="","Date of birth needed",IF(COUNTA(L114,M114,P114,U114,V114,X114,AB114)&lt;7,"Band missing",IF(AND(OR(J114="Decision confirmed",J114="Family told",J114="Enrolled"),AG114=""),"Recommendation needed",IF(AND(OR(J114="Family told",J114="Enrolled"),AJ114=""),"Date family told needed","OK"))))))))</f>
        <v/>
      </c>
    </row>
    <row r="115" customFormat="false" ht="15" hidden="false" customHeight="false" outlineLevel="0" collapsed="false">
      <c r="A115" s="7"/>
      <c r="B115" s="7"/>
      <c r="C115" s="46"/>
      <c r="D115" s="7"/>
      <c r="E115" s="47"/>
      <c r="F115" s="46"/>
      <c r="G115" s="46"/>
      <c r="H115" s="7"/>
      <c r="I115" s="7"/>
      <c r="J115" s="47"/>
      <c r="K115" s="47"/>
      <c r="L115" s="47"/>
      <c r="M115" s="47"/>
      <c r="N115" s="10"/>
      <c r="O115" s="47"/>
      <c r="P115" s="47"/>
      <c r="Q115" s="47"/>
      <c r="R115" s="48" t="str">
        <f aca="false">IF(Q115="","",IF(Q115=0,"below 5:00",IF(Q115&gt;=66,"16:00 or above",INT((60+2*Q115)/12)&amp;":"&amp;TEXT(MOD(60+2*Q115,12),"00"))))</f>
        <v/>
      </c>
      <c r="S115" s="47"/>
      <c r="T115" s="47"/>
      <c r="U115" s="47"/>
      <c r="V115" s="47"/>
      <c r="W115" s="47"/>
      <c r="X115" s="47"/>
      <c r="Y115" s="47"/>
      <c r="Z115" s="47"/>
      <c r="AA115" s="47"/>
      <c r="AB115" s="47"/>
      <c r="AC115" s="47"/>
      <c r="AD115" s="47"/>
      <c r="AE115" s="47"/>
      <c r="AF115" s="47"/>
      <c r="AG115" s="47"/>
      <c r="AH115" s="47"/>
      <c r="AI115" s="46"/>
      <c r="AJ115" s="46"/>
      <c r="AK115" s="46"/>
      <c r="AL115" s="7"/>
      <c r="AM115" s="49" t="str">
        <f aca="false">IF(OR(C115="",G115=""),"",IFERROR(DATEDIF(C115,G115,"m"),""))</f>
        <v/>
      </c>
      <c r="AN115" s="49" t="str">
        <f aca="false">IF(OR(Q115="",AM115=""),"",60+2*Q115-AM115)</f>
        <v/>
      </c>
      <c r="AO115" s="49" t="str">
        <f aca="false">IF(OR(G115="",AJ115=""),"",AJ115-G115)</f>
        <v/>
      </c>
      <c r="AP115" s="50" t="str">
        <f aca="false">IF(AND(A115="",B115=""),"",IF(J115="","Status needed",IF(OR(J115="Applied",J115="Visit booked",J115="Withdrawn"),"OK",IF(G115="","Date assessed needed",IF(C115="","Date of birth needed",IF(COUNTA(L115,M115,P115,U115,V115,X115,AB115)&lt;7,"Band missing",IF(AND(OR(J115="Decision confirmed",J115="Family told",J115="Enrolled"),AG115=""),"Recommendation needed",IF(AND(OR(J115="Family told",J115="Enrolled"),AJ115=""),"Date family told needed","OK"))))))))</f>
        <v/>
      </c>
    </row>
    <row r="116" customFormat="false" ht="15" hidden="false" customHeight="false" outlineLevel="0" collapsed="false">
      <c r="A116" s="7"/>
      <c r="B116" s="7"/>
      <c r="C116" s="46"/>
      <c r="D116" s="7"/>
      <c r="E116" s="47"/>
      <c r="F116" s="46"/>
      <c r="G116" s="46"/>
      <c r="H116" s="7"/>
      <c r="I116" s="7"/>
      <c r="J116" s="47"/>
      <c r="K116" s="47"/>
      <c r="L116" s="47"/>
      <c r="M116" s="47"/>
      <c r="N116" s="10"/>
      <c r="O116" s="47"/>
      <c r="P116" s="47"/>
      <c r="Q116" s="47"/>
      <c r="R116" s="48" t="str">
        <f aca="false">IF(Q116="","",IF(Q116=0,"below 5:00",IF(Q116&gt;=66,"16:00 or above",INT((60+2*Q116)/12)&amp;":"&amp;TEXT(MOD(60+2*Q116,12),"00"))))</f>
        <v/>
      </c>
      <c r="S116" s="47"/>
      <c r="T116" s="47"/>
      <c r="U116" s="47"/>
      <c r="V116" s="47"/>
      <c r="W116" s="47"/>
      <c r="X116" s="47"/>
      <c r="Y116" s="47"/>
      <c r="Z116" s="47"/>
      <c r="AA116" s="47"/>
      <c r="AB116" s="47"/>
      <c r="AC116" s="47"/>
      <c r="AD116" s="47"/>
      <c r="AE116" s="47"/>
      <c r="AF116" s="47"/>
      <c r="AG116" s="47"/>
      <c r="AH116" s="47"/>
      <c r="AI116" s="46"/>
      <c r="AJ116" s="46"/>
      <c r="AK116" s="46"/>
      <c r="AL116" s="7"/>
      <c r="AM116" s="49" t="str">
        <f aca="false">IF(OR(C116="",G116=""),"",IFERROR(DATEDIF(C116,G116,"m"),""))</f>
        <v/>
      </c>
      <c r="AN116" s="49" t="str">
        <f aca="false">IF(OR(Q116="",AM116=""),"",60+2*Q116-AM116)</f>
        <v/>
      </c>
      <c r="AO116" s="49" t="str">
        <f aca="false">IF(OR(G116="",AJ116=""),"",AJ116-G116)</f>
        <v/>
      </c>
      <c r="AP116" s="50" t="str">
        <f aca="false">IF(AND(A116="",B116=""),"",IF(J116="","Status needed",IF(OR(J116="Applied",J116="Visit booked",J116="Withdrawn"),"OK",IF(G116="","Date assessed needed",IF(C116="","Date of birth needed",IF(COUNTA(L116,M116,P116,U116,V116,X116,AB116)&lt;7,"Band missing",IF(AND(OR(J116="Decision confirmed",J116="Family told",J116="Enrolled"),AG116=""),"Recommendation needed",IF(AND(OR(J116="Family told",J116="Enrolled"),AJ116=""),"Date family told needed","OK"))))))))</f>
        <v/>
      </c>
    </row>
    <row r="117" customFormat="false" ht="15" hidden="false" customHeight="false" outlineLevel="0" collapsed="false">
      <c r="A117" s="7"/>
      <c r="B117" s="7"/>
      <c r="C117" s="46"/>
      <c r="D117" s="7"/>
      <c r="E117" s="47"/>
      <c r="F117" s="46"/>
      <c r="G117" s="46"/>
      <c r="H117" s="7"/>
      <c r="I117" s="7"/>
      <c r="J117" s="47"/>
      <c r="K117" s="47"/>
      <c r="L117" s="47"/>
      <c r="M117" s="47"/>
      <c r="N117" s="10"/>
      <c r="O117" s="47"/>
      <c r="P117" s="47"/>
      <c r="Q117" s="47"/>
      <c r="R117" s="48" t="str">
        <f aca="false">IF(Q117="","",IF(Q117=0,"below 5:00",IF(Q117&gt;=66,"16:00 or above",INT((60+2*Q117)/12)&amp;":"&amp;TEXT(MOD(60+2*Q117,12),"00"))))</f>
        <v/>
      </c>
      <c r="S117" s="47"/>
      <c r="T117" s="47"/>
      <c r="U117" s="47"/>
      <c r="V117" s="47"/>
      <c r="W117" s="47"/>
      <c r="X117" s="47"/>
      <c r="Y117" s="47"/>
      <c r="Z117" s="47"/>
      <c r="AA117" s="47"/>
      <c r="AB117" s="47"/>
      <c r="AC117" s="47"/>
      <c r="AD117" s="47"/>
      <c r="AE117" s="47"/>
      <c r="AF117" s="47"/>
      <c r="AG117" s="47"/>
      <c r="AH117" s="47"/>
      <c r="AI117" s="46"/>
      <c r="AJ117" s="46"/>
      <c r="AK117" s="46"/>
      <c r="AL117" s="7"/>
      <c r="AM117" s="49" t="str">
        <f aca="false">IF(OR(C117="",G117=""),"",IFERROR(DATEDIF(C117,G117,"m"),""))</f>
        <v/>
      </c>
      <c r="AN117" s="49" t="str">
        <f aca="false">IF(OR(Q117="",AM117=""),"",60+2*Q117-AM117)</f>
        <v/>
      </c>
      <c r="AO117" s="49" t="str">
        <f aca="false">IF(OR(G117="",AJ117=""),"",AJ117-G117)</f>
        <v/>
      </c>
      <c r="AP117" s="50" t="str">
        <f aca="false">IF(AND(A117="",B117=""),"",IF(J117="","Status needed",IF(OR(J117="Applied",J117="Visit booked",J117="Withdrawn"),"OK",IF(G117="","Date assessed needed",IF(C117="","Date of birth needed",IF(COUNTA(L117,M117,P117,U117,V117,X117,AB117)&lt;7,"Band missing",IF(AND(OR(J117="Decision confirmed",J117="Family told",J117="Enrolled"),AG117=""),"Recommendation needed",IF(AND(OR(J117="Family told",J117="Enrolled"),AJ117=""),"Date family told needed","OK"))))))))</f>
        <v/>
      </c>
    </row>
    <row r="118" customFormat="false" ht="15" hidden="false" customHeight="false" outlineLevel="0" collapsed="false">
      <c r="A118" s="7"/>
      <c r="B118" s="7"/>
      <c r="C118" s="46"/>
      <c r="D118" s="7"/>
      <c r="E118" s="47"/>
      <c r="F118" s="46"/>
      <c r="G118" s="46"/>
      <c r="H118" s="7"/>
      <c r="I118" s="7"/>
      <c r="J118" s="47"/>
      <c r="K118" s="47"/>
      <c r="L118" s="47"/>
      <c r="M118" s="47"/>
      <c r="N118" s="10"/>
      <c r="O118" s="47"/>
      <c r="P118" s="47"/>
      <c r="Q118" s="47"/>
      <c r="R118" s="48" t="str">
        <f aca="false">IF(Q118="","",IF(Q118=0,"below 5:00",IF(Q118&gt;=66,"16:00 or above",INT((60+2*Q118)/12)&amp;":"&amp;TEXT(MOD(60+2*Q118,12),"00"))))</f>
        <v/>
      </c>
      <c r="S118" s="47"/>
      <c r="T118" s="47"/>
      <c r="U118" s="47"/>
      <c r="V118" s="47"/>
      <c r="W118" s="47"/>
      <c r="X118" s="47"/>
      <c r="Y118" s="47"/>
      <c r="Z118" s="47"/>
      <c r="AA118" s="47"/>
      <c r="AB118" s="47"/>
      <c r="AC118" s="47"/>
      <c r="AD118" s="47"/>
      <c r="AE118" s="47"/>
      <c r="AF118" s="47"/>
      <c r="AG118" s="47"/>
      <c r="AH118" s="47"/>
      <c r="AI118" s="46"/>
      <c r="AJ118" s="46"/>
      <c r="AK118" s="46"/>
      <c r="AL118" s="7"/>
      <c r="AM118" s="49" t="str">
        <f aca="false">IF(OR(C118="",G118=""),"",IFERROR(DATEDIF(C118,G118,"m"),""))</f>
        <v/>
      </c>
      <c r="AN118" s="49" t="str">
        <f aca="false">IF(OR(Q118="",AM118=""),"",60+2*Q118-AM118)</f>
        <v/>
      </c>
      <c r="AO118" s="49" t="str">
        <f aca="false">IF(OR(G118="",AJ118=""),"",AJ118-G118)</f>
        <v/>
      </c>
      <c r="AP118" s="50" t="str">
        <f aca="false">IF(AND(A118="",B118=""),"",IF(J118="","Status needed",IF(OR(J118="Applied",J118="Visit booked",J118="Withdrawn"),"OK",IF(G118="","Date assessed needed",IF(C118="","Date of birth needed",IF(COUNTA(L118,M118,P118,U118,V118,X118,AB118)&lt;7,"Band missing",IF(AND(OR(J118="Decision confirmed",J118="Family told",J118="Enrolled"),AG118=""),"Recommendation needed",IF(AND(OR(J118="Family told",J118="Enrolled"),AJ118=""),"Date family told needed","OK"))))))))</f>
        <v/>
      </c>
    </row>
    <row r="119" customFormat="false" ht="15" hidden="false" customHeight="false" outlineLevel="0" collapsed="false">
      <c r="A119" s="7"/>
      <c r="B119" s="7"/>
      <c r="C119" s="46"/>
      <c r="D119" s="7"/>
      <c r="E119" s="47"/>
      <c r="F119" s="46"/>
      <c r="G119" s="46"/>
      <c r="H119" s="7"/>
      <c r="I119" s="7"/>
      <c r="J119" s="47"/>
      <c r="K119" s="47"/>
      <c r="L119" s="47"/>
      <c r="M119" s="47"/>
      <c r="N119" s="10"/>
      <c r="O119" s="47"/>
      <c r="P119" s="47"/>
      <c r="Q119" s="47"/>
      <c r="R119" s="48" t="str">
        <f aca="false">IF(Q119="","",IF(Q119=0,"below 5:00",IF(Q119&gt;=66,"16:00 or above",INT((60+2*Q119)/12)&amp;":"&amp;TEXT(MOD(60+2*Q119,12),"00"))))</f>
        <v/>
      </c>
      <c r="S119" s="47"/>
      <c r="T119" s="47"/>
      <c r="U119" s="47"/>
      <c r="V119" s="47"/>
      <c r="W119" s="47"/>
      <c r="X119" s="47"/>
      <c r="Y119" s="47"/>
      <c r="Z119" s="47"/>
      <c r="AA119" s="47"/>
      <c r="AB119" s="47"/>
      <c r="AC119" s="47"/>
      <c r="AD119" s="47"/>
      <c r="AE119" s="47"/>
      <c r="AF119" s="47"/>
      <c r="AG119" s="47"/>
      <c r="AH119" s="47"/>
      <c r="AI119" s="46"/>
      <c r="AJ119" s="46"/>
      <c r="AK119" s="46"/>
      <c r="AL119" s="7"/>
      <c r="AM119" s="49" t="str">
        <f aca="false">IF(OR(C119="",G119=""),"",IFERROR(DATEDIF(C119,G119,"m"),""))</f>
        <v/>
      </c>
      <c r="AN119" s="49" t="str">
        <f aca="false">IF(OR(Q119="",AM119=""),"",60+2*Q119-AM119)</f>
        <v/>
      </c>
      <c r="AO119" s="49" t="str">
        <f aca="false">IF(OR(G119="",AJ119=""),"",AJ119-G119)</f>
        <v/>
      </c>
      <c r="AP119" s="50" t="str">
        <f aca="false">IF(AND(A119="",B119=""),"",IF(J119="","Status needed",IF(OR(J119="Applied",J119="Visit booked",J119="Withdrawn"),"OK",IF(G119="","Date assessed needed",IF(C119="","Date of birth needed",IF(COUNTA(L119,M119,P119,U119,V119,X119,AB119)&lt;7,"Band missing",IF(AND(OR(J119="Decision confirmed",J119="Family told",J119="Enrolled"),AG119=""),"Recommendation needed",IF(AND(OR(J119="Family told",J119="Enrolled"),AJ119=""),"Date family told needed","OK"))))))))</f>
        <v/>
      </c>
    </row>
    <row r="120" customFormat="false" ht="15" hidden="false" customHeight="false" outlineLevel="0" collapsed="false">
      <c r="A120" s="7"/>
      <c r="B120" s="7"/>
      <c r="C120" s="46"/>
      <c r="D120" s="7"/>
      <c r="E120" s="47"/>
      <c r="F120" s="46"/>
      <c r="G120" s="46"/>
      <c r="H120" s="7"/>
      <c r="I120" s="7"/>
      <c r="J120" s="47"/>
      <c r="K120" s="47"/>
      <c r="L120" s="47"/>
      <c r="M120" s="47"/>
      <c r="N120" s="10"/>
      <c r="O120" s="47"/>
      <c r="P120" s="47"/>
      <c r="Q120" s="47"/>
      <c r="R120" s="48" t="str">
        <f aca="false">IF(Q120="","",IF(Q120=0,"below 5:00",IF(Q120&gt;=66,"16:00 or above",INT((60+2*Q120)/12)&amp;":"&amp;TEXT(MOD(60+2*Q120,12),"00"))))</f>
        <v/>
      </c>
      <c r="S120" s="47"/>
      <c r="T120" s="47"/>
      <c r="U120" s="47"/>
      <c r="V120" s="47"/>
      <c r="W120" s="47"/>
      <c r="X120" s="47"/>
      <c r="Y120" s="47"/>
      <c r="Z120" s="47"/>
      <c r="AA120" s="47"/>
      <c r="AB120" s="47"/>
      <c r="AC120" s="47"/>
      <c r="AD120" s="47"/>
      <c r="AE120" s="47"/>
      <c r="AF120" s="47"/>
      <c r="AG120" s="47"/>
      <c r="AH120" s="47"/>
      <c r="AI120" s="46"/>
      <c r="AJ120" s="46"/>
      <c r="AK120" s="46"/>
      <c r="AL120" s="7"/>
      <c r="AM120" s="49" t="str">
        <f aca="false">IF(OR(C120="",G120=""),"",IFERROR(DATEDIF(C120,G120,"m"),""))</f>
        <v/>
      </c>
      <c r="AN120" s="49" t="str">
        <f aca="false">IF(OR(Q120="",AM120=""),"",60+2*Q120-AM120)</f>
        <v/>
      </c>
      <c r="AO120" s="49" t="str">
        <f aca="false">IF(OR(G120="",AJ120=""),"",AJ120-G120)</f>
        <v/>
      </c>
      <c r="AP120" s="50" t="str">
        <f aca="false">IF(AND(A120="",B120=""),"",IF(J120="","Status needed",IF(OR(J120="Applied",J120="Visit booked",J120="Withdrawn"),"OK",IF(G120="","Date assessed needed",IF(C120="","Date of birth needed",IF(COUNTA(L120,M120,P120,U120,V120,X120,AB120)&lt;7,"Band missing",IF(AND(OR(J120="Decision confirmed",J120="Family told",J120="Enrolled"),AG120=""),"Recommendation needed",IF(AND(OR(J120="Family told",J120="Enrolled"),AJ120=""),"Date family told needed","OK"))))))))</f>
        <v/>
      </c>
    </row>
    <row r="121" customFormat="false" ht="15" hidden="false" customHeight="false" outlineLevel="0" collapsed="false">
      <c r="A121" s="7"/>
      <c r="B121" s="7"/>
      <c r="C121" s="46"/>
      <c r="D121" s="7"/>
      <c r="E121" s="47"/>
      <c r="F121" s="46"/>
      <c r="G121" s="46"/>
      <c r="H121" s="7"/>
      <c r="I121" s="7"/>
      <c r="J121" s="47"/>
      <c r="K121" s="47"/>
      <c r="L121" s="47"/>
      <c r="M121" s="47"/>
      <c r="N121" s="10"/>
      <c r="O121" s="47"/>
      <c r="P121" s="47"/>
      <c r="Q121" s="47"/>
      <c r="R121" s="48" t="str">
        <f aca="false">IF(Q121="","",IF(Q121=0,"below 5:00",IF(Q121&gt;=66,"16:00 or above",INT((60+2*Q121)/12)&amp;":"&amp;TEXT(MOD(60+2*Q121,12),"00"))))</f>
        <v/>
      </c>
      <c r="S121" s="47"/>
      <c r="T121" s="47"/>
      <c r="U121" s="47"/>
      <c r="V121" s="47"/>
      <c r="W121" s="47"/>
      <c r="X121" s="47"/>
      <c r="Y121" s="47"/>
      <c r="Z121" s="47"/>
      <c r="AA121" s="47"/>
      <c r="AB121" s="47"/>
      <c r="AC121" s="47"/>
      <c r="AD121" s="47"/>
      <c r="AE121" s="47"/>
      <c r="AF121" s="47"/>
      <c r="AG121" s="47"/>
      <c r="AH121" s="47"/>
      <c r="AI121" s="46"/>
      <c r="AJ121" s="46"/>
      <c r="AK121" s="46"/>
      <c r="AL121" s="7"/>
      <c r="AM121" s="49" t="str">
        <f aca="false">IF(OR(C121="",G121=""),"",IFERROR(DATEDIF(C121,G121,"m"),""))</f>
        <v/>
      </c>
      <c r="AN121" s="49" t="str">
        <f aca="false">IF(OR(Q121="",AM121=""),"",60+2*Q121-AM121)</f>
        <v/>
      </c>
      <c r="AO121" s="49" t="str">
        <f aca="false">IF(OR(G121="",AJ121=""),"",AJ121-G121)</f>
        <v/>
      </c>
      <c r="AP121" s="50" t="str">
        <f aca="false">IF(AND(A121="",B121=""),"",IF(J121="","Status needed",IF(OR(J121="Applied",J121="Visit booked",J121="Withdrawn"),"OK",IF(G121="","Date assessed needed",IF(C121="","Date of birth needed",IF(COUNTA(L121,M121,P121,U121,V121,X121,AB121)&lt;7,"Band missing",IF(AND(OR(J121="Decision confirmed",J121="Family told",J121="Enrolled"),AG121=""),"Recommendation needed",IF(AND(OR(J121="Family told",J121="Enrolled"),AJ121=""),"Date family told needed","OK"))))))))</f>
        <v/>
      </c>
    </row>
    <row r="122" customFormat="false" ht="15" hidden="false" customHeight="false" outlineLevel="0" collapsed="false">
      <c r="A122" s="7"/>
      <c r="B122" s="7"/>
      <c r="C122" s="46"/>
      <c r="D122" s="7"/>
      <c r="E122" s="47"/>
      <c r="F122" s="46"/>
      <c r="G122" s="46"/>
      <c r="H122" s="7"/>
      <c r="I122" s="7"/>
      <c r="J122" s="47"/>
      <c r="K122" s="47"/>
      <c r="L122" s="47"/>
      <c r="M122" s="47"/>
      <c r="N122" s="10"/>
      <c r="O122" s="47"/>
      <c r="P122" s="47"/>
      <c r="Q122" s="47"/>
      <c r="R122" s="48" t="str">
        <f aca="false">IF(Q122="","",IF(Q122=0,"below 5:00",IF(Q122&gt;=66,"16:00 or above",INT((60+2*Q122)/12)&amp;":"&amp;TEXT(MOD(60+2*Q122,12),"00"))))</f>
        <v/>
      </c>
      <c r="S122" s="47"/>
      <c r="T122" s="47"/>
      <c r="U122" s="47"/>
      <c r="V122" s="47"/>
      <c r="W122" s="47"/>
      <c r="X122" s="47"/>
      <c r="Y122" s="47"/>
      <c r="Z122" s="47"/>
      <c r="AA122" s="47"/>
      <c r="AB122" s="47"/>
      <c r="AC122" s="47"/>
      <c r="AD122" s="47"/>
      <c r="AE122" s="47"/>
      <c r="AF122" s="47"/>
      <c r="AG122" s="47"/>
      <c r="AH122" s="47"/>
      <c r="AI122" s="46"/>
      <c r="AJ122" s="46"/>
      <c r="AK122" s="46"/>
      <c r="AL122" s="7"/>
      <c r="AM122" s="49" t="str">
        <f aca="false">IF(OR(C122="",G122=""),"",IFERROR(DATEDIF(C122,G122,"m"),""))</f>
        <v/>
      </c>
      <c r="AN122" s="49" t="str">
        <f aca="false">IF(OR(Q122="",AM122=""),"",60+2*Q122-AM122)</f>
        <v/>
      </c>
      <c r="AO122" s="49" t="str">
        <f aca="false">IF(OR(G122="",AJ122=""),"",AJ122-G122)</f>
        <v/>
      </c>
      <c r="AP122" s="50" t="str">
        <f aca="false">IF(AND(A122="",B122=""),"",IF(J122="","Status needed",IF(OR(J122="Applied",J122="Visit booked",J122="Withdrawn"),"OK",IF(G122="","Date assessed needed",IF(C122="","Date of birth needed",IF(COUNTA(L122,M122,P122,U122,V122,X122,AB122)&lt;7,"Band missing",IF(AND(OR(J122="Decision confirmed",J122="Family told",J122="Enrolled"),AG122=""),"Recommendation needed",IF(AND(OR(J122="Family told",J122="Enrolled"),AJ122=""),"Date family told needed","OK"))))))))</f>
        <v/>
      </c>
    </row>
    <row r="123" customFormat="false" ht="15" hidden="false" customHeight="false" outlineLevel="0" collapsed="false">
      <c r="A123" s="7"/>
      <c r="B123" s="7"/>
      <c r="C123" s="46"/>
      <c r="D123" s="7"/>
      <c r="E123" s="47"/>
      <c r="F123" s="46"/>
      <c r="G123" s="46"/>
      <c r="H123" s="7"/>
      <c r="I123" s="7"/>
      <c r="J123" s="47"/>
      <c r="K123" s="47"/>
      <c r="L123" s="47"/>
      <c r="M123" s="47"/>
      <c r="N123" s="10"/>
      <c r="O123" s="47"/>
      <c r="P123" s="47"/>
      <c r="Q123" s="47"/>
      <c r="R123" s="48" t="str">
        <f aca="false">IF(Q123="","",IF(Q123=0,"below 5:00",IF(Q123&gt;=66,"16:00 or above",INT((60+2*Q123)/12)&amp;":"&amp;TEXT(MOD(60+2*Q123,12),"00"))))</f>
        <v/>
      </c>
      <c r="S123" s="47"/>
      <c r="T123" s="47"/>
      <c r="U123" s="47"/>
      <c r="V123" s="47"/>
      <c r="W123" s="47"/>
      <c r="X123" s="47"/>
      <c r="Y123" s="47"/>
      <c r="Z123" s="47"/>
      <c r="AA123" s="47"/>
      <c r="AB123" s="47"/>
      <c r="AC123" s="47"/>
      <c r="AD123" s="47"/>
      <c r="AE123" s="47"/>
      <c r="AF123" s="47"/>
      <c r="AG123" s="47"/>
      <c r="AH123" s="47"/>
      <c r="AI123" s="46"/>
      <c r="AJ123" s="46"/>
      <c r="AK123" s="46"/>
      <c r="AL123" s="7"/>
      <c r="AM123" s="49" t="str">
        <f aca="false">IF(OR(C123="",G123=""),"",IFERROR(DATEDIF(C123,G123,"m"),""))</f>
        <v/>
      </c>
      <c r="AN123" s="49" t="str">
        <f aca="false">IF(OR(Q123="",AM123=""),"",60+2*Q123-AM123)</f>
        <v/>
      </c>
      <c r="AO123" s="49" t="str">
        <f aca="false">IF(OR(G123="",AJ123=""),"",AJ123-G123)</f>
        <v/>
      </c>
      <c r="AP123" s="50" t="str">
        <f aca="false">IF(AND(A123="",B123=""),"",IF(J123="","Status needed",IF(OR(J123="Applied",J123="Visit booked",J123="Withdrawn"),"OK",IF(G123="","Date assessed needed",IF(C123="","Date of birth needed",IF(COUNTA(L123,M123,P123,U123,V123,X123,AB123)&lt;7,"Band missing",IF(AND(OR(J123="Decision confirmed",J123="Family told",J123="Enrolled"),AG123=""),"Recommendation needed",IF(AND(OR(J123="Family told",J123="Enrolled"),AJ123=""),"Date family told needed","OK"))))))))</f>
        <v/>
      </c>
    </row>
    <row r="124" customFormat="false" ht="15" hidden="false" customHeight="false" outlineLevel="0" collapsed="false">
      <c r="A124" s="7"/>
      <c r="B124" s="7"/>
      <c r="C124" s="46"/>
      <c r="D124" s="7"/>
      <c r="E124" s="47"/>
      <c r="F124" s="46"/>
      <c r="G124" s="46"/>
      <c r="H124" s="7"/>
      <c r="I124" s="7"/>
      <c r="J124" s="47"/>
      <c r="K124" s="47"/>
      <c r="L124" s="47"/>
      <c r="M124" s="47"/>
      <c r="N124" s="10"/>
      <c r="O124" s="47"/>
      <c r="P124" s="47"/>
      <c r="Q124" s="47"/>
      <c r="R124" s="48" t="str">
        <f aca="false">IF(Q124="","",IF(Q124=0,"below 5:00",IF(Q124&gt;=66,"16:00 or above",INT((60+2*Q124)/12)&amp;":"&amp;TEXT(MOD(60+2*Q124,12),"00"))))</f>
        <v/>
      </c>
      <c r="S124" s="47"/>
      <c r="T124" s="47"/>
      <c r="U124" s="47"/>
      <c r="V124" s="47"/>
      <c r="W124" s="47"/>
      <c r="X124" s="47"/>
      <c r="Y124" s="47"/>
      <c r="Z124" s="47"/>
      <c r="AA124" s="47"/>
      <c r="AB124" s="47"/>
      <c r="AC124" s="47"/>
      <c r="AD124" s="47"/>
      <c r="AE124" s="47"/>
      <c r="AF124" s="47"/>
      <c r="AG124" s="47"/>
      <c r="AH124" s="47"/>
      <c r="AI124" s="46"/>
      <c r="AJ124" s="46"/>
      <c r="AK124" s="46"/>
      <c r="AL124" s="7"/>
      <c r="AM124" s="49" t="str">
        <f aca="false">IF(OR(C124="",G124=""),"",IFERROR(DATEDIF(C124,G124,"m"),""))</f>
        <v/>
      </c>
      <c r="AN124" s="49" t="str">
        <f aca="false">IF(OR(Q124="",AM124=""),"",60+2*Q124-AM124)</f>
        <v/>
      </c>
      <c r="AO124" s="49" t="str">
        <f aca="false">IF(OR(G124="",AJ124=""),"",AJ124-G124)</f>
        <v/>
      </c>
      <c r="AP124" s="50" t="str">
        <f aca="false">IF(AND(A124="",B124=""),"",IF(J124="","Status needed",IF(OR(J124="Applied",J124="Visit booked",J124="Withdrawn"),"OK",IF(G124="","Date assessed needed",IF(C124="","Date of birth needed",IF(COUNTA(L124,M124,P124,U124,V124,X124,AB124)&lt;7,"Band missing",IF(AND(OR(J124="Decision confirmed",J124="Family told",J124="Enrolled"),AG124=""),"Recommendation needed",IF(AND(OR(J124="Family told",J124="Enrolled"),AJ124=""),"Date family told needed","OK"))))))))</f>
        <v/>
      </c>
    </row>
    <row r="125" customFormat="false" ht="15" hidden="false" customHeight="false" outlineLevel="0" collapsed="false">
      <c r="A125" s="7"/>
      <c r="B125" s="7"/>
      <c r="C125" s="46"/>
      <c r="D125" s="7"/>
      <c r="E125" s="47"/>
      <c r="F125" s="46"/>
      <c r="G125" s="46"/>
      <c r="H125" s="7"/>
      <c r="I125" s="7"/>
      <c r="J125" s="47"/>
      <c r="K125" s="47"/>
      <c r="L125" s="47"/>
      <c r="M125" s="47"/>
      <c r="N125" s="10"/>
      <c r="O125" s="47"/>
      <c r="P125" s="47"/>
      <c r="Q125" s="47"/>
      <c r="R125" s="48" t="str">
        <f aca="false">IF(Q125="","",IF(Q125=0,"below 5:00",IF(Q125&gt;=66,"16:00 or above",INT((60+2*Q125)/12)&amp;":"&amp;TEXT(MOD(60+2*Q125,12),"00"))))</f>
        <v/>
      </c>
      <c r="S125" s="47"/>
      <c r="T125" s="47"/>
      <c r="U125" s="47"/>
      <c r="V125" s="47"/>
      <c r="W125" s="47"/>
      <c r="X125" s="47"/>
      <c r="Y125" s="47"/>
      <c r="Z125" s="47"/>
      <c r="AA125" s="47"/>
      <c r="AB125" s="47"/>
      <c r="AC125" s="47"/>
      <c r="AD125" s="47"/>
      <c r="AE125" s="47"/>
      <c r="AF125" s="47"/>
      <c r="AG125" s="47"/>
      <c r="AH125" s="47"/>
      <c r="AI125" s="46"/>
      <c r="AJ125" s="46"/>
      <c r="AK125" s="46"/>
      <c r="AL125" s="7"/>
      <c r="AM125" s="49" t="str">
        <f aca="false">IF(OR(C125="",G125=""),"",IFERROR(DATEDIF(C125,G125,"m"),""))</f>
        <v/>
      </c>
      <c r="AN125" s="49" t="str">
        <f aca="false">IF(OR(Q125="",AM125=""),"",60+2*Q125-AM125)</f>
        <v/>
      </c>
      <c r="AO125" s="49" t="str">
        <f aca="false">IF(OR(G125="",AJ125=""),"",AJ125-G125)</f>
        <v/>
      </c>
      <c r="AP125" s="50" t="str">
        <f aca="false">IF(AND(A125="",B125=""),"",IF(J125="","Status needed",IF(OR(J125="Applied",J125="Visit booked",J125="Withdrawn"),"OK",IF(G125="","Date assessed needed",IF(C125="","Date of birth needed",IF(COUNTA(L125,M125,P125,U125,V125,X125,AB125)&lt;7,"Band missing",IF(AND(OR(J125="Decision confirmed",J125="Family told",J125="Enrolled"),AG125=""),"Recommendation needed",IF(AND(OR(J125="Family told",J125="Enrolled"),AJ125=""),"Date family told needed","OK"))))))))</f>
        <v/>
      </c>
    </row>
    <row r="126" customFormat="false" ht="15" hidden="false" customHeight="false" outlineLevel="0" collapsed="false">
      <c r="A126" s="7"/>
      <c r="B126" s="7"/>
      <c r="C126" s="46"/>
      <c r="D126" s="7"/>
      <c r="E126" s="47"/>
      <c r="F126" s="46"/>
      <c r="G126" s="46"/>
      <c r="H126" s="7"/>
      <c r="I126" s="7"/>
      <c r="J126" s="47"/>
      <c r="K126" s="47"/>
      <c r="L126" s="47"/>
      <c r="M126" s="47"/>
      <c r="N126" s="10"/>
      <c r="O126" s="47"/>
      <c r="P126" s="47"/>
      <c r="Q126" s="47"/>
      <c r="R126" s="48" t="str">
        <f aca="false">IF(Q126="","",IF(Q126=0,"below 5:00",IF(Q126&gt;=66,"16:00 or above",INT((60+2*Q126)/12)&amp;":"&amp;TEXT(MOD(60+2*Q126,12),"00"))))</f>
        <v/>
      </c>
      <c r="S126" s="47"/>
      <c r="T126" s="47"/>
      <c r="U126" s="47"/>
      <c r="V126" s="47"/>
      <c r="W126" s="47"/>
      <c r="X126" s="47"/>
      <c r="Y126" s="47"/>
      <c r="Z126" s="47"/>
      <c r="AA126" s="47"/>
      <c r="AB126" s="47"/>
      <c r="AC126" s="47"/>
      <c r="AD126" s="47"/>
      <c r="AE126" s="47"/>
      <c r="AF126" s="47"/>
      <c r="AG126" s="47"/>
      <c r="AH126" s="47"/>
      <c r="AI126" s="46"/>
      <c r="AJ126" s="46"/>
      <c r="AK126" s="46"/>
      <c r="AL126" s="7"/>
      <c r="AM126" s="49" t="str">
        <f aca="false">IF(OR(C126="",G126=""),"",IFERROR(DATEDIF(C126,G126,"m"),""))</f>
        <v/>
      </c>
      <c r="AN126" s="49" t="str">
        <f aca="false">IF(OR(Q126="",AM126=""),"",60+2*Q126-AM126)</f>
        <v/>
      </c>
      <c r="AO126" s="49" t="str">
        <f aca="false">IF(OR(G126="",AJ126=""),"",AJ126-G126)</f>
        <v/>
      </c>
      <c r="AP126" s="50" t="str">
        <f aca="false">IF(AND(A126="",B126=""),"",IF(J126="","Status needed",IF(OR(J126="Applied",J126="Visit booked",J126="Withdrawn"),"OK",IF(G126="","Date assessed needed",IF(C126="","Date of birth needed",IF(COUNTA(L126,M126,P126,U126,V126,X126,AB126)&lt;7,"Band missing",IF(AND(OR(J126="Decision confirmed",J126="Family told",J126="Enrolled"),AG126=""),"Recommendation needed",IF(AND(OR(J126="Family told",J126="Enrolled"),AJ126=""),"Date family told needed","OK"))))))))</f>
        <v/>
      </c>
    </row>
    <row r="127" customFormat="false" ht="15" hidden="false" customHeight="false" outlineLevel="0" collapsed="false">
      <c r="A127" s="7"/>
      <c r="B127" s="7"/>
      <c r="C127" s="46"/>
      <c r="D127" s="7"/>
      <c r="E127" s="47"/>
      <c r="F127" s="46"/>
      <c r="G127" s="46"/>
      <c r="H127" s="7"/>
      <c r="I127" s="7"/>
      <c r="J127" s="47"/>
      <c r="K127" s="47"/>
      <c r="L127" s="47"/>
      <c r="M127" s="47"/>
      <c r="N127" s="10"/>
      <c r="O127" s="47"/>
      <c r="P127" s="47"/>
      <c r="Q127" s="47"/>
      <c r="R127" s="48" t="str">
        <f aca="false">IF(Q127="","",IF(Q127=0,"below 5:00",IF(Q127&gt;=66,"16:00 or above",INT((60+2*Q127)/12)&amp;":"&amp;TEXT(MOD(60+2*Q127,12),"00"))))</f>
        <v/>
      </c>
      <c r="S127" s="47"/>
      <c r="T127" s="47"/>
      <c r="U127" s="47"/>
      <c r="V127" s="47"/>
      <c r="W127" s="47"/>
      <c r="X127" s="47"/>
      <c r="Y127" s="47"/>
      <c r="Z127" s="47"/>
      <c r="AA127" s="47"/>
      <c r="AB127" s="47"/>
      <c r="AC127" s="47"/>
      <c r="AD127" s="47"/>
      <c r="AE127" s="47"/>
      <c r="AF127" s="47"/>
      <c r="AG127" s="47"/>
      <c r="AH127" s="47"/>
      <c r="AI127" s="46"/>
      <c r="AJ127" s="46"/>
      <c r="AK127" s="46"/>
      <c r="AL127" s="7"/>
      <c r="AM127" s="49" t="str">
        <f aca="false">IF(OR(C127="",G127=""),"",IFERROR(DATEDIF(C127,G127,"m"),""))</f>
        <v/>
      </c>
      <c r="AN127" s="49" t="str">
        <f aca="false">IF(OR(Q127="",AM127=""),"",60+2*Q127-AM127)</f>
        <v/>
      </c>
      <c r="AO127" s="49" t="str">
        <f aca="false">IF(OR(G127="",AJ127=""),"",AJ127-G127)</f>
        <v/>
      </c>
      <c r="AP127" s="50" t="str">
        <f aca="false">IF(AND(A127="",B127=""),"",IF(J127="","Status needed",IF(OR(J127="Applied",J127="Visit booked",J127="Withdrawn"),"OK",IF(G127="","Date assessed needed",IF(C127="","Date of birth needed",IF(COUNTA(L127,M127,P127,U127,V127,X127,AB127)&lt;7,"Band missing",IF(AND(OR(J127="Decision confirmed",J127="Family told",J127="Enrolled"),AG127=""),"Recommendation needed",IF(AND(OR(J127="Family told",J127="Enrolled"),AJ127=""),"Date family told needed","OK"))))))))</f>
        <v/>
      </c>
    </row>
    <row r="128" customFormat="false" ht="15" hidden="false" customHeight="false" outlineLevel="0" collapsed="false">
      <c r="A128" s="7"/>
      <c r="B128" s="7"/>
      <c r="C128" s="46"/>
      <c r="D128" s="7"/>
      <c r="E128" s="47"/>
      <c r="F128" s="46"/>
      <c r="G128" s="46"/>
      <c r="H128" s="7"/>
      <c r="I128" s="7"/>
      <c r="J128" s="47"/>
      <c r="K128" s="47"/>
      <c r="L128" s="47"/>
      <c r="M128" s="47"/>
      <c r="N128" s="10"/>
      <c r="O128" s="47"/>
      <c r="P128" s="47"/>
      <c r="Q128" s="47"/>
      <c r="R128" s="48" t="str">
        <f aca="false">IF(Q128="","",IF(Q128=0,"below 5:00",IF(Q128&gt;=66,"16:00 or above",INT((60+2*Q128)/12)&amp;":"&amp;TEXT(MOD(60+2*Q128,12),"00"))))</f>
        <v/>
      </c>
      <c r="S128" s="47"/>
      <c r="T128" s="47"/>
      <c r="U128" s="47"/>
      <c r="V128" s="47"/>
      <c r="W128" s="47"/>
      <c r="X128" s="47"/>
      <c r="Y128" s="47"/>
      <c r="Z128" s="47"/>
      <c r="AA128" s="47"/>
      <c r="AB128" s="47"/>
      <c r="AC128" s="47"/>
      <c r="AD128" s="47"/>
      <c r="AE128" s="47"/>
      <c r="AF128" s="47"/>
      <c r="AG128" s="47"/>
      <c r="AH128" s="47"/>
      <c r="AI128" s="46"/>
      <c r="AJ128" s="46"/>
      <c r="AK128" s="46"/>
      <c r="AL128" s="7"/>
      <c r="AM128" s="49" t="str">
        <f aca="false">IF(OR(C128="",G128=""),"",IFERROR(DATEDIF(C128,G128,"m"),""))</f>
        <v/>
      </c>
      <c r="AN128" s="49" t="str">
        <f aca="false">IF(OR(Q128="",AM128=""),"",60+2*Q128-AM128)</f>
        <v/>
      </c>
      <c r="AO128" s="49" t="str">
        <f aca="false">IF(OR(G128="",AJ128=""),"",AJ128-G128)</f>
        <v/>
      </c>
      <c r="AP128" s="50" t="str">
        <f aca="false">IF(AND(A128="",B128=""),"",IF(J128="","Status needed",IF(OR(J128="Applied",J128="Visit booked",J128="Withdrawn"),"OK",IF(G128="","Date assessed needed",IF(C128="","Date of birth needed",IF(COUNTA(L128,M128,P128,U128,V128,X128,AB128)&lt;7,"Band missing",IF(AND(OR(J128="Decision confirmed",J128="Family told",J128="Enrolled"),AG128=""),"Recommendation needed",IF(AND(OR(J128="Family told",J128="Enrolled"),AJ128=""),"Date family told needed","OK"))))))))</f>
        <v/>
      </c>
    </row>
    <row r="129" customFormat="false" ht="15" hidden="false" customHeight="false" outlineLevel="0" collapsed="false">
      <c r="A129" s="7"/>
      <c r="B129" s="7"/>
      <c r="C129" s="46"/>
      <c r="D129" s="7"/>
      <c r="E129" s="47"/>
      <c r="F129" s="46"/>
      <c r="G129" s="46"/>
      <c r="H129" s="7"/>
      <c r="I129" s="7"/>
      <c r="J129" s="47"/>
      <c r="K129" s="47"/>
      <c r="L129" s="47"/>
      <c r="M129" s="47"/>
      <c r="N129" s="10"/>
      <c r="O129" s="47"/>
      <c r="P129" s="47"/>
      <c r="Q129" s="47"/>
      <c r="R129" s="48" t="str">
        <f aca="false">IF(Q129="","",IF(Q129=0,"below 5:00",IF(Q129&gt;=66,"16:00 or above",INT((60+2*Q129)/12)&amp;":"&amp;TEXT(MOD(60+2*Q129,12),"00"))))</f>
        <v/>
      </c>
      <c r="S129" s="47"/>
      <c r="T129" s="47"/>
      <c r="U129" s="47"/>
      <c r="V129" s="47"/>
      <c r="W129" s="47"/>
      <c r="X129" s="47"/>
      <c r="Y129" s="47"/>
      <c r="Z129" s="47"/>
      <c r="AA129" s="47"/>
      <c r="AB129" s="47"/>
      <c r="AC129" s="47"/>
      <c r="AD129" s="47"/>
      <c r="AE129" s="47"/>
      <c r="AF129" s="47"/>
      <c r="AG129" s="47"/>
      <c r="AH129" s="47"/>
      <c r="AI129" s="46"/>
      <c r="AJ129" s="46"/>
      <c r="AK129" s="46"/>
      <c r="AL129" s="7"/>
      <c r="AM129" s="49" t="str">
        <f aca="false">IF(OR(C129="",G129=""),"",IFERROR(DATEDIF(C129,G129,"m"),""))</f>
        <v/>
      </c>
      <c r="AN129" s="49" t="str">
        <f aca="false">IF(OR(Q129="",AM129=""),"",60+2*Q129-AM129)</f>
        <v/>
      </c>
      <c r="AO129" s="49" t="str">
        <f aca="false">IF(OR(G129="",AJ129=""),"",AJ129-G129)</f>
        <v/>
      </c>
      <c r="AP129" s="50" t="str">
        <f aca="false">IF(AND(A129="",B129=""),"",IF(J129="","Status needed",IF(OR(J129="Applied",J129="Visit booked",J129="Withdrawn"),"OK",IF(G129="","Date assessed needed",IF(C129="","Date of birth needed",IF(COUNTA(L129,M129,P129,U129,V129,X129,AB129)&lt;7,"Band missing",IF(AND(OR(J129="Decision confirmed",J129="Family told",J129="Enrolled"),AG129=""),"Recommendation needed",IF(AND(OR(J129="Family told",J129="Enrolled"),AJ129=""),"Date family told needed","OK"))))))))</f>
        <v/>
      </c>
    </row>
    <row r="130" customFormat="false" ht="15" hidden="false" customHeight="false" outlineLevel="0" collapsed="false">
      <c r="A130" s="7"/>
      <c r="B130" s="7"/>
      <c r="C130" s="46"/>
      <c r="D130" s="7"/>
      <c r="E130" s="47"/>
      <c r="F130" s="46"/>
      <c r="G130" s="46"/>
      <c r="H130" s="7"/>
      <c r="I130" s="7"/>
      <c r="J130" s="47"/>
      <c r="K130" s="47"/>
      <c r="L130" s="47"/>
      <c r="M130" s="47"/>
      <c r="N130" s="10"/>
      <c r="O130" s="47"/>
      <c r="P130" s="47"/>
      <c r="Q130" s="47"/>
      <c r="R130" s="48" t="str">
        <f aca="false">IF(Q130="","",IF(Q130=0,"below 5:00",IF(Q130&gt;=66,"16:00 or above",INT((60+2*Q130)/12)&amp;":"&amp;TEXT(MOD(60+2*Q130,12),"00"))))</f>
        <v/>
      </c>
      <c r="S130" s="47"/>
      <c r="T130" s="47"/>
      <c r="U130" s="47"/>
      <c r="V130" s="47"/>
      <c r="W130" s="47"/>
      <c r="X130" s="47"/>
      <c r="Y130" s="47"/>
      <c r="Z130" s="47"/>
      <c r="AA130" s="47"/>
      <c r="AB130" s="47"/>
      <c r="AC130" s="47"/>
      <c r="AD130" s="47"/>
      <c r="AE130" s="47"/>
      <c r="AF130" s="47"/>
      <c r="AG130" s="47"/>
      <c r="AH130" s="47"/>
      <c r="AI130" s="46"/>
      <c r="AJ130" s="46"/>
      <c r="AK130" s="46"/>
      <c r="AL130" s="7"/>
      <c r="AM130" s="49" t="str">
        <f aca="false">IF(OR(C130="",G130=""),"",IFERROR(DATEDIF(C130,G130,"m"),""))</f>
        <v/>
      </c>
      <c r="AN130" s="49" t="str">
        <f aca="false">IF(OR(Q130="",AM130=""),"",60+2*Q130-AM130)</f>
        <v/>
      </c>
      <c r="AO130" s="49" t="str">
        <f aca="false">IF(OR(G130="",AJ130=""),"",AJ130-G130)</f>
        <v/>
      </c>
      <c r="AP130" s="50" t="str">
        <f aca="false">IF(AND(A130="",B130=""),"",IF(J130="","Status needed",IF(OR(J130="Applied",J130="Visit booked",J130="Withdrawn"),"OK",IF(G130="","Date assessed needed",IF(C130="","Date of birth needed",IF(COUNTA(L130,M130,P130,U130,V130,X130,AB130)&lt;7,"Band missing",IF(AND(OR(J130="Decision confirmed",J130="Family told",J130="Enrolled"),AG130=""),"Recommendation needed",IF(AND(OR(J130="Family told",J130="Enrolled"),AJ130=""),"Date family told needed","OK"))))))))</f>
        <v/>
      </c>
    </row>
    <row r="131" customFormat="false" ht="15" hidden="false" customHeight="false" outlineLevel="0" collapsed="false">
      <c r="A131" s="7"/>
      <c r="B131" s="7"/>
      <c r="C131" s="46"/>
      <c r="D131" s="7"/>
      <c r="E131" s="47"/>
      <c r="F131" s="46"/>
      <c r="G131" s="46"/>
      <c r="H131" s="7"/>
      <c r="I131" s="7"/>
      <c r="J131" s="47"/>
      <c r="K131" s="47"/>
      <c r="L131" s="47"/>
      <c r="M131" s="47"/>
      <c r="N131" s="10"/>
      <c r="O131" s="47"/>
      <c r="P131" s="47"/>
      <c r="Q131" s="47"/>
      <c r="R131" s="48" t="str">
        <f aca="false">IF(Q131="","",IF(Q131=0,"below 5:00",IF(Q131&gt;=66,"16:00 or above",INT((60+2*Q131)/12)&amp;":"&amp;TEXT(MOD(60+2*Q131,12),"00"))))</f>
        <v/>
      </c>
      <c r="S131" s="47"/>
      <c r="T131" s="47"/>
      <c r="U131" s="47"/>
      <c r="V131" s="47"/>
      <c r="W131" s="47"/>
      <c r="X131" s="47"/>
      <c r="Y131" s="47"/>
      <c r="Z131" s="47"/>
      <c r="AA131" s="47"/>
      <c r="AB131" s="47"/>
      <c r="AC131" s="47"/>
      <c r="AD131" s="47"/>
      <c r="AE131" s="47"/>
      <c r="AF131" s="47"/>
      <c r="AG131" s="47"/>
      <c r="AH131" s="47"/>
      <c r="AI131" s="46"/>
      <c r="AJ131" s="46"/>
      <c r="AK131" s="46"/>
      <c r="AL131" s="7"/>
      <c r="AM131" s="49" t="str">
        <f aca="false">IF(OR(C131="",G131=""),"",IFERROR(DATEDIF(C131,G131,"m"),""))</f>
        <v/>
      </c>
      <c r="AN131" s="49" t="str">
        <f aca="false">IF(OR(Q131="",AM131=""),"",60+2*Q131-AM131)</f>
        <v/>
      </c>
      <c r="AO131" s="49" t="str">
        <f aca="false">IF(OR(G131="",AJ131=""),"",AJ131-G131)</f>
        <v/>
      </c>
      <c r="AP131" s="50" t="str">
        <f aca="false">IF(AND(A131="",B131=""),"",IF(J131="","Status needed",IF(OR(J131="Applied",J131="Visit booked",J131="Withdrawn"),"OK",IF(G131="","Date assessed needed",IF(C131="","Date of birth needed",IF(COUNTA(L131,M131,P131,U131,V131,X131,AB131)&lt;7,"Band missing",IF(AND(OR(J131="Decision confirmed",J131="Family told",J131="Enrolled"),AG131=""),"Recommendation needed",IF(AND(OR(J131="Family told",J131="Enrolled"),AJ131=""),"Date family told needed","OK"))))))))</f>
        <v/>
      </c>
    </row>
    <row r="132" customFormat="false" ht="15" hidden="false" customHeight="false" outlineLevel="0" collapsed="false">
      <c r="A132" s="7"/>
      <c r="B132" s="7"/>
      <c r="C132" s="46"/>
      <c r="D132" s="7"/>
      <c r="E132" s="47"/>
      <c r="F132" s="46"/>
      <c r="G132" s="46"/>
      <c r="H132" s="7"/>
      <c r="I132" s="7"/>
      <c r="J132" s="47"/>
      <c r="K132" s="47"/>
      <c r="L132" s="47"/>
      <c r="M132" s="47"/>
      <c r="N132" s="10"/>
      <c r="O132" s="47"/>
      <c r="P132" s="47"/>
      <c r="Q132" s="47"/>
      <c r="R132" s="48" t="str">
        <f aca="false">IF(Q132="","",IF(Q132=0,"below 5:00",IF(Q132&gt;=66,"16:00 or above",INT((60+2*Q132)/12)&amp;":"&amp;TEXT(MOD(60+2*Q132,12),"00"))))</f>
        <v/>
      </c>
      <c r="S132" s="47"/>
      <c r="T132" s="47"/>
      <c r="U132" s="47"/>
      <c r="V132" s="47"/>
      <c r="W132" s="47"/>
      <c r="X132" s="47"/>
      <c r="Y132" s="47"/>
      <c r="Z132" s="47"/>
      <c r="AA132" s="47"/>
      <c r="AB132" s="47"/>
      <c r="AC132" s="47"/>
      <c r="AD132" s="47"/>
      <c r="AE132" s="47"/>
      <c r="AF132" s="47"/>
      <c r="AG132" s="47"/>
      <c r="AH132" s="47"/>
      <c r="AI132" s="46"/>
      <c r="AJ132" s="46"/>
      <c r="AK132" s="46"/>
      <c r="AL132" s="7"/>
      <c r="AM132" s="49" t="str">
        <f aca="false">IF(OR(C132="",G132=""),"",IFERROR(DATEDIF(C132,G132,"m"),""))</f>
        <v/>
      </c>
      <c r="AN132" s="49" t="str">
        <f aca="false">IF(OR(Q132="",AM132=""),"",60+2*Q132-AM132)</f>
        <v/>
      </c>
      <c r="AO132" s="49" t="str">
        <f aca="false">IF(OR(G132="",AJ132=""),"",AJ132-G132)</f>
        <v/>
      </c>
      <c r="AP132" s="50" t="str">
        <f aca="false">IF(AND(A132="",B132=""),"",IF(J132="","Status needed",IF(OR(J132="Applied",J132="Visit booked",J132="Withdrawn"),"OK",IF(G132="","Date assessed needed",IF(C132="","Date of birth needed",IF(COUNTA(L132,M132,P132,U132,V132,X132,AB132)&lt;7,"Band missing",IF(AND(OR(J132="Decision confirmed",J132="Family told",J132="Enrolled"),AG132=""),"Recommendation needed",IF(AND(OR(J132="Family told",J132="Enrolled"),AJ132=""),"Date family told needed","OK"))))))))</f>
        <v/>
      </c>
    </row>
    <row r="133" customFormat="false" ht="15" hidden="false" customHeight="false" outlineLevel="0" collapsed="false">
      <c r="A133" s="7"/>
      <c r="B133" s="7"/>
      <c r="C133" s="46"/>
      <c r="D133" s="7"/>
      <c r="E133" s="47"/>
      <c r="F133" s="46"/>
      <c r="G133" s="46"/>
      <c r="H133" s="7"/>
      <c r="I133" s="7"/>
      <c r="J133" s="47"/>
      <c r="K133" s="47"/>
      <c r="L133" s="47"/>
      <c r="M133" s="47"/>
      <c r="N133" s="10"/>
      <c r="O133" s="47"/>
      <c r="P133" s="47"/>
      <c r="Q133" s="47"/>
      <c r="R133" s="48" t="str">
        <f aca="false">IF(Q133="","",IF(Q133=0,"below 5:00",IF(Q133&gt;=66,"16:00 or above",INT((60+2*Q133)/12)&amp;":"&amp;TEXT(MOD(60+2*Q133,12),"00"))))</f>
        <v/>
      </c>
      <c r="S133" s="47"/>
      <c r="T133" s="47"/>
      <c r="U133" s="47"/>
      <c r="V133" s="47"/>
      <c r="W133" s="47"/>
      <c r="X133" s="47"/>
      <c r="Y133" s="47"/>
      <c r="Z133" s="47"/>
      <c r="AA133" s="47"/>
      <c r="AB133" s="47"/>
      <c r="AC133" s="47"/>
      <c r="AD133" s="47"/>
      <c r="AE133" s="47"/>
      <c r="AF133" s="47"/>
      <c r="AG133" s="47"/>
      <c r="AH133" s="47"/>
      <c r="AI133" s="46"/>
      <c r="AJ133" s="46"/>
      <c r="AK133" s="46"/>
      <c r="AL133" s="7"/>
      <c r="AM133" s="49" t="str">
        <f aca="false">IF(OR(C133="",G133=""),"",IFERROR(DATEDIF(C133,G133,"m"),""))</f>
        <v/>
      </c>
      <c r="AN133" s="49" t="str">
        <f aca="false">IF(OR(Q133="",AM133=""),"",60+2*Q133-AM133)</f>
        <v/>
      </c>
      <c r="AO133" s="49" t="str">
        <f aca="false">IF(OR(G133="",AJ133=""),"",AJ133-G133)</f>
        <v/>
      </c>
      <c r="AP133" s="50" t="str">
        <f aca="false">IF(AND(A133="",B133=""),"",IF(J133="","Status needed",IF(OR(J133="Applied",J133="Visit booked",J133="Withdrawn"),"OK",IF(G133="","Date assessed needed",IF(C133="","Date of birth needed",IF(COUNTA(L133,M133,P133,U133,V133,X133,AB133)&lt;7,"Band missing",IF(AND(OR(J133="Decision confirmed",J133="Family told",J133="Enrolled"),AG133=""),"Recommendation needed",IF(AND(OR(J133="Family told",J133="Enrolled"),AJ133=""),"Date family told needed","OK"))))))))</f>
        <v/>
      </c>
    </row>
    <row r="134" customFormat="false" ht="15" hidden="false" customHeight="false" outlineLevel="0" collapsed="false">
      <c r="A134" s="7"/>
      <c r="B134" s="7"/>
      <c r="C134" s="46"/>
      <c r="D134" s="7"/>
      <c r="E134" s="47"/>
      <c r="F134" s="46"/>
      <c r="G134" s="46"/>
      <c r="H134" s="7"/>
      <c r="I134" s="7"/>
      <c r="J134" s="47"/>
      <c r="K134" s="47"/>
      <c r="L134" s="47"/>
      <c r="M134" s="47"/>
      <c r="N134" s="10"/>
      <c r="O134" s="47"/>
      <c r="P134" s="47"/>
      <c r="Q134" s="47"/>
      <c r="R134" s="48" t="str">
        <f aca="false">IF(Q134="","",IF(Q134=0,"below 5:00",IF(Q134&gt;=66,"16:00 or above",INT((60+2*Q134)/12)&amp;":"&amp;TEXT(MOD(60+2*Q134,12),"00"))))</f>
        <v/>
      </c>
      <c r="S134" s="47"/>
      <c r="T134" s="47"/>
      <c r="U134" s="47"/>
      <c r="V134" s="47"/>
      <c r="W134" s="47"/>
      <c r="X134" s="47"/>
      <c r="Y134" s="47"/>
      <c r="Z134" s="47"/>
      <c r="AA134" s="47"/>
      <c r="AB134" s="47"/>
      <c r="AC134" s="47"/>
      <c r="AD134" s="47"/>
      <c r="AE134" s="47"/>
      <c r="AF134" s="47"/>
      <c r="AG134" s="47"/>
      <c r="AH134" s="47"/>
      <c r="AI134" s="46"/>
      <c r="AJ134" s="46"/>
      <c r="AK134" s="46"/>
      <c r="AL134" s="7"/>
      <c r="AM134" s="49" t="str">
        <f aca="false">IF(OR(C134="",G134=""),"",IFERROR(DATEDIF(C134,G134,"m"),""))</f>
        <v/>
      </c>
      <c r="AN134" s="49" t="str">
        <f aca="false">IF(OR(Q134="",AM134=""),"",60+2*Q134-AM134)</f>
        <v/>
      </c>
      <c r="AO134" s="49" t="str">
        <f aca="false">IF(OR(G134="",AJ134=""),"",AJ134-G134)</f>
        <v/>
      </c>
      <c r="AP134" s="50" t="str">
        <f aca="false">IF(AND(A134="",B134=""),"",IF(J134="","Status needed",IF(OR(J134="Applied",J134="Visit booked",J134="Withdrawn"),"OK",IF(G134="","Date assessed needed",IF(C134="","Date of birth needed",IF(COUNTA(L134,M134,P134,U134,V134,X134,AB134)&lt;7,"Band missing",IF(AND(OR(J134="Decision confirmed",J134="Family told",J134="Enrolled"),AG134=""),"Recommendation needed",IF(AND(OR(J134="Family told",J134="Enrolled"),AJ134=""),"Date family told needed","OK"))))))))</f>
        <v/>
      </c>
    </row>
    <row r="135" customFormat="false" ht="15" hidden="false" customHeight="false" outlineLevel="0" collapsed="false">
      <c r="A135" s="7"/>
      <c r="B135" s="7"/>
      <c r="C135" s="46"/>
      <c r="D135" s="7"/>
      <c r="E135" s="47"/>
      <c r="F135" s="46"/>
      <c r="G135" s="46"/>
      <c r="H135" s="7"/>
      <c r="I135" s="7"/>
      <c r="J135" s="47"/>
      <c r="K135" s="47"/>
      <c r="L135" s="47"/>
      <c r="M135" s="47"/>
      <c r="N135" s="10"/>
      <c r="O135" s="47"/>
      <c r="P135" s="47"/>
      <c r="Q135" s="47"/>
      <c r="R135" s="48" t="str">
        <f aca="false">IF(Q135="","",IF(Q135=0,"below 5:00",IF(Q135&gt;=66,"16:00 or above",INT((60+2*Q135)/12)&amp;":"&amp;TEXT(MOD(60+2*Q135,12),"00"))))</f>
        <v/>
      </c>
      <c r="S135" s="47"/>
      <c r="T135" s="47"/>
      <c r="U135" s="47"/>
      <c r="V135" s="47"/>
      <c r="W135" s="47"/>
      <c r="X135" s="47"/>
      <c r="Y135" s="47"/>
      <c r="Z135" s="47"/>
      <c r="AA135" s="47"/>
      <c r="AB135" s="47"/>
      <c r="AC135" s="47"/>
      <c r="AD135" s="47"/>
      <c r="AE135" s="47"/>
      <c r="AF135" s="47"/>
      <c r="AG135" s="47"/>
      <c r="AH135" s="47"/>
      <c r="AI135" s="46"/>
      <c r="AJ135" s="46"/>
      <c r="AK135" s="46"/>
      <c r="AL135" s="7"/>
      <c r="AM135" s="49" t="str">
        <f aca="false">IF(OR(C135="",G135=""),"",IFERROR(DATEDIF(C135,G135,"m"),""))</f>
        <v/>
      </c>
      <c r="AN135" s="49" t="str">
        <f aca="false">IF(OR(Q135="",AM135=""),"",60+2*Q135-AM135)</f>
        <v/>
      </c>
      <c r="AO135" s="49" t="str">
        <f aca="false">IF(OR(G135="",AJ135=""),"",AJ135-G135)</f>
        <v/>
      </c>
      <c r="AP135" s="50" t="str">
        <f aca="false">IF(AND(A135="",B135=""),"",IF(J135="","Status needed",IF(OR(J135="Applied",J135="Visit booked",J135="Withdrawn"),"OK",IF(G135="","Date assessed needed",IF(C135="","Date of birth needed",IF(COUNTA(L135,M135,P135,U135,V135,X135,AB135)&lt;7,"Band missing",IF(AND(OR(J135="Decision confirmed",J135="Family told",J135="Enrolled"),AG135=""),"Recommendation needed",IF(AND(OR(J135="Family told",J135="Enrolled"),AJ135=""),"Date family told needed","OK"))))))))</f>
        <v/>
      </c>
    </row>
    <row r="136" customFormat="false" ht="15" hidden="false" customHeight="false" outlineLevel="0" collapsed="false">
      <c r="A136" s="7"/>
      <c r="B136" s="7"/>
      <c r="C136" s="46"/>
      <c r="D136" s="7"/>
      <c r="E136" s="47"/>
      <c r="F136" s="46"/>
      <c r="G136" s="46"/>
      <c r="H136" s="7"/>
      <c r="I136" s="7"/>
      <c r="J136" s="47"/>
      <c r="K136" s="47"/>
      <c r="L136" s="47"/>
      <c r="M136" s="47"/>
      <c r="N136" s="10"/>
      <c r="O136" s="47"/>
      <c r="P136" s="47"/>
      <c r="Q136" s="47"/>
      <c r="R136" s="48" t="str">
        <f aca="false">IF(Q136="","",IF(Q136=0,"below 5:00",IF(Q136&gt;=66,"16:00 or above",INT((60+2*Q136)/12)&amp;":"&amp;TEXT(MOD(60+2*Q136,12),"00"))))</f>
        <v/>
      </c>
      <c r="S136" s="47"/>
      <c r="T136" s="47"/>
      <c r="U136" s="47"/>
      <c r="V136" s="47"/>
      <c r="W136" s="47"/>
      <c r="X136" s="47"/>
      <c r="Y136" s="47"/>
      <c r="Z136" s="47"/>
      <c r="AA136" s="47"/>
      <c r="AB136" s="47"/>
      <c r="AC136" s="47"/>
      <c r="AD136" s="47"/>
      <c r="AE136" s="47"/>
      <c r="AF136" s="47"/>
      <c r="AG136" s="47"/>
      <c r="AH136" s="47"/>
      <c r="AI136" s="46"/>
      <c r="AJ136" s="46"/>
      <c r="AK136" s="46"/>
      <c r="AL136" s="7"/>
      <c r="AM136" s="49" t="str">
        <f aca="false">IF(OR(C136="",G136=""),"",IFERROR(DATEDIF(C136,G136,"m"),""))</f>
        <v/>
      </c>
      <c r="AN136" s="49" t="str">
        <f aca="false">IF(OR(Q136="",AM136=""),"",60+2*Q136-AM136)</f>
        <v/>
      </c>
      <c r="AO136" s="49" t="str">
        <f aca="false">IF(OR(G136="",AJ136=""),"",AJ136-G136)</f>
        <v/>
      </c>
      <c r="AP136" s="50" t="str">
        <f aca="false">IF(AND(A136="",B136=""),"",IF(J136="","Status needed",IF(OR(J136="Applied",J136="Visit booked",J136="Withdrawn"),"OK",IF(G136="","Date assessed needed",IF(C136="","Date of birth needed",IF(COUNTA(L136,M136,P136,U136,V136,X136,AB136)&lt;7,"Band missing",IF(AND(OR(J136="Decision confirmed",J136="Family told",J136="Enrolled"),AG136=""),"Recommendation needed",IF(AND(OR(J136="Family told",J136="Enrolled"),AJ136=""),"Date family told needed","OK"))))))))</f>
        <v/>
      </c>
    </row>
    <row r="137" customFormat="false" ht="15" hidden="false" customHeight="false" outlineLevel="0" collapsed="false">
      <c r="A137" s="7"/>
      <c r="B137" s="7"/>
      <c r="C137" s="46"/>
      <c r="D137" s="7"/>
      <c r="E137" s="47"/>
      <c r="F137" s="46"/>
      <c r="G137" s="46"/>
      <c r="H137" s="7"/>
      <c r="I137" s="7"/>
      <c r="J137" s="47"/>
      <c r="K137" s="47"/>
      <c r="L137" s="47"/>
      <c r="M137" s="47"/>
      <c r="N137" s="10"/>
      <c r="O137" s="47"/>
      <c r="P137" s="47"/>
      <c r="Q137" s="47"/>
      <c r="R137" s="48" t="str">
        <f aca="false">IF(Q137="","",IF(Q137=0,"below 5:00",IF(Q137&gt;=66,"16:00 or above",INT((60+2*Q137)/12)&amp;":"&amp;TEXT(MOD(60+2*Q137,12),"00"))))</f>
        <v/>
      </c>
      <c r="S137" s="47"/>
      <c r="T137" s="47"/>
      <c r="U137" s="47"/>
      <c r="V137" s="47"/>
      <c r="W137" s="47"/>
      <c r="X137" s="47"/>
      <c r="Y137" s="47"/>
      <c r="Z137" s="47"/>
      <c r="AA137" s="47"/>
      <c r="AB137" s="47"/>
      <c r="AC137" s="47"/>
      <c r="AD137" s="47"/>
      <c r="AE137" s="47"/>
      <c r="AF137" s="47"/>
      <c r="AG137" s="47"/>
      <c r="AH137" s="47"/>
      <c r="AI137" s="46"/>
      <c r="AJ137" s="46"/>
      <c r="AK137" s="46"/>
      <c r="AL137" s="7"/>
      <c r="AM137" s="49" t="str">
        <f aca="false">IF(OR(C137="",G137=""),"",IFERROR(DATEDIF(C137,G137,"m"),""))</f>
        <v/>
      </c>
      <c r="AN137" s="49" t="str">
        <f aca="false">IF(OR(Q137="",AM137=""),"",60+2*Q137-AM137)</f>
        <v/>
      </c>
      <c r="AO137" s="49" t="str">
        <f aca="false">IF(OR(G137="",AJ137=""),"",AJ137-G137)</f>
        <v/>
      </c>
      <c r="AP137" s="50" t="str">
        <f aca="false">IF(AND(A137="",B137=""),"",IF(J137="","Status needed",IF(OR(J137="Applied",J137="Visit booked",J137="Withdrawn"),"OK",IF(G137="","Date assessed needed",IF(C137="","Date of birth needed",IF(COUNTA(L137,M137,P137,U137,V137,X137,AB137)&lt;7,"Band missing",IF(AND(OR(J137="Decision confirmed",J137="Family told",J137="Enrolled"),AG137=""),"Recommendation needed",IF(AND(OR(J137="Family told",J137="Enrolled"),AJ137=""),"Date family told needed","OK"))))))))</f>
        <v/>
      </c>
    </row>
    <row r="138" customFormat="false" ht="15" hidden="false" customHeight="false" outlineLevel="0" collapsed="false">
      <c r="A138" s="7"/>
      <c r="B138" s="7"/>
      <c r="C138" s="46"/>
      <c r="D138" s="7"/>
      <c r="E138" s="47"/>
      <c r="F138" s="46"/>
      <c r="G138" s="46"/>
      <c r="H138" s="7"/>
      <c r="I138" s="7"/>
      <c r="J138" s="47"/>
      <c r="K138" s="47"/>
      <c r="L138" s="47"/>
      <c r="M138" s="47"/>
      <c r="N138" s="10"/>
      <c r="O138" s="47"/>
      <c r="P138" s="47"/>
      <c r="Q138" s="47"/>
      <c r="R138" s="48" t="str">
        <f aca="false">IF(Q138="","",IF(Q138=0,"below 5:00",IF(Q138&gt;=66,"16:00 or above",INT((60+2*Q138)/12)&amp;":"&amp;TEXT(MOD(60+2*Q138,12),"00"))))</f>
        <v/>
      </c>
      <c r="S138" s="47"/>
      <c r="T138" s="47"/>
      <c r="U138" s="47"/>
      <c r="V138" s="47"/>
      <c r="W138" s="47"/>
      <c r="X138" s="47"/>
      <c r="Y138" s="47"/>
      <c r="Z138" s="47"/>
      <c r="AA138" s="47"/>
      <c r="AB138" s="47"/>
      <c r="AC138" s="47"/>
      <c r="AD138" s="47"/>
      <c r="AE138" s="47"/>
      <c r="AF138" s="47"/>
      <c r="AG138" s="47"/>
      <c r="AH138" s="47"/>
      <c r="AI138" s="46"/>
      <c r="AJ138" s="46"/>
      <c r="AK138" s="46"/>
      <c r="AL138" s="7"/>
      <c r="AM138" s="49" t="str">
        <f aca="false">IF(OR(C138="",G138=""),"",IFERROR(DATEDIF(C138,G138,"m"),""))</f>
        <v/>
      </c>
      <c r="AN138" s="49" t="str">
        <f aca="false">IF(OR(Q138="",AM138=""),"",60+2*Q138-AM138)</f>
        <v/>
      </c>
      <c r="AO138" s="49" t="str">
        <f aca="false">IF(OR(G138="",AJ138=""),"",AJ138-G138)</f>
        <v/>
      </c>
      <c r="AP138" s="50" t="str">
        <f aca="false">IF(AND(A138="",B138=""),"",IF(J138="","Status needed",IF(OR(J138="Applied",J138="Visit booked",J138="Withdrawn"),"OK",IF(G138="","Date assessed needed",IF(C138="","Date of birth needed",IF(COUNTA(L138,M138,P138,U138,V138,X138,AB138)&lt;7,"Band missing",IF(AND(OR(J138="Decision confirmed",J138="Family told",J138="Enrolled"),AG138=""),"Recommendation needed",IF(AND(OR(J138="Family told",J138="Enrolled"),AJ138=""),"Date family told needed","OK"))))))))</f>
        <v/>
      </c>
    </row>
    <row r="139" customFormat="false" ht="15" hidden="false" customHeight="false" outlineLevel="0" collapsed="false">
      <c r="A139" s="7"/>
      <c r="B139" s="7"/>
      <c r="C139" s="46"/>
      <c r="D139" s="7"/>
      <c r="E139" s="47"/>
      <c r="F139" s="46"/>
      <c r="G139" s="46"/>
      <c r="H139" s="7"/>
      <c r="I139" s="7"/>
      <c r="J139" s="47"/>
      <c r="K139" s="47"/>
      <c r="L139" s="47"/>
      <c r="M139" s="47"/>
      <c r="N139" s="10"/>
      <c r="O139" s="47"/>
      <c r="P139" s="47"/>
      <c r="Q139" s="47"/>
      <c r="R139" s="48" t="str">
        <f aca="false">IF(Q139="","",IF(Q139=0,"below 5:00",IF(Q139&gt;=66,"16:00 or above",INT((60+2*Q139)/12)&amp;":"&amp;TEXT(MOD(60+2*Q139,12),"00"))))</f>
        <v/>
      </c>
      <c r="S139" s="47"/>
      <c r="T139" s="47"/>
      <c r="U139" s="47"/>
      <c r="V139" s="47"/>
      <c r="W139" s="47"/>
      <c r="X139" s="47"/>
      <c r="Y139" s="47"/>
      <c r="Z139" s="47"/>
      <c r="AA139" s="47"/>
      <c r="AB139" s="47"/>
      <c r="AC139" s="47"/>
      <c r="AD139" s="47"/>
      <c r="AE139" s="47"/>
      <c r="AF139" s="47"/>
      <c r="AG139" s="47"/>
      <c r="AH139" s="47"/>
      <c r="AI139" s="46"/>
      <c r="AJ139" s="46"/>
      <c r="AK139" s="46"/>
      <c r="AL139" s="7"/>
      <c r="AM139" s="49" t="str">
        <f aca="false">IF(OR(C139="",G139=""),"",IFERROR(DATEDIF(C139,G139,"m"),""))</f>
        <v/>
      </c>
      <c r="AN139" s="49" t="str">
        <f aca="false">IF(OR(Q139="",AM139=""),"",60+2*Q139-AM139)</f>
        <v/>
      </c>
      <c r="AO139" s="49" t="str">
        <f aca="false">IF(OR(G139="",AJ139=""),"",AJ139-G139)</f>
        <v/>
      </c>
      <c r="AP139" s="50" t="str">
        <f aca="false">IF(AND(A139="",B139=""),"",IF(J139="","Status needed",IF(OR(J139="Applied",J139="Visit booked",J139="Withdrawn"),"OK",IF(G139="","Date assessed needed",IF(C139="","Date of birth needed",IF(COUNTA(L139,M139,P139,U139,V139,X139,AB139)&lt;7,"Band missing",IF(AND(OR(J139="Decision confirmed",J139="Family told",J139="Enrolled"),AG139=""),"Recommendation needed",IF(AND(OR(J139="Family told",J139="Enrolled"),AJ139=""),"Date family told needed","OK"))))))))</f>
        <v/>
      </c>
    </row>
    <row r="140" customFormat="false" ht="15" hidden="false" customHeight="false" outlineLevel="0" collapsed="false">
      <c r="A140" s="7"/>
      <c r="B140" s="7"/>
      <c r="C140" s="46"/>
      <c r="D140" s="7"/>
      <c r="E140" s="47"/>
      <c r="F140" s="46"/>
      <c r="G140" s="46"/>
      <c r="H140" s="7"/>
      <c r="I140" s="7"/>
      <c r="J140" s="47"/>
      <c r="K140" s="47"/>
      <c r="L140" s="47"/>
      <c r="M140" s="47"/>
      <c r="N140" s="10"/>
      <c r="O140" s="47"/>
      <c r="P140" s="47"/>
      <c r="Q140" s="47"/>
      <c r="R140" s="48" t="str">
        <f aca="false">IF(Q140="","",IF(Q140=0,"below 5:00",IF(Q140&gt;=66,"16:00 or above",INT((60+2*Q140)/12)&amp;":"&amp;TEXT(MOD(60+2*Q140,12),"00"))))</f>
        <v/>
      </c>
      <c r="S140" s="47"/>
      <c r="T140" s="47"/>
      <c r="U140" s="47"/>
      <c r="V140" s="47"/>
      <c r="W140" s="47"/>
      <c r="X140" s="47"/>
      <c r="Y140" s="47"/>
      <c r="Z140" s="47"/>
      <c r="AA140" s="47"/>
      <c r="AB140" s="47"/>
      <c r="AC140" s="47"/>
      <c r="AD140" s="47"/>
      <c r="AE140" s="47"/>
      <c r="AF140" s="47"/>
      <c r="AG140" s="47"/>
      <c r="AH140" s="47"/>
      <c r="AI140" s="46"/>
      <c r="AJ140" s="46"/>
      <c r="AK140" s="46"/>
      <c r="AL140" s="7"/>
      <c r="AM140" s="49" t="str">
        <f aca="false">IF(OR(C140="",G140=""),"",IFERROR(DATEDIF(C140,G140,"m"),""))</f>
        <v/>
      </c>
      <c r="AN140" s="49" t="str">
        <f aca="false">IF(OR(Q140="",AM140=""),"",60+2*Q140-AM140)</f>
        <v/>
      </c>
      <c r="AO140" s="49" t="str">
        <f aca="false">IF(OR(G140="",AJ140=""),"",AJ140-G140)</f>
        <v/>
      </c>
      <c r="AP140" s="50" t="str">
        <f aca="false">IF(AND(A140="",B140=""),"",IF(J140="","Status needed",IF(OR(J140="Applied",J140="Visit booked",J140="Withdrawn"),"OK",IF(G140="","Date assessed needed",IF(C140="","Date of birth needed",IF(COUNTA(L140,M140,P140,U140,V140,X140,AB140)&lt;7,"Band missing",IF(AND(OR(J140="Decision confirmed",J140="Family told",J140="Enrolled"),AG140=""),"Recommendation needed",IF(AND(OR(J140="Family told",J140="Enrolled"),AJ140=""),"Date family told needed","OK"))))))))</f>
        <v/>
      </c>
    </row>
    <row r="141" customFormat="false" ht="15" hidden="false" customHeight="false" outlineLevel="0" collapsed="false">
      <c r="A141" s="7"/>
      <c r="B141" s="7"/>
      <c r="C141" s="46"/>
      <c r="D141" s="7"/>
      <c r="E141" s="47"/>
      <c r="F141" s="46"/>
      <c r="G141" s="46"/>
      <c r="H141" s="7"/>
      <c r="I141" s="7"/>
      <c r="J141" s="47"/>
      <c r="K141" s="47"/>
      <c r="L141" s="47"/>
      <c r="M141" s="47"/>
      <c r="N141" s="10"/>
      <c r="O141" s="47"/>
      <c r="P141" s="47"/>
      <c r="Q141" s="47"/>
      <c r="R141" s="48" t="str">
        <f aca="false">IF(Q141="","",IF(Q141=0,"below 5:00",IF(Q141&gt;=66,"16:00 or above",INT((60+2*Q141)/12)&amp;":"&amp;TEXT(MOD(60+2*Q141,12),"00"))))</f>
        <v/>
      </c>
      <c r="S141" s="47"/>
      <c r="T141" s="47"/>
      <c r="U141" s="47"/>
      <c r="V141" s="47"/>
      <c r="W141" s="47"/>
      <c r="X141" s="47"/>
      <c r="Y141" s="47"/>
      <c r="Z141" s="47"/>
      <c r="AA141" s="47"/>
      <c r="AB141" s="47"/>
      <c r="AC141" s="47"/>
      <c r="AD141" s="47"/>
      <c r="AE141" s="47"/>
      <c r="AF141" s="47"/>
      <c r="AG141" s="47"/>
      <c r="AH141" s="47"/>
      <c r="AI141" s="46"/>
      <c r="AJ141" s="46"/>
      <c r="AK141" s="46"/>
      <c r="AL141" s="7"/>
      <c r="AM141" s="49" t="str">
        <f aca="false">IF(OR(C141="",G141=""),"",IFERROR(DATEDIF(C141,G141,"m"),""))</f>
        <v/>
      </c>
      <c r="AN141" s="49" t="str">
        <f aca="false">IF(OR(Q141="",AM141=""),"",60+2*Q141-AM141)</f>
        <v/>
      </c>
      <c r="AO141" s="49" t="str">
        <f aca="false">IF(OR(G141="",AJ141=""),"",AJ141-G141)</f>
        <v/>
      </c>
      <c r="AP141" s="50" t="str">
        <f aca="false">IF(AND(A141="",B141=""),"",IF(J141="","Status needed",IF(OR(J141="Applied",J141="Visit booked",J141="Withdrawn"),"OK",IF(G141="","Date assessed needed",IF(C141="","Date of birth needed",IF(COUNTA(L141,M141,P141,U141,V141,X141,AB141)&lt;7,"Band missing",IF(AND(OR(J141="Decision confirmed",J141="Family told",J141="Enrolled"),AG141=""),"Recommendation needed",IF(AND(OR(J141="Family told",J141="Enrolled"),AJ141=""),"Date family told needed","OK"))))))))</f>
        <v/>
      </c>
    </row>
    <row r="142" customFormat="false" ht="15" hidden="false" customHeight="false" outlineLevel="0" collapsed="false">
      <c r="A142" s="7"/>
      <c r="B142" s="7"/>
      <c r="C142" s="46"/>
      <c r="D142" s="7"/>
      <c r="E142" s="47"/>
      <c r="F142" s="46"/>
      <c r="G142" s="46"/>
      <c r="H142" s="7"/>
      <c r="I142" s="7"/>
      <c r="J142" s="47"/>
      <c r="K142" s="47"/>
      <c r="L142" s="47"/>
      <c r="M142" s="47"/>
      <c r="N142" s="10"/>
      <c r="O142" s="47"/>
      <c r="P142" s="47"/>
      <c r="Q142" s="47"/>
      <c r="R142" s="48" t="str">
        <f aca="false">IF(Q142="","",IF(Q142=0,"below 5:00",IF(Q142&gt;=66,"16:00 or above",INT((60+2*Q142)/12)&amp;":"&amp;TEXT(MOD(60+2*Q142,12),"00"))))</f>
        <v/>
      </c>
      <c r="S142" s="47"/>
      <c r="T142" s="47"/>
      <c r="U142" s="47"/>
      <c r="V142" s="47"/>
      <c r="W142" s="47"/>
      <c r="X142" s="47"/>
      <c r="Y142" s="47"/>
      <c r="Z142" s="47"/>
      <c r="AA142" s="47"/>
      <c r="AB142" s="47"/>
      <c r="AC142" s="47"/>
      <c r="AD142" s="47"/>
      <c r="AE142" s="47"/>
      <c r="AF142" s="47"/>
      <c r="AG142" s="47"/>
      <c r="AH142" s="47"/>
      <c r="AI142" s="46"/>
      <c r="AJ142" s="46"/>
      <c r="AK142" s="46"/>
      <c r="AL142" s="7"/>
      <c r="AM142" s="49" t="str">
        <f aca="false">IF(OR(C142="",G142=""),"",IFERROR(DATEDIF(C142,G142,"m"),""))</f>
        <v/>
      </c>
      <c r="AN142" s="49" t="str">
        <f aca="false">IF(OR(Q142="",AM142=""),"",60+2*Q142-AM142)</f>
        <v/>
      </c>
      <c r="AO142" s="49" t="str">
        <f aca="false">IF(OR(G142="",AJ142=""),"",AJ142-G142)</f>
        <v/>
      </c>
      <c r="AP142" s="50" t="str">
        <f aca="false">IF(AND(A142="",B142=""),"",IF(J142="","Status needed",IF(OR(J142="Applied",J142="Visit booked",J142="Withdrawn"),"OK",IF(G142="","Date assessed needed",IF(C142="","Date of birth needed",IF(COUNTA(L142,M142,P142,U142,V142,X142,AB142)&lt;7,"Band missing",IF(AND(OR(J142="Decision confirmed",J142="Family told",J142="Enrolled"),AG142=""),"Recommendation needed",IF(AND(OR(J142="Family told",J142="Enrolled"),AJ142=""),"Date family told needed","OK"))))))))</f>
        <v/>
      </c>
    </row>
    <row r="143" customFormat="false" ht="15" hidden="false" customHeight="false" outlineLevel="0" collapsed="false">
      <c r="A143" s="7"/>
      <c r="B143" s="7"/>
      <c r="C143" s="46"/>
      <c r="D143" s="7"/>
      <c r="E143" s="47"/>
      <c r="F143" s="46"/>
      <c r="G143" s="46"/>
      <c r="H143" s="7"/>
      <c r="I143" s="7"/>
      <c r="J143" s="47"/>
      <c r="K143" s="47"/>
      <c r="L143" s="47"/>
      <c r="M143" s="47"/>
      <c r="N143" s="10"/>
      <c r="O143" s="47"/>
      <c r="P143" s="47"/>
      <c r="Q143" s="47"/>
      <c r="R143" s="48" t="str">
        <f aca="false">IF(Q143="","",IF(Q143=0,"below 5:00",IF(Q143&gt;=66,"16:00 or above",INT((60+2*Q143)/12)&amp;":"&amp;TEXT(MOD(60+2*Q143,12),"00"))))</f>
        <v/>
      </c>
      <c r="S143" s="47"/>
      <c r="T143" s="47"/>
      <c r="U143" s="47"/>
      <c r="V143" s="47"/>
      <c r="W143" s="47"/>
      <c r="X143" s="47"/>
      <c r="Y143" s="47"/>
      <c r="Z143" s="47"/>
      <c r="AA143" s="47"/>
      <c r="AB143" s="47"/>
      <c r="AC143" s="47"/>
      <c r="AD143" s="47"/>
      <c r="AE143" s="47"/>
      <c r="AF143" s="47"/>
      <c r="AG143" s="47"/>
      <c r="AH143" s="47"/>
      <c r="AI143" s="46"/>
      <c r="AJ143" s="46"/>
      <c r="AK143" s="46"/>
      <c r="AL143" s="7"/>
      <c r="AM143" s="49" t="str">
        <f aca="false">IF(OR(C143="",G143=""),"",IFERROR(DATEDIF(C143,G143,"m"),""))</f>
        <v/>
      </c>
      <c r="AN143" s="49" t="str">
        <f aca="false">IF(OR(Q143="",AM143=""),"",60+2*Q143-AM143)</f>
        <v/>
      </c>
      <c r="AO143" s="49" t="str">
        <f aca="false">IF(OR(G143="",AJ143=""),"",AJ143-G143)</f>
        <v/>
      </c>
      <c r="AP143" s="50" t="str">
        <f aca="false">IF(AND(A143="",B143=""),"",IF(J143="","Status needed",IF(OR(J143="Applied",J143="Visit booked",J143="Withdrawn"),"OK",IF(G143="","Date assessed needed",IF(C143="","Date of birth needed",IF(COUNTA(L143,M143,P143,U143,V143,X143,AB143)&lt;7,"Band missing",IF(AND(OR(J143="Decision confirmed",J143="Family told",J143="Enrolled"),AG143=""),"Recommendation needed",IF(AND(OR(J143="Family told",J143="Enrolled"),AJ143=""),"Date family told needed","OK"))))))))</f>
        <v/>
      </c>
    </row>
    <row r="144" customFormat="false" ht="15" hidden="false" customHeight="false" outlineLevel="0" collapsed="false">
      <c r="A144" s="7"/>
      <c r="B144" s="7"/>
      <c r="C144" s="46"/>
      <c r="D144" s="7"/>
      <c r="E144" s="47"/>
      <c r="F144" s="46"/>
      <c r="G144" s="46"/>
      <c r="H144" s="7"/>
      <c r="I144" s="7"/>
      <c r="J144" s="47"/>
      <c r="K144" s="47"/>
      <c r="L144" s="47"/>
      <c r="M144" s="47"/>
      <c r="N144" s="10"/>
      <c r="O144" s="47"/>
      <c r="P144" s="47"/>
      <c r="Q144" s="47"/>
      <c r="R144" s="48" t="str">
        <f aca="false">IF(Q144="","",IF(Q144=0,"below 5:00",IF(Q144&gt;=66,"16:00 or above",INT((60+2*Q144)/12)&amp;":"&amp;TEXT(MOD(60+2*Q144,12),"00"))))</f>
        <v/>
      </c>
      <c r="S144" s="47"/>
      <c r="T144" s="47"/>
      <c r="U144" s="47"/>
      <c r="V144" s="47"/>
      <c r="W144" s="47"/>
      <c r="X144" s="47"/>
      <c r="Y144" s="47"/>
      <c r="Z144" s="47"/>
      <c r="AA144" s="47"/>
      <c r="AB144" s="47"/>
      <c r="AC144" s="47"/>
      <c r="AD144" s="47"/>
      <c r="AE144" s="47"/>
      <c r="AF144" s="47"/>
      <c r="AG144" s="47"/>
      <c r="AH144" s="47"/>
      <c r="AI144" s="46"/>
      <c r="AJ144" s="46"/>
      <c r="AK144" s="46"/>
      <c r="AL144" s="7"/>
      <c r="AM144" s="49" t="str">
        <f aca="false">IF(OR(C144="",G144=""),"",IFERROR(DATEDIF(C144,G144,"m"),""))</f>
        <v/>
      </c>
      <c r="AN144" s="49" t="str">
        <f aca="false">IF(OR(Q144="",AM144=""),"",60+2*Q144-AM144)</f>
        <v/>
      </c>
      <c r="AO144" s="49" t="str">
        <f aca="false">IF(OR(G144="",AJ144=""),"",AJ144-G144)</f>
        <v/>
      </c>
      <c r="AP144" s="50" t="str">
        <f aca="false">IF(AND(A144="",B144=""),"",IF(J144="","Status needed",IF(OR(J144="Applied",J144="Visit booked",J144="Withdrawn"),"OK",IF(G144="","Date assessed needed",IF(C144="","Date of birth needed",IF(COUNTA(L144,M144,P144,U144,V144,X144,AB144)&lt;7,"Band missing",IF(AND(OR(J144="Decision confirmed",J144="Family told",J144="Enrolled"),AG144=""),"Recommendation needed",IF(AND(OR(J144="Family told",J144="Enrolled"),AJ144=""),"Date family told needed","OK"))))))))</f>
        <v/>
      </c>
    </row>
    <row r="145" customFormat="false" ht="15" hidden="false" customHeight="false" outlineLevel="0" collapsed="false">
      <c r="A145" s="7"/>
      <c r="B145" s="7"/>
      <c r="C145" s="46"/>
      <c r="D145" s="7"/>
      <c r="E145" s="47"/>
      <c r="F145" s="46"/>
      <c r="G145" s="46"/>
      <c r="H145" s="7"/>
      <c r="I145" s="7"/>
      <c r="J145" s="47"/>
      <c r="K145" s="47"/>
      <c r="L145" s="47"/>
      <c r="M145" s="47"/>
      <c r="N145" s="10"/>
      <c r="O145" s="47"/>
      <c r="P145" s="47"/>
      <c r="Q145" s="47"/>
      <c r="R145" s="48" t="str">
        <f aca="false">IF(Q145="","",IF(Q145=0,"below 5:00",IF(Q145&gt;=66,"16:00 or above",INT((60+2*Q145)/12)&amp;":"&amp;TEXT(MOD(60+2*Q145,12),"00"))))</f>
        <v/>
      </c>
      <c r="S145" s="47"/>
      <c r="T145" s="47"/>
      <c r="U145" s="47"/>
      <c r="V145" s="47"/>
      <c r="W145" s="47"/>
      <c r="X145" s="47"/>
      <c r="Y145" s="47"/>
      <c r="Z145" s="47"/>
      <c r="AA145" s="47"/>
      <c r="AB145" s="47"/>
      <c r="AC145" s="47"/>
      <c r="AD145" s="47"/>
      <c r="AE145" s="47"/>
      <c r="AF145" s="47"/>
      <c r="AG145" s="47"/>
      <c r="AH145" s="47"/>
      <c r="AI145" s="46"/>
      <c r="AJ145" s="46"/>
      <c r="AK145" s="46"/>
      <c r="AL145" s="7"/>
      <c r="AM145" s="49" t="str">
        <f aca="false">IF(OR(C145="",G145=""),"",IFERROR(DATEDIF(C145,G145,"m"),""))</f>
        <v/>
      </c>
      <c r="AN145" s="49" t="str">
        <f aca="false">IF(OR(Q145="",AM145=""),"",60+2*Q145-AM145)</f>
        <v/>
      </c>
      <c r="AO145" s="49" t="str">
        <f aca="false">IF(OR(G145="",AJ145=""),"",AJ145-G145)</f>
        <v/>
      </c>
      <c r="AP145" s="50" t="str">
        <f aca="false">IF(AND(A145="",B145=""),"",IF(J145="","Status needed",IF(OR(J145="Applied",J145="Visit booked",J145="Withdrawn"),"OK",IF(G145="","Date assessed needed",IF(C145="","Date of birth needed",IF(COUNTA(L145,M145,P145,U145,V145,X145,AB145)&lt;7,"Band missing",IF(AND(OR(J145="Decision confirmed",J145="Family told",J145="Enrolled"),AG145=""),"Recommendation needed",IF(AND(OR(J145="Family told",J145="Enrolled"),AJ145=""),"Date family told needed","OK"))))))))</f>
        <v/>
      </c>
    </row>
    <row r="146" customFormat="false" ht="15" hidden="false" customHeight="false" outlineLevel="0" collapsed="false">
      <c r="A146" s="7"/>
      <c r="B146" s="7"/>
      <c r="C146" s="46"/>
      <c r="D146" s="7"/>
      <c r="E146" s="47"/>
      <c r="F146" s="46"/>
      <c r="G146" s="46"/>
      <c r="H146" s="7"/>
      <c r="I146" s="7"/>
      <c r="J146" s="47"/>
      <c r="K146" s="47"/>
      <c r="L146" s="47"/>
      <c r="M146" s="47"/>
      <c r="N146" s="10"/>
      <c r="O146" s="47"/>
      <c r="P146" s="47"/>
      <c r="Q146" s="47"/>
      <c r="R146" s="48" t="str">
        <f aca="false">IF(Q146="","",IF(Q146=0,"below 5:00",IF(Q146&gt;=66,"16:00 or above",INT((60+2*Q146)/12)&amp;":"&amp;TEXT(MOD(60+2*Q146,12),"00"))))</f>
        <v/>
      </c>
      <c r="S146" s="47"/>
      <c r="T146" s="47"/>
      <c r="U146" s="47"/>
      <c r="V146" s="47"/>
      <c r="W146" s="47"/>
      <c r="X146" s="47"/>
      <c r="Y146" s="47"/>
      <c r="Z146" s="47"/>
      <c r="AA146" s="47"/>
      <c r="AB146" s="47"/>
      <c r="AC146" s="47"/>
      <c r="AD146" s="47"/>
      <c r="AE146" s="47"/>
      <c r="AF146" s="47"/>
      <c r="AG146" s="47"/>
      <c r="AH146" s="47"/>
      <c r="AI146" s="46"/>
      <c r="AJ146" s="46"/>
      <c r="AK146" s="46"/>
      <c r="AL146" s="7"/>
      <c r="AM146" s="49" t="str">
        <f aca="false">IF(OR(C146="",G146=""),"",IFERROR(DATEDIF(C146,G146,"m"),""))</f>
        <v/>
      </c>
      <c r="AN146" s="49" t="str">
        <f aca="false">IF(OR(Q146="",AM146=""),"",60+2*Q146-AM146)</f>
        <v/>
      </c>
      <c r="AO146" s="49" t="str">
        <f aca="false">IF(OR(G146="",AJ146=""),"",AJ146-G146)</f>
        <v/>
      </c>
      <c r="AP146" s="50" t="str">
        <f aca="false">IF(AND(A146="",B146=""),"",IF(J146="","Status needed",IF(OR(J146="Applied",J146="Visit booked",J146="Withdrawn"),"OK",IF(G146="","Date assessed needed",IF(C146="","Date of birth needed",IF(COUNTA(L146,M146,P146,U146,V146,X146,AB146)&lt;7,"Band missing",IF(AND(OR(J146="Decision confirmed",J146="Family told",J146="Enrolled"),AG146=""),"Recommendation needed",IF(AND(OR(J146="Family told",J146="Enrolled"),AJ146=""),"Date family told needed","OK"))))))))</f>
        <v/>
      </c>
    </row>
    <row r="147" customFormat="false" ht="15" hidden="false" customHeight="false" outlineLevel="0" collapsed="false">
      <c r="A147" s="7"/>
      <c r="B147" s="7"/>
      <c r="C147" s="46"/>
      <c r="D147" s="7"/>
      <c r="E147" s="47"/>
      <c r="F147" s="46"/>
      <c r="G147" s="46"/>
      <c r="H147" s="7"/>
      <c r="I147" s="7"/>
      <c r="J147" s="47"/>
      <c r="K147" s="47"/>
      <c r="L147" s="47"/>
      <c r="M147" s="47"/>
      <c r="N147" s="10"/>
      <c r="O147" s="47"/>
      <c r="P147" s="47"/>
      <c r="Q147" s="47"/>
      <c r="R147" s="48" t="str">
        <f aca="false">IF(Q147="","",IF(Q147=0,"below 5:00",IF(Q147&gt;=66,"16:00 or above",INT((60+2*Q147)/12)&amp;":"&amp;TEXT(MOD(60+2*Q147,12),"00"))))</f>
        <v/>
      </c>
      <c r="S147" s="47"/>
      <c r="T147" s="47"/>
      <c r="U147" s="47"/>
      <c r="V147" s="47"/>
      <c r="W147" s="47"/>
      <c r="X147" s="47"/>
      <c r="Y147" s="47"/>
      <c r="Z147" s="47"/>
      <c r="AA147" s="47"/>
      <c r="AB147" s="47"/>
      <c r="AC147" s="47"/>
      <c r="AD147" s="47"/>
      <c r="AE147" s="47"/>
      <c r="AF147" s="47"/>
      <c r="AG147" s="47"/>
      <c r="AH147" s="47"/>
      <c r="AI147" s="46"/>
      <c r="AJ147" s="46"/>
      <c r="AK147" s="46"/>
      <c r="AL147" s="7"/>
      <c r="AM147" s="49" t="str">
        <f aca="false">IF(OR(C147="",G147=""),"",IFERROR(DATEDIF(C147,G147,"m"),""))</f>
        <v/>
      </c>
      <c r="AN147" s="49" t="str">
        <f aca="false">IF(OR(Q147="",AM147=""),"",60+2*Q147-AM147)</f>
        <v/>
      </c>
      <c r="AO147" s="49" t="str">
        <f aca="false">IF(OR(G147="",AJ147=""),"",AJ147-G147)</f>
        <v/>
      </c>
      <c r="AP147" s="50" t="str">
        <f aca="false">IF(AND(A147="",B147=""),"",IF(J147="","Status needed",IF(OR(J147="Applied",J147="Visit booked",J147="Withdrawn"),"OK",IF(G147="","Date assessed needed",IF(C147="","Date of birth needed",IF(COUNTA(L147,M147,P147,U147,V147,X147,AB147)&lt;7,"Band missing",IF(AND(OR(J147="Decision confirmed",J147="Family told",J147="Enrolled"),AG147=""),"Recommendation needed",IF(AND(OR(J147="Family told",J147="Enrolled"),AJ147=""),"Date family told needed","OK"))))))))</f>
        <v/>
      </c>
    </row>
    <row r="148" customFormat="false" ht="15" hidden="false" customHeight="false" outlineLevel="0" collapsed="false">
      <c r="A148" s="7"/>
      <c r="B148" s="7"/>
      <c r="C148" s="46"/>
      <c r="D148" s="7"/>
      <c r="E148" s="47"/>
      <c r="F148" s="46"/>
      <c r="G148" s="46"/>
      <c r="H148" s="7"/>
      <c r="I148" s="7"/>
      <c r="J148" s="47"/>
      <c r="K148" s="47"/>
      <c r="L148" s="47"/>
      <c r="M148" s="47"/>
      <c r="N148" s="10"/>
      <c r="O148" s="47"/>
      <c r="P148" s="47"/>
      <c r="Q148" s="47"/>
      <c r="R148" s="48" t="str">
        <f aca="false">IF(Q148="","",IF(Q148=0,"below 5:00",IF(Q148&gt;=66,"16:00 or above",INT((60+2*Q148)/12)&amp;":"&amp;TEXT(MOD(60+2*Q148,12),"00"))))</f>
        <v/>
      </c>
      <c r="S148" s="47"/>
      <c r="T148" s="47"/>
      <c r="U148" s="47"/>
      <c r="V148" s="47"/>
      <c r="W148" s="47"/>
      <c r="X148" s="47"/>
      <c r="Y148" s="47"/>
      <c r="Z148" s="47"/>
      <c r="AA148" s="47"/>
      <c r="AB148" s="47"/>
      <c r="AC148" s="47"/>
      <c r="AD148" s="47"/>
      <c r="AE148" s="47"/>
      <c r="AF148" s="47"/>
      <c r="AG148" s="47"/>
      <c r="AH148" s="47"/>
      <c r="AI148" s="46"/>
      <c r="AJ148" s="46"/>
      <c r="AK148" s="46"/>
      <c r="AL148" s="7"/>
      <c r="AM148" s="49" t="str">
        <f aca="false">IF(OR(C148="",G148=""),"",IFERROR(DATEDIF(C148,G148,"m"),""))</f>
        <v/>
      </c>
      <c r="AN148" s="49" t="str">
        <f aca="false">IF(OR(Q148="",AM148=""),"",60+2*Q148-AM148)</f>
        <v/>
      </c>
      <c r="AO148" s="49" t="str">
        <f aca="false">IF(OR(G148="",AJ148=""),"",AJ148-G148)</f>
        <v/>
      </c>
      <c r="AP148" s="50" t="str">
        <f aca="false">IF(AND(A148="",B148=""),"",IF(J148="","Status needed",IF(OR(J148="Applied",J148="Visit booked",J148="Withdrawn"),"OK",IF(G148="","Date assessed needed",IF(C148="","Date of birth needed",IF(COUNTA(L148,M148,P148,U148,V148,X148,AB148)&lt;7,"Band missing",IF(AND(OR(J148="Decision confirmed",J148="Family told",J148="Enrolled"),AG148=""),"Recommendation needed",IF(AND(OR(J148="Family told",J148="Enrolled"),AJ148=""),"Date family told needed","OK"))))))))</f>
        <v/>
      </c>
    </row>
    <row r="149" customFormat="false" ht="15" hidden="false" customHeight="false" outlineLevel="0" collapsed="false">
      <c r="A149" s="7"/>
      <c r="B149" s="7"/>
      <c r="C149" s="46"/>
      <c r="D149" s="7"/>
      <c r="E149" s="47"/>
      <c r="F149" s="46"/>
      <c r="G149" s="46"/>
      <c r="H149" s="7"/>
      <c r="I149" s="7"/>
      <c r="J149" s="47"/>
      <c r="K149" s="47"/>
      <c r="L149" s="47"/>
      <c r="M149" s="47"/>
      <c r="N149" s="10"/>
      <c r="O149" s="47"/>
      <c r="P149" s="47"/>
      <c r="Q149" s="47"/>
      <c r="R149" s="48" t="str">
        <f aca="false">IF(Q149="","",IF(Q149=0,"below 5:00",IF(Q149&gt;=66,"16:00 or above",INT((60+2*Q149)/12)&amp;":"&amp;TEXT(MOD(60+2*Q149,12),"00"))))</f>
        <v/>
      </c>
      <c r="S149" s="47"/>
      <c r="T149" s="47"/>
      <c r="U149" s="47"/>
      <c r="V149" s="47"/>
      <c r="W149" s="47"/>
      <c r="X149" s="47"/>
      <c r="Y149" s="47"/>
      <c r="Z149" s="47"/>
      <c r="AA149" s="47"/>
      <c r="AB149" s="47"/>
      <c r="AC149" s="47"/>
      <c r="AD149" s="47"/>
      <c r="AE149" s="47"/>
      <c r="AF149" s="47"/>
      <c r="AG149" s="47"/>
      <c r="AH149" s="47"/>
      <c r="AI149" s="46"/>
      <c r="AJ149" s="46"/>
      <c r="AK149" s="46"/>
      <c r="AL149" s="7"/>
      <c r="AM149" s="49" t="str">
        <f aca="false">IF(OR(C149="",G149=""),"",IFERROR(DATEDIF(C149,G149,"m"),""))</f>
        <v/>
      </c>
      <c r="AN149" s="49" t="str">
        <f aca="false">IF(OR(Q149="",AM149=""),"",60+2*Q149-AM149)</f>
        <v/>
      </c>
      <c r="AO149" s="49" t="str">
        <f aca="false">IF(OR(G149="",AJ149=""),"",AJ149-G149)</f>
        <v/>
      </c>
      <c r="AP149" s="50" t="str">
        <f aca="false">IF(AND(A149="",B149=""),"",IF(J149="","Status needed",IF(OR(J149="Applied",J149="Visit booked",J149="Withdrawn"),"OK",IF(G149="","Date assessed needed",IF(C149="","Date of birth needed",IF(COUNTA(L149,M149,P149,U149,V149,X149,AB149)&lt;7,"Band missing",IF(AND(OR(J149="Decision confirmed",J149="Family told",J149="Enrolled"),AG149=""),"Recommendation needed",IF(AND(OR(J149="Family told",J149="Enrolled"),AJ149=""),"Date family told needed","OK"))))))))</f>
        <v/>
      </c>
    </row>
    <row r="150" customFormat="false" ht="15" hidden="false" customHeight="false" outlineLevel="0" collapsed="false">
      <c r="A150" s="7"/>
      <c r="B150" s="7"/>
      <c r="C150" s="46"/>
      <c r="D150" s="7"/>
      <c r="E150" s="47"/>
      <c r="F150" s="46"/>
      <c r="G150" s="46"/>
      <c r="H150" s="7"/>
      <c r="I150" s="7"/>
      <c r="J150" s="47"/>
      <c r="K150" s="47"/>
      <c r="L150" s="47"/>
      <c r="M150" s="47"/>
      <c r="N150" s="10"/>
      <c r="O150" s="47"/>
      <c r="P150" s="47"/>
      <c r="Q150" s="47"/>
      <c r="R150" s="48" t="str">
        <f aca="false">IF(Q150="","",IF(Q150=0,"below 5:00",IF(Q150&gt;=66,"16:00 or above",INT((60+2*Q150)/12)&amp;":"&amp;TEXT(MOD(60+2*Q150,12),"00"))))</f>
        <v/>
      </c>
      <c r="S150" s="47"/>
      <c r="T150" s="47"/>
      <c r="U150" s="47"/>
      <c r="V150" s="47"/>
      <c r="W150" s="47"/>
      <c r="X150" s="47"/>
      <c r="Y150" s="47"/>
      <c r="Z150" s="47"/>
      <c r="AA150" s="47"/>
      <c r="AB150" s="47"/>
      <c r="AC150" s="47"/>
      <c r="AD150" s="47"/>
      <c r="AE150" s="47"/>
      <c r="AF150" s="47"/>
      <c r="AG150" s="47"/>
      <c r="AH150" s="47"/>
      <c r="AI150" s="46"/>
      <c r="AJ150" s="46"/>
      <c r="AK150" s="46"/>
      <c r="AL150" s="7"/>
      <c r="AM150" s="49" t="str">
        <f aca="false">IF(OR(C150="",G150=""),"",IFERROR(DATEDIF(C150,G150,"m"),""))</f>
        <v/>
      </c>
      <c r="AN150" s="49" t="str">
        <f aca="false">IF(OR(Q150="",AM150=""),"",60+2*Q150-AM150)</f>
        <v/>
      </c>
      <c r="AO150" s="49" t="str">
        <f aca="false">IF(OR(G150="",AJ150=""),"",AJ150-G150)</f>
        <v/>
      </c>
      <c r="AP150" s="50" t="str">
        <f aca="false">IF(AND(A150="",B150=""),"",IF(J150="","Status needed",IF(OR(J150="Applied",J150="Visit booked",J150="Withdrawn"),"OK",IF(G150="","Date assessed needed",IF(C150="","Date of birth needed",IF(COUNTA(L150,M150,P150,U150,V150,X150,AB150)&lt;7,"Band missing",IF(AND(OR(J150="Decision confirmed",J150="Family told",J150="Enrolled"),AG150=""),"Recommendation needed",IF(AND(OR(J150="Family told",J150="Enrolled"),AJ150=""),"Date family told needed","OK"))))))))</f>
        <v/>
      </c>
    </row>
    <row r="151" customFormat="false" ht="15" hidden="false" customHeight="false" outlineLevel="0" collapsed="false">
      <c r="A151" s="7"/>
      <c r="B151" s="7"/>
      <c r="C151" s="46"/>
      <c r="D151" s="7"/>
      <c r="E151" s="47"/>
      <c r="F151" s="46"/>
      <c r="G151" s="46"/>
      <c r="H151" s="7"/>
      <c r="I151" s="7"/>
      <c r="J151" s="47"/>
      <c r="K151" s="47"/>
      <c r="L151" s="47"/>
      <c r="M151" s="47"/>
      <c r="N151" s="10"/>
      <c r="O151" s="47"/>
      <c r="P151" s="47"/>
      <c r="Q151" s="47"/>
      <c r="R151" s="48" t="str">
        <f aca="false">IF(Q151="","",IF(Q151=0,"below 5:00",IF(Q151&gt;=66,"16:00 or above",INT((60+2*Q151)/12)&amp;":"&amp;TEXT(MOD(60+2*Q151,12),"00"))))</f>
        <v/>
      </c>
      <c r="S151" s="47"/>
      <c r="T151" s="47"/>
      <c r="U151" s="47"/>
      <c r="V151" s="47"/>
      <c r="W151" s="47"/>
      <c r="X151" s="47"/>
      <c r="Y151" s="47"/>
      <c r="Z151" s="47"/>
      <c r="AA151" s="47"/>
      <c r="AB151" s="47"/>
      <c r="AC151" s="47"/>
      <c r="AD151" s="47"/>
      <c r="AE151" s="47"/>
      <c r="AF151" s="47"/>
      <c r="AG151" s="47"/>
      <c r="AH151" s="47"/>
      <c r="AI151" s="46"/>
      <c r="AJ151" s="46"/>
      <c r="AK151" s="46"/>
      <c r="AL151" s="7"/>
      <c r="AM151" s="49" t="str">
        <f aca="false">IF(OR(C151="",G151=""),"",IFERROR(DATEDIF(C151,G151,"m"),""))</f>
        <v/>
      </c>
      <c r="AN151" s="49" t="str">
        <f aca="false">IF(OR(Q151="",AM151=""),"",60+2*Q151-AM151)</f>
        <v/>
      </c>
      <c r="AO151" s="49" t="str">
        <f aca="false">IF(OR(G151="",AJ151=""),"",AJ151-G151)</f>
        <v/>
      </c>
      <c r="AP151" s="50" t="str">
        <f aca="false">IF(AND(A151="",B151=""),"",IF(J151="","Status needed",IF(OR(J151="Applied",J151="Visit booked",J151="Withdrawn"),"OK",IF(G151="","Date assessed needed",IF(C151="","Date of birth needed",IF(COUNTA(L151,M151,P151,U151,V151,X151,AB151)&lt;7,"Band missing",IF(AND(OR(J151="Decision confirmed",J151="Family told",J151="Enrolled"),AG151=""),"Recommendation needed",IF(AND(OR(J151="Family told",J151="Enrolled"),AJ151=""),"Date family told needed","OK"))))))))</f>
        <v/>
      </c>
    </row>
    <row r="152" customFormat="false" ht="15" hidden="false" customHeight="false" outlineLevel="0" collapsed="false">
      <c r="A152" s="7"/>
      <c r="B152" s="7"/>
      <c r="C152" s="46"/>
      <c r="D152" s="7"/>
      <c r="E152" s="47"/>
      <c r="F152" s="46"/>
      <c r="G152" s="46"/>
      <c r="H152" s="7"/>
      <c r="I152" s="7"/>
      <c r="J152" s="47"/>
      <c r="K152" s="47"/>
      <c r="L152" s="47"/>
      <c r="M152" s="47"/>
      <c r="N152" s="10"/>
      <c r="O152" s="47"/>
      <c r="P152" s="47"/>
      <c r="Q152" s="47"/>
      <c r="R152" s="48" t="str">
        <f aca="false">IF(Q152="","",IF(Q152=0,"below 5:00",IF(Q152&gt;=66,"16:00 or above",INT((60+2*Q152)/12)&amp;":"&amp;TEXT(MOD(60+2*Q152,12),"00"))))</f>
        <v/>
      </c>
      <c r="S152" s="47"/>
      <c r="T152" s="47"/>
      <c r="U152" s="47"/>
      <c r="V152" s="47"/>
      <c r="W152" s="47"/>
      <c r="X152" s="47"/>
      <c r="Y152" s="47"/>
      <c r="Z152" s="47"/>
      <c r="AA152" s="47"/>
      <c r="AB152" s="47"/>
      <c r="AC152" s="47"/>
      <c r="AD152" s="47"/>
      <c r="AE152" s="47"/>
      <c r="AF152" s="47"/>
      <c r="AG152" s="47"/>
      <c r="AH152" s="47"/>
      <c r="AI152" s="46"/>
      <c r="AJ152" s="46"/>
      <c r="AK152" s="46"/>
      <c r="AL152" s="7"/>
      <c r="AM152" s="49" t="str">
        <f aca="false">IF(OR(C152="",G152=""),"",IFERROR(DATEDIF(C152,G152,"m"),""))</f>
        <v/>
      </c>
      <c r="AN152" s="49" t="str">
        <f aca="false">IF(OR(Q152="",AM152=""),"",60+2*Q152-AM152)</f>
        <v/>
      </c>
      <c r="AO152" s="49" t="str">
        <f aca="false">IF(OR(G152="",AJ152=""),"",AJ152-G152)</f>
        <v/>
      </c>
      <c r="AP152" s="50" t="str">
        <f aca="false">IF(AND(A152="",B152=""),"",IF(J152="","Status needed",IF(OR(J152="Applied",J152="Visit booked",J152="Withdrawn"),"OK",IF(G152="","Date assessed needed",IF(C152="","Date of birth needed",IF(COUNTA(L152,M152,P152,U152,V152,X152,AB152)&lt;7,"Band missing",IF(AND(OR(J152="Decision confirmed",J152="Family told",J152="Enrolled"),AG152=""),"Recommendation needed",IF(AND(OR(J152="Family told",J152="Enrolled"),AJ152=""),"Date family told needed","OK"))))))))</f>
        <v/>
      </c>
    </row>
    <row r="153" customFormat="false" ht="15" hidden="false" customHeight="false" outlineLevel="0" collapsed="false">
      <c r="A153" s="7"/>
      <c r="B153" s="7"/>
      <c r="C153" s="46"/>
      <c r="D153" s="7"/>
      <c r="E153" s="47"/>
      <c r="F153" s="46"/>
      <c r="G153" s="46"/>
      <c r="H153" s="7"/>
      <c r="I153" s="7"/>
      <c r="J153" s="47"/>
      <c r="K153" s="47"/>
      <c r="L153" s="47"/>
      <c r="M153" s="47"/>
      <c r="N153" s="10"/>
      <c r="O153" s="47"/>
      <c r="P153" s="47"/>
      <c r="Q153" s="47"/>
      <c r="R153" s="48" t="str">
        <f aca="false">IF(Q153="","",IF(Q153=0,"below 5:00",IF(Q153&gt;=66,"16:00 or above",INT((60+2*Q153)/12)&amp;":"&amp;TEXT(MOD(60+2*Q153,12),"00"))))</f>
        <v/>
      </c>
      <c r="S153" s="47"/>
      <c r="T153" s="47"/>
      <c r="U153" s="47"/>
      <c r="V153" s="47"/>
      <c r="W153" s="47"/>
      <c r="X153" s="47"/>
      <c r="Y153" s="47"/>
      <c r="Z153" s="47"/>
      <c r="AA153" s="47"/>
      <c r="AB153" s="47"/>
      <c r="AC153" s="47"/>
      <c r="AD153" s="47"/>
      <c r="AE153" s="47"/>
      <c r="AF153" s="47"/>
      <c r="AG153" s="47"/>
      <c r="AH153" s="47"/>
      <c r="AI153" s="46"/>
      <c r="AJ153" s="46"/>
      <c r="AK153" s="46"/>
      <c r="AL153" s="7"/>
      <c r="AM153" s="49" t="str">
        <f aca="false">IF(OR(C153="",G153=""),"",IFERROR(DATEDIF(C153,G153,"m"),""))</f>
        <v/>
      </c>
      <c r="AN153" s="49" t="str">
        <f aca="false">IF(OR(Q153="",AM153=""),"",60+2*Q153-AM153)</f>
        <v/>
      </c>
      <c r="AO153" s="49" t="str">
        <f aca="false">IF(OR(G153="",AJ153=""),"",AJ153-G153)</f>
        <v/>
      </c>
      <c r="AP153" s="50" t="str">
        <f aca="false">IF(AND(A153="",B153=""),"",IF(J153="","Status needed",IF(OR(J153="Applied",J153="Visit booked",J153="Withdrawn"),"OK",IF(G153="","Date assessed needed",IF(C153="","Date of birth needed",IF(COUNTA(L153,M153,P153,U153,V153,X153,AB153)&lt;7,"Band missing",IF(AND(OR(J153="Decision confirmed",J153="Family told",J153="Enrolled"),AG153=""),"Recommendation needed",IF(AND(OR(J153="Family told",J153="Enrolled"),AJ153=""),"Date family told needed","OK"))))))))</f>
        <v/>
      </c>
    </row>
    <row r="154" customFormat="false" ht="15" hidden="false" customHeight="false" outlineLevel="0" collapsed="false">
      <c r="A154" s="7"/>
      <c r="B154" s="7"/>
      <c r="C154" s="46"/>
      <c r="D154" s="7"/>
      <c r="E154" s="47"/>
      <c r="F154" s="46"/>
      <c r="G154" s="46"/>
      <c r="H154" s="7"/>
      <c r="I154" s="7"/>
      <c r="J154" s="47"/>
      <c r="K154" s="47"/>
      <c r="L154" s="47"/>
      <c r="M154" s="47"/>
      <c r="N154" s="10"/>
      <c r="O154" s="47"/>
      <c r="P154" s="47"/>
      <c r="Q154" s="47"/>
      <c r="R154" s="48" t="str">
        <f aca="false">IF(Q154="","",IF(Q154=0,"below 5:00",IF(Q154&gt;=66,"16:00 or above",INT((60+2*Q154)/12)&amp;":"&amp;TEXT(MOD(60+2*Q154,12),"00"))))</f>
        <v/>
      </c>
      <c r="S154" s="47"/>
      <c r="T154" s="47"/>
      <c r="U154" s="47"/>
      <c r="V154" s="47"/>
      <c r="W154" s="47"/>
      <c r="X154" s="47"/>
      <c r="Y154" s="47"/>
      <c r="Z154" s="47"/>
      <c r="AA154" s="47"/>
      <c r="AB154" s="47"/>
      <c r="AC154" s="47"/>
      <c r="AD154" s="47"/>
      <c r="AE154" s="47"/>
      <c r="AF154" s="47"/>
      <c r="AG154" s="47"/>
      <c r="AH154" s="47"/>
      <c r="AI154" s="46"/>
      <c r="AJ154" s="46"/>
      <c r="AK154" s="46"/>
      <c r="AL154" s="7"/>
      <c r="AM154" s="49" t="str">
        <f aca="false">IF(OR(C154="",G154=""),"",IFERROR(DATEDIF(C154,G154,"m"),""))</f>
        <v/>
      </c>
      <c r="AN154" s="49" t="str">
        <f aca="false">IF(OR(Q154="",AM154=""),"",60+2*Q154-AM154)</f>
        <v/>
      </c>
      <c r="AO154" s="49" t="str">
        <f aca="false">IF(OR(G154="",AJ154=""),"",AJ154-G154)</f>
        <v/>
      </c>
      <c r="AP154" s="50" t="str">
        <f aca="false">IF(AND(A154="",B154=""),"",IF(J154="","Status needed",IF(OR(J154="Applied",J154="Visit booked",J154="Withdrawn"),"OK",IF(G154="","Date assessed needed",IF(C154="","Date of birth needed",IF(COUNTA(L154,M154,P154,U154,V154,X154,AB154)&lt;7,"Band missing",IF(AND(OR(J154="Decision confirmed",J154="Family told",J154="Enrolled"),AG154=""),"Recommendation needed",IF(AND(OR(J154="Family told",J154="Enrolled"),AJ154=""),"Date family told needed","OK"))))))))</f>
        <v/>
      </c>
    </row>
    <row r="155" customFormat="false" ht="15" hidden="false" customHeight="false" outlineLevel="0" collapsed="false">
      <c r="A155" s="7"/>
      <c r="B155" s="7"/>
      <c r="C155" s="46"/>
      <c r="D155" s="7"/>
      <c r="E155" s="47"/>
      <c r="F155" s="46"/>
      <c r="G155" s="46"/>
      <c r="H155" s="7"/>
      <c r="I155" s="7"/>
      <c r="J155" s="47"/>
      <c r="K155" s="47"/>
      <c r="L155" s="47"/>
      <c r="M155" s="47"/>
      <c r="N155" s="10"/>
      <c r="O155" s="47"/>
      <c r="P155" s="47"/>
      <c r="Q155" s="47"/>
      <c r="R155" s="48" t="str">
        <f aca="false">IF(Q155="","",IF(Q155=0,"below 5:00",IF(Q155&gt;=66,"16:00 or above",INT((60+2*Q155)/12)&amp;":"&amp;TEXT(MOD(60+2*Q155,12),"00"))))</f>
        <v/>
      </c>
      <c r="S155" s="47"/>
      <c r="T155" s="47"/>
      <c r="U155" s="47"/>
      <c r="V155" s="47"/>
      <c r="W155" s="47"/>
      <c r="X155" s="47"/>
      <c r="Y155" s="47"/>
      <c r="Z155" s="47"/>
      <c r="AA155" s="47"/>
      <c r="AB155" s="47"/>
      <c r="AC155" s="47"/>
      <c r="AD155" s="47"/>
      <c r="AE155" s="47"/>
      <c r="AF155" s="47"/>
      <c r="AG155" s="47"/>
      <c r="AH155" s="47"/>
      <c r="AI155" s="46"/>
      <c r="AJ155" s="46"/>
      <c r="AK155" s="46"/>
      <c r="AL155" s="7"/>
      <c r="AM155" s="49" t="str">
        <f aca="false">IF(OR(C155="",G155=""),"",IFERROR(DATEDIF(C155,G155,"m"),""))</f>
        <v/>
      </c>
      <c r="AN155" s="49" t="str">
        <f aca="false">IF(OR(Q155="",AM155=""),"",60+2*Q155-AM155)</f>
        <v/>
      </c>
      <c r="AO155" s="49" t="str">
        <f aca="false">IF(OR(G155="",AJ155=""),"",AJ155-G155)</f>
        <v/>
      </c>
      <c r="AP155" s="50" t="str">
        <f aca="false">IF(AND(A155="",B155=""),"",IF(J155="","Status needed",IF(OR(J155="Applied",J155="Visit booked",J155="Withdrawn"),"OK",IF(G155="","Date assessed needed",IF(C155="","Date of birth needed",IF(COUNTA(L155,M155,P155,U155,V155,X155,AB155)&lt;7,"Band missing",IF(AND(OR(J155="Decision confirmed",J155="Family told",J155="Enrolled"),AG155=""),"Recommendation needed",IF(AND(OR(J155="Family told",J155="Enrolled"),AJ155=""),"Date family told needed","OK"))))))))</f>
        <v/>
      </c>
    </row>
    <row r="156" customFormat="false" ht="15" hidden="false" customHeight="false" outlineLevel="0" collapsed="false">
      <c r="A156" s="7"/>
      <c r="B156" s="7"/>
      <c r="C156" s="46"/>
      <c r="D156" s="7"/>
      <c r="E156" s="47"/>
      <c r="F156" s="46"/>
      <c r="G156" s="46"/>
      <c r="H156" s="7"/>
      <c r="I156" s="7"/>
      <c r="J156" s="47"/>
      <c r="K156" s="47"/>
      <c r="L156" s="47"/>
      <c r="M156" s="47"/>
      <c r="N156" s="10"/>
      <c r="O156" s="47"/>
      <c r="P156" s="47"/>
      <c r="Q156" s="47"/>
      <c r="R156" s="48" t="str">
        <f aca="false">IF(Q156="","",IF(Q156=0,"below 5:00",IF(Q156&gt;=66,"16:00 or above",INT((60+2*Q156)/12)&amp;":"&amp;TEXT(MOD(60+2*Q156,12),"00"))))</f>
        <v/>
      </c>
      <c r="S156" s="47"/>
      <c r="T156" s="47"/>
      <c r="U156" s="47"/>
      <c r="V156" s="47"/>
      <c r="W156" s="47"/>
      <c r="X156" s="47"/>
      <c r="Y156" s="47"/>
      <c r="Z156" s="47"/>
      <c r="AA156" s="47"/>
      <c r="AB156" s="47"/>
      <c r="AC156" s="47"/>
      <c r="AD156" s="47"/>
      <c r="AE156" s="47"/>
      <c r="AF156" s="47"/>
      <c r="AG156" s="47"/>
      <c r="AH156" s="47"/>
      <c r="AI156" s="46"/>
      <c r="AJ156" s="46"/>
      <c r="AK156" s="46"/>
      <c r="AL156" s="7"/>
      <c r="AM156" s="49" t="str">
        <f aca="false">IF(OR(C156="",G156=""),"",IFERROR(DATEDIF(C156,G156,"m"),""))</f>
        <v/>
      </c>
      <c r="AN156" s="49" t="str">
        <f aca="false">IF(OR(Q156="",AM156=""),"",60+2*Q156-AM156)</f>
        <v/>
      </c>
      <c r="AO156" s="49" t="str">
        <f aca="false">IF(OR(G156="",AJ156=""),"",AJ156-G156)</f>
        <v/>
      </c>
      <c r="AP156" s="50" t="str">
        <f aca="false">IF(AND(A156="",B156=""),"",IF(J156="","Status needed",IF(OR(J156="Applied",J156="Visit booked",J156="Withdrawn"),"OK",IF(G156="","Date assessed needed",IF(C156="","Date of birth needed",IF(COUNTA(L156,M156,P156,U156,V156,X156,AB156)&lt;7,"Band missing",IF(AND(OR(J156="Decision confirmed",J156="Family told",J156="Enrolled"),AG156=""),"Recommendation needed",IF(AND(OR(J156="Family told",J156="Enrolled"),AJ156=""),"Date family told needed","OK"))))))))</f>
        <v/>
      </c>
    </row>
    <row r="157" customFormat="false" ht="15" hidden="false" customHeight="false" outlineLevel="0" collapsed="false">
      <c r="A157" s="7"/>
      <c r="B157" s="7"/>
      <c r="C157" s="46"/>
      <c r="D157" s="7"/>
      <c r="E157" s="47"/>
      <c r="F157" s="46"/>
      <c r="G157" s="46"/>
      <c r="H157" s="7"/>
      <c r="I157" s="7"/>
      <c r="J157" s="47"/>
      <c r="K157" s="47"/>
      <c r="L157" s="47"/>
      <c r="M157" s="47"/>
      <c r="N157" s="10"/>
      <c r="O157" s="47"/>
      <c r="P157" s="47"/>
      <c r="Q157" s="47"/>
      <c r="R157" s="48" t="str">
        <f aca="false">IF(Q157="","",IF(Q157=0,"below 5:00",IF(Q157&gt;=66,"16:00 or above",INT((60+2*Q157)/12)&amp;":"&amp;TEXT(MOD(60+2*Q157,12),"00"))))</f>
        <v/>
      </c>
      <c r="S157" s="47"/>
      <c r="T157" s="47"/>
      <c r="U157" s="47"/>
      <c r="V157" s="47"/>
      <c r="W157" s="47"/>
      <c r="X157" s="47"/>
      <c r="Y157" s="47"/>
      <c r="Z157" s="47"/>
      <c r="AA157" s="47"/>
      <c r="AB157" s="47"/>
      <c r="AC157" s="47"/>
      <c r="AD157" s="47"/>
      <c r="AE157" s="47"/>
      <c r="AF157" s="47"/>
      <c r="AG157" s="47"/>
      <c r="AH157" s="47"/>
      <c r="AI157" s="46"/>
      <c r="AJ157" s="46"/>
      <c r="AK157" s="46"/>
      <c r="AL157" s="7"/>
      <c r="AM157" s="49" t="str">
        <f aca="false">IF(OR(C157="",G157=""),"",IFERROR(DATEDIF(C157,G157,"m"),""))</f>
        <v/>
      </c>
      <c r="AN157" s="49" t="str">
        <f aca="false">IF(OR(Q157="",AM157=""),"",60+2*Q157-AM157)</f>
        <v/>
      </c>
      <c r="AO157" s="49" t="str">
        <f aca="false">IF(OR(G157="",AJ157=""),"",AJ157-G157)</f>
        <v/>
      </c>
      <c r="AP157" s="50" t="str">
        <f aca="false">IF(AND(A157="",B157=""),"",IF(J157="","Status needed",IF(OR(J157="Applied",J157="Visit booked",J157="Withdrawn"),"OK",IF(G157="","Date assessed needed",IF(C157="","Date of birth needed",IF(COUNTA(L157,M157,P157,U157,V157,X157,AB157)&lt;7,"Band missing",IF(AND(OR(J157="Decision confirmed",J157="Family told",J157="Enrolled"),AG157=""),"Recommendation needed",IF(AND(OR(J157="Family told",J157="Enrolled"),AJ157=""),"Date family told needed","OK"))))))))</f>
        <v/>
      </c>
    </row>
    <row r="158" customFormat="false" ht="15" hidden="false" customHeight="false" outlineLevel="0" collapsed="false">
      <c r="A158" s="7"/>
      <c r="B158" s="7"/>
      <c r="C158" s="46"/>
      <c r="D158" s="7"/>
      <c r="E158" s="47"/>
      <c r="F158" s="46"/>
      <c r="G158" s="46"/>
      <c r="H158" s="7"/>
      <c r="I158" s="7"/>
      <c r="J158" s="47"/>
      <c r="K158" s="47"/>
      <c r="L158" s="47"/>
      <c r="M158" s="47"/>
      <c r="N158" s="10"/>
      <c r="O158" s="47"/>
      <c r="P158" s="47"/>
      <c r="Q158" s="47"/>
      <c r="R158" s="48" t="str">
        <f aca="false">IF(Q158="","",IF(Q158=0,"below 5:00",IF(Q158&gt;=66,"16:00 or above",INT((60+2*Q158)/12)&amp;":"&amp;TEXT(MOD(60+2*Q158,12),"00"))))</f>
        <v/>
      </c>
      <c r="S158" s="47"/>
      <c r="T158" s="47"/>
      <c r="U158" s="47"/>
      <c r="V158" s="47"/>
      <c r="W158" s="47"/>
      <c r="X158" s="47"/>
      <c r="Y158" s="47"/>
      <c r="Z158" s="47"/>
      <c r="AA158" s="47"/>
      <c r="AB158" s="47"/>
      <c r="AC158" s="47"/>
      <c r="AD158" s="47"/>
      <c r="AE158" s="47"/>
      <c r="AF158" s="47"/>
      <c r="AG158" s="47"/>
      <c r="AH158" s="47"/>
      <c r="AI158" s="46"/>
      <c r="AJ158" s="46"/>
      <c r="AK158" s="46"/>
      <c r="AL158" s="7"/>
      <c r="AM158" s="49" t="str">
        <f aca="false">IF(OR(C158="",G158=""),"",IFERROR(DATEDIF(C158,G158,"m"),""))</f>
        <v/>
      </c>
      <c r="AN158" s="49" t="str">
        <f aca="false">IF(OR(Q158="",AM158=""),"",60+2*Q158-AM158)</f>
        <v/>
      </c>
      <c r="AO158" s="49" t="str">
        <f aca="false">IF(OR(G158="",AJ158=""),"",AJ158-G158)</f>
        <v/>
      </c>
      <c r="AP158" s="50" t="str">
        <f aca="false">IF(AND(A158="",B158=""),"",IF(J158="","Status needed",IF(OR(J158="Applied",J158="Visit booked",J158="Withdrawn"),"OK",IF(G158="","Date assessed needed",IF(C158="","Date of birth needed",IF(COUNTA(L158,M158,P158,U158,V158,X158,AB158)&lt;7,"Band missing",IF(AND(OR(J158="Decision confirmed",J158="Family told",J158="Enrolled"),AG158=""),"Recommendation needed",IF(AND(OR(J158="Family told",J158="Enrolled"),AJ158=""),"Date family told needed","OK"))))))))</f>
        <v/>
      </c>
    </row>
    <row r="159" customFormat="false" ht="15" hidden="false" customHeight="false" outlineLevel="0" collapsed="false">
      <c r="A159" s="7"/>
      <c r="B159" s="7"/>
      <c r="C159" s="46"/>
      <c r="D159" s="7"/>
      <c r="E159" s="47"/>
      <c r="F159" s="46"/>
      <c r="G159" s="46"/>
      <c r="H159" s="7"/>
      <c r="I159" s="7"/>
      <c r="J159" s="47"/>
      <c r="K159" s="47"/>
      <c r="L159" s="47"/>
      <c r="M159" s="47"/>
      <c r="N159" s="10"/>
      <c r="O159" s="47"/>
      <c r="P159" s="47"/>
      <c r="Q159" s="47"/>
      <c r="R159" s="48" t="str">
        <f aca="false">IF(Q159="","",IF(Q159=0,"below 5:00",IF(Q159&gt;=66,"16:00 or above",INT((60+2*Q159)/12)&amp;":"&amp;TEXT(MOD(60+2*Q159,12),"00"))))</f>
        <v/>
      </c>
      <c r="S159" s="47"/>
      <c r="T159" s="47"/>
      <c r="U159" s="47"/>
      <c r="V159" s="47"/>
      <c r="W159" s="47"/>
      <c r="X159" s="47"/>
      <c r="Y159" s="47"/>
      <c r="Z159" s="47"/>
      <c r="AA159" s="47"/>
      <c r="AB159" s="47"/>
      <c r="AC159" s="47"/>
      <c r="AD159" s="47"/>
      <c r="AE159" s="47"/>
      <c r="AF159" s="47"/>
      <c r="AG159" s="47"/>
      <c r="AH159" s="47"/>
      <c r="AI159" s="46"/>
      <c r="AJ159" s="46"/>
      <c r="AK159" s="46"/>
      <c r="AL159" s="7"/>
      <c r="AM159" s="49" t="str">
        <f aca="false">IF(OR(C159="",G159=""),"",IFERROR(DATEDIF(C159,G159,"m"),""))</f>
        <v/>
      </c>
      <c r="AN159" s="49" t="str">
        <f aca="false">IF(OR(Q159="",AM159=""),"",60+2*Q159-AM159)</f>
        <v/>
      </c>
      <c r="AO159" s="49" t="str">
        <f aca="false">IF(OR(G159="",AJ159=""),"",AJ159-G159)</f>
        <v/>
      </c>
      <c r="AP159" s="50" t="str">
        <f aca="false">IF(AND(A159="",B159=""),"",IF(J159="","Status needed",IF(OR(J159="Applied",J159="Visit booked",J159="Withdrawn"),"OK",IF(G159="","Date assessed needed",IF(C159="","Date of birth needed",IF(COUNTA(L159,M159,P159,U159,V159,X159,AB159)&lt;7,"Band missing",IF(AND(OR(J159="Decision confirmed",J159="Family told",J159="Enrolled"),AG159=""),"Recommendation needed",IF(AND(OR(J159="Family told",J159="Enrolled"),AJ159=""),"Date family told needed","OK"))))))))</f>
        <v/>
      </c>
    </row>
    <row r="160" customFormat="false" ht="15" hidden="false" customHeight="false" outlineLevel="0" collapsed="false">
      <c r="A160" s="7"/>
      <c r="B160" s="7"/>
      <c r="C160" s="46"/>
      <c r="D160" s="7"/>
      <c r="E160" s="47"/>
      <c r="F160" s="46"/>
      <c r="G160" s="46"/>
      <c r="H160" s="7"/>
      <c r="I160" s="7"/>
      <c r="J160" s="47"/>
      <c r="K160" s="47"/>
      <c r="L160" s="47"/>
      <c r="M160" s="47"/>
      <c r="N160" s="10"/>
      <c r="O160" s="47"/>
      <c r="P160" s="47"/>
      <c r="Q160" s="47"/>
      <c r="R160" s="48" t="str">
        <f aca="false">IF(Q160="","",IF(Q160=0,"below 5:00",IF(Q160&gt;=66,"16:00 or above",INT((60+2*Q160)/12)&amp;":"&amp;TEXT(MOD(60+2*Q160,12),"00"))))</f>
        <v/>
      </c>
      <c r="S160" s="47"/>
      <c r="T160" s="47"/>
      <c r="U160" s="47"/>
      <c r="V160" s="47"/>
      <c r="W160" s="47"/>
      <c r="X160" s="47"/>
      <c r="Y160" s="47"/>
      <c r="Z160" s="47"/>
      <c r="AA160" s="47"/>
      <c r="AB160" s="47"/>
      <c r="AC160" s="47"/>
      <c r="AD160" s="47"/>
      <c r="AE160" s="47"/>
      <c r="AF160" s="47"/>
      <c r="AG160" s="47"/>
      <c r="AH160" s="47"/>
      <c r="AI160" s="46"/>
      <c r="AJ160" s="46"/>
      <c r="AK160" s="46"/>
      <c r="AL160" s="7"/>
      <c r="AM160" s="49" t="str">
        <f aca="false">IF(OR(C160="",G160=""),"",IFERROR(DATEDIF(C160,G160,"m"),""))</f>
        <v/>
      </c>
      <c r="AN160" s="49" t="str">
        <f aca="false">IF(OR(Q160="",AM160=""),"",60+2*Q160-AM160)</f>
        <v/>
      </c>
      <c r="AO160" s="49" t="str">
        <f aca="false">IF(OR(G160="",AJ160=""),"",AJ160-G160)</f>
        <v/>
      </c>
      <c r="AP160" s="50" t="str">
        <f aca="false">IF(AND(A160="",B160=""),"",IF(J160="","Status needed",IF(OR(J160="Applied",J160="Visit booked",J160="Withdrawn"),"OK",IF(G160="","Date assessed needed",IF(C160="","Date of birth needed",IF(COUNTA(L160,M160,P160,U160,V160,X160,AB160)&lt;7,"Band missing",IF(AND(OR(J160="Decision confirmed",J160="Family told",J160="Enrolled"),AG160=""),"Recommendation needed",IF(AND(OR(J160="Family told",J160="Enrolled"),AJ160=""),"Date family told needed","OK"))))))))</f>
        <v/>
      </c>
    </row>
    <row r="161" customFormat="false" ht="15" hidden="false" customHeight="false" outlineLevel="0" collapsed="false">
      <c r="A161" s="7"/>
      <c r="B161" s="7"/>
      <c r="C161" s="46"/>
      <c r="D161" s="7"/>
      <c r="E161" s="47"/>
      <c r="F161" s="46"/>
      <c r="G161" s="46"/>
      <c r="H161" s="7"/>
      <c r="I161" s="7"/>
      <c r="J161" s="47"/>
      <c r="K161" s="47"/>
      <c r="L161" s="47"/>
      <c r="M161" s="47"/>
      <c r="N161" s="10"/>
      <c r="O161" s="47"/>
      <c r="P161" s="47"/>
      <c r="Q161" s="47"/>
      <c r="R161" s="48" t="str">
        <f aca="false">IF(Q161="","",IF(Q161=0,"below 5:00",IF(Q161&gt;=66,"16:00 or above",INT((60+2*Q161)/12)&amp;":"&amp;TEXT(MOD(60+2*Q161,12),"00"))))</f>
        <v/>
      </c>
      <c r="S161" s="47"/>
      <c r="T161" s="47"/>
      <c r="U161" s="47"/>
      <c r="V161" s="47"/>
      <c r="W161" s="47"/>
      <c r="X161" s="47"/>
      <c r="Y161" s="47"/>
      <c r="Z161" s="47"/>
      <c r="AA161" s="47"/>
      <c r="AB161" s="47"/>
      <c r="AC161" s="47"/>
      <c r="AD161" s="47"/>
      <c r="AE161" s="47"/>
      <c r="AF161" s="47"/>
      <c r="AG161" s="47"/>
      <c r="AH161" s="47"/>
      <c r="AI161" s="46"/>
      <c r="AJ161" s="46"/>
      <c r="AK161" s="46"/>
      <c r="AL161" s="7"/>
      <c r="AM161" s="49" t="str">
        <f aca="false">IF(OR(C161="",G161=""),"",IFERROR(DATEDIF(C161,G161,"m"),""))</f>
        <v/>
      </c>
      <c r="AN161" s="49" t="str">
        <f aca="false">IF(OR(Q161="",AM161=""),"",60+2*Q161-AM161)</f>
        <v/>
      </c>
      <c r="AO161" s="49" t="str">
        <f aca="false">IF(OR(G161="",AJ161=""),"",AJ161-G161)</f>
        <v/>
      </c>
      <c r="AP161" s="50" t="str">
        <f aca="false">IF(AND(A161="",B161=""),"",IF(J161="","Status needed",IF(OR(J161="Applied",J161="Visit booked",J161="Withdrawn"),"OK",IF(G161="","Date assessed needed",IF(C161="","Date of birth needed",IF(COUNTA(L161,M161,P161,U161,V161,X161,AB161)&lt;7,"Band missing",IF(AND(OR(J161="Decision confirmed",J161="Family told",J161="Enrolled"),AG161=""),"Recommendation needed",IF(AND(OR(J161="Family told",J161="Enrolled"),AJ161=""),"Date family told needed","OK"))))))))</f>
        <v/>
      </c>
    </row>
    <row r="162" customFormat="false" ht="15" hidden="false" customHeight="false" outlineLevel="0" collapsed="false">
      <c r="A162" s="7"/>
      <c r="B162" s="7"/>
      <c r="C162" s="46"/>
      <c r="D162" s="7"/>
      <c r="E162" s="47"/>
      <c r="F162" s="46"/>
      <c r="G162" s="46"/>
      <c r="H162" s="7"/>
      <c r="I162" s="7"/>
      <c r="J162" s="47"/>
      <c r="K162" s="47"/>
      <c r="L162" s="47"/>
      <c r="M162" s="47"/>
      <c r="N162" s="10"/>
      <c r="O162" s="47"/>
      <c r="P162" s="47"/>
      <c r="Q162" s="47"/>
      <c r="R162" s="48" t="str">
        <f aca="false">IF(Q162="","",IF(Q162=0,"below 5:00",IF(Q162&gt;=66,"16:00 or above",INT((60+2*Q162)/12)&amp;":"&amp;TEXT(MOD(60+2*Q162,12),"00"))))</f>
        <v/>
      </c>
      <c r="S162" s="47"/>
      <c r="T162" s="47"/>
      <c r="U162" s="47"/>
      <c r="V162" s="47"/>
      <c r="W162" s="47"/>
      <c r="X162" s="47"/>
      <c r="Y162" s="47"/>
      <c r="Z162" s="47"/>
      <c r="AA162" s="47"/>
      <c r="AB162" s="47"/>
      <c r="AC162" s="47"/>
      <c r="AD162" s="47"/>
      <c r="AE162" s="47"/>
      <c r="AF162" s="47"/>
      <c r="AG162" s="47"/>
      <c r="AH162" s="47"/>
      <c r="AI162" s="46"/>
      <c r="AJ162" s="46"/>
      <c r="AK162" s="46"/>
      <c r="AL162" s="7"/>
      <c r="AM162" s="49" t="str">
        <f aca="false">IF(OR(C162="",G162=""),"",IFERROR(DATEDIF(C162,G162,"m"),""))</f>
        <v/>
      </c>
      <c r="AN162" s="49" t="str">
        <f aca="false">IF(OR(Q162="",AM162=""),"",60+2*Q162-AM162)</f>
        <v/>
      </c>
      <c r="AO162" s="49" t="str">
        <f aca="false">IF(OR(G162="",AJ162=""),"",AJ162-G162)</f>
        <v/>
      </c>
      <c r="AP162" s="50" t="str">
        <f aca="false">IF(AND(A162="",B162=""),"",IF(J162="","Status needed",IF(OR(J162="Applied",J162="Visit booked",J162="Withdrawn"),"OK",IF(G162="","Date assessed needed",IF(C162="","Date of birth needed",IF(COUNTA(L162,M162,P162,U162,V162,X162,AB162)&lt;7,"Band missing",IF(AND(OR(J162="Decision confirmed",J162="Family told",J162="Enrolled"),AG162=""),"Recommendation needed",IF(AND(OR(J162="Family told",J162="Enrolled"),AJ162=""),"Date family told needed","OK"))))))))</f>
        <v/>
      </c>
    </row>
    <row r="163" customFormat="false" ht="15" hidden="false" customHeight="false" outlineLevel="0" collapsed="false">
      <c r="A163" s="7"/>
      <c r="B163" s="7"/>
      <c r="C163" s="46"/>
      <c r="D163" s="7"/>
      <c r="E163" s="47"/>
      <c r="F163" s="46"/>
      <c r="G163" s="46"/>
      <c r="H163" s="7"/>
      <c r="I163" s="7"/>
      <c r="J163" s="47"/>
      <c r="K163" s="47"/>
      <c r="L163" s="47"/>
      <c r="M163" s="47"/>
      <c r="N163" s="10"/>
      <c r="O163" s="47"/>
      <c r="P163" s="47"/>
      <c r="Q163" s="47"/>
      <c r="R163" s="48" t="str">
        <f aca="false">IF(Q163="","",IF(Q163=0,"below 5:00",IF(Q163&gt;=66,"16:00 or above",INT((60+2*Q163)/12)&amp;":"&amp;TEXT(MOD(60+2*Q163,12),"00"))))</f>
        <v/>
      </c>
      <c r="S163" s="47"/>
      <c r="T163" s="47"/>
      <c r="U163" s="47"/>
      <c r="V163" s="47"/>
      <c r="W163" s="47"/>
      <c r="X163" s="47"/>
      <c r="Y163" s="47"/>
      <c r="Z163" s="47"/>
      <c r="AA163" s="47"/>
      <c r="AB163" s="47"/>
      <c r="AC163" s="47"/>
      <c r="AD163" s="47"/>
      <c r="AE163" s="47"/>
      <c r="AF163" s="47"/>
      <c r="AG163" s="47"/>
      <c r="AH163" s="47"/>
      <c r="AI163" s="46"/>
      <c r="AJ163" s="46"/>
      <c r="AK163" s="46"/>
      <c r="AL163" s="7"/>
      <c r="AM163" s="49" t="str">
        <f aca="false">IF(OR(C163="",G163=""),"",IFERROR(DATEDIF(C163,G163,"m"),""))</f>
        <v/>
      </c>
      <c r="AN163" s="49" t="str">
        <f aca="false">IF(OR(Q163="",AM163=""),"",60+2*Q163-AM163)</f>
        <v/>
      </c>
      <c r="AO163" s="49" t="str">
        <f aca="false">IF(OR(G163="",AJ163=""),"",AJ163-G163)</f>
        <v/>
      </c>
      <c r="AP163" s="50" t="str">
        <f aca="false">IF(AND(A163="",B163=""),"",IF(J163="","Status needed",IF(OR(J163="Applied",J163="Visit booked",J163="Withdrawn"),"OK",IF(G163="","Date assessed needed",IF(C163="","Date of birth needed",IF(COUNTA(L163,M163,P163,U163,V163,X163,AB163)&lt;7,"Band missing",IF(AND(OR(J163="Decision confirmed",J163="Family told",J163="Enrolled"),AG163=""),"Recommendation needed",IF(AND(OR(J163="Family told",J163="Enrolled"),AJ163=""),"Date family told needed","OK"))))))))</f>
        <v/>
      </c>
    </row>
    <row r="164" customFormat="false" ht="15" hidden="false" customHeight="false" outlineLevel="0" collapsed="false">
      <c r="A164" s="7"/>
      <c r="B164" s="7"/>
      <c r="C164" s="46"/>
      <c r="D164" s="7"/>
      <c r="E164" s="47"/>
      <c r="F164" s="46"/>
      <c r="G164" s="46"/>
      <c r="H164" s="7"/>
      <c r="I164" s="7"/>
      <c r="J164" s="47"/>
      <c r="K164" s="47"/>
      <c r="L164" s="47"/>
      <c r="M164" s="47"/>
      <c r="N164" s="10"/>
      <c r="O164" s="47"/>
      <c r="P164" s="47"/>
      <c r="Q164" s="47"/>
      <c r="R164" s="48" t="str">
        <f aca="false">IF(Q164="","",IF(Q164=0,"below 5:00",IF(Q164&gt;=66,"16:00 or above",INT((60+2*Q164)/12)&amp;":"&amp;TEXT(MOD(60+2*Q164,12),"00"))))</f>
        <v/>
      </c>
      <c r="S164" s="47"/>
      <c r="T164" s="47"/>
      <c r="U164" s="47"/>
      <c r="V164" s="47"/>
      <c r="W164" s="47"/>
      <c r="X164" s="47"/>
      <c r="Y164" s="47"/>
      <c r="Z164" s="47"/>
      <c r="AA164" s="47"/>
      <c r="AB164" s="47"/>
      <c r="AC164" s="47"/>
      <c r="AD164" s="47"/>
      <c r="AE164" s="47"/>
      <c r="AF164" s="47"/>
      <c r="AG164" s="47"/>
      <c r="AH164" s="47"/>
      <c r="AI164" s="46"/>
      <c r="AJ164" s="46"/>
      <c r="AK164" s="46"/>
      <c r="AL164" s="7"/>
      <c r="AM164" s="49" t="str">
        <f aca="false">IF(OR(C164="",G164=""),"",IFERROR(DATEDIF(C164,G164,"m"),""))</f>
        <v/>
      </c>
      <c r="AN164" s="49" t="str">
        <f aca="false">IF(OR(Q164="",AM164=""),"",60+2*Q164-AM164)</f>
        <v/>
      </c>
      <c r="AO164" s="49" t="str">
        <f aca="false">IF(OR(G164="",AJ164=""),"",AJ164-G164)</f>
        <v/>
      </c>
      <c r="AP164" s="50" t="str">
        <f aca="false">IF(AND(A164="",B164=""),"",IF(J164="","Status needed",IF(OR(J164="Applied",J164="Visit booked",J164="Withdrawn"),"OK",IF(G164="","Date assessed needed",IF(C164="","Date of birth needed",IF(COUNTA(L164,M164,P164,U164,V164,X164,AB164)&lt;7,"Band missing",IF(AND(OR(J164="Decision confirmed",J164="Family told",J164="Enrolled"),AG164=""),"Recommendation needed",IF(AND(OR(J164="Family told",J164="Enrolled"),AJ164=""),"Date family told needed","OK"))))))))</f>
        <v/>
      </c>
    </row>
    <row r="165" customFormat="false" ht="15" hidden="false" customHeight="false" outlineLevel="0" collapsed="false">
      <c r="A165" s="7"/>
      <c r="B165" s="7"/>
      <c r="C165" s="46"/>
      <c r="D165" s="7"/>
      <c r="E165" s="47"/>
      <c r="F165" s="46"/>
      <c r="G165" s="46"/>
      <c r="H165" s="7"/>
      <c r="I165" s="7"/>
      <c r="J165" s="47"/>
      <c r="K165" s="47"/>
      <c r="L165" s="47"/>
      <c r="M165" s="47"/>
      <c r="N165" s="10"/>
      <c r="O165" s="47"/>
      <c r="P165" s="47"/>
      <c r="Q165" s="47"/>
      <c r="R165" s="48" t="str">
        <f aca="false">IF(Q165="","",IF(Q165=0,"below 5:00",IF(Q165&gt;=66,"16:00 or above",INT((60+2*Q165)/12)&amp;":"&amp;TEXT(MOD(60+2*Q165,12),"00"))))</f>
        <v/>
      </c>
      <c r="S165" s="47"/>
      <c r="T165" s="47"/>
      <c r="U165" s="47"/>
      <c r="V165" s="47"/>
      <c r="W165" s="47"/>
      <c r="X165" s="47"/>
      <c r="Y165" s="47"/>
      <c r="Z165" s="47"/>
      <c r="AA165" s="47"/>
      <c r="AB165" s="47"/>
      <c r="AC165" s="47"/>
      <c r="AD165" s="47"/>
      <c r="AE165" s="47"/>
      <c r="AF165" s="47"/>
      <c r="AG165" s="47"/>
      <c r="AH165" s="47"/>
      <c r="AI165" s="46"/>
      <c r="AJ165" s="46"/>
      <c r="AK165" s="46"/>
      <c r="AL165" s="7"/>
      <c r="AM165" s="49" t="str">
        <f aca="false">IF(OR(C165="",G165=""),"",IFERROR(DATEDIF(C165,G165,"m"),""))</f>
        <v/>
      </c>
      <c r="AN165" s="49" t="str">
        <f aca="false">IF(OR(Q165="",AM165=""),"",60+2*Q165-AM165)</f>
        <v/>
      </c>
      <c r="AO165" s="49" t="str">
        <f aca="false">IF(OR(G165="",AJ165=""),"",AJ165-G165)</f>
        <v/>
      </c>
      <c r="AP165" s="50" t="str">
        <f aca="false">IF(AND(A165="",B165=""),"",IF(J165="","Status needed",IF(OR(J165="Applied",J165="Visit booked",J165="Withdrawn"),"OK",IF(G165="","Date assessed needed",IF(C165="","Date of birth needed",IF(COUNTA(L165,M165,P165,U165,V165,X165,AB165)&lt;7,"Band missing",IF(AND(OR(J165="Decision confirmed",J165="Family told",J165="Enrolled"),AG165=""),"Recommendation needed",IF(AND(OR(J165="Family told",J165="Enrolled"),AJ165=""),"Date family told needed","OK"))))))))</f>
        <v/>
      </c>
    </row>
    <row r="166" customFormat="false" ht="15" hidden="false" customHeight="false" outlineLevel="0" collapsed="false">
      <c r="A166" s="7"/>
      <c r="B166" s="7"/>
      <c r="C166" s="46"/>
      <c r="D166" s="7"/>
      <c r="E166" s="47"/>
      <c r="F166" s="46"/>
      <c r="G166" s="46"/>
      <c r="H166" s="7"/>
      <c r="I166" s="7"/>
      <c r="J166" s="47"/>
      <c r="K166" s="47"/>
      <c r="L166" s="47"/>
      <c r="M166" s="47"/>
      <c r="N166" s="10"/>
      <c r="O166" s="47"/>
      <c r="P166" s="47"/>
      <c r="Q166" s="47"/>
      <c r="R166" s="48" t="str">
        <f aca="false">IF(Q166="","",IF(Q166=0,"below 5:00",IF(Q166&gt;=66,"16:00 or above",INT((60+2*Q166)/12)&amp;":"&amp;TEXT(MOD(60+2*Q166,12),"00"))))</f>
        <v/>
      </c>
      <c r="S166" s="47"/>
      <c r="T166" s="47"/>
      <c r="U166" s="47"/>
      <c r="V166" s="47"/>
      <c r="W166" s="47"/>
      <c r="X166" s="47"/>
      <c r="Y166" s="47"/>
      <c r="Z166" s="47"/>
      <c r="AA166" s="47"/>
      <c r="AB166" s="47"/>
      <c r="AC166" s="47"/>
      <c r="AD166" s="47"/>
      <c r="AE166" s="47"/>
      <c r="AF166" s="47"/>
      <c r="AG166" s="47"/>
      <c r="AH166" s="47"/>
      <c r="AI166" s="46"/>
      <c r="AJ166" s="46"/>
      <c r="AK166" s="46"/>
      <c r="AL166" s="7"/>
      <c r="AM166" s="49" t="str">
        <f aca="false">IF(OR(C166="",G166=""),"",IFERROR(DATEDIF(C166,G166,"m"),""))</f>
        <v/>
      </c>
      <c r="AN166" s="49" t="str">
        <f aca="false">IF(OR(Q166="",AM166=""),"",60+2*Q166-AM166)</f>
        <v/>
      </c>
      <c r="AO166" s="49" t="str">
        <f aca="false">IF(OR(G166="",AJ166=""),"",AJ166-G166)</f>
        <v/>
      </c>
      <c r="AP166" s="50" t="str">
        <f aca="false">IF(AND(A166="",B166=""),"",IF(J166="","Status needed",IF(OR(J166="Applied",J166="Visit booked",J166="Withdrawn"),"OK",IF(G166="","Date assessed needed",IF(C166="","Date of birth needed",IF(COUNTA(L166,M166,P166,U166,V166,X166,AB166)&lt;7,"Band missing",IF(AND(OR(J166="Decision confirmed",J166="Family told",J166="Enrolled"),AG166=""),"Recommendation needed",IF(AND(OR(J166="Family told",J166="Enrolled"),AJ166=""),"Date family told needed","OK"))))))))</f>
        <v/>
      </c>
    </row>
    <row r="167" customFormat="false" ht="15" hidden="false" customHeight="false" outlineLevel="0" collapsed="false">
      <c r="A167" s="7"/>
      <c r="B167" s="7"/>
      <c r="C167" s="46"/>
      <c r="D167" s="7"/>
      <c r="E167" s="47"/>
      <c r="F167" s="46"/>
      <c r="G167" s="46"/>
      <c r="H167" s="7"/>
      <c r="I167" s="7"/>
      <c r="J167" s="47"/>
      <c r="K167" s="47"/>
      <c r="L167" s="47"/>
      <c r="M167" s="47"/>
      <c r="N167" s="10"/>
      <c r="O167" s="47"/>
      <c r="P167" s="47"/>
      <c r="Q167" s="47"/>
      <c r="R167" s="48" t="str">
        <f aca="false">IF(Q167="","",IF(Q167=0,"below 5:00",IF(Q167&gt;=66,"16:00 or above",INT((60+2*Q167)/12)&amp;":"&amp;TEXT(MOD(60+2*Q167,12),"00"))))</f>
        <v/>
      </c>
      <c r="S167" s="47"/>
      <c r="T167" s="47"/>
      <c r="U167" s="47"/>
      <c r="V167" s="47"/>
      <c r="W167" s="47"/>
      <c r="X167" s="47"/>
      <c r="Y167" s="47"/>
      <c r="Z167" s="47"/>
      <c r="AA167" s="47"/>
      <c r="AB167" s="47"/>
      <c r="AC167" s="47"/>
      <c r="AD167" s="47"/>
      <c r="AE167" s="47"/>
      <c r="AF167" s="47"/>
      <c r="AG167" s="47"/>
      <c r="AH167" s="47"/>
      <c r="AI167" s="46"/>
      <c r="AJ167" s="46"/>
      <c r="AK167" s="46"/>
      <c r="AL167" s="7"/>
      <c r="AM167" s="49" t="str">
        <f aca="false">IF(OR(C167="",G167=""),"",IFERROR(DATEDIF(C167,G167,"m"),""))</f>
        <v/>
      </c>
      <c r="AN167" s="49" t="str">
        <f aca="false">IF(OR(Q167="",AM167=""),"",60+2*Q167-AM167)</f>
        <v/>
      </c>
      <c r="AO167" s="49" t="str">
        <f aca="false">IF(OR(G167="",AJ167=""),"",AJ167-G167)</f>
        <v/>
      </c>
      <c r="AP167" s="50" t="str">
        <f aca="false">IF(AND(A167="",B167=""),"",IF(J167="","Status needed",IF(OR(J167="Applied",J167="Visit booked",J167="Withdrawn"),"OK",IF(G167="","Date assessed needed",IF(C167="","Date of birth needed",IF(COUNTA(L167,M167,P167,U167,V167,X167,AB167)&lt;7,"Band missing",IF(AND(OR(J167="Decision confirmed",J167="Family told",J167="Enrolled"),AG167=""),"Recommendation needed",IF(AND(OR(J167="Family told",J167="Enrolled"),AJ167=""),"Date family told needed","OK"))))))))</f>
        <v/>
      </c>
    </row>
    <row r="168" customFormat="false" ht="15" hidden="false" customHeight="false" outlineLevel="0" collapsed="false">
      <c r="A168" s="7"/>
      <c r="B168" s="7"/>
      <c r="C168" s="46"/>
      <c r="D168" s="7"/>
      <c r="E168" s="47"/>
      <c r="F168" s="46"/>
      <c r="G168" s="46"/>
      <c r="H168" s="7"/>
      <c r="I168" s="7"/>
      <c r="J168" s="47"/>
      <c r="K168" s="47"/>
      <c r="L168" s="47"/>
      <c r="M168" s="47"/>
      <c r="N168" s="10"/>
      <c r="O168" s="47"/>
      <c r="P168" s="47"/>
      <c r="Q168" s="47"/>
      <c r="R168" s="48" t="str">
        <f aca="false">IF(Q168="","",IF(Q168=0,"below 5:00",IF(Q168&gt;=66,"16:00 or above",INT((60+2*Q168)/12)&amp;":"&amp;TEXT(MOD(60+2*Q168,12),"00"))))</f>
        <v/>
      </c>
      <c r="S168" s="47"/>
      <c r="T168" s="47"/>
      <c r="U168" s="47"/>
      <c r="V168" s="47"/>
      <c r="W168" s="47"/>
      <c r="X168" s="47"/>
      <c r="Y168" s="47"/>
      <c r="Z168" s="47"/>
      <c r="AA168" s="47"/>
      <c r="AB168" s="47"/>
      <c r="AC168" s="47"/>
      <c r="AD168" s="47"/>
      <c r="AE168" s="47"/>
      <c r="AF168" s="47"/>
      <c r="AG168" s="47"/>
      <c r="AH168" s="47"/>
      <c r="AI168" s="46"/>
      <c r="AJ168" s="46"/>
      <c r="AK168" s="46"/>
      <c r="AL168" s="7"/>
      <c r="AM168" s="49" t="str">
        <f aca="false">IF(OR(C168="",G168=""),"",IFERROR(DATEDIF(C168,G168,"m"),""))</f>
        <v/>
      </c>
      <c r="AN168" s="49" t="str">
        <f aca="false">IF(OR(Q168="",AM168=""),"",60+2*Q168-AM168)</f>
        <v/>
      </c>
      <c r="AO168" s="49" t="str">
        <f aca="false">IF(OR(G168="",AJ168=""),"",AJ168-G168)</f>
        <v/>
      </c>
      <c r="AP168" s="50" t="str">
        <f aca="false">IF(AND(A168="",B168=""),"",IF(J168="","Status needed",IF(OR(J168="Applied",J168="Visit booked",J168="Withdrawn"),"OK",IF(G168="","Date assessed needed",IF(C168="","Date of birth needed",IF(COUNTA(L168,M168,P168,U168,V168,X168,AB168)&lt;7,"Band missing",IF(AND(OR(J168="Decision confirmed",J168="Family told",J168="Enrolled"),AG168=""),"Recommendation needed",IF(AND(OR(J168="Family told",J168="Enrolled"),AJ168=""),"Date family told needed","OK"))))))))</f>
        <v/>
      </c>
    </row>
    <row r="169" customFormat="false" ht="15" hidden="false" customHeight="false" outlineLevel="0" collapsed="false">
      <c r="A169" s="7"/>
      <c r="B169" s="7"/>
      <c r="C169" s="46"/>
      <c r="D169" s="7"/>
      <c r="E169" s="47"/>
      <c r="F169" s="46"/>
      <c r="G169" s="46"/>
      <c r="H169" s="7"/>
      <c r="I169" s="7"/>
      <c r="J169" s="47"/>
      <c r="K169" s="47"/>
      <c r="L169" s="47"/>
      <c r="M169" s="47"/>
      <c r="N169" s="10"/>
      <c r="O169" s="47"/>
      <c r="P169" s="47"/>
      <c r="Q169" s="47"/>
      <c r="R169" s="48" t="str">
        <f aca="false">IF(Q169="","",IF(Q169=0,"below 5:00",IF(Q169&gt;=66,"16:00 or above",INT((60+2*Q169)/12)&amp;":"&amp;TEXT(MOD(60+2*Q169,12),"00"))))</f>
        <v/>
      </c>
      <c r="S169" s="47"/>
      <c r="T169" s="47"/>
      <c r="U169" s="47"/>
      <c r="V169" s="47"/>
      <c r="W169" s="47"/>
      <c r="X169" s="47"/>
      <c r="Y169" s="47"/>
      <c r="Z169" s="47"/>
      <c r="AA169" s="47"/>
      <c r="AB169" s="47"/>
      <c r="AC169" s="47"/>
      <c r="AD169" s="47"/>
      <c r="AE169" s="47"/>
      <c r="AF169" s="47"/>
      <c r="AG169" s="47"/>
      <c r="AH169" s="47"/>
      <c r="AI169" s="46"/>
      <c r="AJ169" s="46"/>
      <c r="AK169" s="46"/>
      <c r="AL169" s="7"/>
      <c r="AM169" s="49" t="str">
        <f aca="false">IF(OR(C169="",G169=""),"",IFERROR(DATEDIF(C169,G169,"m"),""))</f>
        <v/>
      </c>
      <c r="AN169" s="49" t="str">
        <f aca="false">IF(OR(Q169="",AM169=""),"",60+2*Q169-AM169)</f>
        <v/>
      </c>
      <c r="AO169" s="49" t="str">
        <f aca="false">IF(OR(G169="",AJ169=""),"",AJ169-G169)</f>
        <v/>
      </c>
      <c r="AP169" s="50" t="str">
        <f aca="false">IF(AND(A169="",B169=""),"",IF(J169="","Status needed",IF(OR(J169="Applied",J169="Visit booked",J169="Withdrawn"),"OK",IF(G169="","Date assessed needed",IF(C169="","Date of birth needed",IF(COUNTA(L169,M169,P169,U169,V169,X169,AB169)&lt;7,"Band missing",IF(AND(OR(J169="Decision confirmed",J169="Family told",J169="Enrolled"),AG169=""),"Recommendation needed",IF(AND(OR(J169="Family told",J169="Enrolled"),AJ169=""),"Date family told needed","OK"))))))))</f>
        <v/>
      </c>
    </row>
    <row r="170" customFormat="false" ht="15" hidden="false" customHeight="false" outlineLevel="0" collapsed="false">
      <c r="A170" s="7"/>
      <c r="B170" s="7"/>
      <c r="C170" s="46"/>
      <c r="D170" s="7"/>
      <c r="E170" s="47"/>
      <c r="F170" s="46"/>
      <c r="G170" s="46"/>
      <c r="H170" s="7"/>
      <c r="I170" s="7"/>
      <c r="J170" s="47"/>
      <c r="K170" s="47"/>
      <c r="L170" s="47"/>
      <c r="M170" s="47"/>
      <c r="N170" s="10"/>
      <c r="O170" s="47"/>
      <c r="P170" s="47"/>
      <c r="Q170" s="47"/>
      <c r="R170" s="48" t="str">
        <f aca="false">IF(Q170="","",IF(Q170=0,"below 5:00",IF(Q170&gt;=66,"16:00 or above",INT((60+2*Q170)/12)&amp;":"&amp;TEXT(MOD(60+2*Q170,12),"00"))))</f>
        <v/>
      </c>
      <c r="S170" s="47"/>
      <c r="T170" s="47"/>
      <c r="U170" s="47"/>
      <c r="V170" s="47"/>
      <c r="W170" s="47"/>
      <c r="X170" s="47"/>
      <c r="Y170" s="47"/>
      <c r="Z170" s="47"/>
      <c r="AA170" s="47"/>
      <c r="AB170" s="47"/>
      <c r="AC170" s="47"/>
      <c r="AD170" s="47"/>
      <c r="AE170" s="47"/>
      <c r="AF170" s="47"/>
      <c r="AG170" s="47"/>
      <c r="AH170" s="47"/>
      <c r="AI170" s="46"/>
      <c r="AJ170" s="46"/>
      <c r="AK170" s="46"/>
      <c r="AL170" s="7"/>
      <c r="AM170" s="49" t="str">
        <f aca="false">IF(OR(C170="",G170=""),"",IFERROR(DATEDIF(C170,G170,"m"),""))</f>
        <v/>
      </c>
      <c r="AN170" s="49" t="str">
        <f aca="false">IF(OR(Q170="",AM170=""),"",60+2*Q170-AM170)</f>
        <v/>
      </c>
      <c r="AO170" s="49" t="str">
        <f aca="false">IF(OR(G170="",AJ170=""),"",AJ170-G170)</f>
        <v/>
      </c>
      <c r="AP170" s="50" t="str">
        <f aca="false">IF(AND(A170="",B170=""),"",IF(J170="","Status needed",IF(OR(J170="Applied",J170="Visit booked",J170="Withdrawn"),"OK",IF(G170="","Date assessed needed",IF(C170="","Date of birth needed",IF(COUNTA(L170,M170,P170,U170,V170,X170,AB170)&lt;7,"Band missing",IF(AND(OR(J170="Decision confirmed",J170="Family told",J170="Enrolled"),AG170=""),"Recommendation needed",IF(AND(OR(J170="Family told",J170="Enrolled"),AJ170=""),"Date family told needed","OK"))))))))</f>
        <v/>
      </c>
    </row>
    <row r="171" customFormat="false" ht="15" hidden="false" customHeight="false" outlineLevel="0" collapsed="false">
      <c r="A171" s="7"/>
      <c r="B171" s="7"/>
      <c r="C171" s="46"/>
      <c r="D171" s="7"/>
      <c r="E171" s="47"/>
      <c r="F171" s="46"/>
      <c r="G171" s="46"/>
      <c r="H171" s="7"/>
      <c r="I171" s="7"/>
      <c r="J171" s="47"/>
      <c r="K171" s="47"/>
      <c r="L171" s="47"/>
      <c r="M171" s="47"/>
      <c r="N171" s="10"/>
      <c r="O171" s="47"/>
      <c r="P171" s="47"/>
      <c r="Q171" s="47"/>
      <c r="R171" s="48" t="str">
        <f aca="false">IF(Q171="","",IF(Q171=0,"below 5:00",IF(Q171&gt;=66,"16:00 or above",INT((60+2*Q171)/12)&amp;":"&amp;TEXT(MOD(60+2*Q171,12),"00"))))</f>
        <v/>
      </c>
      <c r="S171" s="47"/>
      <c r="T171" s="47"/>
      <c r="U171" s="47"/>
      <c r="V171" s="47"/>
      <c r="W171" s="47"/>
      <c r="X171" s="47"/>
      <c r="Y171" s="47"/>
      <c r="Z171" s="47"/>
      <c r="AA171" s="47"/>
      <c r="AB171" s="47"/>
      <c r="AC171" s="47"/>
      <c r="AD171" s="47"/>
      <c r="AE171" s="47"/>
      <c r="AF171" s="47"/>
      <c r="AG171" s="47"/>
      <c r="AH171" s="47"/>
      <c r="AI171" s="46"/>
      <c r="AJ171" s="46"/>
      <c r="AK171" s="46"/>
      <c r="AL171" s="7"/>
      <c r="AM171" s="49" t="str">
        <f aca="false">IF(OR(C171="",G171=""),"",IFERROR(DATEDIF(C171,G171,"m"),""))</f>
        <v/>
      </c>
      <c r="AN171" s="49" t="str">
        <f aca="false">IF(OR(Q171="",AM171=""),"",60+2*Q171-AM171)</f>
        <v/>
      </c>
      <c r="AO171" s="49" t="str">
        <f aca="false">IF(OR(G171="",AJ171=""),"",AJ171-G171)</f>
        <v/>
      </c>
      <c r="AP171" s="50" t="str">
        <f aca="false">IF(AND(A171="",B171=""),"",IF(J171="","Status needed",IF(OR(J171="Applied",J171="Visit booked",J171="Withdrawn"),"OK",IF(G171="","Date assessed needed",IF(C171="","Date of birth needed",IF(COUNTA(L171,M171,P171,U171,V171,X171,AB171)&lt;7,"Band missing",IF(AND(OR(J171="Decision confirmed",J171="Family told",J171="Enrolled"),AG171=""),"Recommendation needed",IF(AND(OR(J171="Family told",J171="Enrolled"),AJ171=""),"Date family told needed","OK"))))))))</f>
        <v/>
      </c>
    </row>
    <row r="172" customFormat="false" ht="15" hidden="false" customHeight="false" outlineLevel="0" collapsed="false">
      <c r="A172" s="7"/>
      <c r="B172" s="7"/>
      <c r="C172" s="46"/>
      <c r="D172" s="7"/>
      <c r="E172" s="47"/>
      <c r="F172" s="46"/>
      <c r="G172" s="46"/>
      <c r="H172" s="7"/>
      <c r="I172" s="7"/>
      <c r="J172" s="47"/>
      <c r="K172" s="47"/>
      <c r="L172" s="47"/>
      <c r="M172" s="47"/>
      <c r="N172" s="10"/>
      <c r="O172" s="47"/>
      <c r="P172" s="47"/>
      <c r="Q172" s="47"/>
      <c r="R172" s="48" t="str">
        <f aca="false">IF(Q172="","",IF(Q172=0,"below 5:00",IF(Q172&gt;=66,"16:00 or above",INT((60+2*Q172)/12)&amp;":"&amp;TEXT(MOD(60+2*Q172,12),"00"))))</f>
        <v/>
      </c>
      <c r="S172" s="47"/>
      <c r="T172" s="47"/>
      <c r="U172" s="47"/>
      <c r="V172" s="47"/>
      <c r="W172" s="47"/>
      <c r="X172" s="47"/>
      <c r="Y172" s="47"/>
      <c r="Z172" s="47"/>
      <c r="AA172" s="47"/>
      <c r="AB172" s="47"/>
      <c r="AC172" s="47"/>
      <c r="AD172" s="47"/>
      <c r="AE172" s="47"/>
      <c r="AF172" s="47"/>
      <c r="AG172" s="47"/>
      <c r="AH172" s="47"/>
      <c r="AI172" s="46"/>
      <c r="AJ172" s="46"/>
      <c r="AK172" s="46"/>
      <c r="AL172" s="7"/>
      <c r="AM172" s="49" t="str">
        <f aca="false">IF(OR(C172="",G172=""),"",IFERROR(DATEDIF(C172,G172,"m"),""))</f>
        <v/>
      </c>
      <c r="AN172" s="49" t="str">
        <f aca="false">IF(OR(Q172="",AM172=""),"",60+2*Q172-AM172)</f>
        <v/>
      </c>
      <c r="AO172" s="49" t="str">
        <f aca="false">IF(OR(G172="",AJ172=""),"",AJ172-G172)</f>
        <v/>
      </c>
      <c r="AP172" s="50" t="str">
        <f aca="false">IF(AND(A172="",B172=""),"",IF(J172="","Status needed",IF(OR(J172="Applied",J172="Visit booked",J172="Withdrawn"),"OK",IF(G172="","Date assessed needed",IF(C172="","Date of birth needed",IF(COUNTA(L172,M172,P172,U172,V172,X172,AB172)&lt;7,"Band missing",IF(AND(OR(J172="Decision confirmed",J172="Family told",J172="Enrolled"),AG172=""),"Recommendation needed",IF(AND(OR(J172="Family told",J172="Enrolled"),AJ172=""),"Date family told needed","OK"))))))))</f>
        <v/>
      </c>
    </row>
    <row r="173" customFormat="false" ht="15" hidden="false" customHeight="false" outlineLevel="0" collapsed="false">
      <c r="A173" s="7"/>
      <c r="B173" s="7"/>
      <c r="C173" s="46"/>
      <c r="D173" s="7"/>
      <c r="E173" s="47"/>
      <c r="F173" s="46"/>
      <c r="G173" s="46"/>
      <c r="H173" s="7"/>
      <c r="I173" s="7"/>
      <c r="J173" s="47"/>
      <c r="K173" s="47"/>
      <c r="L173" s="47"/>
      <c r="M173" s="47"/>
      <c r="N173" s="10"/>
      <c r="O173" s="47"/>
      <c r="P173" s="47"/>
      <c r="Q173" s="47"/>
      <c r="R173" s="48" t="str">
        <f aca="false">IF(Q173="","",IF(Q173=0,"below 5:00",IF(Q173&gt;=66,"16:00 or above",INT((60+2*Q173)/12)&amp;":"&amp;TEXT(MOD(60+2*Q173,12),"00"))))</f>
        <v/>
      </c>
      <c r="S173" s="47"/>
      <c r="T173" s="47"/>
      <c r="U173" s="47"/>
      <c r="V173" s="47"/>
      <c r="W173" s="47"/>
      <c r="X173" s="47"/>
      <c r="Y173" s="47"/>
      <c r="Z173" s="47"/>
      <c r="AA173" s="47"/>
      <c r="AB173" s="47"/>
      <c r="AC173" s="47"/>
      <c r="AD173" s="47"/>
      <c r="AE173" s="47"/>
      <c r="AF173" s="47"/>
      <c r="AG173" s="47"/>
      <c r="AH173" s="47"/>
      <c r="AI173" s="46"/>
      <c r="AJ173" s="46"/>
      <c r="AK173" s="46"/>
      <c r="AL173" s="7"/>
      <c r="AM173" s="49" t="str">
        <f aca="false">IF(OR(C173="",G173=""),"",IFERROR(DATEDIF(C173,G173,"m"),""))</f>
        <v/>
      </c>
      <c r="AN173" s="49" t="str">
        <f aca="false">IF(OR(Q173="",AM173=""),"",60+2*Q173-AM173)</f>
        <v/>
      </c>
      <c r="AO173" s="49" t="str">
        <f aca="false">IF(OR(G173="",AJ173=""),"",AJ173-G173)</f>
        <v/>
      </c>
      <c r="AP173" s="50" t="str">
        <f aca="false">IF(AND(A173="",B173=""),"",IF(J173="","Status needed",IF(OR(J173="Applied",J173="Visit booked",J173="Withdrawn"),"OK",IF(G173="","Date assessed needed",IF(C173="","Date of birth needed",IF(COUNTA(L173,M173,P173,U173,V173,X173,AB173)&lt;7,"Band missing",IF(AND(OR(J173="Decision confirmed",J173="Family told",J173="Enrolled"),AG173=""),"Recommendation needed",IF(AND(OR(J173="Family told",J173="Enrolled"),AJ173=""),"Date family told needed","OK"))))))))</f>
        <v/>
      </c>
    </row>
    <row r="174" customFormat="false" ht="15" hidden="false" customHeight="false" outlineLevel="0" collapsed="false">
      <c r="A174" s="7"/>
      <c r="B174" s="7"/>
      <c r="C174" s="46"/>
      <c r="D174" s="7"/>
      <c r="E174" s="47"/>
      <c r="F174" s="46"/>
      <c r="G174" s="46"/>
      <c r="H174" s="7"/>
      <c r="I174" s="7"/>
      <c r="J174" s="47"/>
      <c r="K174" s="47"/>
      <c r="L174" s="47"/>
      <c r="M174" s="47"/>
      <c r="N174" s="10"/>
      <c r="O174" s="47"/>
      <c r="P174" s="47"/>
      <c r="Q174" s="47"/>
      <c r="R174" s="48" t="str">
        <f aca="false">IF(Q174="","",IF(Q174=0,"below 5:00",IF(Q174&gt;=66,"16:00 or above",INT((60+2*Q174)/12)&amp;":"&amp;TEXT(MOD(60+2*Q174,12),"00"))))</f>
        <v/>
      </c>
      <c r="S174" s="47"/>
      <c r="T174" s="47"/>
      <c r="U174" s="47"/>
      <c r="V174" s="47"/>
      <c r="W174" s="47"/>
      <c r="X174" s="47"/>
      <c r="Y174" s="47"/>
      <c r="Z174" s="47"/>
      <c r="AA174" s="47"/>
      <c r="AB174" s="47"/>
      <c r="AC174" s="47"/>
      <c r="AD174" s="47"/>
      <c r="AE174" s="47"/>
      <c r="AF174" s="47"/>
      <c r="AG174" s="47"/>
      <c r="AH174" s="47"/>
      <c r="AI174" s="46"/>
      <c r="AJ174" s="46"/>
      <c r="AK174" s="46"/>
      <c r="AL174" s="7"/>
      <c r="AM174" s="49" t="str">
        <f aca="false">IF(OR(C174="",G174=""),"",IFERROR(DATEDIF(C174,G174,"m"),""))</f>
        <v/>
      </c>
      <c r="AN174" s="49" t="str">
        <f aca="false">IF(OR(Q174="",AM174=""),"",60+2*Q174-AM174)</f>
        <v/>
      </c>
      <c r="AO174" s="49" t="str">
        <f aca="false">IF(OR(G174="",AJ174=""),"",AJ174-G174)</f>
        <v/>
      </c>
      <c r="AP174" s="50" t="str">
        <f aca="false">IF(AND(A174="",B174=""),"",IF(J174="","Status needed",IF(OR(J174="Applied",J174="Visit booked",J174="Withdrawn"),"OK",IF(G174="","Date assessed needed",IF(C174="","Date of birth needed",IF(COUNTA(L174,M174,P174,U174,V174,X174,AB174)&lt;7,"Band missing",IF(AND(OR(J174="Decision confirmed",J174="Family told",J174="Enrolled"),AG174=""),"Recommendation needed",IF(AND(OR(J174="Family told",J174="Enrolled"),AJ174=""),"Date family told needed","OK"))))))))</f>
        <v/>
      </c>
    </row>
    <row r="175" customFormat="false" ht="15" hidden="false" customHeight="false" outlineLevel="0" collapsed="false">
      <c r="A175" s="7"/>
      <c r="B175" s="7"/>
      <c r="C175" s="46"/>
      <c r="D175" s="7"/>
      <c r="E175" s="47"/>
      <c r="F175" s="46"/>
      <c r="G175" s="46"/>
      <c r="H175" s="7"/>
      <c r="I175" s="7"/>
      <c r="J175" s="47"/>
      <c r="K175" s="47"/>
      <c r="L175" s="47"/>
      <c r="M175" s="47"/>
      <c r="N175" s="10"/>
      <c r="O175" s="47"/>
      <c r="P175" s="47"/>
      <c r="Q175" s="47"/>
      <c r="R175" s="48" t="str">
        <f aca="false">IF(Q175="","",IF(Q175=0,"below 5:00",IF(Q175&gt;=66,"16:00 or above",INT((60+2*Q175)/12)&amp;":"&amp;TEXT(MOD(60+2*Q175,12),"00"))))</f>
        <v/>
      </c>
      <c r="S175" s="47"/>
      <c r="T175" s="47"/>
      <c r="U175" s="47"/>
      <c r="V175" s="47"/>
      <c r="W175" s="47"/>
      <c r="X175" s="47"/>
      <c r="Y175" s="47"/>
      <c r="Z175" s="47"/>
      <c r="AA175" s="47"/>
      <c r="AB175" s="47"/>
      <c r="AC175" s="47"/>
      <c r="AD175" s="47"/>
      <c r="AE175" s="47"/>
      <c r="AF175" s="47"/>
      <c r="AG175" s="47"/>
      <c r="AH175" s="47"/>
      <c r="AI175" s="46"/>
      <c r="AJ175" s="46"/>
      <c r="AK175" s="46"/>
      <c r="AL175" s="7"/>
      <c r="AM175" s="49" t="str">
        <f aca="false">IF(OR(C175="",G175=""),"",IFERROR(DATEDIF(C175,G175,"m"),""))</f>
        <v/>
      </c>
      <c r="AN175" s="49" t="str">
        <f aca="false">IF(OR(Q175="",AM175=""),"",60+2*Q175-AM175)</f>
        <v/>
      </c>
      <c r="AO175" s="49" t="str">
        <f aca="false">IF(OR(G175="",AJ175=""),"",AJ175-G175)</f>
        <v/>
      </c>
      <c r="AP175" s="50" t="str">
        <f aca="false">IF(AND(A175="",B175=""),"",IF(J175="","Status needed",IF(OR(J175="Applied",J175="Visit booked",J175="Withdrawn"),"OK",IF(G175="","Date assessed needed",IF(C175="","Date of birth needed",IF(COUNTA(L175,M175,P175,U175,V175,X175,AB175)&lt;7,"Band missing",IF(AND(OR(J175="Decision confirmed",J175="Family told",J175="Enrolled"),AG175=""),"Recommendation needed",IF(AND(OR(J175="Family told",J175="Enrolled"),AJ175=""),"Date family told needed","OK"))))))))</f>
        <v/>
      </c>
    </row>
    <row r="176" customFormat="false" ht="15" hidden="false" customHeight="false" outlineLevel="0" collapsed="false">
      <c r="A176" s="7"/>
      <c r="B176" s="7"/>
      <c r="C176" s="46"/>
      <c r="D176" s="7"/>
      <c r="E176" s="47"/>
      <c r="F176" s="46"/>
      <c r="G176" s="46"/>
      <c r="H176" s="7"/>
      <c r="I176" s="7"/>
      <c r="J176" s="47"/>
      <c r="K176" s="47"/>
      <c r="L176" s="47"/>
      <c r="M176" s="47"/>
      <c r="N176" s="10"/>
      <c r="O176" s="47"/>
      <c r="P176" s="47"/>
      <c r="Q176" s="47"/>
      <c r="R176" s="48" t="str">
        <f aca="false">IF(Q176="","",IF(Q176=0,"below 5:00",IF(Q176&gt;=66,"16:00 or above",INT((60+2*Q176)/12)&amp;":"&amp;TEXT(MOD(60+2*Q176,12),"00"))))</f>
        <v/>
      </c>
      <c r="S176" s="47"/>
      <c r="T176" s="47"/>
      <c r="U176" s="47"/>
      <c r="V176" s="47"/>
      <c r="W176" s="47"/>
      <c r="X176" s="47"/>
      <c r="Y176" s="47"/>
      <c r="Z176" s="47"/>
      <c r="AA176" s="47"/>
      <c r="AB176" s="47"/>
      <c r="AC176" s="47"/>
      <c r="AD176" s="47"/>
      <c r="AE176" s="47"/>
      <c r="AF176" s="47"/>
      <c r="AG176" s="47"/>
      <c r="AH176" s="47"/>
      <c r="AI176" s="46"/>
      <c r="AJ176" s="46"/>
      <c r="AK176" s="46"/>
      <c r="AL176" s="7"/>
      <c r="AM176" s="49" t="str">
        <f aca="false">IF(OR(C176="",G176=""),"",IFERROR(DATEDIF(C176,G176,"m"),""))</f>
        <v/>
      </c>
      <c r="AN176" s="49" t="str">
        <f aca="false">IF(OR(Q176="",AM176=""),"",60+2*Q176-AM176)</f>
        <v/>
      </c>
      <c r="AO176" s="49" t="str">
        <f aca="false">IF(OR(G176="",AJ176=""),"",AJ176-G176)</f>
        <v/>
      </c>
      <c r="AP176" s="50" t="str">
        <f aca="false">IF(AND(A176="",B176=""),"",IF(J176="","Status needed",IF(OR(J176="Applied",J176="Visit booked",J176="Withdrawn"),"OK",IF(G176="","Date assessed needed",IF(C176="","Date of birth needed",IF(COUNTA(L176,M176,P176,U176,V176,X176,AB176)&lt;7,"Band missing",IF(AND(OR(J176="Decision confirmed",J176="Family told",J176="Enrolled"),AG176=""),"Recommendation needed",IF(AND(OR(J176="Family told",J176="Enrolled"),AJ176=""),"Date family told needed","OK"))))))))</f>
        <v/>
      </c>
    </row>
    <row r="177" customFormat="false" ht="15" hidden="false" customHeight="false" outlineLevel="0" collapsed="false">
      <c r="A177" s="7"/>
      <c r="B177" s="7"/>
      <c r="C177" s="46"/>
      <c r="D177" s="7"/>
      <c r="E177" s="47"/>
      <c r="F177" s="46"/>
      <c r="G177" s="46"/>
      <c r="H177" s="7"/>
      <c r="I177" s="7"/>
      <c r="J177" s="47"/>
      <c r="K177" s="47"/>
      <c r="L177" s="47"/>
      <c r="M177" s="47"/>
      <c r="N177" s="10"/>
      <c r="O177" s="47"/>
      <c r="P177" s="47"/>
      <c r="Q177" s="47"/>
      <c r="R177" s="48" t="str">
        <f aca="false">IF(Q177="","",IF(Q177=0,"below 5:00",IF(Q177&gt;=66,"16:00 or above",INT((60+2*Q177)/12)&amp;":"&amp;TEXT(MOD(60+2*Q177,12),"00"))))</f>
        <v/>
      </c>
      <c r="S177" s="47"/>
      <c r="T177" s="47"/>
      <c r="U177" s="47"/>
      <c r="V177" s="47"/>
      <c r="W177" s="47"/>
      <c r="X177" s="47"/>
      <c r="Y177" s="47"/>
      <c r="Z177" s="47"/>
      <c r="AA177" s="47"/>
      <c r="AB177" s="47"/>
      <c r="AC177" s="47"/>
      <c r="AD177" s="47"/>
      <c r="AE177" s="47"/>
      <c r="AF177" s="47"/>
      <c r="AG177" s="47"/>
      <c r="AH177" s="47"/>
      <c r="AI177" s="46"/>
      <c r="AJ177" s="46"/>
      <c r="AK177" s="46"/>
      <c r="AL177" s="7"/>
      <c r="AM177" s="49" t="str">
        <f aca="false">IF(OR(C177="",G177=""),"",IFERROR(DATEDIF(C177,G177,"m"),""))</f>
        <v/>
      </c>
      <c r="AN177" s="49" t="str">
        <f aca="false">IF(OR(Q177="",AM177=""),"",60+2*Q177-AM177)</f>
        <v/>
      </c>
      <c r="AO177" s="49" t="str">
        <f aca="false">IF(OR(G177="",AJ177=""),"",AJ177-G177)</f>
        <v/>
      </c>
      <c r="AP177" s="50" t="str">
        <f aca="false">IF(AND(A177="",B177=""),"",IF(J177="","Status needed",IF(OR(J177="Applied",J177="Visit booked",J177="Withdrawn"),"OK",IF(G177="","Date assessed needed",IF(C177="","Date of birth needed",IF(COUNTA(L177,M177,P177,U177,V177,X177,AB177)&lt;7,"Band missing",IF(AND(OR(J177="Decision confirmed",J177="Family told",J177="Enrolled"),AG177=""),"Recommendation needed",IF(AND(OR(J177="Family told",J177="Enrolled"),AJ177=""),"Date family told needed","OK"))))))))</f>
        <v/>
      </c>
    </row>
    <row r="178" customFormat="false" ht="15" hidden="false" customHeight="false" outlineLevel="0" collapsed="false">
      <c r="A178" s="7"/>
      <c r="B178" s="7"/>
      <c r="C178" s="46"/>
      <c r="D178" s="7"/>
      <c r="E178" s="47"/>
      <c r="F178" s="46"/>
      <c r="G178" s="46"/>
      <c r="H178" s="7"/>
      <c r="I178" s="7"/>
      <c r="J178" s="47"/>
      <c r="K178" s="47"/>
      <c r="L178" s="47"/>
      <c r="M178" s="47"/>
      <c r="N178" s="10"/>
      <c r="O178" s="47"/>
      <c r="P178" s="47"/>
      <c r="Q178" s="47"/>
      <c r="R178" s="48" t="str">
        <f aca="false">IF(Q178="","",IF(Q178=0,"below 5:00",IF(Q178&gt;=66,"16:00 or above",INT((60+2*Q178)/12)&amp;":"&amp;TEXT(MOD(60+2*Q178,12),"00"))))</f>
        <v/>
      </c>
      <c r="S178" s="47"/>
      <c r="T178" s="47"/>
      <c r="U178" s="47"/>
      <c r="V178" s="47"/>
      <c r="W178" s="47"/>
      <c r="X178" s="47"/>
      <c r="Y178" s="47"/>
      <c r="Z178" s="47"/>
      <c r="AA178" s="47"/>
      <c r="AB178" s="47"/>
      <c r="AC178" s="47"/>
      <c r="AD178" s="47"/>
      <c r="AE178" s="47"/>
      <c r="AF178" s="47"/>
      <c r="AG178" s="47"/>
      <c r="AH178" s="47"/>
      <c r="AI178" s="46"/>
      <c r="AJ178" s="46"/>
      <c r="AK178" s="46"/>
      <c r="AL178" s="7"/>
      <c r="AM178" s="49" t="str">
        <f aca="false">IF(OR(C178="",G178=""),"",IFERROR(DATEDIF(C178,G178,"m"),""))</f>
        <v/>
      </c>
      <c r="AN178" s="49" t="str">
        <f aca="false">IF(OR(Q178="",AM178=""),"",60+2*Q178-AM178)</f>
        <v/>
      </c>
      <c r="AO178" s="49" t="str">
        <f aca="false">IF(OR(G178="",AJ178=""),"",AJ178-G178)</f>
        <v/>
      </c>
      <c r="AP178" s="50" t="str">
        <f aca="false">IF(AND(A178="",B178=""),"",IF(J178="","Status needed",IF(OR(J178="Applied",J178="Visit booked",J178="Withdrawn"),"OK",IF(G178="","Date assessed needed",IF(C178="","Date of birth needed",IF(COUNTA(L178,M178,P178,U178,V178,X178,AB178)&lt;7,"Band missing",IF(AND(OR(J178="Decision confirmed",J178="Family told",J178="Enrolled"),AG178=""),"Recommendation needed",IF(AND(OR(J178="Family told",J178="Enrolled"),AJ178=""),"Date family told needed","OK"))))))))</f>
        <v/>
      </c>
    </row>
    <row r="179" customFormat="false" ht="15" hidden="false" customHeight="false" outlineLevel="0" collapsed="false">
      <c r="A179" s="7"/>
      <c r="B179" s="7"/>
      <c r="C179" s="46"/>
      <c r="D179" s="7"/>
      <c r="E179" s="47"/>
      <c r="F179" s="46"/>
      <c r="G179" s="46"/>
      <c r="H179" s="7"/>
      <c r="I179" s="7"/>
      <c r="J179" s="47"/>
      <c r="K179" s="47"/>
      <c r="L179" s="47"/>
      <c r="M179" s="47"/>
      <c r="N179" s="10"/>
      <c r="O179" s="47"/>
      <c r="P179" s="47"/>
      <c r="Q179" s="47"/>
      <c r="R179" s="48" t="str">
        <f aca="false">IF(Q179="","",IF(Q179=0,"below 5:00",IF(Q179&gt;=66,"16:00 or above",INT((60+2*Q179)/12)&amp;":"&amp;TEXT(MOD(60+2*Q179,12),"00"))))</f>
        <v/>
      </c>
      <c r="S179" s="47"/>
      <c r="T179" s="47"/>
      <c r="U179" s="47"/>
      <c r="V179" s="47"/>
      <c r="W179" s="47"/>
      <c r="X179" s="47"/>
      <c r="Y179" s="47"/>
      <c r="Z179" s="47"/>
      <c r="AA179" s="47"/>
      <c r="AB179" s="47"/>
      <c r="AC179" s="47"/>
      <c r="AD179" s="47"/>
      <c r="AE179" s="47"/>
      <c r="AF179" s="47"/>
      <c r="AG179" s="47"/>
      <c r="AH179" s="47"/>
      <c r="AI179" s="46"/>
      <c r="AJ179" s="46"/>
      <c r="AK179" s="46"/>
      <c r="AL179" s="7"/>
      <c r="AM179" s="49" t="str">
        <f aca="false">IF(OR(C179="",G179=""),"",IFERROR(DATEDIF(C179,G179,"m"),""))</f>
        <v/>
      </c>
      <c r="AN179" s="49" t="str">
        <f aca="false">IF(OR(Q179="",AM179=""),"",60+2*Q179-AM179)</f>
        <v/>
      </c>
      <c r="AO179" s="49" t="str">
        <f aca="false">IF(OR(G179="",AJ179=""),"",AJ179-G179)</f>
        <v/>
      </c>
      <c r="AP179" s="50" t="str">
        <f aca="false">IF(AND(A179="",B179=""),"",IF(J179="","Status needed",IF(OR(J179="Applied",J179="Visit booked",J179="Withdrawn"),"OK",IF(G179="","Date assessed needed",IF(C179="","Date of birth needed",IF(COUNTA(L179,M179,P179,U179,V179,X179,AB179)&lt;7,"Band missing",IF(AND(OR(J179="Decision confirmed",J179="Family told",J179="Enrolled"),AG179=""),"Recommendation needed",IF(AND(OR(J179="Family told",J179="Enrolled"),AJ179=""),"Date family told needed","OK"))))))))</f>
        <v/>
      </c>
    </row>
    <row r="180" customFormat="false" ht="15" hidden="false" customHeight="false" outlineLevel="0" collapsed="false">
      <c r="A180" s="7"/>
      <c r="B180" s="7"/>
      <c r="C180" s="46"/>
      <c r="D180" s="7"/>
      <c r="E180" s="47"/>
      <c r="F180" s="46"/>
      <c r="G180" s="46"/>
      <c r="H180" s="7"/>
      <c r="I180" s="7"/>
      <c r="J180" s="47"/>
      <c r="K180" s="47"/>
      <c r="L180" s="47"/>
      <c r="M180" s="47"/>
      <c r="N180" s="10"/>
      <c r="O180" s="47"/>
      <c r="P180" s="47"/>
      <c r="Q180" s="47"/>
      <c r="R180" s="48" t="str">
        <f aca="false">IF(Q180="","",IF(Q180=0,"below 5:00",IF(Q180&gt;=66,"16:00 or above",INT((60+2*Q180)/12)&amp;":"&amp;TEXT(MOD(60+2*Q180,12),"00"))))</f>
        <v/>
      </c>
      <c r="S180" s="47"/>
      <c r="T180" s="47"/>
      <c r="U180" s="47"/>
      <c r="V180" s="47"/>
      <c r="W180" s="47"/>
      <c r="X180" s="47"/>
      <c r="Y180" s="47"/>
      <c r="Z180" s="47"/>
      <c r="AA180" s="47"/>
      <c r="AB180" s="47"/>
      <c r="AC180" s="47"/>
      <c r="AD180" s="47"/>
      <c r="AE180" s="47"/>
      <c r="AF180" s="47"/>
      <c r="AG180" s="47"/>
      <c r="AH180" s="47"/>
      <c r="AI180" s="46"/>
      <c r="AJ180" s="46"/>
      <c r="AK180" s="46"/>
      <c r="AL180" s="7"/>
      <c r="AM180" s="49" t="str">
        <f aca="false">IF(OR(C180="",G180=""),"",IFERROR(DATEDIF(C180,G180,"m"),""))</f>
        <v/>
      </c>
      <c r="AN180" s="49" t="str">
        <f aca="false">IF(OR(Q180="",AM180=""),"",60+2*Q180-AM180)</f>
        <v/>
      </c>
      <c r="AO180" s="49" t="str">
        <f aca="false">IF(OR(G180="",AJ180=""),"",AJ180-G180)</f>
        <v/>
      </c>
      <c r="AP180" s="50" t="str">
        <f aca="false">IF(AND(A180="",B180=""),"",IF(J180="","Status needed",IF(OR(J180="Applied",J180="Visit booked",J180="Withdrawn"),"OK",IF(G180="","Date assessed needed",IF(C180="","Date of birth needed",IF(COUNTA(L180,M180,P180,U180,V180,X180,AB180)&lt;7,"Band missing",IF(AND(OR(J180="Decision confirmed",J180="Family told",J180="Enrolled"),AG180=""),"Recommendation needed",IF(AND(OR(J180="Family told",J180="Enrolled"),AJ180=""),"Date family told needed","OK"))))))))</f>
        <v/>
      </c>
    </row>
    <row r="181" customFormat="false" ht="15" hidden="false" customHeight="false" outlineLevel="0" collapsed="false">
      <c r="A181" s="7"/>
      <c r="B181" s="7"/>
      <c r="C181" s="46"/>
      <c r="D181" s="7"/>
      <c r="E181" s="47"/>
      <c r="F181" s="46"/>
      <c r="G181" s="46"/>
      <c r="H181" s="7"/>
      <c r="I181" s="7"/>
      <c r="J181" s="47"/>
      <c r="K181" s="47"/>
      <c r="L181" s="47"/>
      <c r="M181" s="47"/>
      <c r="N181" s="10"/>
      <c r="O181" s="47"/>
      <c r="P181" s="47"/>
      <c r="Q181" s="47"/>
      <c r="R181" s="48" t="str">
        <f aca="false">IF(Q181="","",IF(Q181=0,"below 5:00",IF(Q181&gt;=66,"16:00 or above",INT((60+2*Q181)/12)&amp;":"&amp;TEXT(MOD(60+2*Q181,12),"00"))))</f>
        <v/>
      </c>
      <c r="S181" s="47"/>
      <c r="T181" s="47"/>
      <c r="U181" s="47"/>
      <c r="V181" s="47"/>
      <c r="W181" s="47"/>
      <c r="X181" s="47"/>
      <c r="Y181" s="47"/>
      <c r="Z181" s="47"/>
      <c r="AA181" s="47"/>
      <c r="AB181" s="47"/>
      <c r="AC181" s="47"/>
      <c r="AD181" s="47"/>
      <c r="AE181" s="47"/>
      <c r="AF181" s="47"/>
      <c r="AG181" s="47"/>
      <c r="AH181" s="47"/>
      <c r="AI181" s="46"/>
      <c r="AJ181" s="46"/>
      <c r="AK181" s="46"/>
      <c r="AL181" s="7"/>
      <c r="AM181" s="49" t="str">
        <f aca="false">IF(OR(C181="",G181=""),"",IFERROR(DATEDIF(C181,G181,"m"),""))</f>
        <v/>
      </c>
      <c r="AN181" s="49" t="str">
        <f aca="false">IF(OR(Q181="",AM181=""),"",60+2*Q181-AM181)</f>
        <v/>
      </c>
      <c r="AO181" s="49" t="str">
        <f aca="false">IF(OR(G181="",AJ181=""),"",AJ181-G181)</f>
        <v/>
      </c>
      <c r="AP181" s="50" t="str">
        <f aca="false">IF(AND(A181="",B181=""),"",IF(J181="","Status needed",IF(OR(J181="Applied",J181="Visit booked",J181="Withdrawn"),"OK",IF(G181="","Date assessed needed",IF(C181="","Date of birth needed",IF(COUNTA(L181,M181,P181,U181,V181,X181,AB181)&lt;7,"Band missing",IF(AND(OR(J181="Decision confirmed",J181="Family told",J181="Enrolled"),AG181=""),"Recommendation needed",IF(AND(OR(J181="Family told",J181="Enrolled"),AJ181=""),"Date family told needed","OK"))))))))</f>
        <v/>
      </c>
    </row>
    <row r="182" customFormat="false" ht="15" hidden="false" customHeight="false" outlineLevel="0" collapsed="false">
      <c r="A182" s="7"/>
      <c r="B182" s="7"/>
      <c r="C182" s="46"/>
      <c r="D182" s="7"/>
      <c r="E182" s="47"/>
      <c r="F182" s="46"/>
      <c r="G182" s="46"/>
      <c r="H182" s="7"/>
      <c r="I182" s="7"/>
      <c r="J182" s="47"/>
      <c r="K182" s="47"/>
      <c r="L182" s="47"/>
      <c r="M182" s="47"/>
      <c r="N182" s="10"/>
      <c r="O182" s="47"/>
      <c r="P182" s="47"/>
      <c r="Q182" s="47"/>
      <c r="R182" s="48" t="str">
        <f aca="false">IF(Q182="","",IF(Q182=0,"below 5:00",IF(Q182&gt;=66,"16:00 or above",INT((60+2*Q182)/12)&amp;":"&amp;TEXT(MOD(60+2*Q182,12),"00"))))</f>
        <v/>
      </c>
      <c r="S182" s="47"/>
      <c r="T182" s="47"/>
      <c r="U182" s="47"/>
      <c r="V182" s="47"/>
      <c r="W182" s="47"/>
      <c r="X182" s="47"/>
      <c r="Y182" s="47"/>
      <c r="Z182" s="47"/>
      <c r="AA182" s="47"/>
      <c r="AB182" s="47"/>
      <c r="AC182" s="47"/>
      <c r="AD182" s="47"/>
      <c r="AE182" s="47"/>
      <c r="AF182" s="47"/>
      <c r="AG182" s="47"/>
      <c r="AH182" s="47"/>
      <c r="AI182" s="46"/>
      <c r="AJ182" s="46"/>
      <c r="AK182" s="46"/>
      <c r="AL182" s="7"/>
      <c r="AM182" s="49" t="str">
        <f aca="false">IF(OR(C182="",G182=""),"",IFERROR(DATEDIF(C182,G182,"m"),""))</f>
        <v/>
      </c>
      <c r="AN182" s="49" t="str">
        <f aca="false">IF(OR(Q182="",AM182=""),"",60+2*Q182-AM182)</f>
        <v/>
      </c>
      <c r="AO182" s="49" t="str">
        <f aca="false">IF(OR(G182="",AJ182=""),"",AJ182-G182)</f>
        <v/>
      </c>
      <c r="AP182" s="50" t="str">
        <f aca="false">IF(AND(A182="",B182=""),"",IF(J182="","Status needed",IF(OR(J182="Applied",J182="Visit booked",J182="Withdrawn"),"OK",IF(G182="","Date assessed needed",IF(C182="","Date of birth needed",IF(COUNTA(L182,M182,P182,U182,V182,X182,AB182)&lt;7,"Band missing",IF(AND(OR(J182="Decision confirmed",J182="Family told",J182="Enrolled"),AG182=""),"Recommendation needed",IF(AND(OR(J182="Family told",J182="Enrolled"),AJ182=""),"Date family told needed","OK"))))))))</f>
        <v/>
      </c>
    </row>
    <row r="183" customFormat="false" ht="15" hidden="false" customHeight="false" outlineLevel="0" collapsed="false">
      <c r="A183" s="7"/>
      <c r="B183" s="7"/>
      <c r="C183" s="46"/>
      <c r="D183" s="7"/>
      <c r="E183" s="47"/>
      <c r="F183" s="46"/>
      <c r="G183" s="46"/>
      <c r="H183" s="7"/>
      <c r="I183" s="7"/>
      <c r="J183" s="47"/>
      <c r="K183" s="47"/>
      <c r="L183" s="47"/>
      <c r="M183" s="47"/>
      <c r="N183" s="10"/>
      <c r="O183" s="47"/>
      <c r="P183" s="47"/>
      <c r="Q183" s="47"/>
      <c r="R183" s="48" t="str">
        <f aca="false">IF(Q183="","",IF(Q183=0,"below 5:00",IF(Q183&gt;=66,"16:00 or above",INT((60+2*Q183)/12)&amp;":"&amp;TEXT(MOD(60+2*Q183,12),"00"))))</f>
        <v/>
      </c>
      <c r="S183" s="47"/>
      <c r="T183" s="47"/>
      <c r="U183" s="47"/>
      <c r="V183" s="47"/>
      <c r="W183" s="47"/>
      <c r="X183" s="47"/>
      <c r="Y183" s="47"/>
      <c r="Z183" s="47"/>
      <c r="AA183" s="47"/>
      <c r="AB183" s="47"/>
      <c r="AC183" s="47"/>
      <c r="AD183" s="47"/>
      <c r="AE183" s="47"/>
      <c r="AF183" s="47"/>
      <c r="AG183" s="47"/>
      <c r="AH183" s="47"/>
      <c r="AI183" s="46"/>
      <c r="AJ183" s="46"/>
      <c r="AK183" s="46"/>
      <c r="AL183" s="7"/>
      <c r="AM183" s="49" t="str">
        <f aca="false">IF(OR(C183="",G183=""),"",IFERROR(DATEDIF(C183,G183,"m"),""))</f>
        <v/>
      </c>
      <c r="AN183" s="49" t="str">
        <f aca="false">IF(OR(Q183="",AM183=""),"",60+2*Q183-AM183)</f>
        <v/>
      </c>
      <c r="AO183" s="49" t="str">
        <f aca="false">IF(OR(G183="",AJ183=""),"",AJ183-G183)</f>
        <v/>
      </c>
      <c r="AP183" s="50" t="str">
        <f aca="false">IF(AND(A183="",B183=""),"",IF(J183="","Status needed",IF(OR(J183="Applied",J183="Visit booked",J183="Withdrawn"),"OK",IF(G183="","Date assessed needed",IF(C183="","Date of birth needed",IF(COUNTA(L183,M183,P183,U183,V183,X183,AB183)&lt;7,"Band missing",IF(AND(OR(J183="Decision confirmed",J183="Family told",J183="Enrolled"),AG183=""),"Recommendation needed",IF(AND(OR(J183="Family told",J183="Enrolled"),AJ183=""),"Date family told needed","OK"))))))))</f>
        <v/>
      </c>
    </row>
    <row r="184" customFormat="false" ht="15" hidden="false" customHeight="false" outlineLevel="0" collapsed="false">
      <c r="A184" s="7"/>
      <c r="B184" s="7"/>
      <c r="C184" s="46"/>
      <c r="D184" s="7"/>
      <c r="E184" s="47"/>
      <c r="F184" s="46"/>
      <c r="G184" s="46"/>
      <c r="H184" s="7"/>
      <c r="I184" s="7"/>
      <c r="J184" s="47"/>
      <c r="K184" s="47"/>
      <c r="L184" s="47"/>
      <c r="M184" s="47"/>
      <c r="N184" s="10"/>
      <c r="O184" s="47"/>
      <c r="P184" s="47"/>
      <c r="Q184" s="47"/>
      <c r="R184" s="48" t="str">
        <f aca="false">IF(Q184="","",IF(Q184=0,"below 5:00",IF(Q184&gt;=66,"16:00 or above",INT((60+2*Q184)/12)&amp;":"&amp;TEXT(MOD(60+2*Q184,12),"00"))))</f>
        <v/>
      </c>
      <c r="S184" s="47"/>
      <c r="T184" s="47"/>
      <c r="U184" s="47"/>
      <c r="V184" s="47"/>
      <c r="W184" s="47"/>
      <c r="X184" s="47"/>
      <c r="Y184" s="47"/>
      <c r="Z184" s="47"/>
      <c r="AA184" s="47"/>
      <c r="AB184" s="47"/>
      <c r="AC184" s="47"/>
      <c r="AD184" s="47"/>
      <c r="AE184" s="47"/>
      <c r="AF184" s="47"/>
      <c r="AG184" s="47"/>
      <c r="AH184" s="47"/>
      <c r="AI184" s="46"/>
      <c r="AJ184" s="46"/>
      <c r="AK184" s="46"/>
      <c r="AL184" s="7"/>
      <c r="AM184" s="49" t="str">
        <f aca="false">IF(OR(C184="",G184=""),"",IFERROR(DATEDIF(C184,G184,"m"),""))</f>
        <v/>
      </c>
      <c r="AN184" s="49" t="str">
        <f aca="false">IF(OR(Q184="",AM184=""),"",60+2*Q184-AM184)</f>
        <v/>
      </c>
      <c r="AO184" s="49" t="str">
        <f aca="false">IF(OR(G184="",AJ184=""),"",AJ184-G184)</f>
        <v/>
      </c>
      <c r="AP184" s="50" t="str">
        <f aca="false">IF(AND(A184="",B184=""),"",IF(J184="","Status needed",IF(OR(J184="Applied",J184="Visit booked",J184="Withdrawn"),"OK",IF(G184="","Date assessed needed",IF(C184="","Date of birth needed",IF(COUNTA(L184,M184,P184,U184,V184,X184,AB184)&lt;7,"Band missing",IF(AND(OR(J184="Decision confirmed",J184="Family told",J184="Enrolled"),AG184=""),"Recommendation needed",IF(AND(OR(J184="Family told",J184="Enrolled"),AJ184=""),"Date family told needed","OK"))))))))</f>
        <v/>
      </c>
    </row>
    <row r="185" customFormat="false" ht="15" hidden="false" customHeight="false" outlineLevel="0" collapsed="false">
      <c r="A185" s="7"/>
      <c r="B185" s="7"/>
      <c r="C185" s="46"/>
      <c r="D185" s="7"/>
      <c r="E185" s="47"/>
      <c r="F185" s="46"/>
      <c r="G185" s="46"/>
      <c r="H185" s="7"/>
      <c r="I185" s="7"/>
      <c r="J185" s="47"/>
      <c r="K185" s="47"/>
      <c r="L185" s="47"/>
      <c r="M185" s="47"/>
      <c r="N185" s="10"/>
      <c r="O185" s="47"/>
      <c r="P185" s="47"/>
      <c r="Q185" s="47"/>
      <c r="R185" s="48" t="str">
        <f aca="false">IF(Q185="","",IF(Q185=0,"below 5:00",IF(Q185&gt;=66,"16:00 or above",INT((60+2*Q185)/12)&amp;":"&amp;TEXT(MOD(60+2*Q185,12),"00"))))</f>
        <v/>
      </c>
      <c r="S185" s="47"/>
      <c r="T185" s="47"/>
      <c r="U185" s="47"/>
      <c r="V185" s="47"/>
      <c r="W185" s="47"/>
      <c r="X185" s="47"/>
      <c r="Y185" s="47"/>
      <c r="Z185" s="47"/>
      <c r="AA185" s="47"/>
      <c r="AB185" s="47"/>
      <c r="AC185" s="47"/>
      <c r="AD185" s="47"/>
      <c r="AE185" s="47"/>
      <c r="AF185" s="47"/>
      <c r="AG185" s="47"/>
      <c r="AH185" s="47"/>
      <c r="AI185" s="46"/>
      <c r="AJ185" s="46"/>
      <c r="AK185" s="46"/>
      <c r="AL185" s="7"/>
      <c r="AM185" s="49" t="str">
        <f aca="false">IF(OR(C185="",G185=""),"",IFERROR(DATEDIF(C185,G185,"m"),""))</f>
        <v/>
      </c>
      <c r="AN185" s="49" t="str">
        <f aca="false">IF(OR(Q185="",AM185=""),"",60+2*Q185-AM185)</f>
        <v/>
      </c>
      <c r="AO185" s="49" t="str">
        <f aca="false">IF(OR(G185="",AJ185=""),"",AJ185-G185)</f>
        <v/>
      </c>
      <c r="AP185" s="50" t="str">
        <f aca="false">IF(AND(A185="",B185=""),"",IF(J185="","Status needed",IF(OR(J185="Applied",J185="Visit booked",J185="Withdrawn"),"OK",IF(G185="","Date assessed needed",IF(C185="","Date of birth needed",IF(COUNTA(L185,M185,P185,U185,V185,X185,AB185)&lt;7,"Band missing",IF(AND(OR(J185="Decision confirmed",J185="Family told",J185="Enrolled"),AG185=""),"Recommendation needed",IF(AND(OR(J185="Family told",J185="Enrolled"),AJ185=""),"Date family told needed","OK"))))))))</f>
        <v/>
      </c>
    </row>
    <row r="186" customFormat="false" ht="15" hidden="false" customHeight="false" outlineLevel="0" collapsed="false">
      <c r="A186" s="7"/>
      <c r="B186" s="7"/>
      <c r="C186" s="46"/>
      <c r="D186" s="7"/>
      <c r="E186" s="47"/>
      <c r="F186" s="46"/>
      <c r="G186" s="46"/>
      <c r="H186" s="7"/>
      <c r="I186" s="7"/>
      <c r="J186" s="47"/>
      <c r="K186" s="47"/>
      <c r="L186" s="47"/>
      <c r="M186" s="47"/>
      <c r="N186" s="10"/>
      <c r="O186" s="47"/>
      <c r="P186" s="47"/>
      <c r="Q186" s="47"/>
      <c r="R186" s="48" t="str">
        <f aca="false">IF(Q186="","",IF(Q186=0,"below 5:00",IF(Q186&gt;=66,"16:00 or above",INT((60+2*Q186)/12)&amp;":"&amp;TEXT(MOD(60+2*Q186,12),"00"))))</f>
        <v/>
      </c>
      <c r="S186" s="47"/>
      <c r="T186" s="47"/>
      <c r="U186" s="47"/>
      <c r="V186" s="47"/>
      <c r="W186" s="47"/>
      <c r="X186" s="47"/>
      <c r="Y186" s="47"/>
      <c r="Z186" s="47"/>
      <c r="AA186" s="47"/>
      <c r="AB186" s="47"/>
      <c r="AC186" s="47"/>
      <c r="AD186" s="47"/>
      <c r="AE186" s="47"/>
      <c r="AF186" s="47"/>
      <c r="AG186" s="47"/>
      <c r="AH186" s="47"/>
      <c r="AI186" s="46"/>
      <c r="AJ186" s="46"/>
      <c r="AK186" s="46"/>
      <c r="AL186" s="7"/>
      <c r="AM186" s="49" t="str">
        <f aca="false">IF(OR(C186="",G186=""),"",IFERROR(DATEDIF(C186,G186,"m"),""))</f>
        <v/>
      </c>
      <c r="AN186" s="49" t="str">
        <f aca="false">IF(OR(Q186="",AM186=""),"",60+2*Q186-AM186)</f>
        <v/>
      </c>
      <c r="AO186" s="49" t="str">
        <f aca="false">IF(OR(G186="",AJ186=""),"",AJ186-G186)</f>
        <v/>
      </c>
      <c r="AP186" s="50" t="str">
        <f aca="false">IF(AND(A186="",B186=""),"",IF(J186="","Status needed",IF(OR(J186="Applied",J186="Visit booked",J186="Withdrawn"),"OK",IF(G186="","Date assessed needed",IF(C186="","Date of birth needed",IF(COUNTA(L186,M186,P186,U186,V186,X186,AB186)&lt;7,"Band missing",IF(AND(OR(J186="Decision confirmed",J186="Family told",J186="Enrolled"),AG186=""),"Recommendation needed",IF(AND(OR(J186="Family told",J186="Enrolled"),AJ186=""),"Date family told needed","OK"))))))))</f>
        <v/>
      </c>
    </row>
    <row r="187" customFormat="false" ht="15" hidden="false" customHeight="false" outlineLevel="0" collapsed="false">
      <c r="A187" s="7"/>
      <c r="B187" s="7"/>
      <c r="C187" s="46"/>
      <c r="D187" s="7"/>
      <c r="E187" s="47"/>
      <c r="F187" s="46"/>
      <c r="G187" s="46"/>
      <c r="H187" s="7"/>
      <c r="I187" s="7"/>
      <c r="J187" s="47"/>
      <c r="K187" s="47"/>
      <c r="L187" s="47"/>
      <c r="M187" s="47"/>
      <c r="N187" s="10"/>
      <c r="O187" s="47"/>
      <c r="P187" s="47"/>
      <c r="Q187" s="47"/>
      <c r="R187" s="48" t="str">
        <f aca="false">IF(Q187="","",IF(Q187=0,"below 5:00",IF(Q187&gt;=66,"16:00 or above",INT((60+2*Q187)/12)&amp;":"&amp;TEXT(MOD(60+2*Q187,12),"00"))))</f>
        <v/>
      </c>
      <c r="S187" s="47"/>
      <c r="T187" s="47"/>
      <c r="U187" s="47"/>
      <c r="V187" s="47"/>
      <c r="W187" s="47"/>
      <c r="X187" s="47"/>
      <c r="Y187" s="47"/>
      <c r="Z187" s="47"/>
      <c r="AA187" s="47"/>
      <c r="AB187" s="47"/>
      <c r="AC187" s="47"/>
      <c r="AD187" s="47"/>
      <c r="AE187" s="47"/>
      <c r="AF187" s="47"/>
      <c r="AG187" s="47"/>
      <c r="AH187" s="47"/>
      <c r="AI187" s="46"/>
      <c r="AJ187" s="46"/>
      <c r="AK187" s="46"/>
      <c r="AL187" s="7"/>
      <c r="AM187" s="49" t="str">
        <f aca="false">IF(OR(C187="",G187=""),"",IFERROR(DATEDIF(C187,G187,"m"),""))</f>
        <v/>
      </c>
      <c r="AN187" s="49" t="str">
        <f aca="false">IF(OR(Q187="",AM187=""),"",60+2*Q187-AM187)</f>
        <v/>
      </c>
      <c r="AO187" s="49" t="str">
        <f aca="false">IF(OR(G187="",AJ187=""),"",AJ187-G187)</f>
        <v/>
      </c>
      <c r="AP187" s="50" t="str">
        <f aca="false">IF(AND(A187="",B187=""),"",IF(J187="","Status needed",IF(OR(J187="Applied",J187="Visit booked",J187="Withdrawn"),"OK",IF(G187="","Date assessed needed",IF(C187="","Date of birth needed",IF(COUNTA(L187,M187,P187,U187,V187,X187,AB187)&lt;7,"Band missing",IF(AND(OR(J187="Decision confirmed",J187="Family told",J187="Enrolled"),AG187=""),"Recommendation needed",IF(AND(OR(J187="Family told",J187="Enrolled"),AJ187=""),"Date family told needed","OK"))))))))</f>
        <v/>
      </c>
    </row>
    <row r="188" customFormat="false" ht="15" hidden="false" customHeight="false" outlineLevel="0" collapsed="false">
      <c r="A188" s="7"/>
      <c r="B188" s="7"/>
      <c r="C188" s="46"/>
      <c r="D188" s="7"/>
      <c r="E188" s="47"/>
      <c r="F188" s="46"/>
      <c r="G188" s="46"/>
      <c r="H188" s="7"/>
      <c r="I188" s="7"/>
      <c r="J188" s="47"/>
      <c r="K188" s="47"/>
      <c r="L188" s="47"/>
      <c r="M188" s="47"/>
      <c r="N188" s="10"/>
      <c r="O188" s="47"/>
      <c r="P188" s="47"/>
      <c r="Q188" s="47"/>
      <c r="R188" s="48" t="str">
        <f aca="false">IF(Q188="","",IF(Q188=0,"below 5:00",IF(Q188&gt;=66,"16:00 or above",INT((60+2*Q188)/12)&amp;":"&amp;TEXT(MOD(60+2*Q188,12),"00"))))</f>
        <v/>
      </c>
      <c r="S188" s="47"/>
      <c r="T188" s="47"/>
      <c r="U188" s="47"/>
      <c r="V188" s="47"/>
      <c r="W188" s="47"/>
      <c r="X188" s="47"/>
      <c r="Y188" s="47"/>
      <c r="Z188" s="47"/>
      <c r="AA188" s="47"/>
      <c r="AB188" s="47"/>
      <c r="AC188" s="47"/>
      <c r="AD188" s="47"/>
      <c r="AE188" s="47"/>
      <c r="AF188" s="47"/>
      <c r="AG188" s="47"/>
      <c r="AH188" s="47"/>
      <c r="AI188" s="46"/>
      <c r="AJ188" s="46"/>
      <c r="AK188" s="46"/>
      <c r="AL188" s="7"/>
      <c r="AM188" s="49" t="str">
        <f aca="false">IF(OR(C188="",G188=""),"",IFERROR(DATEDIF(C188,G188,"m"),""))</f>
        <v/>
      </c>
      <c r="AN188" s="49" t="str">
        <f aca="false">IF(OR(Q188="",AM188=""),"",60+2*Q188-AM188)</f>
        <v/>
      </c>
      <c r="AO188" s="49" t="str">
        <f aca="false">IF(OR(G188="",AJ188=""),"",AJ188-G188)</f>
        <v/>
      </c>
      <c r="AP188" s="50" t="str">
        <f aca="false">IF(AND(A188="",B188=""),"",IF(J188="","Status needed",IF(OR(J188="Applied",J188="Visit booked",J188="Withdrawn"),"OK",IF(G188="","Date assessed needed",IF(C188="","Date of birth needed",IF(COUNTA(L188,M188,P188,U188,V188,X188,AB188)&lt;7,"Band missing",IF(AND(OR(J188="Decision confirmed",J188="Family told",J188="Enrolled"),AG188=""),"Recommendation needed",IF(AND(OR(J188="Family told",J188="Enrolled"),AJ188=""),"Date family told needed","OK"))))))))</f>
        <v/>
      </c>
    </row>
    <row r="189" customFormat="false" ht="15" hidden="false" customHeight="false" outlineLevel="0" collapsed="false">
      <c r="A189" s="7"/>
      <c r="B189" s="7"/>
      <c r="C189" s="46"/>
      <c r="D189" s="7"/>
      <c r="E189" s="47"/>
      <c r="F189" s="46"/>
      <c r="G189" s="46"/>
      <c r="H189" s="7"/>
      <c r="I189" s="7"/>
      <c r="J189" s="47"/>
      <c r="K189" s="47"/>
      <c r="L189" s="47"/>
      <c r="M189" s="47"/>
      <c r="N189" s="10"/>
      <c r="O189" s="47"/>
      <c r="P189" s="47"/>
      <c r="Q189" s="47"/>
      <c r="R189" s="48" t="str">
        <f aca="false">IF(Q189="","",IF(Q189=0,"below 5:00",IF(Q189&gt;=66,"16:00 or above",INT((60+2*Q189)/12)&amp;":"&amp;TEXT(MOD(60+2*Q189,12),"00"))))</f>
        <v/>
      </c>
      <c r="S189" s="47"/>
      <c r="T189" s="47"/>
      <c r="U189" s="47"/>
      <c r="V189" s="47"/>
      <c r="W189" s="47"/>
      <c r="X189" s="47"/>
      <c r="Y189" s="47"/>
      <c r="Z189" s="47"/>
      <c r="AA189" s="47"/>
      <c r="AB189" s="47"/>
      <c r="AC189" s="47"/>
      <c r="AD189" s="47"/>
      <c r="AE189" s="47"/>
      <c r="AF189" s="47"/>
      <c r="AG189" s="47"/>
      <c r="AH189" s="47"/>
      <c r="AI189" s="46"/>
      <c r="AJ189" s="46"/>
      <c r="AK189" s="46"/>
      <c r="AL189" s="7"/>
      <c r="AM189" s="49" t="str">
        <f aca="false">IF(OR(C189="",G189=""),"",IFERROR(DATEDIF(C189,G189,"m"),""))</f>
        <v/>
      </c>
      <c r="AN189" s="49" t="str">
        <f aca="false">IF(OR(Q189="",AM189=""),"",60+2*Q189-AM189)</f>
        <v/>
      </c>
      <c r="AO189" s="49" t="str">
        <f aca="false">IF(OR(G189="",AJ189=""),"",AJ189-G189)</f>
        <v/>
      </c>
      <c r="AP189" s="50" t="str">
        <f aca="false">IF(AND(A189="",B189=""),"",IF(J189="","Status needed",IF(OR(J189="Applied",J189="Visit booked",J189="Withdrawn"),"OK",IF(G189="","Date assessed needed",IF(C189="","Date of birth needed",IF(COUNTA(L189,M189,P189,U189,V189,X189,AB189)&lt;7,"Band missing",IF(AND(OR(J189="Decision confirmed",J189="Family told",J189="Enrolled"),AG189=""),"Recommendation needed",IF(AND(OR(J189="Family told",J189="Enrolled"),AJ189=""),"Date family told needed","OK"))))))))</f>
        <v/>
      </c>
    </row>
    <row r="190" customFormat="false" ht="15" hidden="false" customHeight="false" outlineLevel="0" collapsed="false">
      <c r="A190" s="7"/>
      <c r="B190" s="7"/>
      <c r="C190" s="46"/>
      <c r="D190" s="7"/>
      <c r="E190" s="47"/>
      <c r="F190" s="46"/>
      <c r="G190" s="46"/>
      <c r="H190" s="7"/>
      <c r="I190" s="7"/>
      <c r="J190" s="47"/>
      <c r="K190" s="47"/>
      <c r="L190" s="47"/>
      <c r="M190" s="47"/>
      <c r="N190" s="10"/>
      <c r="O190" s="47"/>
      <c r="P190" s="47"/>
      <c r="Q190" s="47"/>
      <c r="R190" s="48" t="str">
        <f aca="false">IF(Q190="","",IF(Q190=0,"below 5:00",IF(Q190&gt;=66,"16:00 or above",INT((60+2*Q190)/12)&amp;":"&amp;TEXT(MOD(60+2*Q190,12),"00"))))</f>
        <v/>
      </c>
      <c r="S190" s="47"/>
      <c r="T190" s="47"/>
      <c r="U190" s="47"/>
      <c r="V190" s="47"/>
      <c r="W190" s="47"/>
      <c r="X190" s="47"/>
      <c r="Y190" s="47"/>
      <c r="Z190" s="47"/>
      <c r="AA190" s="47"/>
      <c r="AB190" s="47"/>
      <c r="AC190" s="47"/>
      <c r="AD190" s="47"/>
      <c r="AE190" s="47"/>
      <c r="AF190" s="47"/>
      <c r="AG190" s="47"/>
      <c r="AH190" s="47"/>
      <c r="AI190" s="46"/>
      <c r="AJ190" s="46"/>
      <c r="AK190" s="46"/>
      <c r="AL190" s="7"/>
      <c r="AM190" s="49" t="str">
        <f aca="false">IF(OR(C190="",G190=""),"",IFERROR(DATEDIF(C190,G190,"m"),""))</f>
        <v/>
      </c>
      <c r="AN190" s="49" t="str">
        <f aca="false">IF(OR(Q190="",AM190=""),"",60+2*Q190-AM190)</f>
        <v/>
      </c>
      <c r="AO190" s="49" t="str">
        <f aca="false">IF(OR(G190="",AJ190=""),"",AJ190-G190)</f>
        <v/>
      </c>
      <c r="AP190" s="50" t="str">
        <f aca="false">IF(AND(A190="",B190=""),"",IF(J190="","Status needed",IF(OR(J190="Applied",J190="Visit booked",J190="Withdrawn"),"OK",IF(G190="","Date assessed needed",IF(C190="","Date of birth needed",IF(COUNTA(L190,M190,P190,U190,V190,X190,AB190)&lt;7,"Band missing",IF(AND(OR(J190="Decision confirmed",J190="Family told",J190="Enrolled"),AG190=""),"Recommendation needed",IF(AND(OR(J190="Family told",J190="Enrolled"),AJ190=""),"Date family told needed","OK"))))))))</f>
        <v/>
      </c>
    </row>
    <row r="191" customFormat="false" ht="15" hidden="false" customHeight="false" outlineLevel="0" collapsed="false">
      <c r="A191" s="7"/>
      <c r="B191" s="7"/>
      <c r="C191" s="46"/>
      <c r="D191" s="7"/>
      <c r="E191" s="47"/>
      <c r="F191" s="46"/>
      <c r="G191" s="46"/>
      <c r="H191" s="7"/>
      <c r="I191" s="7"/>
      <c r="J191" s="47"/>
      <c r="K191" s="47"/>
      <c r="L191" s="47"/>
      <c r="M191" s="47"/>
      <c r="N191" s="10"/>
      <c r="O191" s="47"/>
      <c r="P191" s="47"/>
      <c r="Q191" s="47"/>
      <c r="R191" s="48" t="str">
        <f aca="false">IF(Q191="","",IF(Q191=0,"below 5:00",IF(Q191&gt;=66,"16:00 or above",INT((60+2*Q191)/12)&amp;":"&amp;TEXT(MOD(60+2*Q191,12),"00"))))</f>
        <v/>
      </c>
      <c r="S191" s="47"/>
      <c r="T191" s="47"/>
      <c r="U191" s="47"/>
      <c r="V191" s="47"/>
      <c r="W191" s="47"/>
      <c r="X191" s="47"/>
      <c r="Y191" s="47"/>
      <c r="Z191" s="47"/>
      <c r="AA191" s="47"/>
      <c r="AB191" s="47"/>
      <c r="AC191" s="47"/>
      <c r="AD191" s="47"/>
      <c r="AE191" s="47"/>
      <c r="AF191" s="47"/>
      <c r="AG191" s="47"/>
      <c r="AH191" s="47"/>
      <c r="AI191" s="46"/>
      <c r="AJ191" s="46"/>
      <c r="AK191" s="46"/>
      <c r="AL191" s="7"/>
      <c r="AM191" s="49" t="str">
        <f aca="false">IF(OR(C191="",G191=""),"",IFERROR(DATEDIF(C191,G191,"m"),""))</f>
        <v/>
      </c>
      <c r="AN191" s="49" t="str">
        <f aca="false">IF(OR(Q191="",AM191=""),"",60+2*Q191-AM191)</f>
        <v/>
      </c>
      <c r="AO191" s="49" t="str">
        <f aca="false">IF(OR(G191="",AJ191=""),"",AJ191-G191)</f>
        <v/>
      </c>
      <c r="AP191" s="50" t="str">
        <f aca="false">IF(AND(A191="",B191=""),"",IF(J191="","Status needed",IF(OR(J191="Applied",J191="Visit booked",J191="Withdrawn"),"OK",IF(G191="","Date assessed needed",IF(C191="","Date of birth needed",IF(COUNTA(L191,M191,P191,U191,V191,X191,AB191)&lt;7,"Band missing",IF(AND(OR(J191="Decision confirmed",J191="Family told",J191="Enrolled"),AG191=""),"Recommendation needed",IF(AND(OR(J191="Family told",J191="Enrolled"),AJ191=""),"Date family told needed","OK"))))))))</f>
        <v/>
      </c>
    </row>
    <row r="192" customFormat="false" ht="15" hidden="false" customHeight="false" outlineLevel="0" collapsed="false">
      <c r="A192" s="7"/>
      <c r="B192" s="7"/>
      <c r="C192" s="46"/>
      <c r="D192" s="7"/>
      <c r="E192" s="47"/>
      <c r="F192" s="46"/>
      <c r="G192" s="46"/>
      <c r="H192" s="7"/>
      <c r="I192" s="7"/>
      <c r="J192" s="47"/>
      <c r="K192" s="47"/>
      <c r="L192" s="47"/>
      <c r="M192" s="47"/>
      <c r="N192" s="10"/>
      <c r="O192" s="47"/>
      <c r="P192" s="47"/>
      <c r="Q192" s="47"/>
      <c r="R192" s="48" t="str">
        <f aca="false">IF(Q192="","",IF(Q192=0,"below 5:00",IF(Q192&gt;=66,"16:00 or above",INT((60+2*Q192)/12)&amp;":"&amp;TEXT(MOD(60+2*Q192,12),"00"))))</f>
        <v/>
      </c>
      <c r="S192" s="47"/>
      <c r="T192" s="47"/>
      <c r="U192" s="47"/>
      <c r="V192" s="47"/>
      <c r="W192" s="47"/>
      <c r="X192" s="47"/>
      <c r="Y192" s="47"/>
      <c r="Z192" s="47"/>
      <c r="AA192" s="47"/>
      <c r="AB192" s="47"/>
      <c r="AC192" s="47"/>
      <c r="AD192" s="47"/>
      <c r="AE192" s="47"/>
      <c r="AF192" s="47"/>
      <c r="AG192" s="47"/>
      <c r="AH192" s="47"/>
      <c r="AI192" s="46"/>
      <c r="AJ192" s="46"/>
      <c r="AK192" s="46"/>
      <c r="AL192" s="7"/>
      <c r="AM192" s="49" t="str">
        <f aca="false">IF(OR(C192="",G192=""),"",IFERROR(DATEDIF(C192,G192,"m"),""))</f>
        <v/>
      </c>
      <c r="AN192" s="49" t="str">
        <f aca="false">IF(OR(Q192="",AM192=""),"",60+2*Q192-AM192)</f>
        <v/>
      </c>
      <c r="AO192" s="49" t="str">
        <f aca="false">IF(OR(G192="",AJ192=""),"",AJ192-G192)</f>
        <v/>
      </c>
      <c r="AP192" s="50" t="str">
        <f aca="false">IF(AND(A192="",B192=""),"",IF(J192="","Status needed",IF(OR(J192="Applied",J192="Visit booked",J192="Withdrawn"),"OK",IF(G192="","Date assessed needed",IF(C192="","Date of birth needed",IF(COUNTA(L192,M192,P192,U192,V192,X192,AB192)&lt;7,"Band missing",IF(AND(OR(J192="Decision confirmed",J192="Family told",J192="Enrolled"),AG192=""),"Recommendation needed",IF(AND(OR(J192="Family told",J192="Enrolled"),AJ192=""),"Date family told needed","OK"))))))))</f>
        <v/>
      </c>
    </row>
    <row r="193" customFormat="false" ht="15" hidden="false" customHeight="false" outlineLevel="0" collapsed="false">
      <c r="A193" s="7"/>
      <c r="B193" s="7"/>
      <c r="C193" s="46"/>
      <c r="D193" s="7"/>
      <c r="E193" s="47"/>
      <c r="F193" s="46"/>
      <c r="G193" s="46"/>
      <c r="H193" s="7"/>
      <c r="I193" s="7"/>
      <c r="J193" s="47"/>
      <c r="K193" s="47"/>
      <c r="L193" s="47"/>
      <c r="M193" s="47"/>
      <c r="N193" s="10"/>
      <c r="O193" s="47"/>
      <c r="P193" s="47"/>
      <c r="Q193" s="47"/>
      <c r="R193" s="48" t="str">
        <f aca="false">IF(Q193="","",IF(Q193=0,"below 5:00",IF(Q193&gt;=66,"16:00 or above",INT((60+2*Q193)/12)&amp;":"&amp;TEXT(MOD(60+2*Q193,12),"00"))))</f>
        <v/>
      </c>
      <c r="S193" s="47"/>
      <c r="T193" s="47"/>
      <c r="U193" s="47"/>
      <c r="V193" s="47"/>
      <c r="W193" s="47"/>
      <c r="X193" s="47"/>
      <c r="Y193" s="47"/>
      <c r="Z193" s="47"/>
      <c r="AA193" s="47"/>
      <c r="AB193" s="47"/>
      <c r="AC193" s="47"/>
      <c r="AD193" s="47"/>
      <c r="AE193" s="47"/>
      <c r="AF193" s="47"/>
      <c r="AG193" s="47"/>
      <c r="AH193" s="47"/>
      <c r="AI193" s="46"/>
      <c r="AJ193" s="46"/>
      <c r="AK193" s="46"/>
      <c r="AL193" s="7"/>
      <c r="AM193" s="49" t="str">
        <f aca="false">IF(OR(C193="",G193=""),"",IFERROR(DATEDIF(C193,G193,"m"),""))</f>
        <v/>
      </c>
      <c r="AN193" s="49" t="str">
        <f aca="false">IF(OR(Q193="",AM193=""),"",60+2*Q193-AM193)</f>
        <v/>
      </c>
      <c r="AO193" s="49" t="str">
        <f aca="false">IF(OR(G193="",AJ193=""),"",AJ193-G193)</f>
        <v/>
      </c>
      <c r="AP193" s="50" t="str">
        <f aca="false">IF(AND(A193="",B193=""),"",IF(J193="","Status needed",IF(OR(J193="Applied",J193="Visit booked",J193="Withdrawn"),"OK",IF(G193="","Date assessed needed",IF(C193="","Date of birth needed",IF(COUNTA(L193,M193,P193,U193,V193,X193,AB193)&lt;7,"Band missing",IF(AND(OR(J193="Decision confirmed",J193="Family told",J193="Enrolled"),AG193=""),"Recommendation needed",IF(AND(OR(J193="Family told",J193="Enrolled"),AJ193=""),"Date family told needed","OK"))))))))</f>
        <v/>
      </c>
    </row>
    <row r="194" customFormat="false" ht="15" hidden="false" customHeight="false" outlineLevel="0" collapsed="false">
      <c r="A194" s="7"/>
      <c r="B194" s="7"/>
      <c r="C194" s="46"/>
      <c r="D194" s="7"/>
      <c r="E194" s="47"/>
      <c r="F194" s="46"/>
      <c r="G194" s="46"/>
      <c r="H194" s="7"/>
      <c r="I194" s="7"/>
      <c r="J194" s="47"/>
      <c r="K194" s="47"/>
      <c r="L194" s="47"/>
      <c r="M194" s="47"/>
      <c r="N194" s="10"/>
      <c r="O194" s="47"/>
      <c r="P194" s="47"/>
      <c r="Q194" s="47"/>
      <c r="R194" s="48" t="str">
        <f aca="false">IF(Q194="","",IF(Q194=0,"below 5:00",IF(Q194&gt;=66,"16:00 or above",INT((60+2*Q194)/12)&amp;":"&amp;TEXT(MOD(60+2*Q194,12),"00"))))</f>
        <v/>
      </c>
      <c r="S194" s="47"/>
      <c r="T194" s="47"/>
      <c r="U194" s="47"/>
      <c r="V194" s="47"/>
      <c r="W194" s="47"/>
      <c r="X194" s="47"/>
      <c r="Y194" s="47"/>
      <c r="Z194" s="47"/>
      <c r="AA194" s="47"/>
      <c r="AB194" s="47"/>
      <c r="AC194" s="47"/>
      <c r="AD194" s="47"/>
      <c r="AE194" s="47"/>
      <c r="AF194" s="47"/>
      <c r="AG194" s="47"/>
      <c r="AH194" s="47"/>
      <c r="AI194" s="46"/>
      <c r="AJ194" s="46"/>
      <c r="AK194" s="46"/>
      <c r="AL194" s="7"/>
      <c r="AM194" s="49" t="str">
        <f aca="false">IF(OR(C194="",G194=""),"",IFERROR(DATEDIF(C194,G194,"m"),""))</f>
        <v/>
      </c>
      <c r="AN194" s="49" t="str">
        <f aca="false">IF(OR(Q194="",AM194=""),"",60+2*Q194-AM194)</f>
        <v/>
      </c>
      <c r="AO194" s="49" t="str">
        <f aca="false">IF(OR(G194="",AJ194=""),"",AJ194-G194)</f>
        <v/>
      </c>
      <c r="AP194" s="50" t="str">
        <f aca="false">IF(AND(A194="",B194=""),"",IF(J194="","Status needed",IF(OR(J194="Applied",J194="Visit booked",J194="Withdrawn"),"OK",IF(G194="","Date assessed needed",IF(C194="","Date of birth needed",IF(COUNTA(L194,M194,P194,U194,V194,X194,AB194)&lt;7,"Band missing",IF(AND(OR(J194="Decision confirmed",J194="Family told",J194="Enrolled"),AG194=""),"Recommendation needed",IF(AND(OR(J194="Family told",J194="Enrolled"),AJ194=""),"Date family told needed","OK"))))))))</f>
        <v/>
      </c>
    </row>
    <row r="195" customFormat="false" ht="15" hidden="false" customHeight="false" outlineLevel="0" collapsed="false">
      <c r="A195" s="7"/>
      <c r="B195" s="7"/>
      <c r="C195" s="46"/>
      <c r="D195" s="7"/>
      <c r="E195" s="47"/>
      <c r="F195" s="46"/>
      <c r="G195" s="46"/>
      <c r="H195" s="7"/>
      <c r="I195" s="7"/>
      <c r="J195" s="47"/>
      <c r="K195" s="47"/>
      <c r="L195" s="47"/>
      <c r="M195" s="47"/>
      <c r="N195" s="10"/>
      <c r="O195" s="47"/>
      <c r="P195" s="47"/>
      <c r="Q195" s="47"/>
      <c r="R195" s="48" t="str">
        <f aca="false">IF(Q195="","",IF(Q195=0,"below 5:00",IF(Q195&gt;=66,"16:00 or above",INT((60+2*Q195)/12)&amp;":"&amp;TEXT(MOD(60+2*Q195,12),"00"))))</f>
        <v/>
      </c>
      <c r="S195" s="47"/>
      <c r="T195" s="47"/>
      <c r="U195" s="47"/>
      <c r="V195" s="47"/>
      <c r="W195" s="47"/>
      <c r="X195" s="47"/>
      <c r="Y195" s="47"/>
      <c r="Z195" s="47"/>
      <c r="AA195" s="47"/>
      <c r="AB195" s="47"/>
      <c r="AC195" s="47"/>
      <c r="AD195" s="47"/>
      <c r="AE195" s="47"/>
      <c r="AF195" s="47"/>
      <c r="AG195" s="47"/>
      <c r="AH195" s="47"/>
      <c r="AI195" s="46"/>
      <c r="AJ195" s="46"/>
      <c r="AK195" s="46"/>
      <c r="AL195" s="7"/>
      <c r="AM195" s="49" t="str">
        <f aca="false">IF(OR(C195="",G195=""),"",IFERROR(DATEDIF(C195,G195,"m"),""))</f>
        <v/>
      </c>
      <c r="AN195" s="49" t="str">
        <f aca="false">IF(OR(Q195="",AM195=""),"",60+2*Q195-AM195)</f>
        <v/>
      </c>
      <c r="AO195" s="49" t="str">
        <f aca="false">IF(OR(G195="",AJ195=""),"",AJ195-G195)</f>
        <v/>
      </c>
      <c r="AP195" s="50" t="str">
        <f aca="false">IF(AND(A195="",B195=""),"",IF(J195="","Status needed",IF(OR(J195="Applied",J195="Visit booked",J195="Withdrawn"),"OK",IF(G195="","Date assessed needed",IF(C195="","Date of birth needed",IF(COUNTA(L195,M195,P195,U195,V195,X195,AB195)&lt;7,"Band missing",IF(AND(OR(J195="Decision confirmed",J195="Family told",J195="Enrolled"),AG195=""),"Recommendation needed",IF(AND(OR(J195="Family told",J195="Enrolled"),AJ195=""),"Date family told needed","OK"))))))))</f>
        <v/>
      </c>
    </row>
    <row r="196" customFormat="false" ht="15" hidden="false" customHeight="false" outlineLevel="0" collapsed="false">
      <c r="A196" s="7"/>
      <c r="B196" s="7"/>
      <c r="C196" s="46"/>
      <c r="D196" s="7"/>
      <c r="E196" s="47"/>
      <c r="F196" s="46"/>
      <c r="G196" s="46"/>
      <c r="H196" s="7"/>
      <c r="I196" s="7"/>
      <c r="J196" s="47"/>
      <c r="K196" s="47"/>
      <c r="L196" s="47"/>
      <c r="M196" s="47"/>
      <c r="N196" s="10"/>
      <c r="O196" s="47"/>
      <c r="P196" s="47"/>
      <c r="Q196" s="47"/>
      <c r="R196" s="48" t="str">
        <f aca="false">IF(Q196="","",IF(Q196=0,"below 5:00",IF(Q196&gt;=66,"16:00 or above",INT((60+2*Q196)/12)&amp;":"&amp;TEXT(MOD(60+2*Q196,12),"00"))))</f>
        <v/>
      </c>
      <c r="S196" s="47"/>
      <c r="T196" s="47"/>
      <c r="U196" s="47"/>
      <c r="V196" s="47"/>
      <c r="W196" s="47"/>
      <c r="X196" s="47"/>
      <c r="Y196" s="47"/>
      <c r="Z196" s="47"/>
      <c r="AA196" s="47"/>
      <c r="AB196" s="47"/>
      <c r="AC196" s="47"/>
      <c r="AD196" s="47"/>
      <c r="AE196" s="47"/>
      <c r="AF196" s="47"/>
      <c r="AG196" s="47"/>
      <c r="AH196" s="47"/>
      <c r="AI196" s="46"/>
      <c r="AJ196" s="46"/>
      <c r="AK196" s="46"/>
      <c r="AL196" s="7"/>
      <c r="AM196" s="49" t="str">
        <f aca="false">IF(OR(C196="",G196=""),"",IFERROR(DATEDIF(C196,G196,"m"),""))</f>
        <v/>
      </c>
      <c r="AN196" s="49" t="str">
        <f aca="false">IF(OR(Q196="",AM196=""),"",60+2*Q196-AM196)</f>
        <v/>
      </c>
      <c r="AO196" s="49" t="str">
        <f aca="false">IF(OR(G196="",AJ196=""),"",AJ196-G196)</f>
        <v/>
      </c>
      <c r="AP196" s="50" t="str">
        <f aca="false">IF(AND(A196="",B196=""),"",IF(J196="","Status needed",IF(OR(J196="Applied",J196="Visit booked",J196="Withdrawn"),"OK",IF(G196="","Date assessed needed",IF(C196="","Date of birth needed",IF(COUNTA(L196,M196,P196,U196,V196,X196,AB196)&lt;7,"Band missing",IF(AND(OR(J196="Decision confirmed",J196="Family told",J196="Enrolled"),AG196=""),"Recommendation needed",IF(AND(OR(J196="Family told",J196="Enrolled"),AJ196=""),"Date family told needed","OK"))))))))</f>
        <v/>
      </c>
    </row>
    <row r="197" customFormat="false" ht="15" hidden="false" customHeight="false" outlineLevel="0" collapsed="false">
      <c r="A197" s="7"/>
      <c r="B197" s="7"/>
      <c r="C197" s="46"/>
      <c r="D197" s="7"/>
      <c r="E197" s="47"/>
      <c r="F197" s="46"/>
      <c r="G197" s="46"/>
      <c r="H197" s="7"/>
      <c r="I197" s="7"/>
      <c r="J197" s="47"/>
      <c r="K197" s="47"/>
      <c r="L197" s="47"/>
      <c r="M197" s="47"/>
      <c r="N197" s="10"/>
      <c r="O197" s="47"/>
      <c r="P197" s="47"/>
      <c r="Q197" s="47"/>
      <c r="R197" s="48" t="str">
        <f aca="false">IF(Q197="","",IF(Q197=0,"below 5:00",IF(Q197&gt;=66,"16:00 or above",INT((60+2*Q197)/12)&amp;":"&amp;TEXT(MOD(60+2*Q197,12),"00"))))</f>
        <v/>
      </c>
      <c r="S197" s="47"/>
      <c r="T197" s="47"/>
      <c r="U197" s="47"/>
      <c r="V197" s="47"/>
      <c r="W197" s="47"/>
      <c r="X197" s="47"/>
      <c r="Y197" s="47"/>
      <c r="Z197" s="47"/>
      <c r="AA197" s="47"/>
      <c r="AB197" s="47"/>
      <c r="AC197" s="47"/>
      <c r="AD197" s="47"/>
      <c r="AE197" s="47"/>
      <c r="AF197" s="47"/>
      <c r="AG197" s="47"/>
      <c r="AH197" s="47"/>
      <c r="AI197" s="46"/>
      <c r="AJ197" s="46"/>
      <c r="AK197" s="46"/>
      <c r="AL197" s="7"/>
      <c r="AM197" s="49" t="str">
        <f aca="false">IF(OR(C197="",G197=""),"",IFERROR(DATEDIF(C197,G197,"m"),""))</f>
        <v/>
      </c>
      <c r="AN197" s="49" t="str">
        <f aca="false">IF(OR(Q197="",AM197=""),"",60+2*Q197-AM197)</f>
        <v/>
      </c>
      <c r="AO197" s="49" t="str">
        <f aca="false">IF(OR(G197="",AJ197=""),"",AJ197-G197)</f>
        <v/>
      </c>
      <c r="AP197" s="50" t="str">
        <f aca="false">IF(AND(A197="",B197=""),"",IF(J197="","Status needed",IF(OR(J197="Applied",J197="Visit booked",J197="Withdrawn"),"OK",IF(G197="","Date assessed needed",IF(C197="","Date of birth needed",IF(COUNTA(L197,M197,P197,U197,V197,X197,AB197)&lt;7,"Band missing",IF(AND(OR(J197="Decision confirmed",J197="Family told",J197="Enrolled"),AG197=""),"Recommendation needed",IF(AND(OR(J197="Family told",J197="Enrolled"),AJ197=""),"Date family told needed","OK"))))))))</f>
        <v/>
      </c>
    </row>
    <row r="198" customFormat="false" ht="15" hidden="false" customHeight="false" outlineLevel="0" collapsed="false">
      <c r="A198" s="7"/>
      <c r="B198" s="7"/>
      <c r="C198" s="46"/>
      <c r="D198" s="7"/>
      <c r="E198" s="47"/>
      <c r="F198" s="46"/>
      <c r="G198" s="46"/>
      <c r="H198" s="7"/>
      <c r="I198" s="7"/>
      <c r="J198" s="47"/>
      <c r="K198" s="47"/>
      <c r="L198" s="47"/>
      <c r="M198" s="47"/>
      <c r="N198" s="10"/>
      <c r="O198" s="47"/>
      <c r="P198" s="47"/>
      <c r="Q198" s="47"/>
      <c r="R198" s="48" t="str">
        <f aca="false">IF(Q198="","",IF(Q198=0,"below 5:00",IF(Q198&gt;=66,"16:00 or above",INT((60+2*Q198)/12)&amp;":"&amp;TEXT(MOD(60+2*Q198,12),"00"))))</f>
        <v/>
      </c>
      <c r="S198" s="47"/>
      <c r="T198" s="47"/>
      <c r="U198" s="47"/>
      <c r="V198" s="47"/>
      <c r="W198" s="47"/>
      <c r="X198" s="47"/>
      <c r="Y198" s="47"/>
      <c r="Z198" s="47"/>
      <c r="AA198" s="47"/>
      <c r="AB198" s="47"/>
      <c r="AC198" s="47"/>
      <c r="AD198" s="47"/>
      <c r="AE198" s="47"/>
      <c r="AF198" s="47"/>
      <c r="AG198" s="47"/>
      <c r="AH198" s="47"/>
      <c r="AI198" s="46"/>
      <c r="AJ198" s="46"/>
      <c r="AK198" s="46"/>
      <c r="AL198" s="7"/>
      <c r="AM198" s="49" t="str">
        <f aca="false">IF(OR(C198="",G198=""),"",IFERROR(DATEDIF(C198,G198,"m"),""))</f>
        <v/>
      </c>
      <c r="AN198" s="49" t="str">
        <f aca="false">IF(OR(Q198="",AM198=""),"",60+2*Q198-AM198)</f>
        <v/>
      </c>
      <c r="AO198" s="49" t="str">
        <f aca="false">IF(OR(G198="",AJ198=""),"",AJ198-G198)</f>
        <v/>
      </c>
      <c r="AP198" s="50" t="str">
        <f aca="false">IF(AND(A198="",B198=""),"",IF(J198="","Status needed",IF(OR(J198="Applied",J198="Visit booked",J198="Withdrawn"),"OK",IF(G198="","Date assessed needed",IF(C198="","Date of birth needed",IF(COUNTA(L198,M198,P198,U198,V198,X198,AB198)&lt;7,"Band missing",IF(AND(OR(J198="Decision confirmed",J198="Family told",J198="Enrolled"),AG198=""),"Recommendation needed",IF(AND(OR(J198="Family told",J198="Enrolled"),AJ198=""),"Date family told needed","OK"))))))))</f>
        <v/>
      </c>
    </row>
    <row r="199" customFormat="false" ht="15" hidden="false" customHeight="false" outlineLevel="0" collapsed="false">
      <c r="A199" s="7"/>
      <c r="B199" s="7"/>
      <c r="C199" s="46"/>
      <c r="D199" s="7"/>
      <c r="E199" s="47"/>
      <c r="F199" s="46"/>
      <c r="G199" s="46"/>
      <c r="H199" s="7"/>
      <c r="I199" s="7"/>
      <c r="J199" s="47"/>
      <c r="K199" s="47"/>
      <c r="L199" s="47"/>
      <c r="M199" s="47"/>
      <c r="N199" s="10"/>
      <c r="O199" s="47"/>
      <c r="P199" s="47"/>
      <c r="Q199" s="47"/>
      <c r="R199" s="48" t="str">
        <f aca="false">IF(Q199="","",IF(Q199=0,"below 5:00",IF(Q199&gt;=66,"16:00 or above",INT((60+2*Q199)/12)&amp;":"&amp;TEXT(MOD(60+2*Q199,12),"00"))))</f>
        <v/>
      </c>
      <c r="S199" s="47"/>
      <c r="T199" s="47"/>
      <c r="U199" s="47"/>
      <c r="V199" s="47"/>
      <c r="W199" s="47"/>
      <c r="X199" s="47"/>
      <c r="Y199" s="47"/>
      <c r="Z199" s="47"/>
      <c r="AA199" s="47"/>
      <c r="AB199" s="47"/>
      <c r="AC199" s="47"/>
      <c r="AD199" s="47"/>
      <c r="AE199" s="47"/>
      <c r="AF199" s="47"/>
      <c r="AG199" s="47"/>
      <c r="AH199" s="47"/>
      <c r="AI199" s="46"/>
      <c r="AJ199" s="46"/>
      <c r="AK199" s="46"/>
      <c r="AL199" s="7"/>
      <c r="AM199" s="49" t="str">
        <f aca="false">IF(OR(C199="",G199=""),"",IFERROR(DATEDIF(C199,G199,"m"),""))</f>
        <v/>
      </c>
      <c r="AN199" s="49" t="str">
        <f aca="false">IF(OR(Q199="",AM199=""),"",60+2*Q199-AM199)</f>
        <v/>
      </c>
      <c r="AO199" s="49" t="str">
        <f aca="false">IF(OR(G199="",AJ199=""),"",AJ199-G199)</f>
        <v/>
      </c>
      <c r="AP199" s="50" t="str">
        <f aca="false">IF(AND(A199="",B199=""),"",IF(J199="","Status needed",IF(OR(J199="Applied",J199="Visit booked",J199="Withdrawn"),"OK",IF(G199="","Date assessed needed",IF(C199="","Date of birth needed",IF(COUNTA(L199,M199,P199,U199,V199,X199,AB199)&lt;7,"Band missing",IF(AND(OR(J199="Decision confirmed",J199="Family told",J199="Enrolled"),AG199=""),"Recommendation needed",IF(AND(OR(J199="Family told",J199="Enrolled"),AJ199=""),"Date family told needed","OK"))))))))</f>
        <v/>
      </c>
    </row>
    <row r="200" customFormat="false" ht="15" hidden="false" customHeight="false" outlineLevel="0" collapsed="false">
      <c r="A200" s="7"/>
      <c r="B200" s="7"/>
      <c r="C200" s="46"/>
      <c r="D200" s="7"/>
      <c r="E200" s="47"/>
      <c r="F200" s="46"/>
      <c r="G200" s="46"/>
      <c r="H200" s="7"/>
      <c r="I200" s="7"/>
      <c r="J200" s="47"/>
      <c r="K200" s="47"/>
      <c r="L200" s="47"/>
      <c r="M200" s="47"/>
      <c r="N200" s="10"/>
      <c r="O200" s="47"/>
      <c r="P200" s="47"/>
      <c r="Q200" s="47"/>
      <c r="R200" s="48" t="str">
        <f aca="false">IF(Q200="","",IF(Q200=0,"below 5:00",IF(Q200&gt;=66,"16:00 or above",INT((60+2*Q200)/12)&amp;":"&amp;TEXT(MOD(60+2*Q200,12),"00"))))</f>
        <v/>
      </c>
      <c r="S200" s="47"/>
      <c r="T200" s="47"/>
      <c r="U200" s="47"/>
      <c r="V200" s="47"/>
      <c r="W200" s="47"/>
      <c r="X200" s="47"/>
      <c r="Y200" s="47"/>
      <c r="Z200" s="47"/>
      <c r="AA200" s="47"/>
      <c r="AB200" s="47"/>
      <c r="AC200" s="47"/>
      <c r="AD200" s="47"/>
      <c r="AE200" s="47"/>
      <c r="AF200" s="47"/>
      <c r="AG200" s="47"/>
      <c r="AH200" s="47"/>
      <c r="AI200" s="46"/>
      <c r="AJ200" s="46"/>
      <c r="AK200" s="46"/>
      <c r="AL200" s="7"/>
      <c r="AM200" s="49" t="str">
        <f aca="false">IF(OR(C200="",G200=""),"",IFERROR(DATEDIF(C200,G200,"m"),""))</f>
        <v/>
      </c>
      <c r="AN200" s="49" t="str">
        <f aca="false">IF(OR(Q200="",AM200=""),"",60+2*Q200-AM200)</f>
        <v/>
      </c>
      <c r="AO200" s="49" t="str">
        <f aca="false">IF(OR(G200="",AJ200=""),"",AJ200-G200)</f>
        <v/>
      </c>
      <c r="AP200" s="50" t="str">
        <f aca="false">IF(AND(A200="",B200=""),"",IF(J200="","Status needed",IF(OR(J200="Applied",J200="Visit booked",J200="Withdrawn"),"OK",IF(G200="","Date assessed needed",IF(C200="","Date of birth needed",IF(COUNTA(L200,M200,P200,U200,V200,X200,AB200)&lt;7,"Band missing",IF(AND(OR(J200="Decision confirmed",J200="Family told",J200="Enrolled"),AG200=""),"Recommendation needed",IF(AND(OR(J200="Family told",J200="Enrolled"),AJ200=""),"Date family told needed","OK"))))))))</f>
        <v/>
      </c>
    </row>
    <row r="201" customFormat="false" ht="15" hidden="false" customHeight="false" outlineLevel="0" collapsed="false">
      <c r="A201" s="7"/>
      <c r="B201" s="7"/>
      <c r="C201" s="46"/>
      <c r="D201" s="7"/>
      <c r="E201" s="47"/>
      <c r="F201" s="46"/>
      <c r="G201" s="46"/>
      <c r="H201" s="7"/>
      <c r="I201" s="7"/>
      <c r="J201" s="47"/>
      <c r="K201" s="47"/>
      <c r="L201" s="47"/>
      <c r="M201" s="47"/>
      <c r="N201" s="10"/>
      <c r="O201" s="47"/>
      <c r="P201" s="47"/>
      <c r="Q201" s="47"/>
      <c r="R201" s="48" t="str">
        <f aca="false">IF(Q201="","",IF(Q201=0,"below 5:00",IF(Q201&gt;=66,"16:00 or above",INT((60+2*Q201)/12)&amp;":"&amp;TEXT(MOD(60+2*Q201,12),"00"))))</f>
        <v/>
      </c>
      <c r="S201" s="47"/>
      <c r="T201" s="47"/>
      <c r="U201" s="47"/>
      <c r="V201" s="47"/>
      <c r="W201" s="47"/>
      <c r="X201" s="47"/>
      <c r="Y201" s="47"/>
      <c r="Z201" s="47"/>
      <c r="AA201" s="47"/>
      <c r="AB201" s="47"/>
      <c r="AC201" s="47"/>
      <c r="AD201" s="47"/>
      <c r="AE201" s="47"/>
      <c r="AF201" s="47"/>
      <c r="AG201" s="47"/>
      <c r="AH201" s="47"/>
      <c r="AI201" s="46"/>
      <c r="AJ201" s="46"/>
      <c r="AK201" s="46"/>
      <c r="AL201" s="7"/>
      <c r="AM201" s="49" t="str">
        <f aca="false">IF(OR(C201="",G201=""),"",IFERROR(DATEDIF(C201,G201,"m"),""))</f>
        <v/>
      </c>
      <c r="AN201" s="49" t="str">
        <f aca="false">IF(OR(Q201="",AM201=""),"",60+2*Q201-AM201)</f>
        <v/>
      </c>
      <c r="AO201" s="49" t="str">
        <f aca="false">IF(OR(G201="",AJ201=""),"",AJ201-G201)</f>
        <v/>
      </c>
      <c r="AP201" s="50" t="str">
        <f aca="false">IF(AND(A201="",B201=""),"",IF(J201="","Status needed",IF(OR(J201="Applied",J201="Visit booked",J201="Withdrawn"),"OK",IF(G201="","Date assessed needed",IF(C201="","Date of birth needed",IF(COUNTA(L201,M201,P201,U201,V201,X201,AB201)&lt;7,"Band missing",IF(AND(OR(J201="Decision confirmed",J201="Family told",J201="Enrolled"),AG201=""),"Recommendation needed",IF(AND(OR(J201="Family told",J201="Enrolled"),AJ201=""),"Date family told needed","OK"))))))))</f>
        <v/>
      </c>
    </row>
    <row r="202" customFormat="false" ht="15" hidden="false" customHeight="false" outlineLevel="0" collapsed="false">
      <c r="A202" s="7"/>
      <c r="B202" s="7"/>
      <c r="C202" s="46"/>
      <c r="D202" s="7"/>
      <c r="E202" s="47"/>
      <c r="F202" s="46"/>
      <c r="G202" s="46"/>
      <c r="H202" s="7"/>
      <c r="I202" s="7"/>
      <c r="J202" s="47"/>
      <c r="K202" s="47"/>
      <c r="L202" s="47"/>
      <c r="M202" s="47"/>
      <c r="N202" s="10"/>
      <c r="O202" s="47"/>
      <c r="P202" s="47"/>
      <c r="Q202" s="47"/>
      <c r="R202" s="48" t="str">
        <f aca="false">IF(Q202="","",IF(Q202=0,"below 5:00",IF(Q202&gt;=66,"16:00 or above",INT((60+2*Q202)/12)&amp;":"&amp;TEXT(MOD(60+2*Q202,12),"00"))))</f>
        <v/>
      </c>
      <c r="S202" s="47"/>
      <c r="T202" s="47"/>
      <c r="U202" s="47"/>
      <c r="V202" s="47"/>
      <c r="W202" s="47"/>
      <c r="X202" s="47"/>
      <c r="Y202" s="47"/>
      <c r="Z202" s="47"/>
      <c r="AA202" s="47"/>
      <c r="AB202" s="47"/>
      <c r="AC202" s="47"/>
      <c r="AD202" s="47"/>
      <c r="AE202" s="47"/>
      <c r="AF202" s="47"/>
      <c r="AG202" s="47"/>
      <c r="AH202" s="47"/>
      <c r="AI202" s="46"/>
      <c r="AJ202" s="46"/>
      <c r="AK202" s="46"/>
      <c r="AL202" s="7"/>
      <c r="AM202" s="49" t="str">
        <f aca="false">IF(OR(C202="",G202=""),"",IFERROR(DATEDIF(C202,G202,"m"),""))</f>
        <v/>
      </c>
      <c r="AN202" s="49" t="str">
        <f aca="false">IF(OR(Q202="",AM202=""),"",60+2*Q202-AM202)</f>
        <v/>
      </c>
      <c r="AO202" s="49" t="str">
        <f aca="false">IF(OR(G202="",AJ202=""),"",AJ202-G202)</f>
        <v/>
      </c>
      <c r="AP202" s="50" t="str">
        <f aca="false">IF(AND(A202="",B202=""),"",IF(J202="","Status needed",IF(OR(J202="Applied",J202="Visit booked",J202="Withdrawn"),"OK",IF(G202="","Date assessed needed",IF(C202="","Date of birth needed",IF(COUNTA(L202,M202,P202,U202,V202,X202,AB202)&lt;7,"Band missing",IF(AND(OR(J202="Decision confirmed",J202="Family told",J202="Enrolled"),AG202=""),"Recommendation needed",IF(AND(OR(J202="Family told",J202="Enrolled"),AJ202=""),"Date family told needed","OK"))))))))</f>
        <v/>
      </c>
    </row>
    <row r="203" customFormat="false" ht="15" hidden="false" customHeight="false" outlineLevel="0" collapsed="false">
      <c r="A203" s="7"/>
      <c r="B203" s="7"/>
      <c r="C203" s="46"/>
      <c r="D203" s="7"/>
      <c r="E203" s="47"/>
      <c r="F203" s="46"/>
      <c r="G203" s="46"/>
      <c r="H203" s="7"/>
      <c r="I203" s="7"/>
      <c r="J203" s="47"/>
      <c r="K203" s="47"/>
      <c r="L203" s="47"/>
      <c r="M203" s="47"/>
      <c r="N203" s="10"/>
      <c r="O203" s="47"/>
      <c r="P203" s="47"/>
      <c r="Q203" s="47"/>
      <c r="R203" s="48" t="str">
        <f aca="false">IF(Q203="","",IF(Q203=0,"below 5:00",IF(Q203&gt;=66,"16:00 or above",INT((60+2*Q203)/12)&amp;":"&amp;TEXT(MOD(60+2*Q203,12),"00"))))</f>
        <v/>
      </c>
      <c r="S203" s="47"/>
      <c r="T203" s="47"/>
      <c r="U203" s="47"/>
      <c r="V203" s="47"/>
      <c r="W203" s="47"/>
      <c r="X203" s="47"/>
      <c r="Y203" s="47"/>
      <c r="Z203" s="47"/>
      <c r="AA203" s="47"/>
      <c r="AB203" s="47"/>
      <c r="AC203" s="47"/>
      <c r="AD203" s="47"/>
      <c r="AE203" s="47"/>
      <c r="AF203" s="47"/>
      <c r="AG203" s="47"/>
      <c r="AH203" s="47"/>
      <c r="AI203" s="46"/>
      <c r="AJ203" s="46"/>
      <c r="AK203" s="46"/>
      <c r="AL203" s="7"/>
      <c r="AM203" s="49" t="str">
        <f aca="false">IF(OR(C203="",G203=""),"",IFERROR(DATEDIF(C203,G203,"m"),""))</f>
        <v/>
      </c>
      <c r="AN203" s="49" t="str">
        <f aca="false">IF(OR(Q203="",AM203=""),"",60+2*Q203-AM203)</f>
        <v/>
      </c>
      <c r="AO203" s="49" t="str">
        <f aca="false">IF(OR(G203="",AJ203=""),"",AJ203-G203)</f>
        <v/>
      </c>
      <c r="AP203" s="50" t="str">
        <f aca="false">IF(AND(A203="",B203=""),"",IF(J203="","Status needed",IF(OR(J203="Applied",J203="Visit booked",J203="Withdrawn"),"OK",IF(G203="","Date assessed needed",IF(C203="","Date of birth needed",IF(COUNTA(L203,M203,P203,U203,V203,X203,AB203)&lt;7,"Band missing",IF(AND(OR(J203="Decision confirmed",J203="Family told",J203="Enrolled"),AG203=""),"Recommendation needed",IF(AND(OR(J203="Family told",J203="Enrolled"),AJ203=""),"Date family told needed","OK"))))))))</f>
        <v/>
      </c>
    </row>
    <row r="204" customFormat="false" ht="15" hidden="false" customHeight="false" outlineLevel="0" collapsed="false">
      <c r="A204" s="7"/>
      <c r="B204" s="7"/>
      <c r="C204" s="46"/>
      <c r="D204" s="7"/>
      <c r="E204" s="47"/>
      <c r="F204" s="46"/>
      <c r="G204" s="46"/>
      <c r="H204" s="7"/>
      <c r="I204" s="7"/>
      <c r="J204" s="47"/>
      <c r="K204" s="47"/>
      <c r="L204" s="47"/>
      <c r="M204" s="47"/>
      <c r="N204" s="10"/>
      <c r="O204" s="47"/>
      <c r="P204" s="47"/>
      <c r="Q204" s="47"/>
      <c r="R204" s="48" t="str">
        <f aca="false">IF(Q204="","",IF(Q204=0,"below 5:00",IF(Q204&gt;=66,"16:00 or above",INT((60+2*Q204)/12)&amp;":"&amp;TEXT(MOD(60+2*Q204,12),"00"))))</f>
        <v/>
      </c>
      <c r="S204" s="47"/>
      <c r="T204" s="47"/>
      <c r="U204" s="47"/>
      <c r="V204" s="47"/>
      <c r="W204" s="47"/>
      <c r="X204" s="47"/>
      <c r="Y204" s="47"/>
      <c r="Z204" s="47"/>
      <c r="AA204" s="47"/>
      <c r="AB204" s="47"/>
      <c r="AC204" s="47"/>
      <c r="AD204" s="47"/>
      <c r="AE204" s="47"/>
      <c r="AF204" s="47"/>
      <c r="AG204" s="47"/>
      <c r="AH204" s="47"/>
      <c r="AI204" s="46"/>
      <c r="AJ204" s="46"/>
      <c r="AK204" s="46"/>
      <c r="AL204" s="7"/>
      <c r="AM204" s="49" t="str">
        <f aca="false">IF(OR(C204="",G204=""),"",IFERROR(DATEDIF(C204,G204,"m"),""))</f>
        <v/>
      </c>
      <c r="AN204" s="49" t="str">
        <f aca="false">IF(OR(Q204="",AM204=""),"",60+2*Q204-AM204)</f>
        <v/>
      </c>
      <c r="AO204" s="49" t="str">
        <f aca="false">IF(OR(G204="",AJ204=""),"",AJ204-G204)</f>
        <v/>
      </c>
      <c r="AP204" s="50" t="str">
        <f aca="false">IF(AND(A204="",B204=""),"",IF(J204="","Status needed",IF(OR(J204="Applied",J204="Visit booked",J204="Withdrawn"),"OK",IF(G204="","Date assessed needed",IF(C204="","Date of birth needed",IF(COUNTA(L204,M204,P204,U204,V204,X204,AB204)&lt;7,"Band missing",IF(AND(OR(J204="Decision confirmed",J204="Family told",J204="Enrolled"),AG204=""),"Recommendation needed",IF(AND(OR(J204="Family told",J204="Enrolled"),AJ204=""),"Date family told needed","OK"))))))))</f>
        <v/>
      </c>
    </row>
    <row r="205" customFormat="false" ht="15" hidden="false" customHeight="false" outlineLevel="0" collapsed="false">
      <c r="A205" s="7"/>
      <c r="B205" s="7"/>
      <c r="C205" s="46"/>
      <c r="D205" s="7"/>
      <c r="E205" s="47"/>
      <c r="F205" s="46"/>
      <c r="G205" s="46"/>
      <c r="H205" s="7"/>
      <c r="I205" s="7"/>
      <c r="J205" s="47"/>
      <c r="K205" s="47"/>
      <c r="L205" s="47"/>
      <c r="M205" s="47"/>
      <c r="N205" s="10"/>
      <c r="O205" s="47"/>
      <c r="P205" s="47"/>
      <c r="Q205" s="47"/>
      <c r="R205" s="48" t="str">
        <f aca="false">IF(Q205="","",IF(Q205=0,"below 5:00",IF(Q205&gt;=66,"16:00 or above",INT((60+2*Q205)/12)&amp;":"&amp;TEXT(MOD(60+2*Q205,12),"00"))))</f>
        <v/>
      </c>
      <c r="S205" s="47"/>
      <c r="T205" s="47"/>
      <c r="U205" s="47"/>
      <c r="V205" s="47"/>
      <c r="W205" s="47"/>
      <c r="X205" s="47"/>
      <c r="Y205" s="47"/>
      <c r="Z205" s="47"/>
      <c r="AA205" s="47"/>
      <c r="AB205" s="47"/>
      <c r="AC205" s="47"/>
      <c r="AD205" s="47"/>
      <c r="AE205" s="47"/>
      <c r="AF205" s="47"/>
      <c r="AG205" s="47"/>
      <c r="AH205" s="47"/>
      <c r="AI205" s="46"/>
      <c r="AJ205" s="46"/>
      <c r="AK205" s="46"/>
      <c r="AL205" s="7"/>
      <c r="AM205" s="49" t="str">
        <f aca="false">IF(OR(C205="",G205=""),"",IFERROR(DATEDIF(C205,G205,"m"),""))</f>
        <v/>
      </c>
      <c r="AN205" s="49" t="str">
        <f aca="false">IF(OR(Q205="",AM205=""),"",60+2*Q205-AM205)</f>
        <v/>
      </c>
      <c r="AO205" s="49" t="str">
        <f aca="false">IF(OR(G205="",AJ205=""),"",AJ205-G205)</f>
        <v/>
      </c>
      <c r="AP205" s="50" t="str">
        <f aca="false">IF(AND(A205="",B205=""),"",IF(J205="","Status needed",IF(OR(J205="Applied",J205="Visit booked",J205="Withdrawn"),"OK",IF(G205="","Date assessed needed",IF(C205="","Date of birth needed",IF(COUNTA(L205,M205,P205,U205,V205,X205,AB205)&lt;7,"Band missing",IF(AND(OR(J205="Decision confirmed",J205="Family told",J205="Enrolled"),AG205=""),"Recommendation needed",IF(AND(OR(J205="Family told",J205="Enrolled"),AJ205=""),"Date family told needed","OK"))))))))</f>
        <v/>
      </c>
    </row>
    <row r="206" customFormat="false" ht="15" hidden="false" customHeight="false" outlineLevel="0" collapsed="false">
      <c r="A206" s="7"/>
      <c r="B206" s="7"/>
      <c r="C206" s="46"/>
      <c r="D206" s="7"/>
      <c r="E206" s="47"/>
      <c r="F206" s="46"/>
      <c r="G206" s="46"/>
      <c r="H206" s="7"/>
      <c r="I206" s="7"/>
      <c r="J206" s="47"/>
      <c r="K206" s="47"/>
      <c r="L206" s="47"/>
      <c r="M206" s="47"/>
      <c r="N206" s="10"/>
      <c r="O206" s="47"/>
      <c r="P206" s="47"/>
      <c r="Q206" s="47"/>
      <c r="R206" s="48" t="str">
        <f aca="false">IF(Q206="","",IF(Q206=0,"below 5:00",IF(Q206&gt;=66,"16:00 or above",INT((60+2*Q206)/12)&amp;":"&amp;TEXT(MOD(60+2*Q206,12),"00"))))</f>
        <v/>
      </c>
      <c r="S206" s="47"/>
      <c r="T206" s="47"/>
      <c r="U206" s="47"/>
      <c r="V206" s="47"/>
      <c r="W206" s="47"/>
      <c r="X206" s="47"/>
      <c r="Y206" s="47"/>
      <c r="Z206" s="47"/>
      <c r="AA206" s="47"/>
      <c r="AB206" s="47"/>
      <c r="AC206" s="47"/>
      <c r="AD206" s="47"/>
      <c r="AE206" s="47"/>
      <c r="AF206" s="47"/>
      <c r="AG206" s="47"/>
      <c r="AH206" s="47"/>
      <c r="AI206" s="46"/>
      <c r="AJ206" s="46"/>
      <c r="AK206" s="46"/>
      <c r="AL206" s="7"/>
      <c r="AM206" s="49" t="str">
        <f aca="false">IF(OR(C206="",G206=""),"",IFERROR(DATEDIF(C206,G206,"m"),""))</f>
        <v/>
      </c>
      <c r="AN206" s="49" t="str">
        <f aca="false">IF(OR(Q206="",AM206=""),"",60+2*Q206-AM206)</f>
        <v/>
      </c>
      <c r="AO206" s="49" t="str">
        <f aca="false">IF(OR(G206="",AJ206=""),"",AJ206-G206)</f>
        <v/>
      </c>
      <c r="AP206" s="50" t="str">
        <f aca="false">IF(AND(A206="",B206=""),"",IF(J206="","Status needed",IF(OR(J206="Applied",J206="Visit booked",J206="Withdrawn"),"OK",IF(G206="","Date assessed needed",IF(C206="","Date of birth needed",IF(COUNTA(L206,M206,P206,U206,V206,X206,AB206)&lt;7,"Band missing",IF(AND(OR(J206="Decision confirmed",J206="Family told",J206="Enrolled"),AG206=""),"Recommendation needed",IF(AND(OR(J206="Family told",J206="Enrolled"),AJ206=""),"Date family told needed","OK"))))))))</f>
        <v/>
      </c>
    </row>
    <row r="207" customFormat="false" ht="15" hidden="false" customHeight="false" outlineLevel="0" collapsed="false">
      <c r="A207" s="7"/>
      <c r="B207" s="7"/>
      <c r="C207" s="46"/>
      <c r="D207" s="7"/>
      <c r="E207" s="47"/>
      <c r="F207" s="46"/>
      <c r="G207" s="46"/>
      <c r="H207" s="7"/>
      <c r="I207" s="7"/>
      <c r="J207" s="47"/>
      <c r="K207" s="47"/>
      <c r="L207" s="47"/>
      <c r="M207" s="47"/>
      <c r="N207" s="10"/>
      <c r="O207" s="47"/>
      <c r="P207" s="47"/>
      <c r="Q207" s="47"/>
      <c r="R207" s="48" t="str">
        <f aca="false">IF(Q207="","",IF(Q207=0,"below 5:00",IF(Q207&gt;=66,"16:00 or above",INT((60+2*Q207)/12)&amp;":"&amp;TEXT(MOD(60+2*Q207,12),"00"))))</f>
        <v/>
      </c>
      <c r="S207" s="47"/>
      <c r="T207" s="47"/>
      <c r="U207" s="47"/>
      <c r="V207" s="47"/>
      <c r="W207" s="47"/>
      <c r="X207" s="47"/>
      <c r="Y207" s="47"/>
      <c r="Z207" s="47"/>
      <c r="AA207" s="47"/>
      <c r="AB207" s="47"/>
      <c r="AC207" s="47"/>
      <c r="AD207" s="47"/>
      <c r="AE207" s="47"/>
      <c r="AF207" s="47"/>
      <c r="AG207" s="47"/>
      <c r="AH207" s="47"/>
      <c r="AI207" s="46"/>
      <c r="AJ207" s="46"/>
      <c r="AK207" s="46"/>
      <c r="AL207" s="7"/>
      <c r="AM207" s="49" t="str">
        <f aca="false">IF(OR(C207="",G207=""),"",IFERROR(DATEDIF(C207,G207,"m"),""))</f>
        <v/>
      </c>
      <c r="AN207" s="49" t="str">
        <f aca="false">IF(OR(Q207="",AM207=""),"",60+2*Q207-AM207)</f>
        <v/>
      </c>
      <c r="AO207" s="49" t="str">
        <f aca="false">IF(OR(G207="",AJ207=""),"",AJ207-G207)</f>
        <v/>
      </c>
      <c r="AP207" s="50" t="str">
        <f aca="false">IF(AND(A207="",B207=""),"",IF(J207="","Status needed",IF(OR(J207="Applied",J207="Visit booked",J207="Withdrawn"),"OK",IF(G207="","Date assessed needed",IF(C207="","Date of birth needed",IF(COUNTA(L207,M207,P207,U207,V207,X207,AB207)&lt;7,"Band missing",IF(AND(OR(J207="Decision confirmed",J207="Family told",J207="Enrolled"),AG207=""),"Recommendation needed",IF(AND(OR(J207="Family told",J207="Enrolled"),AJ207=""),"Date family told needed","OK"))))))))</f>
        <v/>
      </c>
    </row>
    <row r="208" customFormat="false" ht="15" hidden="false" customHeight="false" outlineLevel="0" collapsed="false">
      <c r="A208" s="7"/>
      <c r="B208" s="7"/>
      <c r="C208" s="46"/>
      <c r="D208" s="7"/>
      <c r="E208" s="47"/>
      <c r="F208" s="46"/>
      <c r="G208" s="46"/>
      <c r="H208" s="7"/>
      <c r="I208" s="7"/>
      <c r="J208" s="47"/>
      <c r="K208" s="47"/>
      <c r="L208" s="47"/>
      <c r="M208" s="47"/>
      <c r="N208" s="10"/>
      <c r="O208" s="47"/>
      <c r="P208" s="47"/>
      <c r="Q208" s="47"/>
      <c r="R208" s="48" t="str">
        <f aca="false">IF(Q208="","",IF(Q208=0,"below 5:00",IF(Q208&gt;=66,"16:00 or above",INT((60+2*Q208)/12)&amp;":"&amp;TEXT(MOD(60+2*Q208,12),"00"))))</f>
        <v/>
      </c>
      <c r="S208" s="47"/>
      <c r="T208" s="47"/>
      <c r="U208" s="47"/>
      <c r="V208" s="47"/>
      <c r="W208" s="47"/>
      <c r="X208" s="47"/>
      <c r="Y208" s="47"/>
      <c r="Z208" s="47"/>
      <c r="AA208" s="47"/>
      <c r="AB208" s="47"/>
      <c r="AC208" s="47"/>
      <c r="AD208" s="47"/>
      <c r="AE208" s="47"/>
      <c r="AF208" s="47"/>
      <c r="AG208" s="47"/>
      <c r="AH208" s="47"/>
      <c r="AI208" s="46"/>
      <c r="AJ208" s="46"/>
      <c r="AK208" s="46"/>
      <c r="AL208" s="7"/>
      <c r="AM208" s="49" t="str">
        <f aca="false">IF(OR(C208="",G208=""),"",IFERROR(DATEDIF(C208,G208,"m"),""))</f>
        <v/>
      </c>
      <c r="AN208" s="49" t="str">
        <f aca="false">IF(OR(Q208="",AM208=""),"",60+2*Q208-AM208)</f>
        <v/>
      </c>
      <c r="AO208" s="49" t="str">
        <f aca="false">IF(OR(G208="",AJ208=""),"",AJ208-G208)</f>
        <v/>
      </c>
      <c r="AP208" s="50" t="str">
        <f aca="false">IF(AND(A208="",B208=""),"",IF(J208="","Status needed",IF(OR(J208="Applied",J208="Visit booked",J208="Withdrawn"),"OK",IF(G208="","Date assessed needed",IF(C208="","Date of birth needed",IF(COUNTA(L208,M208,P208,U208,V208,X208,AB208)&lt;7,"Band missing",IF(AND(OR(J208="Decision confirmed",J208="Family told",J208="Enrolled"),AG208=""),"Recommendation needed",IF(AND(OR(J208="Family told",J208="Enrolled"),AJ208=""),"Date family told needed","OK"))))))))</f>
        <v/>
      </c>
    </row>
    <row r="209" customFormat="false" ht="15" hidden="false" customHeight="false" outlineLevel="0" collapsed="false">
      <c r="A209" s="7"/>
      <c r="B209" s="7"/>
      <c r="C209" s="46"/>
      <c r="D209" s="7"/>
      <c r="E209" s="47"/>
      <c r="F209" s="46"/>
      <c r="G209" s="46"/>
      <c r="H209" s="7"/>
      <c r="I209" s="7"/>
      <c r="J209" s="47"/>
      <c r="K209" s="47"/>
      <c r="L209" s="47"/>
      <c r="M209" s="47"/>
      <c r="N209" s="10"/>
      <c r="O209" s="47"/>
      <c r="P209" s="47"/>
      <c r="Q209" s="47"/>
      <c r="R209" s="48" t="str">
        <f aca="false">IF(Q209="","",IF(Q209=0,"below 5:00",IF(Q209&gt;=66,"16:00 or above",INT((60+2*Q209)/12)&amp;":"&amp;TEXT(MOD(60+2*Q209,12),"00"))))</f>
        <v/>
      </c>
      <c r="S209" s="47"/>
      <c r="T209" s="47"/>
      <c r="U209" s="47"/>
      <c r="V209" s="47"/>
      <c r="W209" s="47"/>
      <c r="X209" s="47"/>
      <c r="Y209" s="47"/>
      <c r="Z209" s="47"/>
      <c r="AA209" s="47"/>
      <c r="AB209" s="47"/>
      <c r="AC209" s="47"/>
      <c r="AD209" s="47"/>
      <c r="AE209" s="47"/>
      <c r="AF209" s="47"/>
      <c r="AG209" s="47"/>
      <c r="AH209" s="47"/>
      <c r="AI209" s="46"/>
      <c r="AJ209" s="46"/>
      <c r="AK209" s="46"/>
      <c r="AL209" s="7"/>
      <c r="AM209" s="49" t="str">
        <f aca="false">IF(OR(C209="",G209=""),"",IFERROR(DATEDIF(C209,G209,"m"),""))</f>
        <v/>
      </c>
      <c r="AN209" s="49" t="str">
        <f aca="false">IF(OR(Q209="",AM209=""),"",60+2*Q209-AM209)</f>
        <v/>
      </c>
      <c r="AO209" s="49" t="str">
        <f aca="false">IF(OR(G209="",AJ209=""),"",AJ209-G209)</f>
        <v/>
      </c>
      <c r="AP209" s="50" t="str">
        <f aca="false">IF(AND(A209="",B209=""),"",IF(J209="","Status needed",IF(OR(J209="Applied",J209="Visit booked",J209="Withdrawn"),"OK",IF(G209="","Date assessed needed",IF(C209="","Date of birth needed",IF(COUNTA(L209,M209,P209,U209,V209,X209,AB209)&lt;7,"Band missing",IF(AND(OR(J209="Decision confirmed",J209="Family told",J209="Enrolled"),AG209=""),"Recommendation needed",IF(AND(OR(J209="Family told",J209="Enrolled"),AJ209=""),"Date family told needed","OK"))))))))</f>
        <v/>
      </c>
    </row>
    <row r="210" customFormat="false" ht="15" hidden="false" customHeight="false" outlineLevel="0" collapsed="false">
      <c r="A210" s="7"/>
      <c r="B210" s="7"/>
      <c r="C210" s="46"/>
      <c r="D210" s="7"/>
      <c r="E210" s="47"/>
      <c r="F210" s="46"/>
      <c r="G210" s="46"/>
      <c r="H210" s="7"/>
      <c r="I210" s="7"/>
      <c r="J210" s="47"/>
      <c r="K210" s="47"/>
      <c r="L210" s="47"/>
      <c r="M210" s="47"/>
      <c r="N210" s="10"/>
      <c r="O210" s="47"/>
      <c r="P210" s="47"/>
      <c r="Q210" s="47"/>
      <c r="R210" s="48" t="str">
        <f aca="false">IF(Q210="","",IF(Q210=0,"below 5:00",IF(Q210&gt;=66,"16:00 or above",INT((60+2*Q210)/12)&amp;":"&amp;TEXT(MOD(60+2*Q210,12),"00"))))</f>
        <v/>
      </c>
      <c r="S210" s="47"/>
      <c r="T210" s="47"/>
      <c r="U210" s="47"/>
      <c r="V210" s="47"/>
      <c r="W210" s="47"/>
      <c r="X210" s="47"/>
      <c r="Y210" s="47"/>
      <c r="Z210" s="47"/>
      <c r="AA210" s="47"/>
      <c r="AB210" s="47"/>
      <c r="AC210" s="47"/>
      <c r="AD210" s="47"/>
      <c r="AE210" s="47"/>
      <c r="AF210" s="47"/>
      <c r="AG210" s="47"/>
      <c r="AH210" s="47"/>
      <c r="AI210" s="46"/>
      <c r="AJ210" s="46"/>
      <c r="AK210" s="46"/>
      <c r="AL210" s="7"/>
      <c r="AM210" s="49" t="str">
        <f aca="false">IF(OR(C210="",G210=""),"",IFERROR(DATEDIF(C210,G210,"m"),""))</f>
        <v/>
      </c>
      <c r="AN210" s="49" t="str">
        <f aca="false">IF(OR(Q210="",AM210=""),"",60+2*Q210-AM210)</f>
        <v/>
      </c>
      <c r="AO210" s="49" t="str">
        <f aca="false">IF(OR(G210="",AJ210=""),"",AJ210-G210)</f>
        <v/>
      </c>
      <c r="AP210" s="50" t="str">
        <f aca="false">IF(AND(A210="",B210=""),"",IF(J210="","Status needed",IF(OR(J210="Applied",J210="Visit booked",J210="Withdrawn"),"OK",IF(G210="","Date assessed needed",IF(C210="","Date of birth needed",IF(COUNTA(L210,M210,P210,U210,V210,X210,AB210)&lt;7,"Band missing",IF(AND(OR(J210="Decision confirmed",J210="Family told",J210="Enrolled"),AG210=""),"Recommendation needed",IF(AND(OR(J210="Family told",J210="Enrolled"),AJ210=""),"Date family told needed","OK"))))))))</f>
        <v/>
      </c>
    </row>
    <row r="211" customFormat="false" ht="15" hidden="false" customHeight="false" outlineLevel="0" collapsed="false">
      <c r="A211" s="7"/>
      <c r="B211" s="7"/>
      <c r="C211" s="46"/>
      <c r="D211" s="7"/>
      <c r="E211" s="47"/>
      <c r="F211" s="46"/>
      <c r="G211" s="46"/>
      <c r="H211" s="7"/>
      <c r="I211" s="7"/>
      <c r="J211" s="47"/>
      <c r="K211" s="47"/>
      <c r="L211" s="47"/>
      <c r="M211" s="47"/>
      <c r="N211" s="10"/>
      <c r="O211" s="47"/>
      <c r="P211" s="47"/>
      <c r="Q211" s="47"/>
      <c r="R211" s="48" t="str">
        <f aca="false">IF(Q211="","",IF(Q211=0,"below 5:00",IF(Q211&gt;=66,"16:00 or above",INT((60+2*Q211)/12)&amp;":"&amp;TEXT(MOD(60+2*Q211,12),"00"))))</f>
        <v/>
      </c>
      <c r="S211" s="47"/>
      <c r="T211" s="47"/>
      <c r="U211" s="47"/>
      <c r="V211" s="47"/>
      <c r="W211" s="47"/>
      <c r="X211" s="47"/>
      <c r="Y211" s="47"/>
      <c r="Z211" s="47"/>
      <c r="AA211" s="47"/>
      <c r="AB211" s="47"/>
      <c r="AC211" s="47"/>
      <c r="AD211" s="47"/>
      <c r="AE211" s="47"/>
      <c r="AF211" s="47"/>
      <c r="AG211" s="47"/>
      <c r="AH211" s="47"/>
      <c r="AI211" s="46"/>
      <c r="AJ211" s="46"/>
      <c r="AK211" s="46"/>
      <c r="AL211" s="7"/>
      <c r="AM211" s="49" t="str">
        <f aca="false">IF(OR(C211="",G211=""),"",IFERROR(DATEDIF(C211,G211,"m"),""))</f>
        <v/>
      </c>
      <c r="AN211" s="49" t="str">
        <f aca="false">IF(OR(Q211="",AM211=""),"",60+2*Q211-AM211)</f>
        <v/>
      </c>
      <c r="AO211" s="49" t="str">
        <f aca="false">IF(OR(G211="",AJ211=""),"",AJ211-G211)</f>
        <v/>
      </c>
      <c r="AP211" s="50" t="str">
        <f aca="false">IF(AND(A211="",B211=""),"",IF(J211="","Status needed",IF(OR(J211="Applied",J211="Visit booked",J211="Withdrawn"),"OK",IF(G211="","Date assessed needed",IF(C211="","Date of birth needed",IF(COUNTA(L211,M211,P211,U211,V211,X211,AB211)&lt;7,"Band missing",IF(AND(OR(J211="Decision confirmed",J211="Family told",J211="Enrolled"),AG211=""),"Recommendation needed",IF(AND(OR(J211="Family told",J211="Enrolled"),AJ211=""),"Date family told needed","OK"))))))))</f>
        <v/>
      </c>
    </row>
    <row r="212" customFormat="false" ht="15" hidden="false" customHeight="false" outlineLevel="0" collapsed="false">
      <c r="A212" s="7"/>
      <c r="B212" s="7"/>
      <c r="C212" s="46"/>
      <c r="D212" s="7"/>
      <c r="E212" s="47"/>
      <c r="F212" s="46"/>
      <c r="G212" s="46"/>
      <c r="H212" s="7"/>
      <c r="I212" s="7"/>
      <c r="J212" s="47"/>
      <c r="K212" s="47"/>
      <c r="L212" s="47"/>
      <c r="M212" s="47"/>
      <c r="N212" s="10"/>
      <c r="O212" s="47"/>
      <c r="P212" s="47"/>
      <c r="Q212" s="47"/>
      <c r="R212" s="48" t="str">
        <f aca="false">IF(Q212="","",IF(Q212=0,"below 5:00",IF(Q212&gt;=66,"16:00 or above",INT((60+2*Q212)/12)&amp;":"&amp;TEXT(MOD(60+2*Q212,12),"00"))))</f>
        <v/>
      </c>
      <c r="S212" s="47"/>
      <c r="T212" s="47"/>
      <c r="U212" s="47"/>
      <c r="V212" s="47"/>
      <c r="W212" s="47"/>
      <c r="X212" s="47"/>
      <c r="Y212" s="47"/>
      <c r="Z212" s="47"/>
      <c r="AA212" s="47"/>
      <c r="AB212" s="47"/>
      <c r="AC212" s="47"/>
      <c r="AD212" s="47"/>
      <c r="AE212" s="47"/>
      <c r="AF212" s="47"/>
      <c r="AG212" s="47"/>
      <c r="AH212" s="47"/>
      <c r="AI212" s="46"/>
      <c r="AJ212" s="46"/>
      <c r="AK212" s="46"/>
      <c r="AL212" s="7"/>
      <c r="AM212" s="49" t="str">
        <f aca="false">IF(OR(C212="",G212=""),"",IFERROR(DATEDIF(C212,G212,"m"),""))</f>
        <v/>
      </c>
      <c r="AN212" s="49" t="str">
        <f aca="false">IF(OR(Q212="",AM212=""),"",60+2*Q212-AM212)</f>
        <v/>
      </c>
      <c r="AO212" s="49" t="str">
        <f aca="false">IF(OR(G212="",AJ212=""),"",AJ212-G212)</f>
        <v/>
      </c>
      <c r="AP212" s="50" t="str">
        <f aca="false">IF(AND(A212="",B212=""),"",IF(J212="","Status needed",IF(OR(J212="Applied",J212="Visit booked",J212="Withdrawn"),"OK",IF(G212="","Date assessed needed",IF(C212="","Date of birth needed",IF(COUNTA(L212,M212,P212,U212,V212,X212,AB212)&lt;7,"Band missing",IF(AND(OR(J212="Decision confirmed",J212="Family told",J212="Enrolled"),AG212=""),"Recommendation needed",IF(AND(OR(J212="Family told",J212="Enrolled"),AJ212=""),"Date family told needed","OK"))))))))</f>
        <v/>
      </c>
    </row>
    <row r="213" customFormat="false" ht="15" hidden="false" customHeight="false" outlineLevel="0" collapsed="false">
      <c r="A213" s="7"/>
      <c r="B213" s="7"/>
      <c r="C213" s="46"/>
      <c r="D213" s="7"/>
      <c r="E213" s="47"/>
      <c r="F213" s="46"/>
      <c r="G213" s="46"/>
      <c r="H213" s="7"/>
      <c r="I213" s="7"/>
      <c r="J213" s="47"/>
      <c r="K213" s="47"/>
      <c r="L213" s="47"/>
      <c r="M213" s="47"/>
      <c r="N213" s="10"/>
      <c r="O213" s="47"/>
      <c r="P213" s="47"/>
      <c r="Q213" s="47"/>
      <c r="R213" s="48" t="str">
        <f aca="false">IF(Q213="","",IF(Q213=0,"below 5:00",IF(Q213&gt;=66,"16:00 or above",INT((60+2*Q213)/12)&amp;":"&amp;TEXT(MOD(60+2*Q213,12),"00"))))</f>
        <v/>
      </c>
      <c r="S213" s="47"/>
      <c r="T213" s="47"/>
      <c r="U213" s="47"/>
      <c r="V213" s="47"/>
      <c r="W213" s="47"/>
      <c r="X213" s="47"/>
      <c r="Y213" s="47"/>
      <c r="Z213" s="47"/>
      <c r="AA213" s="47"/>
      <c r="AB213" s="47"/>
      <c r="AC213" s="47"/>
      <c r="AD213" s="47"/>
      <c r="AE213" s="47"/>
      <c r="AF213" s="47"/>
      <c r="AG213" s="47"/>
      <c r="AH213" s="47"/>
      <c r="AI213" s="46"/>
      <c r="AJ213" s="46"/>
      <c r="AK213" s="46"/>
      <c r="AL213" s="7"/>
      <c r="AM213" s="49" t="str">
        <f aca="false">IF(OR(C213="",G213=""),"",IFERROR(DATEDIF(C213,G213,"m"),""))</f>
        <v/>
      </c>
      <c r="AN213" s="49" t="str">
        <f aca="false">IF(OR(Q213="",AM213=""),"",60+2*Q213-AM213)</f>
        <v/>
      </c>
      <c r="AO213" s="49" t="str">
        <f aca="false">IF(OR(G213="",AJ213=""),"",AJ213-G213)</f>
        <v/>
      </c>
      <c r="AP213" s="50" t="str">
        <f aca="false">IF(AND(A213="",B213=""),"",IF(J213="","Status needed",IF(OR(J213="Applied",J213="Visit booked",J213="Withdrawn"),"OK",IF(G213="","Date assessed needed",IF(C213="","Date of birth needed",IF(COUNTA(L213,M213,P213,U213,V213,X213,AB213)&lt;7,"Band missing",IF(AND(OR(J213="Decision confirmed",J213="Family told",J213="Enrolled"),AG213=""),"Recommendation needed",IF(AND(OR(J213="Family told",J213="Enrolled"),AJ213=""),"Date family told needed","OK"))))))))</f>
        <v/>
      </c>
    </row>
    <row r="214" customFormat="false" ht="15" hidden="false" customHeight="false" outlineLevel="0" collapsed="false">
      <c r="A214" s="7"/>
      <c r="B214" s="7"/>
      <c r="C214" s="46"/>
      <c r="D214" s="7"/>
      <c r="E214" s="47"/>
      <c r="F214" s="46"/>
      <c r="G214" s="46"/>
      <c r="H214" s="7"/>
      <c r="I214" s="7"/>
      <c r="J214" s="47"/>
      <c r="K214" s="47"/>
      <c r="L214" s="47"/>
      <c r="M214" s="47"/>
      <c r="N214" s="10"/>
      <c r="O214" s="47"/>
      <c r="P214" s="47"/>
      <c r="Q214" s="47"/>
      <c r="R214" s="48" t="str">
        <f aca="false">IF(Q214="","",IF(Q214=0,"below 5:00",IF(Q214&gt;=66,"16:00 or above",INT((60+2*Q214)/12)&amp;":"&amp;TEXT(MOD(60+2*Q214,12),"00"))))</f>
        <v/>
      </c>
      <c r="S214" s="47"/>
      <c r="T214" s="47"/>
      <c r="U214" s="47"/>
      <c r="V214" s="47"/>
      <c r="W214" s="47"/>
      <c r="X214" s="47"/>
      <c r="Y214" s="47"/>
      <c r="Z214" s="47"/>
      <c r="AA214" s="47"/>
      <c r="AB214" s="47"/>
      <c r="AC214" s="47"/>
      <c r="AD214" s="47"/>
      <c r="AE214" s="47"/>
      <c r="AF214" s="47"/>
      <c r="AG214" s="47"/>
      <c r="AH214" s="47"/>
      <c r="AI214" s="46"/>
      <c r="AJ214" s="46"/>
      <c r="AK214" s="46"/>
      <c r="AL214" s="7"/>
      <c r="AM214" s="49" t="str">
        <f aca="false">IF(OR(C214="",G214=""),"",IFERROR(DATEDIF(C214,G214,"m"),""))</f>
        <v/>
      </c>
      <c r="AN214" s="49" t="str">
        <f aca="false">IF(OR(Q214="",AM214=""),"",60+2*Q214-AM214)</f>
        <v/>
      </c>
      <c r="AO214" s="49" t="str">
        <f aca="false">IF(OR(G214="",AJ214=""),"",AJ214-G214)</f>
        <v/>
      </c>
      <c r="AP214" s="50" t="str">
        <f aca="false">IF(AND(A214="",B214=""),"",IF(J214="","Status needed",IF(OR(J214="Applied",J214="Visit booked",J214="Withdrawn"),"OK",IF(G214="","Date assessed needed",IF(C214="","Date of birth needed",IF(COUNTA(L214,M214,P214,U214,V214,X214,AB214)&lt;7,"Band missing",IF(AND(OR(J214="Decision confirmed",J214="Family told",J214="Enrolled"),AG214=""),"Recommendation needed",IF(AND(OR(J214="Family told",J214="Enrolled"),AJ214=""),"Date family told needed","OK"))))))))</f>
        <v/>
      </c>
    </row>
    <row r="215" customFormat="false" ht="15" hidden="false" customHeight="false" outlineLevel="0" collapsed="false">
      <c r="A215" s="7"/>
      <c r="B215" s="7"/>
      <c r="C215" s="46"/>
      <c r="D215" s="7"/>
      <c r="E215" s="47"/>
      <c r="F215" s="46"/>
      <c r="G215" s="46"/>
      <c r="H215" s="7"/>
      <c r="I215" s="7"/>
      <c r="J215" s="47"/>
      <c r="K215" s="47"/>
      <c r="L215" s="47"/>
      <c r="M215" s="47"/>
      <c r="N215" s="10"/>
      <c r="O215" s="47"/>
      <c r="P215" s="47"/>
      <c r="Q215" s="47"/>
      <c r="R215" s="48" t="str">
        <f aca="false">IF(Q215="","",IF(Q215=0,"below 5:00",IF(Q215&gt;=66,"16:00 or above",INT((60+2*Q215)/12)&amp;":"&amp;TEXT(MOD(60+2*Q215,12),"00"))))</f>
        <v/>
      </c>
      <c r="S215" s="47"/>
      <c r="T215" s="47"/>
      <c r="U215" s="47"/>
      <c r="V215" s="47"/>
      <c r="W215" s="47"/>
      <c r="X215" s="47"/>
      <c r="Y215" s="47"/>
      <c r="Z215" s="47"/>
      <c r="AA215" s="47"/>
      <c r="AB215" s="47"/>
      <c r="AC215" s="47"/>
      <c r="AD215" s="47"/>
      <c r="AE215" s="47"/>
      <c r="AF215" s="47"/>
      <c r="AG215" s="47"/>
      <c r="AH215" s="47"/>
      <c r="AI215" s="46"/>
      <c r="AJ215" s="46"/>
      <c r="AK215" s="46"/>
      <c r="AL215" s="7"/>
      <c r="AM215" s="49" t="str">
        <f aca="false">IF(OR(C215="",G215=""),"",IFERROR(DATEDIF(C215,G215,"m"),""))</f>
        <v/>
      </c>
      <c r="AN215" s="49" t="str">
        <f aca="false">IF(OR(Q215="",AM215=""),"",60+2*Q215-AM215)</f>
        <v/>
      </c>
      <c r="AO215" s="49" t="str">
        <f aca="false">IF(OR(G215="",AJ215=""),"",AJ215-G215)</f>
        <v/>
      </c>
      <c r="AP215" s="50" t="str">
        <f aca="false">IF(AND(A215="",B215=""),"",IF(J215="","Status needed",IF(OR(J215="Applied",J215="Visit booked",J215="Withdrawn"),"OK",IF(G215="","Date assessed needed",IF(C215="","Date of birth needed",IF(COUNTA(L215,M215,P215,U215,V215,X215,AB215)&lt;7,"Band missing",IF(AND(OR(J215="Decision confirmed",J215="Family told",J215="Enrolled"),AG215=""),"Recommendation needed",IF(AND(OR(J215="Family told",J215="Enrolled"),AJ215=""),"Date family told needed","OK"))))))))</f>
        <v/>
      </c>
    </row>
    <row r="216" customFormat="false" ht="15" hidden="false" customHeight="false" outlineLevel="0" collapsed="false">
      <c r="A216" s="7"/>
      <c r="B216" s="7"/>
      <c r="C216" s="46"/>
      <c r="D216" s="7"/>
      <c r="E216" s="47"/>
      <c r="F216" s="46"/>
      <c r="G216" s="46"/>
      <c r="H216" s="7"/>
      <c r="I216" s="7"/>
      <c r="J216" s="47"/>
      <c r="K216" s="47"/>
      <c r="L216" s="47"/>
      <c r="M216" s="47"/>
      <c r="N216" s="10"/>
      <c r="O216" s="47"/>
      <c r="P216" s="47"/>
      <c r="Q216" s="47"/>
      <c r="R216" s="48" t="str">
        <f aca="false">IF(Q216="","",IF(Q216=0,"below 5:00",IF(Q216&gt;=66,"16:00 or above",INT((60+2*Q216)/12)&amp;":"&amp;TEXT(MOD(60+2*Q216,12),"00"))))</f>
        <v/>
      </c>
      <c r="S216" s="47"/>
      <c r="T216" s="47"/>
      <c r="U216" s="47"/>
      <c r="V216" s="47"/>
      <c r="W216" s="47"/>
      <c r="X216" s="47"/>
      <c r="Y216" s="47"/>
      <c r="Z216" s="47"/>
      <c r="AA216" s="47"/>
      <c r="AB216" s="47"/>
      <c r="AC216" s="47"/>
      <c r="AD216" s="47"/>
      <c r="AE216" s="47"/>
      <c r="AF216" s="47"/>
      <c r="AG216" s="47"/>
      <c r="AH216" s="47"/>
      <c r="AI216" s="46"/>
      <c r="AJ216" s="46"/>
      <c r="AK216" s="46"/>
      <c r="AL216" s="7"/>
      <c r="AM216" s="49" t="str">
        <f aca="false">IF(OR(C216="",G216=""),"",IFERROR(DATEDIF(C216,G216,"m"),""))</f>
        <v/>
      </c>
      <c r="AN216" s="49" t="str">
        <f aca="false">IF(OR(Q216="",AM216=""),"",60+2*Q216-AM216)</f>
        <v/>
      </c>
      <c r="AO216" s="49" t="str">
        <f aca="false">IF(OR(G216="",AJ216=""),"",AJ216-G216)</f>
        <v/>
      </c>
      <c r="AP216" s="50" t="str">
        <f aca="false">IF(AND(A216="",B216=""),"",IF(J216="","Status needed",IF(OR(J216="Applied",J216="Visit booked",J216="Withdrawn"),"OK",IF(G216="","Date assessed needed",IF(C216="","Date of birth needed",IF(COUNTA(L216,M216,P216,U216,V216,X216,AB216)&lt;7,"Band missing",IF(AND(OR(J216="Decision confirmed",J216="Family told",J216="Enrolled"),AG216=""),"Recommendation needed",IF(AND(OR(J216="Family told",J216="Enrolled"),AJ216=""),"Date family told needed","OK"))))))))</f>
        <v/>
      </c>
    </row>
    <row r="217" customFormat="false" ht="15" hidden="false" customHeight="false" outlineLevel="0" collapsed="false">
      <c r="A217" s="7"/>
      <c r="B217" s="7"/>
      <c r="C217" s="46"/>
      <c r="D217" s="7"/>
      <c r="E217" s="47"/>
      <c r="F217" s="46"/>
      <c r="G217" s="46"/>
      <c r="H217" s="7"/>
      <c r="I217" s="7"/>
      <c r="J217" s="47"/>
      <c r="K217" s="47"/>
      <c r="L217" s="47"/>
      <c r="M217" s="47"/>
      <c r="N217" s="10"/>
      <c r="O217" s="47"/>
      <c r="P217" s="47"/>
      <c r="Q217" s="47"/>
      <c r="R217" s="48" t="str">
        <f aca="false">IF(Q217="","",IF(Q217=0,"below 5:00",IF(Q217&gt;=66,"16:00 or above",INT((60+2*Q217)/12)&amp;":"&amp;TEXT(MOD(60+2*Q217,12),"00"))))</f>
        <v/>
      </c>
      <c r="S217" s="47"/>
      <c r="T217" s="47"/>
      <c r="U217" s="47"/>
      <c r="V217" s="47"/>
      <c r="W217" s="47"/>
      <c r="X217" s="47"/>
      <c r="Y217" s="47"/>
      <c r="Z217" s="47"/>
      <c r="AA217" s="47"/>
      <c r="AB217" s="47"/>
      <c r="AC217" s="47"/>
      <c r="AD217" s="47"/>
      <c r="AE217" s="47"/>
      <c r="AF217" s="47"/>
      <c r="AG217" s="47"/>
      <c r="AH217" s="47"/>
      <c r="AI217" s="46"/>
      <c r="AJ217" s="46"/>
      <c r="AK217" s="46"/>
      <c r="AL217" s="7"/>
      <c r="AM217" s="49" t="str">
        <f aca="false">IF(OR(C217="",G217=""),"",IFERROR(DATEDIF(C217,G217,"m"),""))</f>
        <v/>
      </c>
      <c r="AN217" s="49" t="str">
        <f aca="false">IF(OR(Q217="",AM217=""),"",60+2*Q217-AM217)</f>
        <v/>
      </c>
      <c r="AO217" s="49" t="str">
        <f aca="false">IF(OR(G217="",AJ217=""),"",AJ217-G217)</f>
        <v/>
      </c>
      <c r="AP217" s="50" t="str">
        <f aca="false">IF(AND(A217="",B217=""),"",IF(J217="","Status needed",IF(OR(J217="Applied",J217="Visit booked",J217="Withdrawn"),"OK",IF(G217="","Date assessed needed",IF(C217="","Date of birth needed",IF(COUNTA(L217,M217,P217,U217,V217,X217,AB217)&lt;7,"Band missing",IF(AND(OR(J217="Decision confirmed",J217="Family told",J217="Enrolled"),AG217=""),"Recommendation needed",IF(AND(OR(J217="Family told",J217="Enrolled"),AJ217=""),"Date family told needed","OK"))))))))</f>
        <v/>
      </c>
    </row>
    <row r="218" customFormat="false" ht="15" hidden="false" customHeight="false" outlineLevel="0" collapsed="false">
      <c r="A218" s="7"/>
      <c r="B218" s="7"/>
      <c r="C218" s="46"/>
      <c r="D218" s="7"/>
      <c r="E218" s="47"/>
      <c r="F218" s="46"/>
      <c r="G218" s="46"/>
      <c r="H218" s="7"/>
      <c r="I218" s="7"/>
      <c r="J218" s="47"/>
      <c r="K218" s="47"/>
      <c r="L218" s="47"/>
      <c r="M218" s="47"/>
      <c r="N218" s="10"/>
      <c r="O218" s="47"/>
      <c r="P218" s="47"/>
      <c r="Q218" s="47"/>
      <c r="R218" s="48" t="str">
        <f aca="false">IF(Q218="","",IF(Q218=0,"below 5:00",IF(Q218&gt;=66,"16:00 or above",INT((60+2*Q218)/12)&amp;":"&amp;TEXT(MOD(60+2*Q218,12),"00"))))</f>
        <v/>
      </c>
      <c r="S218" s="47"/>
      <c r="T218" s="47"/>
      <c r="U218" s="47"/>
      <c r="V218" s="47"/>
      <c r="W218" s="47"/>
      <c r="X218" s="47"/>
      <c r="Y218" s="47"/>
      <c r="Z218" s="47"/>
      <c r="AA218" s="47"/>
      <c r="AB218" s="47"/>
      <c r="AC218" s="47"/>
      <c r="AD218" s="47"/>
      <c r="AE218" s="47"/>
      <c r="AF218" s="47"/>
      <c r="AG218" s="47"/>
      <c r="AH218" s="47"/>
      <c r="AI218" s="46"/>
      <c r="AJ218" s="46"/>
      <c r="AK218" s="46"/>
      <c r="AL218" s="7"/>
      <c r="AM218" s="49" t="str">
        <f aca="false">IF(OR(C218="",G218=""),"",IFERROR(DATEDIF(C218,G218,"m"),""))</f>
        <v/>
      </c>
      <c r="AN218" s="49" t="str">
        <f aca="false">IF(OR(Q218="",AM218=""),"",60+2*Q218-AM218)</f>
        <v/>
      </c>
      <c r="AO218" s="49" t="str">
        <f aca="false">IF(OR(G218="",AJ218=""),"",AJ218-G218)</f>
        <v/>
      </c>
      <c r="AP218" s="50" t="str">
        <f aca="false">IF(AND(A218="",B218=""),"",IF(J218="","Status needed",IF(OR(J218="Applied",J218="Visit booked",J218="Withdrawn"),"OK",IF(G218="","Date assessed needed",IF(C218="","Date of birth needed",IF(COUNTA(L218,M218,P218,U218,V218,X218,AB218)&lt;7,"Band missing",IF(AND(OR(J218="Decision confirmed",J218="Family told",J218="Enrolled"),AG218=""),"Recommendation needed",IF(AND(OR(J218="Family told",J218="Enrolled"),AJ218=""),"Date family told needed","OK"))))))))</f>
        <v/>
      </c>
    </row>
    <row r="219" customFormat="false" ht="15" hidden="false" customHeight="false" outlineLevel="0" collapsed="false">
      <c r="A219" s="7"/>
      <c r="B219" s="7"/>
      <c r="C219" s="46"/>
      <c r="D219" s="7"/>
      <c r="E219" s="47"/>
      <c r="F219" s="46"/>
      <c r="G219" s="46"/>
      <c r="H219" s="7"/>
      <c r="I219" s="7"/>
      <c r="J219" s="47"/>
      <c r="K219" s="47"/>
      <c r="L219" s="47"/>
      <c r="M219" s="47"/>
      <c r="N219" s="10"/>
      <c r="O219" s="47"/>
      <c r="P219" s="47"/>
      <c r="Q219" s="47"/>
      <c r="R219" s="48" t="str">
        <f aca="false">IF(Q219="","",IF(Q219=0,"below 5:00",IF(Q219&gt;=66,"16:00 or above",INT((60+2*Q219)/12)&amp;":"&amp;TEXT(MOD(60+2*Q219,12),"00"))))</f>
        <v/>
      </c>
      <c r="S219" s="47"/>
      <c r="T219" s="47"/>
      <c r="U219" s="47"/>
      <c r="V219" s="47"/>
      <c r="W219" s="47"/>
      <c r="X219" s="47"/>
      <c r="Y219" s="47"/>
      <c r="Z219" s="47"/>
      <c r="AA219" s="47"/>
      <c r="AB219" s="47"/>
      <c r="AC219" s="47"/>
      <c r="AD219" s="47"/>
      <c r="AE219" s="47"/>
      <c r="AF219" s="47"/>
      <c r="AG219" s="47"/>
      <c r="AH219" s="47"/>
      <c r="AI219" s="46"/>
      <c r="AJ219" s="46"/>
      <c r="AK219" s="46"/>
      <c r="AL219" s="7"/>
      <c r="AM219" s="49" t="str">
        <f aca="false">IF(OR(C219="",G219=""),"",IFERROR(DATEDIF(C219,G219,"m"),""))</f>
        <v/>
      </c>
      <c r="AN219" s="49" t="str">
        <f aca="false">IF(OR(Q219="",AM219=""),"",60+2*Q219-AM219)</f>
        <v/>
      </c>
      <c r="AO219" s="49" t="str">
        <f aca="false">IF(OR(G219="",AJ219=""),"",AJ219-G219)</f>
        <v/>
      </c>
      <c r="AP219" s="50" t="str">
        <f aca="false">IF(AND(A219="",B219=""),"",IF(J219="","Status needed",IF(OR(J219="Applied",J219="Visit booked",J219="Withdrawn"),"OK",IF(G219="","Date assessed needed",IF(C219="","Date of birth needed",IF(COUNTA(L219,M219,P219,U219,V219,X219,AB219)&lt;7,"Band missing",IF(AND(OR(J219="Decision confirmed",J219="Family told",J219="Enrolled"),AG219=""),"Recommendation needed",IF(AND(OR(J219="Family told",J219="Enrolled"),AJ219=""),"Date family told needed","OK"))))))))</f>
        <v/>
      </c>
    </row>
    <row r="220" customFormat="false" ht="15" hidden="false" customHeight="false" outlineLevel="0" collapsed="false">
      <c r="A220" s="7"/>
      <c r="B220" s="7"/>
      <c r="C220" s="46"/>
      <c r="D220" s="7"/>
      <c r="E220" s="47"/>
      <c r="F220" s="46"/>
      <c r="G220" s="46"/>
      <c r="H220" s="7"/>
      <c r="I220" s="7"/>
      <c r="J220" s="47"/>
      <c r="K220" s="47"/>
      <c r="L220" s="47"/>
      <c r="M220" s="47"/>
      <c r="N220" s="10"/>
      <c r="O220" s="47"/>
      <c r="P220" s="47"/>
      <c r="Q220" s="47"/>
      <c r="R220" s="48" t="str">
        <f aca="false">IF(Q220="","",IF(Q220=0,"below 5:00",IF(Q220&gt;=66,"16:00 or above",INT((60+2*Q220)/12)&amp;":"&amp;TEXT(MOD(60+2*Q220,12),"00"))))</f>
        <v/>
      </c>
      <c r="S220" s="47"/>
      <c r="T220" s="47"/>
      <c r="U220" s="47"/>
      <c r="V220" s="47"/>
      <c r="W220" s="47"/>
      <c r="X220" s="47"/>
      <c r="Y220" s="47"/>
      <c r="Z220" s="47"/>
      <c r="AA220" s="47"/>
      <c r="AB220" s="47"/>
      <c r="AC220" s="47"/>
      <c r="AD220" s="47"/>
      <c r="AE220" s="47"/>
      <c r="AF220" s="47"/>
      <c r="AG220" s="47"/>
      <c r="AH220" s="47"/>
      <c r="AI220" s="46"/>
      <c r="AJ220" s="46"/>
      <c r="AK220" s="46"/>
      <c r="AL220" s="7"/>
      <c r="AM220" s="49" t="str">
        <f aca="false">IF(OR(C220="",G220=""),"",IFERROR(DATEDIF(C220,G220,"m"),""))</f>
        <v/>
      </c>
      <c r="AN220" s="49" t="str">
        <f aca="false">IF(OR(Q220="",AM220=""),"",60+2*Q220-AM220)</f>
        <v/>
      </c>
      <c r="AO220" s="49" t="str">
        <f aca="false">IF(OR(G220="",AJ220=""),"",AJ220-G220)</f>
        <v/>
      </c>
      <c r="AP220" s="50" t="str">
        <f aca="false">IF(AND(A220="",B220=""),"",IF(J220="","Status needed",IF(OR(J220="Applied",J220="Visit booked",J220="Withdrawn"),"OK",IF(G220="","Date assessed needed",IF(C220="","Date of birth needed",IF(COUNTA(L220,M220,P220,U220,V220,X220,AB220)&lt;7,"Band missing",IF(AND(OR(J220="Decision confirmed",J220="Family told",J220="Enrolled"),AG220=""),"Recommendation needed",IF(AND(OR(J220="Family told",J220="Enrolled"),AJ220=""),"Date family told needed","OK"))))))))</f>
        <v/>
      </c>
    </row>
    <row r="221" customFormat="false" ht="15" hidden="false" customHeight="false" outlineLevel="0" collapsed="false">
      <c r="A221" s="7"/>
      <c r="B221" s="7"/>
      <c r="C221" s="46"/>
      <c r="D221" s="7"/>
      <c r="E221" s="47"/>
      <c r="F221" s="46"/>
      <c r="G221" s="46"/>
      <c r="H221" s="7"/>
      <c r="I221" s="7"/>
      <c r="J221" s="47"/>
      <c r="K221" s="47"/>
      <c r="L221" s="47"/>
      <c r="M221" s="47"/>
      <c r="N221" s="10"/>
      <c r="O221" s="47"/>
      <c r="P221" s="47"/>
      <c r="Q221" s="47"/>
      <c r="R221" s="48" t="str">
        <f aca="false">IF(Q221="","",IF(Q221=0,"below 5:00",IF(Q221&gt;=66,"16:00 or above",INT((60+2*Q221)/12)&amp;":"&amp;TEXT(MOD(60+2*Q221,12),"00"))))</f>
        <v/>
      </c>
      <c r="S221" s="47"/>
      <c r="T221" s="47"/>
      <c r="U221" s="47"/>
      <c r="V221" s="47"/>
      <c r="W221" s="47"/>
      <c r="X221" s="47"/>
      <c r="Y221" s="47"/>
      <c r="Z221" s="47"/>
      <c r="AA221" s="47"/>
      <c r="AB221" s="47"/>
      <c r="AC221" s="47"/>
      <c r="AD221" s="47"/>
      <c r="AE221" s="47"/>
      <c r="AF221" s="47"/>
      <c r="AG221" s="47"/>
      <c r="AH221" s="47"/>
      <c r="AI221" s="46"/>
      <c r="AJ221" s="46"/>
      <c r="AK221" s="46"/>
      <c r="AL221" s="7"/>
      <c r="AM221" s="49" t="str">
        <f aca="false">IF(OR(C221="",G221=""),"",IFERROR(DATEDIF(C221,G221,"m"),""))</f>
        <v/>
      </c>
      <c r="AN221" s="49" t="str">
        <f aca="false">IF(OR(Q221="",AM221=""),"",60+2*Q221-AM221)</f>
        <v/>
      </c>
      <c r="AO221" s="49" t="str">
        <f aca="false">IF(OR(G221="",AJ221=""),"",AJ221-G221)</f>
        <v/>
      </c>
      <c r="AP221" s="50" t="str">
        <f aca="false">IF(AND(A221="",B221=""),"",IF(J221="","Status needed",IF(OR(J221="Applied",J221="Visit booked",J221="Withdrawn"),"OK",IF(G221="","Date assessed needed",IF(C221="","Date of birth needed",IF(COUNTA(L221,M221,P221,U221,V221,X221,AB221)&lt;7,"Band missing",IF(AND(OR(J221="Decision confirmed",J221="Family told",J221="Enrolled"),AG221=""),"Recommendation needed",IF(AND(OR(J221="Family told",J221="Enrolled"),AJ221=""),"Date family told needed","OK"))))))))</f>
        <v/>
      </c>
    </row>
    <row r="222" customFormat="false" ht="15" hidden="false" customHeight="false" outlineLevel="0" collapsed="false">
      <c r="A222" s="7"/>
      <c r="B222" s="7"/>
      <c r="C222" s="46"/>
      <c r="D222" s="7"/>
      <c r="E222" s="47"/>
      <c r="F222" s="46"/>
      <c r="G222" s="46"/>
      <c r="H222" s="7"/>
      <c r="I222" s="7"/>
      <c r="J222" s="47"/>
      <c r="K222" s="47"/>
      <c r="L222" s="47"/>
      <c r="M222" s="47"/>
      <c r="N222" s="10"/>
      <c r="O222" s="47"/>
      <c r="P222" s="47"/>
      <c r="Q222" s="47"/>
      <c r="R222" s="48" t="str">
        <f aca="false">IF(Q222="","",IF(Q222=0,"below 5:00",IF(Q222&gt;=66,"16:00 or above",INT((60+2*Q222)/12)&amp;":"&amp;TEXT(MOD(60+2*Q222,12),"00"))))</f>
        <v/>
      </c>
      <c r="S222" s="47"/>
      <c r="T222" s="47"/>
      <c r="U222" s="47"/>
      <c r="V222" s="47"/>
      <c r="W222" s="47"/>
      <c r="X222" s="47"/>
      <c r="Y222" s="47"/>
      <c r="Z222" s="47"/>
      <c r="AA222" s="47"/>
      <c r="AB222" s="47"/>
      <c r="AC222" s="47"/>
      <c r="AD222" s="47"/>
      <c r="AE222" s="47"/>
      <c r="AF222" s="47"/>
      <c r="AG222" s="47"/>
      <c r="AH222" s="47"/>
      <c r="AI222" s="46"/>
      <c r="AJ222" s="46"/>
      <c r="AK222" s="46"/>
      <c r="AL222" s="7"/>
      <c r="AM222" s="49" t="str">
        <f aca="false">IF(OR(C222="",G222=""),"",IFERROR(DATEDIF(C222,G222,"m"),""))</f>
        <v/>
      </c>
      <c r="AN222" s="49" t="str">
        <f aca="false">IF(OR(Q222="",AM222=""),"",60+2*Q222-AM222)</f>
        <v/>
      </c>
      <c r="AO222" s="49" t="str">
        <f aca="false">IF(OR(G222="",AJ222=""),"",AJ222-G222)</f>
        <v/>
      </c>
      <c r="AP222" s="50" t="str">
        <f aca="false">IF(AND(A222="",B222=""),"",IF(J222="","Status needed",IF(OR(J222="Applied",J222="Visit booked",J222="Withdrawn"),"OK",IF(G222="","Date assessed needed",IF(C222="","Date of birth needed",IF(COUNTA(L222,M222,P222,U222,V222,X222,AB222)&lt;7,"Band missing",IF(AND(OR(J222="Decision confirmed",J222="Family told",J222="Enrolled"),AG222=""),"Recommendation needed",IF(AND(OR(J222="Family told",J222="Enrolled"),AJ222=""),"Date family told needed","OK"))))))))</f>
        <v/>
      </c>
    </row>
    <row r="223" customFormat="false" ht="15" hidden="false" customHeight="false" outlineLevel="0" collapsed="false">
      <c r="A223" s="7"/>
      <c r="B223" s="7"/>
      <c r="C223" s="46"/>
      <c r="D223" s="7"/>
      <c r="E223" s="47"/>
      <c r="F223" s="46"/>
      <c r="G223" s="46"/>
      <c r="H223" s="7"/>
      <c r="I223" s="7"/>
      <c r="J223" s="47"/>
      <c r="K223" s="47"/>
      <c r="L223" s="47"/>
      <c r="M223" s="47"/>
      <c r="N223" s="10"/>
      <c r="O223" s="47"/>
      <c r="P223" s="47"/>
      <c r="Q223" s="47"/>
      <c r="R223" s="48" t="str">
        <f aca="false">IF(Q223="","",IF(Q223=0,"below 5:00",IF(Q223&gt;=66,"16:00 or above",INT((60+2*Q223)/12)&amp;":"&amp;TEXT(MOD(60+2*Q223,12),"00"))))</f>
        <v/>
      </c>
      <c r="S223" s="47"/>
      <c r="T223" s="47"/>
      <c r="U223" s="47"/>
      <c r="V223" s="47"/>
      <c r="W223" s="47"/>
      <c r="X223" s="47"/>
      <c r="Y223" s="47"/>
      <c r="Z223" s="47"/>
      <c r="AA223" s="47"/>
      <c r="AB223" s="47"/>
      <c r="AC223" s="47"/>
      <c r="AD223" s="47"/>
      <c r="AE223" s="47"/>
      <c r="AF223" s="47"/>
      <c r="AG223" s="47"/>
      <c r="AH223" s="47"/>
      <c r="AI223" s="46"/>
      <c r="AJ223" s="46"/>
      <c r="AK223" s="46"/>
      <c r="AL223" s="7"/>
      <c r="AM223" s="49" t="str">
        <f aca="false">IF(OR(C223="",G223=""),"",IFERROR(DATEDIF(C223,G223,"m"),""))</f>
        <v/>
      </c>
      <c r="AN223" s="49" t="str">
        <f aca="false">IF(OR(Q223="",AM223=""),"",60+2*Q223-AM223)</f>
        <v/>
      </c>
      <c r="AO223" s="49" t="str">
        <f aca="false">IF(OR(G223="",AJ223=""),"",AJ223-G223)</f>
        <v/>
      </c>
      <c r="AP223" s="50" t="str">
        <f aca="false">IF(AND(A223="",B223=""),"",IF(J223="","Status needed",IF(OR(J223="Applied",J223="Visit booked",J223="Withdrawn"),"OK",IF(G223="","Date assessed needed",IF(C223="","Date of birth needed",IF(COUNTA(L223,M223,P223,U223,V223,X223,AB223)&lt;7,"Band missing",IF(AND(OR(J223="Decision confirmed",J223="Family told",J223="Enrolled"),AG223=""),"Recommendation needed",IF(AND(OR(J223="Family told",J223="Enrolled"),AJ223=""),"Date family told needed","OK"))))))))</f>
        <v/>
      </c>
    </row>
    <row r="224" customFormat="false" ht="15" hidden="false" customHeight="false" outlineLevel="0" collapsed="false">
      <c r="A224" s="7"/>
      <c r="B224" s="7"/>
      <c r="C224" s="46"/>
      <c r="D224" s="7"/>
      <c r="E224" s="47"/>
      <c r="F224" s="46"/>
      <c r="G224" s="46"/>
      <c r="H224" s="7"/>
      <c r="I224" s="7"/>
      <c r="J224" s="47"/>
      <c r="K224" s="47"/>
      <c r="L224" s="47"/>
      <c r="M224" s="47"/>
      <c r="N224" s="10"/>
      <c r="O224" s="47"/>
      <c r="P224" s="47"/>
      <c r="Q224" s="47"/>
      <c r="R224" s="48" t="str">
        <f aca="false">IF(Q224="","",IF(Q224=0,"below 5:00",IF(Q224&gt;=66,"16:00 or above",INT((60+2*Q224)/12)&amp;":"&amp;TEXT(MOD(60+2*Q224,12),"00"))))</f>
        <v/>
      </c>
      <c r="S224" s="47"/>
      <c r="T224" s="47"/>
      <c r="U224" s="47"/>
      <c r="V224" s="47"/>
      <c r="W224" s="47"/>
      <c r="X224" s="47"/>
      <c r="Y224" s="47"/>
      <c r="Z224" s="47"/>
      <c r="AA224" s="47"/>
      <c r="AB224" s="47"/>
      <c r="AC224" s="47"/>
      <c r="AD224" s="47"/>
      <c r="AE224" s="47"/>
      <c r="AF224" s="47"/>
      <c r="AG224" s="47"/>
      <c r="AH224" s="47"/>
      <c r="AI224" s="46"/>
      <c r="AJ224" s="46"/>
      <c r="AK224" s="46"/>
      <c r="AL224" s="7"/>
      <c r="AM224" s="49" t="str">
        <f aca="false">IF(OR(C224="",G224=""),"",IFERROR(DATEDIF(C224,G224,"m"),""))</f>
        <v/>
      </c>
      <c r="AN224" s="49" t="str">
        <f aca="false">IF(OR(Q224="",AM224=""),"",60+2*Q224-AM224)</f>
        <v/>
      </c>
      <c r="AO224" s="49" t="str">
        <f aca="false">IF(OR(G224="",AJ224=""),"",AJ224-G224)</f>
        <v/>
      </c>
      <c r="AP224" s="50" t="str">
        <f aca="false">IF(AND(A224="",B224=""),"",IF(J224="","Status needed",IF(OR(J224="Applied",J224="Visit booked",J224="Withdrawn"),"OK",IF(G224="","Date assessed needed",IF(C224="","Date of birth needed",IF(COUNTA(L224,M224,P224,U224,V224,X224,AB224)&lt;7,"Band missing",IF(AND(OR(J224="Decision confirmed",J224="Family told",J224="Enrolled"),AG224=""),"Recommendation needed",IF(AND(OR(J224="Family told",J224="Enrolled"),AJ224=""),"Date family told needed","OK"))))))))</f>
        <v/>
      </c>
    </row>
    <row r="225" customFormat="false" ht="15" hidden="false" customHeight="false" outlineLevel="0" collapsed="false">
      <c r="A225" s="7"/>
      <c r="B225" s="7"/>
      <c r="C225" s="46"/>
      <c r="D225" s="7"/>
      <c r="E225" s="47"/>
      <c r="F225" s="46"/>
      <c r="G225" s="46"/>
      <c r="H225" s="7"/>
      <c r="I225" s="7"/>
      <c r="J225" s="47"/>
      <c r="K225" s="47"/>
      <c r="L225" s="47"/>
      <c r="M225" s="47"/>
      <c r="N225" s="10"/>
      <c r="O225" s="47"/>
      <c r="P225" s="47"/>
      <c r="Q225" s="47"/>
      <c r="R225" s="48" t="str">
        <f aca="false">IF(Q225="","",IF(Q225=0,"below 5:00",IF(Q225&gt;=66,"16:00 or above",INT((60+2*Q225)/12)&amp;":"&amp;TEXT(MOD(60+2*Q225,12),"00"))))</f>
        <v/>
      </c>
      <c r="S225" s="47"/>
      <c r="T225" s="47"/>
      <c r="U225" s="47"/>
      <c r="V225" s="47"/>
      <c r="W225" s="47"/>
      <c r="X225" s="47"/>
      <c r="Y225" s="47"/>
      <c r="Z225" s="47"/>
      <c r="AA225" s="47"/>
      <c r="AB225" s="47"/>
      <c r="AC225" s="47"/>
      <c r="AD225" s="47"/>
      <c r="AE225" s="47"/>
      <c r="AF225" s="47"/>
      <c r="AG225" s="47"/>
      <c r="AH225" s="47"/>
      <c r="AI225" s="46"/>
      <c r="AJ225" s="46"/>
      <c r="AK225" s="46"/>
      <c r="AL225" s="7"/>
      <c r="AM225" s="49" t="str">
        <f aca="false">IF(OR(C225="",G225=""),"",IFERROR(DATEDIF(C225,G225,"m"),""))</f>
        <v/>
      </c>
      <c r="AN225" s="49" t="str">
        <f aca="false">IF(OR(Q225="",AM225=""),"",60+2*Q225-AM225)</f>
        <v/>
      </c>
      <c r="AO225" s="49" t="str">
        <f aca="false">IF(OR(G225="",AJ225=""),"",AJ225-G225)</f>
        <v/>
      </c>
      <c r="AP225" s="50" t="str">
        <f aca="false">IF(AND(A225="",B225=""),"",IF(J225="","Status needed",IF(OR(J225="Applied",J225="Visit booked",J225="Withdrawn"),"OK",IF(G225="","Date assessed needed",IF(C225="","Date of birth needed",IF(COUNTA(L225,M225,P225,U225,V225,X225,AB225)&lt;7,"Band missing",IF(AND(OR(J225="Decision confirmed",J225="Family told",J225="Enrolled"),AG225=""),"Recommendation needed",IF(AND(OR(J225="Family told",J225="Enrolled"),AJ225=""),"Date family told needed","OK"))))))))</f>
        <v/>
      </c>
    </row>
    <row r="226" customFormat="false" ht="15" hidden="false" customHeight="false" outlineLevel="0" collapsed="false">
      <c r="A226" s="7"/>
      <c r="B226" s="7"/>
      <c r="C226" s="46"/>
      <c r="D226" s="7"/>
      <c r="E226" s="47"/>
      <c r="F226" s="46"/>
      <c r="G226" s="46"/>
      <c r="H226" s="7"/>
      <c r="I226" s="7"/>
      <c r="J226" s="47"/>
      <c r="K226" s="47"/>
      <c r="L226" s="47"/>
      <c r="M226" s="47"/>
      <c r="N226" s="10"/>
      <c r="O226" s="47"/>
      <c r="P226" s="47"/>
      <c r="Q226" s="47"/>
      <c r="R226" s="48" t="str">
        <f aca="false">IF(Q226="","",IF(Q226=0,"below 5:00",IF(Q226&gt;=66,"16:00 or above",INT((60+2*Q226)/12)&amp;":"&amp;TEXT(MOD(60+2*Q226,12),"00"))))</f>
        <v/>
      </c>
      <c r="S226" s="47"/>
      <c r="T226" s="47"/>
      <c r="U226" s="47"/>
      <c r="V226" s="47"/>
      <c r="W226" s="47"/>
      <c r="X226" s="47"/>
      <c r="Y226" s="47"/>
      <c r="Z226" s="47"/>
      <c r="AA226" s="47"/>
      <c r="AB226" s="47"/>
      <c r="AC226" s="47"/>
      <c r="AD226" s="47"/>
      <c r="AE226" s="47"/>
      <c r="AF226" s="47"/>
      <c r="AG226" s="47"/>
      <c r="AH226" s="47"/>
      <c r="AI226" s="46"/>
      <c r="AJ226" s="46"/>
      <c r="AK226" s="46"/>
      <c r="AL226" s="7"/>
      <c r="AM226" s="49" t="str">
        <f aca="false">IF(OR(C226="",G226=""),"",IFERROR(DATEDIF(C226,G226,"m"),""))</f>
        <v/>
      </c>
      <c r="AN226" s="49" t="str">
        <f aca="false">IF(OR(Q226="",AM226=""),"",60+2*Q226-AM226)</f>
        <v/>
      </c>
      <c r="AO226" s="49" t="str">
        <f aca="false">IF(OR(G226="",AJ226=""),"",AJ226-G226)</f>
        <v/>
      </c>
      <c r="AP226" s="50" t="str">
        <f aca="false">IF(AND(A226="",B226=""),"",IF(J226="","Status needed",IF(OR(J226="Applied",J226="Visit booked",J226="Withdrawn"),"OK",IF(G226="","Date assessed needed",IF(C226="","Date of birth needed",IF(COUNTA(L226,M226,P226,U226,V226,X226,AB226)&lt;7,"Band missing",IF(AND(OR(J226="Decision confirmed",J226="Family told",J226="Enrolled"),AG226=""),"Recommendation needed",IF(AND(OR(J226="Family told",J226="Enrolled"),AJ226=""),"Date family told needed","OK"))))))))</f>
        <v/>
      </c>
    </row>
    <row r="227" customFormat="false" ht="15" hidden="false" customHeight="false" outlineLevel="0" collapsed="false">
      <c r="A227" s="7"/>
      <c r="B227" s="7"/>
      <c r="C227" s="46"/>
      <c r="D227" s="7"/>
      <c r="E227" s="47"/>
      <c r="F227" s="46"/>
      <c r="G227" s="46"/>
      <c r="H227" s="7"/>
      <c r="I227" s="7"/>
      <c r="J227" s="47"/>
      <c r="K227" s="47"/>
      <c r="L227" s="47"/>
      <c r="M227" s="47"/>
      <c r="N227" s="10"/>
      <c r="O227" s="47"/>
      <c r="P227" s="47"/>
      <c r="Q227" s="47"/>
      <c r="R227" s="48" t="str">
        <f aca="false">IF(Q227="","",IF(Q227=0,"below 5:00",IF(Q227&gt;=66,"16:00 or above",INT((60+2*Q227)/12)&amp;":"&amp;TEXT(MOD(60+2*Q227,12),"00"))))</f>
        <v/>
      </c>
      <c r="S227" s="47"/>
      <c r="T227" s="47"/>
      <c r="U227" s="47"/>
      <c r="V227" s="47"/>
      <c r="W227" s="47"/>
      <c r="X227" s="47"/>
      <c r="Y227" s="47"/>
      <c r="Z227" s="47"/>
      <c r="AA227" s="47"/>
      <c r="AB227" s="47"/>
      <c r="AC227" s="47"/>
      <c r="AD227" s="47"/>
      <c r="AE227" s="47"/>
      <c r="AF227" s="47"/>
      <c r="AG227" s="47"/>
      <c r="AH227" s="47"/>
      <c r="AI227" s="46"/>
      <c r="AJ227" s="46"/>
      <c r="AK227" s="46"/>
      <c r="AL227" s="7"/>
      <c r="AM227" s="49" t="str">
        <f aca="false">IF(OR(C227="",G227=""),"",IFERROR(DATEDIF(C227,G227,"m"),""))</f>
        <v/>
      </c>
      <c r="AN227" s="49" t="str">
        <f aca="false">IF(OR(Q227="",AM227=""),"",60+2*Q227-AM227)</f>
        <v/>
      </c>
      <c r="AO227" s="49" t="str">
        <f aca="false">IF(OR(G227="",AJ227=""),"",AJ227-G227)</f>
        <v/>
      </c>
      <c r="AP227" s="50" t="str">
        <f aca="false">IF(AND(A227="",B227=""),"",IF(J227="","Status needed",IF(OR(J227="Applied",J227="Visit booked",J227="Withdrawn"),"OK",IF(G227="","Date assessed needed",IF(C227="","Date of birth needed",IF(COUNTA(L227,M227,P227,U227,V227,X227,AB227)&lt;7,"Band missing",IF(AND(OR(J227="Decision confirmed",J227="Family told",J227="Enrolled"),AG227=""),"Recommendation needed",IF(AND(OR(J227="Family told",J227="Enrolled"),AJ227=""),"Date family told needed","OK"))))))))</f>
        <v/>
      </c>
    </row>
    <row r="228" customFormat="false" ht="15" hidden="false" customHeight="false" outlineLevel="0" collapsed="false">
      <c r="A228" s="7"/>
      <c r="B228" s="7"/>
      <c r="C228" s="46"/>
      <c r="D228" s="7"/>
      <c r="E228" s="47"/>
      <c r="F228" s="46"/>
      <c r="G228" s="46"/>
      <c r="H228" s="7"/>
      <c r="I228" s="7"/>
      <c r="J228" s="47"/>
      <c r="K228" s="47"/>
      <c r="L228" s="47"/>
      <c r="M228" s="47"/>
      <c r="N228" s="10"/>
      <c r="O228" s="47"/>
      <c r="P228" s="47"/>
      <c r="Q228" s="47"/>
      <c r="R228" s="48" t="str">
        <f aca="false">IF(Q228="","",IF(Q228=0,"below 5:00",IF(Q228&gt;=66,"16:00 or above",INT((60+2*Q228)/12)&amp;":"&amp;TEXT(MOD(60+2*Q228,12),"00"))))</f>
        <v/>
      </c>
      <c r="S228" s="47"/>
      <c r="T228" s="47"/>
      <c r="U228" s="47"/>
      <c r="V228" s="47"/>
      <c r="W228" s="47"/>
      <c r="X228" s="47"/>
      <c r="Y228" s="47"/>
      <c r="Z228" s="47"/>
      <c r="AA228" s="47"/>
      <c r="AB228" s="47"/>
      <c r="AC228" s="47"/>
      <c r="AD228" s="47"/>
      <c r="AE228" s="47"/>
      <c r="AF228" s="47"/>
      <c r="AG228" s="47"/>
      <c r="AH228" s="47"/>
      <c r="AI228" s="46"/>
      <c r="AJ228" s="46"/>
      <c r="AK228" s="46"/>
      <c r="AL228" s="7"/>
      <c r="AM228" s="49" t="str">
        <f aca="false">IF(OR(C228="",G228=""),"",IFERROR(DATEDIF(C228,G228,"m"),""))</f>
        <v/>
      </c>
      <c r="AN228" s="49" t="str">
        <f aca="false">IF(OR(Q228="",AM228=""),"",60+2*Q228-AM228)</f>
        <v/>
      </c>
      <c r="AO228" s="49" t="str">
        <f aca="false">IF(OR(G228="",AJ228=""),"",AJ228-G228)</f>
        <v/>
      </c>
      <c r="AP228" s="50" t="str">
        <f aca="false">IF(AND(A228="",B228=""),"",IF(J228="","Status needed",IF(OR(J228="Applied",J228="Visit booked",J228="Withdrawn"),"OK",IF(G228="","Date assessed needed",IF(C228="","Date of birth needed",IF(COUNTA(L228,M228,P228,U228,V228,X228,AB228)&lt;7,"Band missing",IF(AND(OR(J228="Decision confirmed",J228="Family told",J228="Enrolled"),AG228=""),"Recommendation needed",IF(AND(OR(J228="Family told",J228="Enrolled"),AJ228=""),"Date family told needed","OK"))))))))</f>
        <v/>
      </c>
    </row>
    <row r="229" customFormat="false" ht="15" hidden="false" customHeight="false" outlineLevel="0" collapsed="false">
      <c r="A229" s="7"/>
      <c r="B229" s="7"/>
      <c r="C229" s="46"/>
      <c r="D229" s="7"/>
      <c r="E229" s="47"/>
      <c r="F229" s="46"/>
      <c r="G229" s="46"/>
      <c r="H229" s="7"/>
      <c r="I229" s="7"/>
      <c r="J229" s="47"/>
      <c r="K229" s="47"/>
      <c r="L229" s="47"/>
      <c r="M229" s="47"/>
      <c r="N229" s="10"/>
      <c r="O229" s="47"/>
      <c r="P229" s="47"/>
      <c r="Q229" s="47"/>
      <c r="R229" s="48" t="str">
        <f aca="false">IF(Q229="","",IF(Q229=0,"below 5:00",IF(Q229&gt;=66,"16:00 or above",INT((60+2*Q229)/12)&amp;":"&amp;TEXT(MOD(60+2*Q229,12),"00"))))</f>
        <v/>
      </c>
      <c r="S229" s="47"/>
      <c r="T229" s="47"/>
      <c r="U229" s="47"/>
      <c r="V229" s="47"/>
      <c r="W229" s="47"/>
      <c r="X229" s="47"/>
      <c r="Y229" s="47"/>
      <c r="Z229" s="47"/>
      <c r="AA229" s="47"/>
      <c r="AB229" s="47"/>
      <c r="AC229" s="47"/>
      <c r="AD229" s="47"/>
      <c r="AE229" s="47"/>
      <c r="AF229" s="47"/>
      <c r="AG229" s="47"/>
      <c r="AH229" s="47"/>
      <c r="AI229" s="46"/>
      <c r="AJ229" s="46"/>
      <c r="AK229" s="46"/>
      <c r="AL229" s="7"/>
      <c r="AM229" s="49" t="str">
        <f aca="false">IF(OR(C229="",G229=""),"",IFERROR(DATEDIF(C229,G229,"m"),""))</f>
        <v/>
      </c>
      <c r="AN229" s="49" t="str">
        <f aca="false">IF(OR(Q229="",AM229=""),"",60+2*Q229-AM229)</f>
        <v/>
      </c>
      <c r="AO229" s="49" t="str">
        <f aca="false">IF(OR(G229="",AJ229=""),"",AJ229-G229)</f>
        <v/>
      </c>
      <c r="AP229" s="50" t="str">
        <f aca="false">IF(AND(A229="",B229=""),"",IF(J229="","Status needed",IF(OR(J229="Applied",J229="Visit booked",J229="Withdrawn"),"OK",IF(G229="","Date assessed needed",IF(C229="","Date of birth needed",IF(COUNTA(L229,M229,P229,U229,V229,X229,AB229)&lt;7,"Band missing",IF(AND(OR(J229="Decision confirmed",J229="Family told",J229="Enrolled"),AG229=""),"Recommendation needed",IF(AND(OR(J229="Family told",J229="Enrolled"),AJ229=""),"Date family told needed","OK"))))))))</f>
        <v/>
      </c>
    </row>
    <row r="230" customFormat="false" ht="15" hidden="false" customHeight="false" outlineLevel="0" collapsed="false">
      <c r="A230" s="7"/>
      <c r="B230" s="7"/>
      <c r="C230" s="46"/>
      <c r="D230" s="7"/>
      <c r="E230" s="47"/>
      <c r="F230" s="46"/>
      <c r="G230" s="46"/>
      <c r="H230" s="7"/>
      <c r="I230" s="7"/>
      <c r="J230" s="47"/>
      <c r="K230" s="47"/>
      <c r="L230" s="47"/>
      <c r="M230" s="47"/>
      <c r="N230" s="10"/>
      <c r="O230" s="47"/>
      <c r="P230" s="47"/>
      <c r="Q230" s="47"/>
      <c r="R230" s="48" t="str">
        <f aca="false">IF(Q230="","",IF(Q230=0,"below 5:00",IF(Q230&gt;=66,"16:00 or above",INT((60+2*Q230)/12)&amp;":"&amp;TEXT(MOD(60+2*Q230,12),"00"))))</f>
        <v/>
      </c>
      <c r="S230" s="47"/>
      <c r="T230" s="47"/>
      <c r="U230" s="47"/>
      <c r="V230" s="47"/>
      <c r="W230" s="47"/>
      <c r="X230" s="47"/>
      <c r="Y230" s="47"/>
      <c r="Z230" s="47"/>
      <c r="AA230" s="47"/>
      <c r="AB230" s="47"/>
      <c r="AC230" s="47"/>
      <c r="AD230" s="47"/>
      <c r="AE230" s="47"/>
      <c r="AF230" s="47"/>
      <c r="AG230" s="47"/>
      <c r="AH230" s="47"/>
      <c r="AI230" s="46"/>
      <c r="AJ230" s="46"/>
      <c r="AK230" s="46"/>
      <c r="AL230" s="7"/>
      <c r="AM230" s="49" t="str">
        <f aca="false">IF(OR(C230="",G230=""),"",IFERROR(DATEDIF(C230,G230,"m"),""))</f>
        <v/>
      </c>
      <c r="AN230" s="49" t="str">
        <f aca="false">IF(OR(Q230="",AM230=""),"",60+2*Q230-AM230)</f>
        <v/>
      </c>
      <c r="AO230" s="49" t="str">
        <f aca="false">IF(OR(G230="",AJ230=""),"",AJ230-G230)</f>
        <v/>
      </c>
      <c r="AP230" s="50" t="str">
        <f aca="false">IF(AND(A230="",B230=""),"",IF(J230="","Status needed",IF(OR(J230="Applied",J230="Visit booked",J230="Withdrawn"),"OK",IF(G230="","Date assessed needed",IF(C230="","Date of birth needed",IF(COUNTA(L230,M230,P230,U230,V230,X230,AB230)&lt;7,"Band missing",IF(AND(OR(J230="Decision confirmed",J230="Family told",J230="Enrolled"),AG230=""),"Recommendation needed",IF(AND(OR(J230="Family told",J230="Enrolled"),AJ230=""),"Date family told needed","OK"))))))))</f>
        <v/>
      </c>
    </row>
    <row r="231" customFormat="false" ht="15" hidden="false" customHeight="false" outlineLevel="0" collapsed="false">
      <c r="A231" s="7"/>
      <c r="B231" s="7"/>
      <c r="C231" s="46"/>
      <c r="D231" s="7"/>
      <c r="E231" s="47"/>
      <c r="F231" s="46"/>
      <c r="G231" s="46"/>
      <c r="H231" s="7"/>
      <c r="I231" s="7"/>
      <c r="J231" s="47"/>
      <c r="K231" s="47"/>
      <c r="L231" s="47"/>
      <c r="M231" s="47"/>
      <c r="N231" s="10"/>
      <c r="O231" s="47"/>
      <c r="P231" s="47"/>
      <c r="Q231" s="47"/>
      <c r="R231" s="48" t="str">
        <f aca="false">IF(Q231="","",IF(Q231=0,"below 5:00",IF(Q231&gt;=66,"16:00 or above",INT((60+2*Q231)/12)&amp;":"&amp;TEXT(MOD(60+2*Q231,12),"00"))))</f>
        <v/>
      </c>
      <c r="S231" s="47"/>
      <c r="T231" s="47"/>
      <c r="U231" s="47"/>
      <c r="V231" s="47"/>
      <c r="W231" s="47"/>
      <c r="X231" s="47"/>
      <c r="Y231" s="47"/>
      <c r="Z231" s="47"/>
      <c r="AA231" s="47"/>
      <c r="AB231" s="47"/>
      <c r="AC231" s="47"/>
      <c r="AD231" s="47"/>
      <c r="AE231" s="47"/>
      <c r="AF231" s="47"/>
      <c r="AG231" s="47"/>
      <c r="AH231" s="47"/>
      <c r="AI231" s="46"/>
      <c r="AJ231" s="46"/>
      <c r="AK231" s="46"/>
      <c r="AL231" s="7"/>
      <c r="AM231" s="49" t="str">
        <f aca="false">IF(OR(C231="",G231=""),"",IFERROR(DATEDIF(C231,G231,"m"),""))</f>
        <v/>
      </c>
      <c r="AN231" s="49" t="str">
        <f aca="false">IF(OR(Q231="",AM231=""),"",60+2*Q231-AM231)</f>
        <v/>
      </c>
      <c r="AO231" s="49" t="str">
        <f aca="false">IF(OR(G231="",AJ231=""),"",AJ231-G231)</f>
        <v/>
      </c>
      <c r="AP231" s="50" t="str">
        <f aca="false">IF(AND(A231="",B231=""),"",IF(J231="","Status needed",IF(OR(J231="Applied",J231="Visit booked",J231="Withdrawn"),"OK",IF(G231="","Date assessed needed",IF(C231="","Date of birth needed",IF(COUNTA(L231,M231,P231,U231,V231,X231,AB231)&lt;7,"Band missing",IF(AND(OR(J231="Decision confirmed",J231="Family told",J231="Enrolled"),AG231=""),"Recommendation needed",IF(AND(OR(J231="Family told",J231="Enrolled"),AJ231=""),"Date family told needed","OK"))))))))</f>
        <v/>
      </c>
    </row>
    <row r="232" customFormat="false" ht="15" hidden="false" customHeight="false" outlineLevel="0" collapsed="false">
      <c r="A232" s="7"/>
      <c r="B232" s="7"/>
      <c r="C232" s="46"/>
      <c r="D232" s="7"/>
      <c r="E232" s="47"/>
      <c r="F232" s="46"/>
      <c r="G232" s="46"/>
      <c r="H232" s="7"/>
      <c r="I232" s="7"/>
      <c r="J232" s="47"/>
      <c r="K232" s="47"/>
      <c r="L232" s="47"/>
      <c r="M232" s="47"/>
      <c r="N232" s="10"/>
      <c r="O232" s="47"/>
      <c r="P232" s="47"/>
      <c r="Q232" s="47"/>
      <c r="R232" s="48" t="str">
        <f aca="false">IF(Q232="","",IF(Q232=0,"below 5:00",IF(Q232&gt;=66,"16:00 or above",INT((60+2*Q232)/12)&amp;":"&amp;TEXT(MOD(60+2*Q232,12),"00"))))</f>
        <v/>
      </c>
      <c r="S232" s="47"/>
      <c r="T232" s="47"/>
      <c r="U232" s="47"/>
      <c r="V232" s="47"/>
      <c r="W232" s="47"/>
      <c r="X232" s="47"/>
      <c r="Y232" s="47"/>
      <c r="Z232" s="47"/>
      <c r="AA232" s="47"/>
      <c r="AB232" s="47"/>
      <c r="AC232" s="47"/>
      <c r="AD232" s="47"/>
      <c r="AE232" s="47"/>
      <c r="AF232" s="47"/>
      <c r="AG232" s="47"/>
      <c r="AH232" s="47"/>
      <c r="AI232" s="46"/>
      <c r="AJ232" s="46"/>
      <c r="AK232" s="46"/>
      <c r="AL232" s="7"/>
      <c r="AM232" s="49" t="str">
        <f aca="false">IF(OR(C232="",G232=""),"",IFERROR(DATEDIF(C232,G232,"m"),""))</f>
        <v/>
      </c>
      <c r="AN232" s="49" t="str">
        <f aca="false">IF(OR(Q232="",AM232=""),"",60+2*Q232-AM232)</f>
        <v/>
      </c>
      <c r="AO232" s="49" t="str">
        <f aca="false">IF(OR(G232="",AJ232=""),"",AJ232-G232)</f>
        <v/>
      </c>
      <c r="AP232" s="50" t="str">
        <f aca="false">IF(AND(A232="",B232=""),"",IF(J232="","Status needed",IF(OR(J232="Applied",J232="Visit booked",J232="Withdrawn"),"OK",IF(G232="","Date assessed needed",IF(C232="","Date of birth needed",IF(COUNTA(L232,M232,P232,U232,V232,X232,AB232)&lt;7,"Band missing",IF(AND(OR(J232="Decision confirmed",J232="Family told",J232="Enrolled"),AG232=""),"Recommendation needed",IF(AND(OR(J232="Family told",J232="Enrolled"),AJ232=""),"Date family told needed","OK"))))))))</f>
        <v/>
      </c>
    </row>
    <row r="233" customFormat="false" ht="15" hidden="false" customHeight="false" outlineLevel="0" collapsed="false">
      <c r="A233" s="7"/>
      <c r="B233" s="7"/>
      <c r="C233" s="46"/>
      <c r="D233" s="7"/>
      <c r="E233" s="47"/>
      <c r="F233" s="46"/>
      <c r="G233" s="46"/>
      <c r="H233" s="7"/>
      <c r="I233" s="7"/>
      <c r="J233" s="47"/>
      <c r="K233" s="47"/>
      <c r="L233" s="47"/>
      <c r="M233" s="47"/>
      <c r="N233" s="10"/>
      <c r="O233" s="47"/>
      <c r="P233" s="47"/>
      <c r="Q233" s="47"/>
      <c r="R233" s="48" t="str">
        <f aca="false">IF(Q233="","",IF(Q233=0,"below 5:00",IF(Q233&gt;=66,"16:00 or above",INT((60+2*Q233)/12)&amp;":"&amp;TEXT(MOD(60+2*Q233,12),"00"))))</f>
        <v/>
      </c>
      <c r="S233" s="47"/>
      <c r="T233" s="47"/>
      <c r="U233" s="47"/>
      <c r="V233" s="47"/>
      <c r="W233" s="47"/>
      <c r="X233" s="47"/>
      <c r="Y233" s="47"/>
      <c r="Z233" s="47"/>
      <c r="AA233" s="47"/>
      <c r="AB233" s="47"/>
      <c r="AC233" s="47"/>
      <c r="AD233" s="47"/>
      <c r="AE233" s="47"/>
      <c r="AF233" s="47"/>
      <c r="AG233" s="47"/>
      <c r="AH233" s="47"/>
      <c r="AI233" s="46"/>
      <c r="AJ233" s="46"/>
      <c r="AK233" s="46"/>
      <c r="AL233" s="7"/>
      <c r="AM233" s="49" t="str">
        <f aca="false">IF(OR(C233="",G233=""),"",IFERROR(DATEDIF(C233,G233,"m"),""))</f>
        <v/>
      </c>
      <c r="AN233" s="49" t="str">
        <f aca="false">IF(OR(Q233="",AM233=""),"",60+2*Q233-AM233)</f>
        <v/>
      </c>
      <c r="AO233" s="49" t="str">
        <f aca="false">IF(OR(G233="",AJ233=""),"",AJ233-G233)</f>
        <v/>
      </c>
      <c r="AP233" s="50" t="str">
        <f aca="false">IF(AND(A233="",B233=""),"",IF(J233="","Status needed",IF(OR(J233="Applied",J233="Visit booked",J233="Withdrawn"),"OK",IF(G233="","Date assessed needed",IF(C233="","Date of birth needed",IF(COUNTA(L233,M233,P233,U233,V233,X233,AB233)&lt;7,"Band missing",IF(AND(OR(J233="Decision confirmed",J233="Family told",J233="Enrolled"),AG233=""),"Recommendation needed",IF(AND(OR(J233="Family told",J233="Enrolled"),AJ233=""),"Date family told needed","OK"))))))))</f>
        <v/>
      </c>
    </row>
    <row r="234" customFormat="false" ht="15" hidden="false" customHeight="false" outlineLevel="0" collapsed="false">
      <c r="A234" s="7"/>
      <c r="B234" s="7"/>
      <c r="C234" s="46"/>
      <c r="D234" s="7"/>
      <c r="E234" s="47"/>
      <c r="F234" s="46"/>
      <c r="G234" s="46"/>
      <c r="H234" s="7"/>
      <c r="I234" s="7"/>
      <c r="J234" s="47"/>
      <c r="K234" s="47"/>
      <c r="L234" s="47"/>
      <c r="M234" s="47"/>
      <c r="N234" s="10"/>
      <c r="O234" s="47"/>
      <c r="P234" s="47"/>
      <c r="Q234" s="47"/>
      <c r="R234" s="48" t="str">
        <f aca="false">IF(Q234="","",IF(Q234=0,"below 5:00",IF(Q234&gt;=66,"16:00 or above",INT((60+2*Q234)/12)&amp;":"&amp;TEXT(MOD(60+2*Q234,12),"00"))))</f>
        <v/>
      </c>
      <c r="S234" s="47"/>
      <c r="T234" s="47"/>
      <c r="U234" s="47"/>
      <c r="V234" s="47"/>
      <c r="W234" s="47"/>
      <c r="X234" s="47"/>
      <c r="Y234" s="47"/>
      <c r="Z234" s="47"/>
      <c r="AA234" s="47"/>
      <c r="AB234" s="47"/>
      <c r="AC234" s="47"/>
      <c r="AD234" s="47"/>
      <c r="AE234" s="47"/>
      <c r="AF234" s="47"/>
      <c r="AG234" s="47"/>
      <c r="AH234" s="47"/>
      <c r="AI234" s="46"/>
      <c r="AJ234" s="46"/>
      <c r="AK234" s="46"/>
      <c r="AL234" s="7"/>
      <c r="AM234" s="49" t="str">
        <f aca="false">IF(OR(C234="",G234=""),"",IFERROR(DATEDIF(C234,G234,"m"),""))</f>
        <v/>
      </c>
      <c r="AN234" s="49" t="str">
        <f aca="false">IF(OR(Q234="",AM234=""),"",60+2*Q234-AM234)</f>
        <v/>
      </c>
      <c r="AO234" s="49" t="str">
        <f aca="false">IF(OR(G234="",AJ234=""),"",AJ234-G234)</f>
        <v/>
      </c>
      <c r="AP234" s="50" t="str">
        <f aca="false">IF(AND(A234="",B234=""),"",IF(J234="","Status needed",IF(OR(J234="Applied",J234="Visit booked",J234="Withdrawn"),"OK",IF(G234="","Date assessed needed",IF(C234="","Date of birth needed",IF(COUNTA(L234,M234,P234,U234,V234,X234,AB234)&lt;7,"Band missing",IF(AND(OR(J234="Decision confirmed",J234="Family told",J234="Enrolled"),AG234=""),"Recommendation needed",IF(AND(OR(J234="Family told",J234="Enrolled"),AJ234=""),"Date family told needed","OK"))))))))</f>
        <v/>
      </c>
    </row>
    <row r="235" customFormat="false" ht="15" hidden="false" customHeight="false" outlineLevel="0" collapsed="false">
      <c r="A235" s="7"/>
      <c r="B235" s="7"/>
      <c r="C235" s="46"/>
      <c r="D235" s="7"/>
      <c r="E235" s="47"/>
      <c r="F235" s="46"/>
      <c r="G235" s="46"/>
      <c r="H235" s="7"/>
      <c r="I235" s="7"/>
      <c r="J235" s="47"/>
      <c r="K235" s="47"/>
      <c r="L235" s="47"/>
      <c r="M235" s="47"/>
      <c r="N235" s="10"/>
      <c r="O235" s="47"/>
      <c r="P235" s="47"/>
      <c r="Q235" s="47"/>
      <c r="R235" s="48" t="str">
        <f aca="false">IF(Q235="","",IF(Q235=0,"below 5:00",IF(Q235&gt;=66,"16:00 or above",INT((60+2*Q235)/12)&amp;":"&amp;TEXT(MOD(60+2*Q235,12),"00"))))</f>
        <v/>
      </c>
      <c r="S235" s="47"/>
      <c r="T235" s="47"/>
      <c r="U235" s="47"/>
      <c r="V235" s="47"/>
      <c r="W235" s="47"/>
      <c r="X235" s="47"/>
      <c r="Y235" s="47"/>
      <c r="Z235" s="47"/>
      <c r="AA235" s="47"/>
      <c r="AB235" s="47"/>
      <c r="AC235" s="47"/>
      <c r="AD235" s="47"/>
      <c r="AE235" s="47"/>
      <c r="AF235" s="47"/>
      <c r="AG235" s="47"/>
      <c r="AH235" s="47"/>
      <c r="AI235" s="46"/>
      <c r="AJ235" s="46"/>
      <c r="AK235" s="46"/>
      <c r="AL235" s="7"/>
      <c r="AM235" s="49" t="str">
        <f aca="false">IF(OR(C235="",G235=""),"",IFERROR(DATEDIF(C235,G235,"m"),""))</f>
        <v/>
      </c>
      <c r="AN235" s="49" t="str">
        <f aca="false">IF(OR(Q235="",AM235=""),"",60+2*Q235-AM235)</f>
        <v/>
      </c>
      <c r="AO235" s="49" t="str">
        <f aca="false">IF(OR(G235="",AJ235=""),"",AJ235-G235)</f>
        <v/>
      </c>
      <c r="AP235" s="50" t="str">
        <f aca="false">IF(AND(A235="",B235=""),"",IF(J235="","Status needed",IF(OR(J235="Applied",J235="Visit booked",J235="Withdrawn"),"OK",IF(G235="","Date assessed needed",IF(C235="","Date of birth needed",IF(COUNTA(L235,M235,P235,U235,V235,X235,AB235)&lt;7,"Band missing",IF(AND(OR(J235="Decision confirmed",J235="Family told",J235="Enrolled"),AG235=""),"Recommendation needed",IF(AND(OR(J235="Family told",J235="Enrolled"),AJ235=""),"Date family told needed","OK"))))))))</f>
        <v/>
      </c>
    </row>
    <row r="236" customFormat="false" ht="15" hidden="false" customHeight="false" outlineLevel="0" collapsed="false">
      <c r="A236" s="7"/>
      <c r="B236" s="7"/>
      <c r="C236" s="46"/>
      <c r="D236" s="7"/>
      <c r="E236" s="47"/>
      <c r="F236" s="46"/>
      <c r="G236" s="46"/>
      <c r="H236" s="7"/>
      <c r="I236" s="7"/>
      <c r="J236" s="47"/>
      <c r="K236" s="47"/>
      <c r="L236" s="47"/>
      <c r="M236" s="47"/>
      <c r="N236" s="10"/>
      <c r="O236" s="47"/>
      <c r="P236" s="47"/>
      <c r="Q236" s="47"/>
      <c r="R236" s="48" t="str">
        <f aca="false">IF(Q236="","",IF(Q236=0,"below 5:00",IF(Q236&gt;=66,"16:00 or above",INT((60+2*Q236)/12)&amp;":"&amp;TEXT(MOD(60+2*Q236,12),"00"))))</f>
        <v/>
      </c>
      <c r="S236" s="47"/>
      <c r="T236" s="47"/>
      <c r="U236" s="47"/>
      <c r="V236" s="47"/>
      <c r="W236" s="47"/>
      <c r="X236" s="47"/>
      <c r="Y236" s="47"/>
      <c r="Z236" s="47"/>
      <c r="AA236" s="47"/>
      <c r="AB236" s="47"/>
      <c r="AC236" s="47"/>
      <c r="AD236" s="47"/>
      <c r="AE236" s="47"/>
      <c r="AF236" s="47"/>
      <c r="AG236" s="47"/>
      <c r="AH236" s="47"/>
      <c r="AI236" s="46"/>
      <c r="AJ236" s="46"/>
      <c r="AK236" s="46"/>
      <c r="AL236" s="7"/>
      <c r="AM236" s="49" t="str">
        <f aca="false">IF(OR(C236="",G236=""),"",IFERROR(DATEDIF(C236,G236,"m"),""))</f>
        <v/>
      </c>
      <c r="AN236" s="49" t="str">
        <f aca="false">IF(OR(Q236="",AM236=""),"",60+2*Q236-AM236)</f>
        <v/>
      </c>
      <c r="AO236" s="49" t="str">
        <f aca="false">IF(OR(G236="",AJ236=""),"",AJ236-G236)</f>
        <v/>
      </c>
      <c r="AP236" s="50" t="str">
        <f aca="false">IF(AND(A236="",B236=""),"",IF(J236="","Status needed",IF(OR(J236="Applied",J236="Visit booked",J236="Withdrawn"),"OK",IF(G236="","Date assessed needed",IF(C236="","Date of birth needed",IF(COUNTA(L236,M236,P236,U236,V236,X236,AB236)&lt;7,"Band missing",IF(AND(OR(J236="Decision confirmed",J236="Family told",J236="Enrolled"),AG236=""),"Recommendation needed",IF(AND(OR(J236="Family told",J236="Enrolled"),AJ236=""),"Date family told needed","OK"))))))))</f>
        <v/>
      </c>
    </row>
    <row r="237" customFormat="false" ht="15" hidden="false" customHeight="false" outlineLevel="0" collapsed="false">
      <c r="A237" s="7"/>
      <c r="B237" s="7"/>
      <c r="C237" s="46"/>
      <c r="D237" s="7"/>
      <c r="E237" s="47"/>
      <c r="F237" s="46"/>
      <c r="G237" s="46"/>
      <c r="H237" s="7"/>
      <c r="I237" s="7"/>
      <c r="J237" s="47"/>
      <c r="K237" s="47"/>
      <c r="L237" s="47"/>
      <c r="M237" s="47"/>
      <c r="N237" s="10"/>
      <c r="O237" s="47"/>
      <c r="P237" s="47"/>
      <c r="Q237" s="47"/>
      <c r="R237" s="48" t="str">
        <f aca="false">IF(Q237="","",IF(Q237=0,"below 5:00",IF(Q237&gt;=66,"16:00 or above",INT((60+2*Q237)/12)&amp;":"&amp;TEXT(MOD(60+2*Q237,12),"00"))))</f>
        <v/>
      </c>
      <c r="S237" s="47"/>
      <c r="T237" s="47"/>
      <c r="U237" s="47"/>
      <c r="V237" s="47"/>
      <c r="W237" s="47"/>
      <c r="X237" s="47"/>
      <c r="Y237" s="47"/>
      <c r="Z237" s="47"/>
      <c r="AA237" s="47"/>
      <c r="AB237" s="47"/>
      <c r="AC237" s="47"/>
      <c r="AD237" s="47"/>
      <c r="AE237" s="47"/>
      <c r="AF237" s="47"/>
      <c r="AG237" s="47"/>
      <c r="AH237" s="47"/>
      <c r="AI237" s="46"/>
      <c r="AJ237" s="46"/>
      <c r="AK237" s="46"/>
      <c r="AL237" s="7"/>
      <c r="AM237" s="49" t="str">
        <f aca="false">IF(OR(C237="",G237=""),"",IFERROR(DATEDIF(C237,G237,"m"),""))</f>
        <v/>
      </c>
      <c r="AN237" s="49" t="str">
        <f aca="false">IF(OR(Q237="",AM237=""),"",60+2*Q237-AM237)</f>
        <v/>
      </c>
      <c r="AO237" s="49" t="str">
        <f aca="false">IF(OR(G237="",AJ237=""),"",AJ237-G237)</f>
        <v/>
      </c>
      <c r="AP237" s="50" t="str">
        <f aca="false">IF(AND(A237="",B237=""),"",IF(J237="","Status needed",IF(OR(J237="Applied",J237="Visit booked",J237="Withdrawn"),"OK",IF(G237="","Date assessed needed",IF(C237="","Date of birth needed",IF(COUNTA(L237,M237,P237,U237,V237,X237,AB237)&lt;7,"Band missing",IF(AND(OR(J237="Decision confirmed",J237="Family told",J237="Enrolled"),AG237=""),"Recommendation needed",IF(AND(OR(J237="Family told",J237="Enrolled"),AJ237=""),"Date family told needed","OK"))))))))</f>
        <v/>
      </c>
    </row>
    <row r="238" customFormat="false" ht="15" hidden="false" customHeight="false" outlineLevel="0" collapsed="false">
      <c r="A238" s="7"/>
      <c r="B238" s="7"/>
      <c r="C238" s="46"/>
      <c r="D238" s="7"/>
      <c r="E238" s="47"/>
      <c r="F238" s="46"/>
      <c r="G238" s="46"/>
      <c r="H238" s="7"/>
      <c r="I238" s="7"/>
      <c r="J238" s="47"/>
      <c r="K238" s="47"/>
      <c r="L238" s="47"/>
      <c r="M238" s="47"/>
      <c r="N238" s="10"/>
      <c r="O238" s="47"/>
      <c r="P238" s="47"/>
      <c r="Q238" s="47"/>
      <c r="R238" s="48" t="str">
        <f aca="false">IF(Q238="","",IF(Q238=0,"below 5:00",IF(Q238&gt;=66,"16:00 or above",INT((60+2*Q238)/12)&amp;":"&amp;TEXT(MOD(60+2*Q238,12),"00"))))</f>
        <v/>
      </c>
      <c r="S238" s="47"/>
      <c r="T238" s="47"/>
      <c r="U238" s="47"/>
      <c r="V238" s="47"/>
      <c r="W238" s="47"/>
      <c r="X238" s="47"/>
      <c r="Y238" s="47"/>
      <c r="Z238" s="47"/>
      <c r="AA238" s="47"/>
      <c r="AB238" s="47"/>
      <c r="AC238" s="47"/>
      <c r="AD238" s="47"/>
      <c r="AE238" s="47"/>
      <c r="AF238" s="47"/>
      <c r="AG238" s="47"/>
      <c r="AH238" s="47"/>
      <c r="AI238" s="46"/>
      <c r="AJ238" s="46"/>
      <c r="AK238" s="46"/>
      <c r="AL238" s="7"/>
      <c r="AM238" s="49" t="str">
        <f aca="false">IF(OR(C238="",G238=""),"",IFERROR(DATEDIF(C238,G238,"m"),""))</f>
        <v/>
      </c>
      <c r="AN238" s="49" t="str">
        <f aca="false">IF(OR(Q238="",AM238=""),"",60+2*Q238-AM238)</f>
        <v/>
      </c>
      <c r="AO238" s="49" t="str">
        <f aca="false">IF(OR(G238="",AJ238=""),"",AJ238-G238)</f>
        <v/>
      </c>
      <c r="AP238" s="50" t="str">
        <f aca="false">IF(AND(A238="",B238=""),"",IF(J238="","Status needed",IF(OR(J238="Applied",J238="Visit booked",J238="Withdrawn"),"OK",IF(G238="","Date assessed needed",IF(C238="","Date of birth needed",IF(COUNTA(L238,M238,P238,U238,V238,X238,AB238)&lt;7,"Band missing",IF(AND(OR(J238="Decision confirmed",J238="Family told",J238="Enrolled"),AG238=""),"Recommendation needed",IF(AND(OR(J238="Family told",J238="Enrolled"),AJ238=""),"Date family told needed","OK"))))))))</f>
        <v/>
      </c>
    </row>
    <row r="239" customFormat="false" ht="15" hidden="false" customHeight="false" outlineLevel="0" collapsed="false">
      <c r="A239" s="7"/>
      <c r="B239" s="7"/>
      <c r="C239" s="46"/>
      <c r="D239" s="7"/>
      <c r="E239" s="47"/>
      <c r="F239" s="46"/>
      <c r="G239" s="46"/>
      <c r="H239" s="7"/>
      <c r="I239" s="7"/>
      <c r="J239" s="47"/>
      <c r="K239" s="47"/>
      <c r="L239" s="47"/>
      <c r="M239" s="47"/>
      <c r="N239" s="10"/>
      <c r="O239" s="47"/>
      <c r="P239" s="47"/>
      <c r="Q239" s="47"/>
      <c r="R239" s="48" t="str">
        <f aca="false">IF(Q239="","",IF(Q239=0,"below 5:00",IF(Q239&gt;=66,"16:00 or above",INT((60+2*Q239)/12)&amp;":"&amp;TEXT(MOD(60+2*Q239,12),"00"))))</f>
        <v/>
      </c>
      <c r="S239" s="47"/>
      <c r="T239" s="47"/>
      <c r="U239" s="47"/>
      <c r="V239" s="47"/>
      <c r="W239" s="47"/>
      <c r="X239" s="47"/>
      <c r="Y239" s="47"/>
      <c r="Z239" s="47"/>
      <c r="AA239" s="47"/>
      <c r="AB239" s="47"/>
      <c r="AC239" s="47"/>
      <c r="AD239" s="47"/>
      <c r="AE239" s="47"/>
      <c r="AF239" s="47"/>
      <c r="AG239" s="47"/>
      <c r="AH239" s="47"/>
      <c r="AI239" s="46"/>
      <c r="AJ239" s="46"/>
      <c r="AK239" s="46"/>
      <c r="AL239" s="7"/>
      <c r="AM239" s="49" t="str">
        <f aca="false">IF(OR(C239="",G239=""),"",IFERROR(DATEDIF(C239,G239,"m"),""))</f>
        <v/>
      </c>
      <c r="AN239" s="49" t="str">
        <f aca="false">IF(OR(Q239="",AM239=""),"",60+2*Q239-AM239)</f>
        <v/>
      </c>
      <c r="AO239" s="49" t="str">
        <f aca="false">IF(OR(G239="",AJ239=""),"",AJ239-G239)</f>
        <v/>
      </c>
      <c r="AP239" s="50" t="str">
        <f aca="false">IF(AND(A239="",B239=""),"",IF(J239="","Status needed",IF(OR(J239="Applied",J239="Visit booked",J239="Withdrawn"),"OK",IF(G239="","Date assessed needed",IF(C239="","Date of birth needed",IF(COUNTA(L239,M239,P239,U239,V239,X239,AB239)&lt;7,"Band missing",IF(AND(OR(J239="Decision confirmed",J239="Family told",J239="Enrolled"),AG239=""),"Recommendation needed",IF(AND(OR(J239="Family told",J239="Enrolled"),AJ239=""),"Date family told needed","OK"))))))))</f>
        <v/>
      </c>
    </row>
    <row r="240" customFormat="false" ht="15" hidden="false" customHeight="false" outlineLevel="0" collapsed="false">
      <c r="A240" s="7"/>
      <c r="B240" s="7"/>
      <c r="C240" s="46"/>
      <c r="D240" s="7"/>
      <c r="E240" s="47"/>
      <c r="F240" s="46"/>
      <c r="G240" s="46"/>
      <c r="H240" s="7"/>
      <c r="I240" s="7"/>
      <c r="J240" s="47"/>
      <c r="K240" s="47"/>
      <c r="L240" s="47"/>
      <c r="M240" s="47"/>
      <c r="N240" s="10"/>
      <c r="O240" s="47"/>
      <c r="P240" s="47"/>
      <c r="Q240" s="47"/>
      <c r="R240" s="48" t="str">
        <f aca="false">IF(Q240="","",IF(Q240=0,"below 5:00",IF(Q240&gt;=66,"16:00 or above",INT((60+2*Q240)/12)&amp;":"&amp;TEXT(MOD(60+2*Q240,12),"00"))))</f>
        <v/>
      </c>
      <c r="S240" s="47"/>
      <c r="T240" s="47"/>
      <c r="U240" s="47"/>
      <c r="V240" s="47"/>
      <c r="W240" s="47"/>
      <c r="X240" s="47"/>
      <c r="Y240" s="47"/>
      <c r="Z240" s="47"/>
      <c r="AA240" s="47"/>
      <c r="AB240" s="47"/>
      <c r="AC240" s="47"/>
      <c r="AD240" s="47"/>
      <c r="AE240" s="47"/>
      <c r="AF240" s="47"/>
      <c r="AG240" s="47"/>
      <c r="AH240" s="47"/>
      <c r="AI240" s="46"/>
      <c r="AJ240" s="46"/>
      <c r="AK240" s="46"/>
      <c r="AL240" s="7"/>
      <c r="AM240" s="49" t="str">
        <f aca="false">IF(OR(C240="",G240=""),"",IFERROR(DATEDIF(C240,G240,"m"),""))</f>
        <v/>
      </c>
      <c r="AN240" s="49" t="str">
        <f aca="false">IF(OR(Q240="",AM240=""),"",60+2*Q240-AM240)</f>
        <v/>
      </c>
      <c r="AO240" s="49" t="str">
        <f aca="false">IF(OR(G240="",AJ240=""),"",AJ240-G240)</f>
        <v/>
      </c>
      <c r="AP240" s="50" t="str">
        <f aca="false">IF(AND(A240="",B240=""),"",IF(J240="","Status needed",IF(OR(J240="Applied",J240="Visit booked",J240="Withdrawn"),"OK",IF(G240="","Date assessed needed",IF(C240="","Date of birth needed",IF(COUNTA(L240,M240,P240,U240,V240,X240,AB240)&lt;7,"Band missing",IF(AND(OR(J240="Decision confirmed",J240="Family told",J240="Enrolled"),AG240=""),"Recommendation needed",IF(AND(OR(J240="Family told",J240="Enrolled"),AJ240=""),"Date family told needed","OK"))))))))</f>
        <v/>
      </c>
    </row>
    <row r="241" customFormat="false" ht="15" hidden="false" customHeight="false" outlineLevel="0" collapsed="false">
      <c r="A241" s="7"/>
      <c r="B241" s="7"/>
      <c r="C241" s="46"/>
      <c r="D241" s="7"/>
      <c r="E241" s="47"/>
      <c r="F241" s="46"/>
      <c r="G241" s="46"/>
      <c r="H241" s="7"/>
      <c r="I241" s="7"/>
      <c r="J241" s="47"/>
      <c r="K241" s="47"/>
      <c r="L241" s="47"/>
      <c r="M241" s="47"/>
      <c r="N241" s="10"/>
      <c r="O241" s="47"/>
      <c r="P241" s="47"/>
      <c r="Q241" s="47"/>
      <c r="R241" s="48" t="str">
        <f aca="false">IF(Q241="","",IF(Q241=0,"below 5:00",IF(Q241&gt;=66,"16:00 or above",INT((60+2*Q241)/12)&amp;":"&amp;TEXT(MOD(60+2*Q241,12),"00"))))</f>
        <v/>
      </c>
      <c r="S241" s="47"/>
      <c r="T241" s="47"/>
      <c r="U241" s="47"/>
      <c r="V241" s="47"/>
      <c r="W241" s="47"/>
      <c r="X241" s="47"/>
      <c r="Y241" s="47"/>
      <c r="Z241" s="47"/>
      <c r="AA241" s="47"/>
      <c r="AB241" s="47"/>
      <c r="AC241" s="47"/>
      <c r="AD241" s="47"/>
      <c r="AE241" s="47"/>
      <c r="AF241" s="47"/>
      <c r="AG241" s="47"/>
      <c r="AH241" s="47"/>
      <c r="AI241" s="46"/>
      <c r="AJ241" s="46"/>
      <c r="AK241" s="46"/>
      <c r="AL241" s="7"/>
      <c r="AM241" s="49" t="str">
        <f aca="false">IF(OR(C241="",G241=""),"",IFERROR(DATEDIF(C241,G241,"m"),""))</f>
        <v/>
      </c>
      <c r="AN241" s="49" t="str">
        <f aca="false">IF(OR(Q241="",AM241=""),"",60+2*Q241-AM241)</f>
        <v/>
      </c>
      <c r="AO241" s="49" t="str">
        <f aca="false">IF(OR(G241="",AJ241=""),"",AJ241-G241)</f>
        <v/>
      </c>
      <c r="AP241" s="50" t="str">
        <f aca="false">IF(AND(A241="",B241=""),"",IF(J241="","Status needed",IF(OR(J241="Applied",J241="Visit booked",J241="Withdrawn"),"OK",IF(G241="","Date assessed needed",IF(C241="","Date of birth needed",IF(COUNTA(L241,M241,P241,U241,V241,X241,AB241)&lt;7,"Band missing",IF(AND(OR(J241="Decision confirmed",J241="Family told",J241="Enrolled"),AG241=""),"Recommendation needed",IF(AND(OR(J241="Family told",J241="Enrolled"),AJ241=""),"Date family told needed","OK"))))))))</f>
        <v/>
      </c>
    </row>
    <row r="242" customFormat="false" ht="15" hidden="false" customHeight="false" outlineLevel="0" collapsed="false">
      <c r="A242" s="7"/>
      <c r="B242" s="7"/>
      <c r="C242" s="46"/>
      <c r="D242" s="7"/>
      <c r="E242" s="47"/>
      <c r="F242" s="46"/>
      <c r="G242" s="46"/>
      <c r="H242" s="7"/>
      <c r="I242" s="7"/>
      <c r="J242" s="47"/>
      <c r="K242" s="47"/>
      <c r="L242" s="47"/>
      <c r="M242" s="47"/>
      <c r="N242" s="10"/>
      <c r="O242" s="47"/>
      <c r="P242" s="47"/>
      <c r="Q242" s="47"/>
      <c r="R242" s="48" t="str">
        <f aca="false">IF(Q242="","",IF(Q242=0,"below 5:00",IF(Q242&gt;=66,"16:00 or above",INT((60+2*Q242)/12)&amp;":"&amp;TEXT(MOD(60+2*Q242,12),"00"))))</f>
        <v/>
      </c>
      <c r="S242" s="47"/>
      <c r="T242" s="47"/>
      <c r="U242" s="47"/>
      <c r="V242" s="47"/>
      <c r="W242" s="47"/>
      <c r="X242" s="47"/>
      <c r="Y242" s="47"/>
      <c r="Z242" s="47"/>
      <c r="AA242" s="47"/>
      <c r="AB242" s="47"/>
      <c r="AC242" s="47"/>
      <c r="AD242" s="47"/>
      <c r="AE242" s="47"/>
      <c r="AF242" s="47"/>
      <c r="AG242" s="47"/>
      <c r="AH242" s="47"/>
      <c r="AI242" s="46"/>
      <c r="AJ242" s="46"/>
      <c r="AK242" s="46"/>
      <c r="AL242" s="7"/>
      <c r="AM242" s="49" t="str">
        <f aca="false">IF(OR(C242="",G242=""),"",IFERROR(DATEDIF(C242,G242,"m"),""))</f>
        <v/>
      </c>
      <c r="AN242" s="49" t="str">
        <f aca="false">IF(OR(Q242="",AM242=""),"",60+2*Q242-AM242)</f>
        <v/>
      </c>
      <c r="AO242" s="49" t="str">
        <f aca="false">IF(OR(G242="",AJ242=""),"",AJ242-G242)</f>
        <v/>
      </c>
      <c r="AP242" s="50" t="str">
        <f aca="false">IF(AND(A242="",B242=""),"",IF(J242="","Status needed",IF(OR(J242="Applied",J242="Visit booked",J242="Withdrawn"),"OK",IF(G242="","Date assessed needed",IF(C242="","Date of birth needed",IF(COUNTA(L242,M242,P242,U242,V242,X242,AB242)&lt;7,"Band missing",IF(AND(OR(J242="Decision confirmed",J242="Family told",J242="Enrolled"),AG242=""),"Recommendation needed",IF(AND(OR(J242="Family told",J242="Enrolled"),AJ242=""),"Date family told needed","OK"))))))))</f>
        <v/>
      </c>
    </row>
    <row r="243" customFormat="false" ht="15" hidden="false" customHeight="false" outlineLevel="0" collapsed="false">
      <c r="A243" s="7"/>
      <c r="B243" s="7"/>
      <c r="C243" s="46"/>
      <c r="D243" s="7"/>
      <c r="E243" s="47"/>
      <c r="F243" s="46"/>
      <c r="G243" s="46"/>
      <c r="H243" s="7"/>
      <c r="I243" s="7"/>
      <c r="J243" s="47"/>
      <c r="K243" s="47"/>
      <c r="L243" s="47"/>
      <c r="M243" s="47"/>
      <c r="N243" s="10"/>
      <c r="O243" s="47"/>
      <c r="P243" s="47"/>
      <c r="Q243" s="47"/>
      <c r="R243" s="48" t="str">
        <f aca="false">IF(Q243="","",IF(Q243=0,"below 5:00",IF(Q243&gt;=66,"16:00 or above",INT((60+2*Q243)/12)&amp;":"&amp;TEXT(MOD(60+2*Q243,12),"00"))))</f>
        <v/>
      </c>
      <c r="S243" s="47"/>
      <c r="T243" s="47"/>
      <c r="U243" s="47"/>
      <c r="V243" s="47"/>
      <c r="W243" s="47"/>
      <c r="X243" s="47"/>
      <c r="Y243" s="47"/>
      <c r="Z243" s="47"/>
      <c r="AA243" s="47"/>
      <c r="AB243" s="47"/>
      <c r="AC243" s="47"/>
      <c r="AD243" s="47"/>
      <c r="AE243" s="47"/>
      <c r="AF243" s="47"/>
      <c r="AG243" s="47"/>
      <c r="AH243" s="47"/>
      <c r="AI243" s="46"/>
      <c r="AJ243" s="46"/>
      <c r="AK243" s="46"/>
      <c r="AL243" s="7"/>
      <c r="AM243" s="49" t="str">
        <f aca="false">IF(OR(C243="",G243=""),"",IFERROR(DATEDIF(C243,G243,"m"),""))</f>
        <v/>
      </c>
      <c r="AN243" s="49" t="str">
        <f aca="false">IF(OR(Q243="",AM243=""),"",60+2*Q243-AM243)</f>
        <v/>
      </c>
      <c r="AO243" s="49" t="str">
        <f aca="false">IF(OR(G243="",AJ243=""),"",AJ243-G243)</f>
        <v/>
      </c>
      <c r="AP243" s="50" t="str">
        <f aca="false">IF(AND(A243="",B243=""),"",IF(J243="","Status needed",IF(OR(J243="Applied",J243="Visit booked",J243="Withdrawn"),"OK",IF(G243="","Date assessed needed",IF(C243="","Date of birth needed",IF(COUNTA(L243,M243,P243,U243,V243,X243,AB243)&lt;7,"Band missing",IF(AND(OR(J243="Decision confirmed",J243="Family told",J243="Enrolled"),AG243=""),"Recommendation needed",IF(AND(OR(J243="Family told",J243="Enrolled"),AJ243=""),"Date family told needed","OK"))))))))</f>
        <v/>
      </c>
    </row>
    <row r="244" customFormat="false" ht="15" hidden="false" customHeight="false" outlineLevel="0" collapsed="false">
      <c r="A244" s="7"/>
      <c r="B244" s="7"/>
      <c r="C244" s="46"/>
      <c r="D244" s="7"/>
      <c r="E244" s="47"/>
      <c r="F244" s="46"/>
      <c r="G244" s="46"/>
      <c r="H244" s="7"/>
      <c r="I244" s="7"/>
      <c r="J244" s="47"/>
      <c r="K244" s="47"/>
      <c r="L244" s="47"/>
      <c r="M244" s="47"/>
      <c r="N244" s="10"/>
      <c r="O244" s="47"/>
      <c r="P244" s="47"/>
      <c r="Q244" s="47"/>
      <c r="R244" s="48" t="str">
        <f aca="false">IF(Q244="","",IF(Q244=0,"below 5:00",IF(Q244&gt;=66,"16:00 or above",INT((60+2*Q244)/12)&amp;":"&amp;TEXT(MOD(60+2*Q244,12),"00"))))</f>
        <v/>
      </c>
      <c r="S244" s="47"/>
      <c r="T244" s="47"/>
      <c r="U244" s="47"/>
      <c r="V244" s="47"/>
      <c r="W244" s="47"/>
      <c r="X244" s="47"/>
      <c r="Y244" s="47"/>
      <c r="Z244" s="47"/>
      <c r="AA244" s="47"/>
      <c r="AB244" s="47"/>
      <c r="AC244" s="47"/>
      <c r="AD244" s="47"/>
      <c r="AE244" s="47"/>
      <c r="AF244" s="47"/>
      <c r="AG244" s="47"/>
      <c r="AH244" s="47"/>
      <c r="AI244" s="46"/>
      <c r="AJ244" s="46"/>
      <c r="AK244" s="46"/>
      <c r="AL244" s="7"/>
      <c r="AM244" s="49" t="str">
        <f aca="false">IF(OR(C244="",G244=""),"",IFERROR(DATEDIF(C244,G244,"m"),""))</f>
        <v/>
      </c>
      <c r="AN244" s="49" t="str">
        <f aca="false">IF(OR(Q244="",AM244=""),"",60+2*Q244-AM244)</f>
        <v/>
      </c>
      <c r="AO244" s="49" t="str">
        <f aca="false">IF(OR(G244="",AJ244=""),"",AJ244-G244)</f>
        <v/>
      </c>
      <c r="AP244" s="50" t="str">
        <f aca="false">IF(AND(A244="",B244=""),"",IF(J244="","Status needed",IF(OR(J244="Applied",J244="Visit booked",J244="Withdrawn"),"OK",IF(G244="","Date assessed needed",IF(C244="","Date of birth needed",IF(COUNTA(L244,M244,P244,U244,V244,X244,AB244)&lt;7,"Band missing",IF(AND(OR(J244="Decision confirmed",J244="Family told",J244="Enrolled"),AG244=""),"Recommendation needed",IF(AND(OR(J244="Family told",J244="Enrolled"),AJ244=""),"Date family told needed","OK"))))))))</f>
        <v/>
      </c>
    </row>
    <row r="245" customFormat="false" ht="15" hidden="false" customHeight="false" outlineLevel="0" collapsed="false">
      <c r="A245" s="7"/>
      <c r="B245" s="7"/>
      <c r="C245" s="46"/>
      <c r="D245" s="7"/>
      <c r="E245" s="47"/>
      <c r="F245" s="46"/>
      <c r="G245" s="46"/>
      <c r="H245" s="7"/>
      <c r="I245" s="7"/>
      <c r="J245" s="47"/>
      <c r="K245" s="47"/>
      <c r="L245" s="47"/>
      <c r="M245" s="47"/>
      <c r="N245" s="10"/>
      <c r="O245" s="47"/>
      <c r="P245" s="47"/>
      <c r="Q245" s="47"/>
      <c r="R245" s="48" t="str">
        <f aca="false">IF(Q245="","",IF(Q245=0,"below 5:00",IF(Q245&gt;=66,"16:00 or above",INT((60+2*Q245)/12)&amp;":"&amp;TEXT(MOD(60+2*Q245,12),"00"))))</f>
        <v/>
      </c>
      <c r="S245" s="47"/>
      <c r="T245" s="47"/>
      <c r="U245" s="47"/>
      <c r="V245" s="47"/>
      <c r="W245" s="47"/>
      <c r="X245" s="47"/>
      <c r="Y245" s="47"/>
      <c r="Z245" s="47"/>
      <c r="AA245" s="47"/>
      <c r="AB245" s="47"/>
      <c r="AC245" s="47"/>
      <c r="AD245" s="47"/>
      <c r="AE245" s="47"/>
      <c r="AF245" s="47"/>
      <c r="AG245" s="47"/>
      <c r="AH245" s="47"/>
      <c r="AI245" s="46"/>
      <c r="AJ245" s="46"/>
      <c r="AK245" s="46"/>
      <c r="AL245" s="7"/>
      <c r="AM245" s="49" t="str">
        <f aca="false">IF(OR(C245="",G245=""),"",IFERROR(DATEDIF(C245,G245,"m"),""))</f>
        <v/>
      </c>
      <c r="AN245" s="49" t="str">
        <f aca="false">IF(OR(Q245="",AM245=""),"",60+2*Q245-AM245)</f>
        <v/>
      </c>
      <c r="AO245" s="49" t="str">
        <f aca="false">IF(OR(G245="",AJ245=""),"",AJ245-G245)</f>
        <v/>
      </c>
      <c r="AP245" s="50" t="str">
        <f aca="false">IF(AND(A245="",B245=""),"",IF(J245="","Status needed",IF(OR(J245="Applied",J245="Visit booked",J245="Withdrawn"),"OK",IF(G245="","Date assessed needed",IF(C245="","Date of birth needed",IF(COUNTA(L245,M245,P245,U245,V245,X245,AB245)&lt;7,"Band missing",IF(AND(OR(J245="Decision confirmed",J245="Family told",J245="Enrolled"),AG245=""),"Recommendation needed",IF(AND(OR(J245="Family told",J245="Enrolled"),AJ245=""),"Date family told needed","OK"))))))))</f>
        <v/>
      </c>
    </row>
    <row r="246" customFormat="false" ht="15" hidden="false" customHeight="false" outlineLevel="0" collapsed="false">
      <c r="A246" s="7"/>
      <c r="B246" s="7"/>
      <c r="C246" s="46"/>
      <c r="D246" s="7"/>
      <c r="E246" s="47"/>
      <c r="F246" s="46"/>
      <c r="G246" s="46"/>
      <c r="H246" s="7"/>
      <c r="I246" s="7"/>
      <c r="J246" s="47"/>
      <c r="K246" s="47"/>
      <c r="L246" s="47"/>
      <c r="M246" s="47"/>
      <c r="N246" s="10"/>
      <c r="O246" s="47"/>
      <c r="P246" s="47"/>
      <c r="Q246" s="47"/>
      <c r="R246" s="48" t="str">
        <f aca="false">IF(Q246="","",IF(Q246=0,"below 5:00",IF(Q246&gt;=66,"16:00 or above",INT((60+2*Q246)/12)&amp;":"&amp;TEXT(MOD(60+2*Q246,12),"00"))))</f>
        <v/>
      </c>
      <c r="S246" s="47"/>
      <c r="T246" s="47"/>
      <c r="U246" s="47"/>
      <c r="V246" s="47"/>
      <c r="W246" s="47"/>
      <c r="X246" s="47"/>
      <c r="Y246" s="47"/>
      <c r="Z246" s="47"/>
      <c r="AA246" s="47"/>
      <c r="AB246" s="47"/>
      <c r="AC246" s="47"/>
      <c r="AD246" s="47"/>
      <c r="AE246" s="47"/>
      <c r="AF246" s="47"/>
      <c r="AG246" s="47"/>
      <c r="AH246" s="47"/>
      <c r="AI246" s="46"/>
      <c r="AJ246" s="46"/>
      <c r="AK246" s="46"/>
      <c r="AL246" s="7"/>
      <c r="AM246" s="49" t="str">
        <f aca="false">IF(OR(C246="",G246=""),"",IFERROR(DATEDIF(C246,G246,"m"),""))</f>
        <v/>
      </c>
      <c r="AN246" s="49" t="str">
        <f aca="false">IF(OR(Q246="",AM246=""),"",60+2*Q246-AM246)</f>
        <v/>
      </c>
      <c r="AO246" s="49" t="str">
        <f aca="false">IF(OR(G246="",AJ246=""),"",AJ246-G246)</f>
        <v/>
      </c>
      <c r="AP246" s="50" t="str">
        <f aca="false">IF(AND(A246="",B246=""),"",IF(J246="","Status needed",IF(OR(J246="Applied",J246="Visit booked",J246="Withdrawn"),"OK",IF(G246="","Date assessed needed",IF(C246="","Date of birth needed",IF(COUNTA(L246,M246,P246,U246,V246,X246,AB246)&lt;7,"Band missing",IF(AND(OR(J246="Decision confirmed",J246="Family told",J246="Enrolled"),AG246=""),"Recommendation needed",IF(AND(OR(J246="Family told",J246="Enrolled"),AJ246=""),"Date family told needed","OK"))))))))</f>
        <v/>
      </c>
    </row>
    <row r="247" customFormat="false" ht="15" hidden="false" customHeight="false" outlineLevel="0" collapsed="false">
      <c r="A247" s="7"/>
      <c r="B247" s="7"/>
      <c r="C247" s="46"/>
      <c r="D247" s="7"/>
      <c r="E247" s="47"/>
      <c r="F247" s="46"/>
      <c r="G247" s="46"/>
      <c r="H247" s="7"/>
      <c r="I247" s="7"/>
      <c r="J247" s="47"/>
      <c r="K247" s="47"/>
      <c r="L247" s="47"/>
      <c r="M247" s="47"/>
      <c r="N247" s="10"/>
      <c r="O247" s="47"/>
      <c r="P247" s="47"/>
      <c r="Q247" s="47"/>
      <c r="R247" s="48" t="str">
        <f aca="false">IF(Q247="","",IF(Q247=0,"below 5:00",IF(Q247&gt;=66,"16:00 or above",INT((60+2*Q247)/12)&amp;":"&amp;TEXT(MOD(60+2*Q247,12),"00"))))</f>
        <v/>
      </c>
      <c r="S247" s="47"/>
      <c r="T247" s="47"/>
      <c r="U247" s="47"/>
      <c r="V247" s="47"/>
      <c r="W247" s="47"/>
      <c r="X247" s="47"/>
      <c r="Y247" s="47"/>
      <c r="Z247" s="47"/>
      <c r="AA247" s="47"/>
      <c r="AB247" s="47"/>
      <c r="AC247" s="47"/>
      <c r="AD247" s="47"/>
      <c r="AE247" s="47"/>
      <c r="AF247" s="47"/>
      <c r="AG247" s="47"/>
      <c r="AH247" s="47"/>
      <c r="AI247" s="46"/>
      <c r="AJ247" s="46"/>
      <c r="AK247" s="46"/>
      <c r="AL247" s="7"/>
      <c r="AM247" s="49" t="str">
        <f aca="false">IF(OR(C247="",G247=""),"",IFERROR(DATEDIF(C247,G247,"m"),""))</f>
        <v/>
      </c>
      <c r="AN247" s="49" t="str">
        <f aca="false">IF(OR(Q247="",AM247=""),"",60+2*Q247-AM247)</f>
        <v/>
      </c>
      <c r="AO247" s="49" t="str">
        <f aca="false">IF(OR(G247="",AJ247=""),"",AJ247-G247)</f>
        <v/>
      </c>
      <c r="AP247" s="50" t="str">
        <f aca="false">IF(AND(A247="",B247=""),"",IF(J247="","Status needed",IF(OR(J247="Applied",J247="Visit booked",J247="Withdrawn"),"OK",IF(G247="","Date assessed needed",IF(C247="","Date of birth needed",IF(COUNTA(L247,M247,P247,U247,V247,X247,AB247)&lt;7,"Band missing",IF(AND(OR(J247="Decision confirmed",J247="Family told",J247="Enrolled"),AG247=""),"Recommendation needed",IF(AND(OR(J247="Family told",J247="Enrolled"),AJ247=""),"Date family told needed","OK"))))))))</f>
        <v/>
      </c>
    </row>
    <row r="248" customFormat="false" ht="15" hidden="false" customHeight="false" outlineLevel="0" collapsed="false">
      <c r="A248" s="7"/>
      <c r="B248" s="7"/>
      <c r="C248" s="46"/>
      <c r="D248" s="7"/>
      <c r="E248" s="47"/>
      <c r="F248" s="46"/>
      <c r="G248" s="46"/>
      <c r="H248" s="7"/>
      <c r="I248" s="7"/>
      <c r="J248" s="47"/>
      <c r="K248" s="47"/>
      <c r="L248" s="47"/>
      <c r="M248" s="47"/>
      <c r="N248" s="10"/>
      <c r="O248" s="47"/>
      <c r="P248" s="47"/>
      <c r="Q248" s="47"/>
      <c r="R248" s="48" t="str">
        <f aca="false">IF(Q248="","",IF(Q248=0,"below 5:00",IF(Q248&gt;=66,"16:00 or above",INT((60+2*Q248)/12)&amp;":"&amp;TEXT(MOD(60+2*Q248,12),"00"))))</f>
        <v/>
      </c>
      <c r="S248" s="47"/>
      <c r="T248" s="47"/>
      <c r="U248" s="47"/>
      <c r="V248" s="47"/>
      <c r="W248" s="47"/>
      <c r="X248" s="47"/>
      <c r="Y248" s="47"/>
      <c r="Z248" s="47"/>
      <c r="AA248" s="47"/>
      <c r="AB248" s="47"/>
      <c r="AC248" s="47"/>
      <c r="AD248" s="47"/>
      <c r="AE248" s="47"/>
      <c r="AF248" s="47"/>
      <c r="AG248" s="47"/>
      <c r="AH248" s="47"/>
      <c r="AI248" s="46"/>
      <c r="AJ248" s="46"/>
      <c r="AK248" s="46"/>
      <c r="AL248" s="7"/>
      <c r="AM248" s="49" t="str">
        <f aca="false">IF(OR(C248="",G248=""),"",IFERROR(DATEDIF(C248,G248,"m"),""))</f>
        <v/>
      </c>
      <c r="AN248" s="49" t="str">
        <f aca="false">IF(OR(Q248="",AM248=""),"",60+2*Q248-AM248)</f>
        <v/>
      </c>
      <c r="AO248" s="49" t="str">
        <f aca="false">IF(OR(G248="",AJ248=""),"",AJ248-G248)</f>
        <v/>
      </c>
      <c r="AP248" s="50" t="str">
        <f aca="false">IF(AND(A248="",B248=""),"",IF(J248="","Status needed",IF(OR(J248="Applied",J248="Visit booked",J248="Withdrawn"),"OK",IF(G248="","Date assessed needed",IF(C248="","Date of birth needed",IF(COUNTA(L248,M248,P248,U248,V248,X248,AB248)&lt;7,"Band missing",IF(AND(OR(J248="Decision confirmed",J248="Family told",J248="Enrolled"),AG248=""),"Recommendation needed",IF(AND(OR(J248="Family told",J248="Enrolled"),AJ248=""),"Date family told needed","OK"))))))))</f>
        <v/>
      </c>
    </row>
    <row r="249" customFormat="false" ht="15" hidden="false" customHeight="false" outlineLevel="0" collapsed="false">
      <c r="A249" s="7"/>
      <c r="B249" s="7"/>
      <c r="C249" s="46"/>
      <c r="D249" s="7"/>
      <c r="E249" s="47"/>
      <c r="F249" s="46"/>
      <c r="G249" s="46"/>
      <c r="H249" s="7"/>
      <c r="I249" s="7"/>
      <c r="J249" s="47"/>
      <c r="K249" s="47"/>
      <c r="L249" s="47"/>
      <c r="M249" s="47"/>
      <c r="N249" s="10"/>
      <c r="O249" s="47"/>
      <c r="P249" s="47"/>
      <c r="Q249" s="47"/>
      <c r="R249" s="48" t="str">
        <f aca="false">IF(Q249="","",IF(Q249=0,"below 5:00",IF(Q249&gt;=66,"16:00 or above",INT((60+2*Q249)/12)&amp;":"&amp;TEXT(MOD(60+2*Q249,12),"00"))))</f>
        <v/>
      </c>
      <c r="S249" s="47"/>
      <c r="T249" s="47"/>
      <c r="U249" s="47"/>
      <c r="V249" s="47"/>
      <c r="W249" s="47"/>
      <c r="X249" s="47"/>
      <c r="Y249" s="47"/>
      <c r="Z249" s="47"/>
      <c r="AA249" s="47"/>
      <c r="AB249" s="47"/>
      <c r="AC249" s="47"/>
      <c r="AD249" s="47"/>
      <c r="AE249" s="47"/>
      <c r="AF249" s="47"/>
      <c r="AG249" s="47"/>
      <c r="AH249" s="47"/>
      <c r="AI249" s="46"/>
      <c r="AJ249" s="46"/>
      <c r="AK249" s="46"/>
      <c r="AL249" s="7"/>
      <c r="AM249" s="49" t="str">
        <f aca="false">IF(OR(C249="",G249=""),"",IFERROR(DATEDIF(C249,G249,"m"),""))</f>
        <v/>
      </c>
      <c r="AN249" s="49" t="str">
        <f aca="false">IF(OR(Q249="",AM249=""),"",60+2*Q249-AM249)</f>
        <v/>
      </c>
      <c r="AO249" s="49" t="str">
        <f aca="false">IF(OR(G249="",AJ249=""),"",AJ249-G249)</f>
        <v/>
      </c>
      <c r="AP249" s="50" t="str">
        <f aca="false">IF(AND(A249="",B249=""),"",IF(J249="","Status needed",IF(OR(J249="Applied",J249="Visit booked",J249="Withdrawn"),"OK",IF(G249="","Date assessed needed",IF(C249="","Date of birth needed",IF(COUNTA(L249,M249,P249,U249,V249,X249,AB249)&lt;7,"Band missing",IF(AND(OR(J249="Decision confirmed",J249="Family told",J249="Enrolled"),AG249=""),"Recommendation needed",IF(AND(OR(J249="Family told",J249="Enrolled"),AJ249=""),"Date family told needed","OK"))))))))</f>
        <v/>
      </c>
    </row>
    <row r="250" customFormat="false" ht="15" hidden="false" customHeight="false" outlineLevel="0" collapsed="false">
      <c r="A250" s="7"/>
      <c r="B250" s="7"/>
      <c r="C250" s="46"/>
      <c r="D250" s="7"/>
      <c r="E250" s="47"/>
      <c r="F250" s="46"/>
      <c r="G250" s="46"/>
      <c r="H250" s="7"/>
      <c r="I250" s="7"/>
      <c r="J250" s="47"/>
      <c r="K250" s="47"/>
      <c r="L250" s="47"/>
      <c r="M250" s="47"/>
      <c r="N250" s="10"/>
      <c r="O250" s="47"/>
      <c r="P250" s="47"/>
      <c r="Q250" s="47"/>
      <c r="R250" s="48" t="str">
        <f aca="false">IF(Q250="","",IF(Q250=0,"below 5:00",IF(Q250&gt;=66,"16:00 or above",INT((60+2*Q250)/12)&amp;":"&amp;TEXT(MOD(60+2*Q250,12),"00"))))</f>
        <v/>
      </c>
      <c r="S250" s="47"/>
      <c r="T250" s="47"/>
      <c r="U250" s="47"/>
      <c r="V250" s="47"/>
      <c r="W250" s="47"/>
      <c r="X250" s="47"/>
      <c r="Y250" s="47"/>
      <c r="Z250" s="47"/>
      <c r="AA250" s="47"/>
      <c r="AB250" s="47"/>
      <c r="AC250" s="47"/>
      <c r="AD250" s="47"/>
      <c r="AE250" s="47"/>
      <c r="AF250" s="47"/>
      <c r="AG250" s="47"/>
      <c r="AH250" s="47"/>
      <c r="AI250" s="46"/>
      <c r="AJ250" s="46"/>
      <c r="AK250" s="46"/>
      <c r="AL250" s="7"/>
      <c r="AM250" s="49" t="str">
        <f aca="false">IF(OR(C250="",G250=""),"",IFERROR(DATEDIF(C250,G250,"m"),""))</f>
        <v/>
      </c>
      <c r="AN250" s="49" t="str">
        <f aca="false">IF(OR(Q250="",AM250=""),"",60+2*Q250-AM250)</f>
        <v/>
      </c>
      <c r="AO250" s="49" t="str">
        <f aca="false">IF(OR(G250="",AJ250=""),"",AJ250-G250)</f>
        <v/>
      </c>
      <c r="AP250" s="50" t="str">
        <f aca="false">IF(AND(A250="",B250=""),"",IF(J250="","Status needed",IF(OR(J250="Applied",J250="Visit booked",J250="Withdrawn"),"OK",IF(G250="","Date assessed needed",IF(C250="","Date of birth needed",IF(COUNTA(L250,M250,P250,U250,V250,X250,AB250)&lt;7,"Band missing",IF(AND(OR(J250="Decision confirmed",J250="Family told",J250="Enrolled"),AG250=""),"Recommendation needed",IF(AND(OR(J250="Family told",J250="Enrolled"),AJ250=""),"Date family told needed","OK"))))))))</f>
        <v/>
      </c>
    </row>
    <row r="251" customFormat="false" ht="15" hidden="false" customHeight="false" outlineLevel="0" collapsed="false">
      <c r="A251" s="7"/>
      <c r="B251" s="7"/>
      <c r="C251" s="46"/>
      <c r="D251" s="7"/>
      <c r="E251" s="47"/>
      <c r="F251" s="46"/>
      <c r="G251" s="46"/>
      <c r="H251" s="7"/>
      <c r="I251" s="7"/>
      <c r="J251" s="47"/>
      <c r="K251" s="47"/>
      <c r="L251" s="47"/>
      <c r="M251" s="47"/>
      <c r="N251" s="10"/>
      <c r="O251" s="47"/>
      <c r="P251" s="47"/>
      <c r="Q251" s="47"/>
      <c r="R251" s="48" t="str">
        <f aca="false">IF(Q251="","",IF(Q251=0,"below 5:00",IF(Q251&gt;=66,"16:00 or above",INT((60+2*Q251)/12)&amp;":"&amp;TEXT(MOD(60+2*Q251,12),"00"))))</f>
        <v/>
      </c>
      <c r="S251" s="47"/>
      <c r="T251" s="47"/>
      <c r="U251" s="47"/>
      <c r="V251" s="47"/>
      <c r="W251" s="47"/>
      <c r="X251" s="47"/>
      <c r="Y251" s="47"/>
      <c r="Z251" s="47"/>
      <c r="AA251" s="47"/>
      <c r="AB251" s="47"/>
      <c r="AC251" s="47"/>
      <c r="AD251" s="47"/>
      <c r="AE251" s="47"/>
      <c r="AF251" s="47"/>
      <c r="AG251" s="47"/>
      <c r="AH251" s="47"/>
      <c r="AI251" s="46"/>
      <c r="AJ251" s="46"/>
      <c r="AK251" s="46"/>
      <c r="AL251" s="7"/>
      <c r="AM251" s="49" t="str">
        <f aca="false">IF(OR(C251="",G251=""),"",IFERROR(DATEDIF(C251,G251,"m"),""))</f>
        <v/>
      </c>
      <c r="AN251" s="49" t="str">
        <f aca="false">IF(OR(Q251="",AM251=""),"",60+2*Q251-AM251)</f>
        <v/>
      </c>
      <c r="AO251" s="49" t="str">
        <f aca="false">IF(OR(G251="",AJ251=""),"",AJ251-G251)</f>
        <v/>
      </c>
      <c r="AP251" s="50" t="str">
        <f aca="false">IF(AND(A251="",B251=""),"",IF(J251="","Status needed",IF(OR(J251="Applied",J251="Visit booked",J251="Withdrawn"),"OK",IF(G251="","Date assessed needed",IF(C251="","Date of birth needed",IF(COUNTA(L251,M251,P251,U251,V251,X251,AB251)&lt;7,"Band missing",IF(AND(OR(J251="Decision confirmed",J251="Family told",J251="Enrolled"),AG251=""),"Recommendation needed",IF(AND(OR(J251="Family told",J251="Enrolled"),AJ251=""),"Date family told needed","OK"))))))))</f>
        <v/>
      </c>
    </row>
    <row r="252" customFormat="false" ht="15" hidden="false" customHeight="false" outlineLevel="0" collapsed="false">
      <c r="A252" s="7"/>
      <c r="B252" s="7"/>
      <c r="C252" s="46"/>
      <c r="D252" s="7"/>
      <c r="E252" s="47"/>
      <c r="F252" s="46"/>
      <c r="G252" s="46"/>
      <c r="H252" s="7"/>
      <c r="I252" s="7"/>
      <c r="J252" s="47"/>
      <c r="K252" s="47"/>
      <c r="L252" s="47"/>
      <c r="M252" s="47"/>
      <c r="N252" s="10"/>
      <c r="O252" s="47"/>
      <c r="P252" s="47"/>
      <c r="Q252" s="47"/>
      <c r="R252" s="48" t="str">
        <f aca="false">IF(Q252="","",IF(Q252=0,"below 5:00",IF(Q252&gt;=66,"16:00 or above",INT((60+2*Q252)/12)&amp;":"&amp;TEXT(MOD(60+2*Q252,12),"00"))))</f>
        <v/>
      </c>
      <c r="S252" s="47"/>
      <c r="T252" s="47"/>
      <c r="U252" s="47"/>
      <c r="V252" s="47"/>
      <c r="W252" s="47"/>
      <c r="X252" s="47"/>
      <c r="Y252" s="47"/>
      <c r="Z252" s="47"/>
      <c r="AA252" s="47"/>
      <c r="AB252" s="47"/>
      <c r="AC252" s="47"/>
      <c r="AD252" s="47"/>
      <c r="AE252" s="47"/>
      <c r="AF252" s="47"/>
      <c r="AG252" s="47"/>
      <c r="AH252" s="47"/>
      <c r="AI252" s="46"/>
      <c r="AJ252" s="46"/>
      <c r="AK252" s="46"/>
      <c r="AL252" s="7"/>
      <c r="AM252" s="49" t="str">
        <f aca="false">IF(OR(C252="",G252=""),"",IFERROR(DATEDIF(C252,G252,"m"),""))</f>
        <v/>
      </c>
      <c r="AN252" s="49" t="str">
        <f aca="false">IF(OR(Q252="",AM252=""),"",60+2*Q252-AM252)</f>
        <v/>
      </c>
      <c r="AO252" s="49" t="str">
        <f aca="false">IF(OR(G252="",AJ252=""),"",AJ252-G252)</f>
        <v/>
      </c>
      <c r="AP252" s="50" t="str">
        <f aca="false">IF(AND(A252="",B252=""),"",IF(J252="","Status needed",IF(OR(J252="Applied",J252="Visit booked",J252="Withdrawn"),"OK",IF(G252="","Date assessed needed",IF(C252="","Date of birth needed",IF(COUNTA(L252,M252,P252,U252,V252,X252,AB252)&lt;7,"Band missing",IF(AND(OR(J252="Decision confirmed",J252="Family told",J252="Enrolled"),AG252=""),"Recommendation needed",IF(AND(OR(J252="Family told",J252="Enrolled"),AJ252=""),"Date family told needed","OK"))))))))</f>
        <v/>
      </c>
    </row>
    <row r="253" customFormat="false" ht="15" hidden="false" customHeight="false" outlineLevel="0" collapsed="false">
      <c r="A253" s="7"/>
      <c r="B253" s="7"/>
      <c r="C253" s="46"/>
      <c r="D253" s="7"/>
      <c r="E253" s="47"/>
      <c r="F253" s="46"/>
      <c r="G253" s="46"/>
      <c r="H253" s="7"/>
      <c r="I253" s="7"/>
      <c r="J253" s="47"/>
      <c r="K253" s="47"/>
      <c r="L253" s="47"/>
      <c r="M253" s="47"/>
      <c r="N253" s="10"/>
      <c r="O253" s="47"/>
      <c r="P253" s="47"/>
      <c r="Q253" s="47"/>
      <c r="R253" s="48" t="str">
        <f aca="false">IF(Q253="","",IF(Q253=0,"below 5:00",IF(Q253&gt;=66,"16:00 or above",INT((60+2*Q253)/12)&amp;":"&amp;TEXT(MOD(60+2*Q253,12),"00"))))</f>
        <v/>
      </c>
      <c r="S253" s="47"/>
      <c r="T253" s="47"/>
      <c r="U253" s="47"/>
      <c r="V253" s="47"/>
      <c r="W253" s="47"/>
      <c r="X253" s="47"/>
      <c r="Y253" s="47"/>
      <c r="Z253" s="47"/>
      <c r="AA253" s="47"/>
      <c r="AB253" s="47"/>
      <c r="AC253" s="47"/>
      <c r="AD253" s="47"/>
      <c r="AE253" s="47"/>
      <c r="AF253" s="47"/>
      <c r="AG253" s="47"/>
      <c r="AH253" s="47"/>
      <c r="AI253" s="46"/>
      <c r="AJ253" s="46"/>
      <c r="AK253" s="46"/>
      <c r="AL253" s="7"/>
      <c r="AM253" s="49" t="str">
        <f aca="false">IF(OR(C253="",G253=""),"",IFERROR(DATEDIF(C253,G253,"m"),""))</f>
        <v/>
      </c>
      <c r="AN253" s="49" t="str">
        <f aca="false">IF(OR(Q253="",AM253=""),"",60+2*Q253-AM253)</f>
        <v/>
      </c>
      <c r="AO253" s="49" t="str">
        <f aca="false">IF(OR(G253="",AJ253=""),"",AJ253-G253)</f>
        <v/>
      </c>
      <c r="AP253" s="50" t="str">
        <f aca="false">IF(AND(A253="",B253=""),"",IF(J253="","Status needed",IF(OR(J253="Applied",J253="Visit booked",J253="Withdrawn"),"OK",IF(G253="","Date assessed needed",IF(C253="","Date of birth needed",IF(COUNTA(L253,M253,P253,U253,V253,X253,AB253)&lt;7,"Band missing",IF(AND(OR(J253="Decision confirmed",J253="Family told",J253="Enrolled"),AG253=""),"Recommendation needed",IF(AND(OR(J253="Family told",J253="Enrolled"),AJ253=""),"Date family told needed","OK"))))))))</f>
        <v/>
      </c>
    </row>
    <row r="254" customFormat="false" ht="15" hidden="false" customHeight="false" outlineLevel="0" collapsed="false">
      <c r="A254" s="7"/>
      <c r="B254" s="7"/>
      <c r="C254" s="46"/>
      <c r="D254" s="7"/>
      <c r="E254" s="47"/>
      <c r="F254" s="46"/>
      <c r="G254" s="46"/>
      <c r="H254" s="7"/>
      <c r="I254" s="7"/>
      <c r="J254" s="47"/>
      <c r="K254" s="47"/>
      <c r="L254" s="47"/>
      <c r="M254" s="47"/>
      <c r="N254" s="10"/>
      <c r="O254" s="47"/>
      <c r="P254" s="47"/>
      <c r="Q254" s="47"/>
      <c r="R254" s="48" t="str">
        <f aca="false">IF(Q254="","",IF(Q254=0,"below 5:00",IF(Q254&gt;=66,"16:00 or above",INT((60+2*Q254)/12)&amp;":"&amp;TEXT(MOD(60+2*Q254,12),"00"))))</f>
        <v/>
      </c>
      <c r="S254" s="47"/>
      <c r="T254" s="47"/>
      <c r="U254" s="47"/>
      <c r="V254" s="47"/>
      <c r="W254" s="47"/>
      <c r="X254" s="47"/>
      <c r="Y254" s="47"/>
      <c r="Z254" s="47"/>
      <c r="AA254" s="47"/>
      <c r="AB254" s="47"/>
      <c r="AC254" s="47"/>
      <c r="AD254" s="47"/>
      <c r="AE254" s="47"/>
      <c r="AF254" s="47"/>
      <c r="AG254" s="47"/>
      <c r="AH254" s="47"/>
      <c r="AI254" s="46"/>
      <c r="AJ254" s="46"/>
      <c r="AK254" s="46"/>
      <c r="AL254" s="7"/>
      <c r="AM254" s="49" t="str">
        <f aca="false">IF(OR(C254="",G254=""),"",IFERROR(DATEDIF(C254,G254,"m"),""))</f>
        <v/>
      </c>
      <c r="AN254" s="49" t="str">
        <f aca="false">IF(OR(Q254="",AM254=""),"",60+2*Q254-AM254)</f>
        <v/>
      </c>
      <c r="AO254" s="49" t="str">
        <f aca="false">IF(OR(G254="",AJ254=""),"",AJ254-G254)</f>
        <v/>
      </c>
      <c r="AP254" s="50" t="str">
        <f aca="false">IF(AND(A254="",B254=""),"",IF(J254="","Status needed",IF(OR(J254="Applied",J254="Visit booked",J254="Withdrawn"),"OK",IF(G254="","Date assessed needed",IF(C254="","Date of birth needed",IF(COUNTA(L254,M254,P254,U254,V254,X254,AB254)&lt;7,"Band missing",IF(AND(OR(J254="Decision confirmed",J254="Family told",J254="Enrolled"),AG254=""),"Recommendation needed",IF(AND(OR(J254="Family told",J254="Enrolled"),AJ254=""),"Date family told needed","OK"))))))))</f>
        <v/>
      </c>
    </row>
    <row r="255" customFormat="false" ht="15" hidden="false" customHeight="false" outlineLevel="0" collapsed="false">
      <c r="A255" s="7"/>
      <c r="B255" s="7"/>
      <c r="C255" s="46"/>
      <c r="D255" s="7"/>
      <c r="E255" s="47"/>
      <c r="F255" s="46"/>
      <c r="G255" s="46"/>
      <c r="H255" s="7"/>
      <c r="I255" s="7"/>
      <c r="J255" s="47"/>
      <c r="K255" s="47"/>
      <c r="L255" s="47"/>
      <c r="M255" s="47"/>
      <c r="N255" s="10"/>
      <c r="O255" s="47"/>
      <c r="P255" s="47"/>
      <c r="Q255" s="47"/>
      <c r="R255" s="48" t="str">
        <f aca="false">IF(Q255="","",IF(Q255=0,"below 5:00",IF(Q255&gt;=66,"16:00 or above",INT((60+2*Q255)/12)&amp;":"&amp;TEXT(MOD(60+2*Q255,12),"00"))))</f>
        <v/>
      </c>
      <c r="S255" s="47"/>
      <c r="T255" s="47"/>
      <c r="U255" s="47"/>
      <c r="V255" s="47"/>
      <c r="W255" s="47"/>
      <c r="X255" s="47"/>
      <c r="Y255" s="47"/>
      <c r="Z255" s="47"/>
      <c r="AA255" s="47"/>
      <c r="AB255" s="47"/>
      <c r="AC255" s="47"/>
      <c r="AD255" s="47"/>
      <c r="AE255" s="47"/>
      <c r="AF255" s="47"/>
      <c r="AG255" s="47"/>
      <c r="AH255" s="47"/>
      <c r="AI255" s="46"/>
      <c r="AJ255" s="46"/>
      <c r="AK255" s="46"/>
      <c r="AL255" s="7"/>
      <c r="AM255" s="49" t="str">
        <f aca="false">IF(OR(C255="",G255=""),"",IFERROR(DATEDIF(C255,G255,"m"),""))</f>
        <v/>
      </c>
      <c r="AN255" s="49" t="str">
        <f aca="false">IF(OR(Q255="",AM255=""),"",60+2*Q255-AM255)</f>
        <v/>
      </c>
      <c r="AO255" s="49" t="str">
        <f aca="false">IF(OR(G255="",AJ255=""),"",AJ255-G255)</f>
        <v/>
      </c>
      <c r="AP255" s="50" t="str">
        <f aca="false">IF(AND(A255="",B255=""),"",IF(J255="","Status needed",IF(OR(J255="Applied",J255="Visit booked",J255="Withdrawn"),"OK",IF(G255="","Date assessed needed",IF(C255="","Date of birth needed",IF(COUNTA(L255,M255,P255,U255,V255,X255,AB255)&lt;7,"Band missing",IF(AND(OR(J255="Decision confirmed",J255="Family told",J255="Enrolled"),AG255=""),"Recommendation needed",IF(AND(OR(J255="Family told",J255="Enrolled"),AJ255=""),"Date family told needed","OK"))))))))</f>
        <v/>
      </c>
    </row>
    <row r="256" customFormat="false" ht="15" hidden="false" customHeight="false" outlineLevel="0" collapsed="false">
      <c r="A256" s="7"/>
      <c r="B256" s="7"/>
      <c r="C256" s="46"/>
      <c r="D256" s="7"/>
      <c r="E256" s="47"/>
      <c r="F256" s="46"/>
      <c r="G256" s="46"/>
      <c r="H256" s="7"/>
      <c r="I256" s="7"/>
      <c r="J256" s="47"/>
      <c r="K256" s="47"/>
      <c r="L256" s="47"/>
      <c r="M256" s="47"/>
      <c r="N256" s="10"/>
      <c r="O256" s="47"/>
      <c r="P256" s="47"/>
      <c r="Q256" s="47"/>
      <c r="R256" s="48" t="str">
        <f aca="false">IF(Q256="","",IF(Q256=0,"below 5:00",IF(Q256&gt;=66,"16:00 or above",INT((60+2*Q256)/12)&amp;":"&amp;TEXT(MOD(60+2*Q256,12),"00"))))</f>
        <v/>
      </c>
      <c r="S256" s="47"/>
      <c r="T256" s="47"/>
      <c r="U256" s="47"/>
      <c r="V256" s="47"/>
      <c r="W256" s="47"/>
      <c r="X256" s="47"/>
      <c r="Y256" s="47"/>
      <c r="Z256" s="47"/>
      <c r="AA256" s="47"/>
      <c r="AB256" s="47"/>
      <c r="AC256" s="47"/>
      <c r="AD256" s="47"/>
      <c r="AE256" s="47"/>
      <c r="AF256" s="47"/>
      <c r="AG256" s="47"/>
      <c r="AH256" s="47"/>
      <c r="AI256" s="46"/>
      <c r="AJ256" s="46"/>
      <c r="AK256" s="46"/>
      <c r="AL256" s="7"/>
      <c r="AM256" s="49" t="str">
        <f aca="false">IF(OR(C256="",G256=""),"",IFERROR(DATEDIF(C256,G256,"m"),""))</f>
        <v/>
      </c>
      <c r="AN256" s="49" t="str">
        <f aca="false">IF(OR(Q256="",AM256=""),"",60+2*Q256-AM256)</f>
        <v/>
      </c>
      <c r="AO256" s="49" t="str">
        <f aca="false">IF(OR(G256="",AJ256=""),"",AJ256-G256)</f>
        <v/>
      </c>
      <c r="AP256" s="50" t="str">
        <f aca="false">IF(AND(A256="",B256=""),"",IF(J256="","Status needed",IF(OR(J256="Applied",J256="Visit booked",J256="Withdrawn"),"OK",IF(G256="","Date assessed needed",IF(C256="","Date of birth needed",IF(COUNTA(L256,M256,P256,U256,V256,X256,AB256)&lt;7,"Band missing",IF(AND(OR(J256="Decision confirmed",J256="Family told",J256="Enrolled"),AG256=""),"Recommendation needed",IF(AND(OR(J256="Family told",J256="Enrolled"),AJ256=""),"Date family told needed","OK"))))))))</f>
        <v/>
      </c>
    </row>
    <row r="257" customFormat="false" ht="15" hidden="false" customHeight="false" outlineLevel="0" collapsed="false">
      <c r="A257" s="7"/>
      <c r="B257" s="7"/>
      <c r="C257" s="46"/>
      <c r="D257" s="7"/>
      <c r="E257" s="47"/>
      <c r="F257" s="46"/>
      <c r="G257" s="46"/>
      <c r="H257" s="7"/>
      <c r="I257" s="7"/>
      <c r="J257" s="47"/>
      <c r="K257" s="47"/>
      <c r="L257" s="47"/>
      <c r="M257" s="47"/>
      <c r="N257" s="10"/>
      <c r="O257" s="47"/>
      <c r="P257" s="47"/>
      <c r="Q257" s="47"/>
      <c r="R257" s="48" t="str">
        <f aca="false">IF(Q257="","",IF(Q257=0,"below 5:00",IF(Q257&gt;=66,"16:00 or above",INT((60+2*Q257)/12)&amp;":"&amp;TEXT(MOD(60+2*Q257,12),"00"))))</f>
        <v/>
      </c>
      <c r="S257" s="47"/>
      <c r="T257" s="47"/>
      <c r="U257" s="47"/>
      <c r="V257" s="47"/>
      <c r="W257" s="47"/>
      <c r="X257" s="47"/>
      <c r="Y257" s="47"/>
      <c r="Z257" s="47"/>
      <c r="AA257" s="47"/>
      <c r="AB257" s="47"/>
      <c r="AC257" s="47"/>
      <c r="AD257" s="47"/>
      <c r="AE257" s="47"/>
      <c r="AF257" s="47"/>
      <c r="AG257" s="47"/>
      <c r="AH257" s="47"/>
      <c r="AI257" s="46"/>
      <c r="AJ257" s="46"/>
      <c r="AK257" s="46"/>
      <c r="AL257" s="7"/>
      <c r="AM257" s="49" t="str">
        <f aca="false">IF(OR(C257="",G257=""),"",IFERROR(DATEDIF(C257,G257,"m"),""))</f>
        <v/>
      </c>
      <c r="AN257" s="49" t="str">
        <f aca="false">IF(OR(Q257="",AM257=""),"",60+2*Q257-AM257)</f>
        <v/>
      </c>
      <c r="AO257" s="49" t="str">
        <f aca="false">IF(OR(G257="",AJ257=""),"",AJ257-G257)</f>
        <v/>
      </c>
      <c r="AP257" s="50" t="str">
        <f aca="false">IF(AND(A257="",B257=""),"",IF(J257="","Status needed",IF(OR(J257="Applied",J257="Visit booked",J257="Withdrawn"),"OK",IF(G257="","Date assessed needed",IF(C257="","Date of birth needed",IF(COUNTA(L257,M257,P257,U257,V257,X257,AB257)&lt;7,"Band missing",IF(AND(OR(J257="Decision confirmed",J257="Family told",J257="Enrolled"),AG257=""),"Recommendation needed",IF(AND(OR(J257="Family told",J257="Enrolled"),AJ257=""),"Date family told needed","OK"))))))))</f>
        <v/>
      </c>
    </row>
    <row r="258" customFormat="false" ht="15" hidden="false" customHeight="false" outlineLevel="0" collapsed="false">
      <c r="A258" s="7"/>
      <c r="B258" s="7"/>
      <c r="C258" s="46"/>
      <c r="D258" s="7"/>
      <c r="E258" s="47"/>
      <c r="F258" s="46"/>
      <c r="G258" s="46"/>
      <c r="H258" s="7"/>
      <c r="I258" s="7"/>
      <c r="J258" s="47"/>
      <c r="K258" s="47"/>
      <c r="L258" s="47"/>
      <c r="M258" s="47"/>
      <c r="N258" s="10"/>
      <c r="O258" s="47"/>
      <c r="P258" s="47"/>
      <c r="Q258" s="47"/>
      <c r="R258" s="48" t="str">
        <f aca="false">IF(Q258="","",IF(Q258=0,"below 5:00",IF(Q258&gt;=66,"16:00 or above",INT((60+2*Q258)/12)&amp;":"&amp;TEXT(MOD(60+2*Q258,12),"00"))))</f>
        <v/>
      </c>
      <c r="S258" s="47"/>
      <c r="T258" s="47"/>
      <c r="U258" s="47"/>
      <c r="V258" s="47"/>
      <c r="W258" s="47"/>
      <c r="X258" s="47"/>
      <c r="Y258" s="47"/>
      <c r="Z258" s="47"/>
      <c r="AA258" s="47"/>
      <c r="AB258" s="47"/>
      <c r="AC258" s="47"/>
      <c r="AD258" s="47"/>
      <c r="AE258" s="47"/>
      <c r="AF258" s="47"/>
      <c r="AG258" s="47"/>
      <c r="AH258" s="47"/>
      <c r="AI258" s="46"/>
      <c r="AJ258" s="46"/>
      <c r="AK258" s="46"/>
      <c r="AL258" s="7"/>
      <c r="AM258" s="49" t="str">
        <f aca="false">IF(OR(C258="",G258=""),"",IFERROR(DATEDIF(C258,G258,"m"),""))</f>
        <v/>
      </c>
      <c r="AN258" s="49" t="str">
        <f aca="false">IF(OR(Q258="",AM258=""),"",60+2*Q258-AM258)</f>
        <v/>
      </c>
      <c r="AO258" s="49" t="str">
        <f aca="false">IF(OR(G258="",AJ258=""),"",AJ258-G258)</f>
        <v/>
      </c>
      <c r="AP258" s="50" t="str">
        <f aca="false">IF(AND(A258="",B258=""),"",IF(J258="","Status needed",IF(OR(J258="Applied",J258="Visit booked",J258="Withdrawn"),"OK",IF(G258="","Date assessed needed",IF(C258="","Date of birth needed",IF(COUNTA(L258,M258,P258,U258,V258,X258,AB258)&lt;7,"Band missing",IF(AND(OR(J258="Decision confirmed",J258="Family told",J258="Enrolled"),AG258=""),"Recommendation needed",IF(AND(OR(J258="Family told",J258="Enrolled"),AJ258=""),"Date family told needed","OK"))))))))</f>
        <v/>
      </c>
    </row>
    <row r="259" customFormat="false" ht="15" hidden="false" customHeight="false" outlineLevel="0" collapsed="false">
      <c r="A259" s="7"/>
      <c r="B259" s="7"/>
      <c r="C259" s="46"/>
      <c r="D259" s="7"/>
      <c r="E259" s="47"/>
      <c r="F259" s="46"/>
      <c r="G259" s="46"/>
      <c r="H259" s="7"/>
      <c r="I259" s="7"/>
      <c r="J259" s="47"/>
      <c r="K259" s="47"/>
      <c r="L259" s="47"/>
      <c r="M259" s="47"/>
      <c r="N259" s="10"/>
      <c r="O259" s="47"/>
      <c r="P259" s="47"/>
      <c r="Q259" s="47"/>
      <c r="R259" s="48" t="str">
        <f aca="false">IF(Q259="","",IF(Q259=0,"below 5:00",IF(Q259&gt;=66,"16:00 or above",INT((60+2*Q259)/12)&amp;":"&amp;TEXT(MOD(60+2*Q259,12),"00"))))</f>
        <v/>
      </c>
      <c r="S259" s="47"/>
      <c r="T259" s="47"/>
      <c r="U259" s="47"/>
      <c r="V259" s="47"/>
      <c r="W259" s="47"/>
      <c r="X259" s="47"/>
      <c r="Y259" s="47"/>
      <c r="Z259" s="47"/>
      <c r="AA259" s="47"/>
      <c r="AB259" s="47"/>
      <c r="AC259" s="47"/>
      <c r="AD259" s="47"/>
      <c r="AE259" s="47"/>
      <c r="AF259" s="47"/>
      <c r="AG259" s="47"/>
      <c r="AH259" s="47"/>
      <c r="AI259" s="46"/>
      <c r="AJ259" s="46"/>
      <c r="AK259" s="46"/>
      <c r="AL259" s="7"/>
      <c r="AM259" s="49" t="str">
        <f aca="false">IF(OR(C259="",G259=""),"",IFERROR(DATEDIF(C259,G259,"m"),""))</f>
        <v/>
      </c>
      <c r="AN259" s="49" t="str">
        <f aca="false">IF(OR(Q259="",AM259=""),"",60+2*Q259-AM259)</f>
        <v/>
      </c>
      <c r="AO259" s="49" t="str">
        <f aca="false">IF(OR(G259="",AJ259=""),"",AJ259-G259)</f>
        <v/>
      </c>
      <c r="AP259" s="50" t="str">
        <f aca="false">IF(AND(A259="",B259=""),"",IF(J259="","Status needed",IF(OR(J259="Applied",J259="Visit booked",J259="Withdrawn"),"OK",IF(G259="","Date assessed needed",IF(C259="","Date of birth needed",IF(COUNTA(L259,M259,P259,U259,V259,X259,AB259)&lt;7,"Band missing",IF(AND(OR(J259="Decision confirmed",J259="Family told",J259="Enrolled"),AG259=""),"Recommendation needed",IF(AND(OR(J259="Family told",J259="Enrolled"),AJ259=""),"Date family told needed","OK"))))))))</f>
        <v/>
      </c>
    </row>
    <row r="260" customFormat="false" ht="15" hidden="false" customHeight="false" outlineLevel="0" collapsed="false">
      <c r="A260" s="7"/>
      <c r="B260" s="7"/>
      <c r="C260" s="46"/>
      <c r="D260" s="7"/>
      <c r="E260" s="47"/>
      <c r="F260" s="46"/>
      <c r="G260" s="46"/>
      <c r="H260" s="7"/>
      <c r="I260" s="7"/>
      <c r="J260" s="47"/>
      <c r="K260" s="47"/>
      <c r="L260" s="47"/>
      <c r="M260" s="47"/>
      <c r="N260" s="10"/>
      <c r="O260" s="47"/>
      <c r="P260" s="47"/>
      <c r="Q260" s="47"/>
      <c r="R260" s="48" t="str">
        <f aca="false">IF(Q260="","",IF(Q260=0,"below 5:00",IF(Q260&gt;=66,"16:00 or above",INT((60+2*Q260)/12)&amp;":"&amp;TEXT(MOD(60+2*Q260,12),"00"))))</f>
        <v/>
      </c>
      <c r="S260" s="47"/>
      <c r="T260" s="47"/>
      <c r="U260" s="47"/>
      <c r="V260" s="47"/>
      <c r="W260" s="47"/>
      <c r="X260" s="47"/>
      <c r="Y260" s="47"/>
      <c r="Z260" s="47"/>
      <c r="AA260" s="47"/>
      <c r="AB260" s="47"/>
      <c r="AC260" s="47"/>
      <c r="AD260" s="47"/>
      <c r="AE260" s="47"/>
      <c r="AF260" s="47"/>
      <c r="AG260" s="47"/>
      <c r="AH260" s="47"/>
      <c r="AI260" s="46"/>
      <c r="AJ260" s="46"/>
      <c r="AK260" s="46"/>
      <c r="AL260" s="7"/>
      <c r="AM260" s="49" t="str">
        <f aca="false">IF(OR(C260="",G260=""),"",IFERROR(DATEDIF(C260,G260,"m"),""))</f>
        <v/>
      </c>
      <c r="AN260" s="49" t="str">
        <f aca="false">IF(OR(Q260="",AM260=""),"",60+2*Q260-AM260)</f>
        <v/>
      </c>
      <c r="AO260" s="49" t="str">
        <f aca="false">IF(OR(G260="",AJ260=""),"",AJ260-G260)</f>
        <v/>
      </c>
      <c r="AP260" s="50" t="str">
        <f aca="false">IF(AND(A260="",B260=""),"",IF(J260="","Status needed",IF(OR(J260="Applied",J260="Visit booked",J260="Withdrawn"),"OK",IF(G260="","Date assessed needed",IF(C260="","Date of birth needed",IF(COUNTA(L260,M260,P260,U260,V260,X260,AB260)&lt;7,"Band missing",IF(AND(OR(J260="Decision confirmed",J260="Family told",J260="Enrolled"),AG260=""),"Recommendation needed",IF(AND(OR(J260="Family told",J260="Enrolled"),AJ260=""),"Date family told needed","OK"))))))))</f>
        <v/>
      </c>
    </row>
    <row r="261" customFormat="false" ht="15" hidden="false" customHeight="false" outlineLevel="0" collapsed="false">
      <c r="A261" s="7"/>
      <c r="B261" s="7"/>
      <c r="C261" s="46"/>
      <c r="D261" s="7"/>
      <c r="E261" s="47"/>
      <c r="F261" s="46"/>
      <c r="G261" s="46"/>
      <c r="H261" s="7"/>
      <c r="I261" s="7"/>
      <c r="J261" s="47"/>
      <c r="K261" s="47"/>
      <c r="L261" s="47"/>
      <c r="M261" s="47"/>
      <c r="N261" s="10"/>
      <c r="O261" s="47"/>
      <c r="P261" s="47"/>
      <c r="Q261" s="47"/>
      <c r="R261" s="48" t="str">
        <f aca="false">IF(Q261="","",IF(Q261=0,"below 5:00",IF(Q261&gt;=66,"16:00 or above",INT((60+2*Q261)/12)&amp;":"&amp;TEXT(MOD(60+2*Q261,12),"00"))))</f>
        <v/>
      </c>
      <c r="S261" s="47"/>
      <c r="T261" s="47"/>
      <c r="U261" s="47"/>
      <c r="V261" s="47"/>
      <c r="W261" s="47"/>
      <c r="X261" s="47"/>
      <c r="Y261" s="47"/>
      <c r="Z261" s="47"/>
      <c r="AA261" s="47"/>
      <c r="AB261" s="47"/>
      <c r="AC261" s="47"/>
      <c r="AD261" s="47"/>
      <c r="AE261" s="47"/>
      <c r="AF261" s="47"/>
      <c r="AG261" s="47"/>
      <c r="AH261" s="47"/>
      <c r="AI261" s="46"/>
      <c r="AJ261" s="46"/>
      <c r="AK261" s="46"/>
      <c r="AL261" s="7"/>
      <c r="AM261" s="49" t="str">
        <f aca="false">IF(OR(C261="",G261=""),"",IFERROR(DATEDIF(C261,G261,"m"),""))</f>
        <v/>
      </c>
      <c r="AN261" s="49" t="str">
        <f aca="false">IF(OR(Q261="",AM261=""),"",60+2*Q261-AM261)</f>
        <v/>
      </c>
      <c r="AO261" s="49" t="str">
        <f aca="false">IF(OR(G261="",AJ261=""),"",AJ261-G261)</f>
        <v/>
      </c>
      <c r="AP261" s="50" t="str">
        <f aca="false">IF(AND(A261="",B261=""),"",IF(J261="","Status needed",IF(OR(J261="Applied",J261="Visit booked",J261="Withdrawn"),"OK",IF(G261="","Date assessed needed",IF(C261="","Date of birth needed",IF(COUNTA(L261,M261,P261,U261,V261,X261,AB261)&lt;7,"Band missing",IF(AND(OR(J261="Decision confirmed",J261="Family told",J261="Enrolled"),AG261=""),"Recommendation needed",IF(AND(OR(J261="Family told",J261="Enrolled"),AJ261=""),"Date family told needed","OK"))))))))</f>
        <v/>
      </c>
    </row>
    <row r="262" customFormat="false" ht="15" hidden="false" customHeight="false" outlineLevel="0" collapsed="false">
      <c r="A262" s="7"/>
      <c r="B262" s="7"/>
      <c r="C262" s="46"/>
      <c r="D262" s="7"/>
      <c r="E262" s="47"/>
      <c r="F262" s="46"/>
      <c r="G262" s="46"/>
      <c r="H262" s="7"/>
      <c r="I262" s="7"/>
      <c r="J262" s="47"/>
      <c r="K262" s="47"/>
      <c r="L262" s="47"/>
      <c r="M262" s="47"/>
      <c r="N262" s="10"/>
      <c r="O262" s="47"/>
      <c r="P262" s="47"/>
      <c r="Q262" s="47"/>
      <c r="R262" s="48" t="str">
        <f aca="false">IF(Q262="","",IF(Q262=0,"below 5:00",IF(Q262&gt;=66,"16:00 or above",INT((60+2*Q262)/12)&amp;":"&amp;TEXT(MOD(60+2*Q262,12),"00"))))</f>
        <v/>
      </c>
      <c r="S262" s="47"/>
      <c r="T262" s="47"/>
      <c r="U262" s="47"/>
      <c r="V262" s="47"/>
      <c r="W262" s="47"/>
      <c r="X262" s="47"/>
      <c r="Y262" s="47"/>
      <c r="Z262" s="47"/>
      <c r="AA262" s="47"/>
      <c r="AB262" s="47"/>
      <c r="AC262" s="47"/>
      <c r="AD262" s="47"/>
      <c r="AE262" s="47"/>
      <c r="AF262" s="47"/>
      <c r="AG262" s="47"/>
      <c r="AH262" s="47"/>
      <c r="AI262" s="46"/>
      <c r="AJ262" s="46"/>
      <c r="AK262" s="46"/>
      <c r="AL262" s="7"/>
      <c r="AM262" s="49" t="str">
        <f aca="false">IF(OR(C262="",G262=""),"",IFERROR(DATEDIF(C262,G262,"m"),""))</f>
        <v/>
      </c>
      <c r="AN262" s="49" t="str">
        <f aca="false">IF(OR(Q262="",AM262=""),"",60+2*Q262-AM262)</f>
        <v/>
      </c>
      <c r="AO262" s="49" t="str">
        <f aca="false">IF(OR(G262="",AJ262=""),"",AJ262-G262)</f>
        <v/>
      </c>
      <c r="AP262" s="50" t="str">
        <f aca="false">IF(AND(A262="",B262=""),"",IF(J262="","Status needed",IF(OR(J262="Applied",J262="Visit booked",J262="Withdrawn"),"OK",IF(G262="","Date assessed needed",IF(C262="","Date of birth needed",IF(COUNTA(L262,M262,P262,U262,V262,X262,AB262)&lt;7,"Band missing",IF(AND(OR(J262="Decision confirmed",J262="Family told",J262="Enrolled"),AG262=""),"Recommendation needed",IF(AND(OR(J262="Family told",J262="Enrolled"),AJ262=""),"Date family told needed","OK"))))))))</f>
        <v/>
      </c>
    </row>
    <row r="263" customFormat="false" ht="15" hidden="false" customHeight="false" outlineLevel="0" collapsed="false">
      <c r="A263" s="7"/>
      <c r="B263" s="7"/>
      <c r="C263" s="46"/>
      <c r="D263" s="7"/>
      <c r="E263" s="47"/>
      <c r="F263" s="46"/>
      <c r="G263" s="46"/>
      <c r="H263" s="7"/>
      <c r="I263" s="7"/>
      <c r="J263" s="47"/>
      <c r="K263" s="47"/>
      <c r="L263" s="47"/>
      <c r="M263" s="47"/>
      <c r="N263" s="10"/>
      <c r="O263" s="47"/>
      <c r="P263" s="47"/>
      <c r="Q263" s="47"/>
      <c r="R263" s="48" t="str">
        <f aca="false">IF(Q263="","",IF(Q263=0,"below 5:00",IF(Q263&gt;=66,"16:00 or above",INT((60+2*Q263)/12)&amp;":"&amp;TEXT(MOD(60+2*Q263,12),"00"))))</f>
        <v/>
      </c>
      <c r="S263" s="47"/>
      <c r="T263" s="47"/>
      <c r="U263" s="47"/>
      <c r="V263" s="47"/>
      <c r="W263" s="47"/>
      <c r="X263" s="47"/>
      <c r="Y263" s="47"/>
      <c r="Z263" s="47"/>
      <c r="AA263" s="47"/>
      <c r="AB263" s="47"/>
      <c r="AC263" s="47"/>
      <c r="AD263" s="47"/>
      <c r="AE263" s="47"/>
      <c r="AF263" s="47"/>
      <c r="AG263" s="47"/>
      <c r="AH263" s="47"/>
      <c r="AI263" s="46"/>
      <c r="AJ263" s="46"/>
      <c r="AK263" s="46"/>
      <c r="AL263" s="7"/>
      <c r="AM263" s="49" t="str">
        <f aca="false">IF(OR(C263="",G263=""),"",IFERROR(DATEDIF(C263,G263,"m"),""))</f>
        <v/>
      </c>
      <c r="AN263" s="49" t="str">
        <f aca="false">IF(OR(Q263="",AM263=""),"",60+2*Q263-AM263)</f>
        <v/>
      </c>
      <c r="AO263" s="49" t="str">
        <f aca="false">IF(OR(G263="",AJ263=""),"",AJ263-G263)</f>
        <v/>
      </c>
      <c r="AP263" s="50" t="str">
        <f aca="false">IF(AND(A263="",B263=""),"",IF(J263="","Status needed",IF(OR(J263="Applied",J263="Visit booked",J263="Withdrawn"),"OK",IF(G263="","Date assessed needed",IF(C263="","Date of birth needed",IF(COUNTA(L263,M263,P263,U263,V263,X263,AB263)&lt;7,"Band missing",IF(AND(OR(J263="Decision confirmed",J263="Family told",J263="Enrolled"),AG263=""),"Recommendation needed",IF(AND(OR(J263="Family told",J263="Enrolled"),AJ263=""),"Date family told needed","OK"))))))))</f>
        <v/>
      </c>
    </row>
    <row r="264" customFormat="false" ht="15" hidden="false" customHeight="false" outlineLevel="0" collapsed="false">
      <c r="A264" s="7"/>
      <c r="B264" s="7"/>
      <c r="C264" s="46"/>
      <c r="D264" s="7"/>
      <c r="E264" s="47"/>
      <c r="F264" s="46"/>
      <c r="G264" s="46"/>
      <c r="H264" s="7"/>
      <c r="I264" s="7"/>
      <c r="J264" s="47"/>
      <c r="K264" s="47"/>
      <c r="L264" s="47"/>
      <c r="M264" s="47"/>
      <c r="N264" s="10"/>
      <c r="O264" s="47"/>
      <c r="P264" s="47"/>
      <c r="Q264" s="47"/>
      <c r="R264" s="48" t="str">
        <f aca="false">IF(Q264="","",IF(Q264=0,"below 5:00",IF(Q264&gt;=66,"16:00 or above",INT((60+2*Q264)/12)&amp;":"&amp;TEXT(MOD(60+2*Q264,12),"00"))))</f>
        <v/>
      </c>
      <c r="S264" s="47"/>
      <c r="T264" s="47"/>
      <c r="U264" s="47"/>
      <c r="V264" s="47"/>
      <c r="W264" s="47"/>
      <c r="X264" s="47"/>
      <c r="Y264" s="47"/>
      <c r="Z264" s="47"/>
      <c r="AA264" s="47"/>
      <c r="AB264" s="47"/>
      <c r="AC264" s="47"/>
      <c r="AD264" s="47"/>
      <c r="AE264" s="47"/>
      <c r="AF264" s="47"/>
      <c r="AG264" s="47"/>
      <c r="AH264" s="47"/>
      <c r="AI264" s="46"/>
      <c r="AJ264" s="46"/>
      <c r="AK264" s="46"/>
      <c r="AL264" s="7"/>
      <c r="AM264" s="49" t="str">
        <f aca="false">IF(OR(C264="",G264=""),"",IFERROR(DATEDIF(C264,G264,"m"),""))</f>
        <v/>
      </c>
      <c r="AN264" s="49" t="str">
        <f aca="false">IF(OR(Q264="",AM264=""),"",60+2*Q264-AM264)</f>
        <v/>
      </c>
      <c r="AO264" s="49" t="str">
        <f aca="false">IF(OR(G264="",AJ264=""),"",AJ264-G264)</f>
        <v/>
      </c>
      <c r="AP264" s="50" t="str">
        <f aca="false">IF(AND(A264="",B264=""),"",IF(J264="","Status needed",IF(OR(J264="Applied",J264="Visit booked",J264="Withdrawn"),"OK",IF(G264="","Date assessed needed",IF(C264="","Date of birth needed",IF(COUNTA(L264,M264,P264,U264,V264,X264,AB264)&lt;7,"Band missing",IF(AND(OR(J264="Decision confirmed",J264="Family told",J264="Enrolled"),AG264=""),"Recommendation needed",IF(AND(OR(J264="Family told",J264="Enrolled"),AJ264=""),"Date family told needed","OK"))))))))</f>
        <v/>
      </c>
    </row>
    <row r="265" customFormat="false" ht="15" hidden="false" customHeight="false" outlineLevel="0" collapsed="false">
      <c r="A265" s="7"/>
      <c r="B265" s="7"/>
      <c r="C265" s="46"/>
      <c r="D265" s="7"/>
      <c r="E265" s="47"/>
      <c r="F265" s="46"/>
      <c r="G265" s="46"/>
      <c r="H265" s="7"/>
      <c r="I265" s="7"/>
      <c r="J265" s="47"/>
      <c r="K265" s="47"/>
      <c r="L265" s="47"/>
      <c r="M265" s="47"/>
      <c r="N265" s="10"/>
      <c r="O265" s="47"/>
      <c r="P265" s="47"/>
      <c r="Q265" s="47"/>
      <c r="R265" s="48" t="str">
        <f aca="false">IF(Q265="","",IF(Q265=0,"below 5:00",IF(Q265&gt;=66,"16:00 or above",INT((60+2*Q265)/12)&amp;":"&amp;TEXT(MOD(60+2*Q265,12),"00"))))</f>
        <v/>
      </c>
      <c r="S265" s="47"/>
      <c r="T265" s="47"/>
      <c r="U265" s="47"/>
      <c r="V265" s="47"/>
      <c r="W265" s="47"/>
      <c r="X265" s="47"/>
      <c r="Y265" s="47"/>
      <c r="Z265" s="47"/>
      <c r="AA265" s="47"/>
      <c r="AB265" s="47"/>
      <c r="AC265" s="47"/>
      <c r="AD265" s="47"/>
      <c r="AE265" s="47"/>
      <c r="AF265" s="47"/>
      <c r="AG265" s="47"/>
      <c r="AH265" s="47"/>
      <c r="AI265" s="46"/>
      <c r="AJ265" s="46"/>
      <c r="AK265" s="46"/>
      <c r="AL265" s="7"/>
      <c r="AM265" s="49" t="str">
        <f aca="false">IF(OR(C265="",G265=""),"",IFERROR(DATEDIF(C265,G265,"m"),""))</f>
        <v/>
      </c>
      <c r="AN265" s="49" t="str">
        <f aca="false">IF(OR(Q265="",AM265=""),"",60+2*Q265-AM265)</f>
        <v/>
      </c>
      <c r="AO265" s="49" t="str">
        <f aca="false">IF(OR(G265="",AJ265=""),"",AJ265-G265)</f>
        <v/>
      </c>
      <c r="AP265" s="50" t="str">
        <f aca="false">IF(AND(A265="",B265=""),"",IF(J265="","Status needed",IF(OR(J265="Applied",J265="Visit booked",J265="Withdrawn"),"OK",IF(G265="","Date assessed needed",IF(C265="","Date of birth needed",IF(COUNTA(L265,M265,P265,U265,V265,X265,AB265)&lt;7,"Band missing",IF(AND(OR(J265="Decision confirmed",J265="Family told",J265="Enrolled"),AG265=""),"Recommendation needed",IF(AND(OR(J265="Family told",J265="Enrolled"),AJ265=""),"Date family told needed","OK"))))))))</f>
        <v/>
      </c>
    </row>
    <row r="266" customFormat="false" ht="15" hidden="false" customHeight="false" outlineLevel="0" collapsed="false">
      <c r="A266" s="7"/>
      <c r="B266" s="7"/>
      <c r="C266" s="46"/>
      <c r="D266" s="7"/>
      <c r="E266" s="47"/>
      <c r="F266" s="46"/>
      <c r="G266" s="46"/>
      <c r="H266" s="7"/>
      <c r="I266" s="7"/>
      <c r="J266" s="47"/>
      <c r="K266" s="47"/>
      <c r="L266" s="47"/>
      <c r="M266" s="47"/>
      <c r="N266" s="10"/>
      <c r="O266" s="47"/>
      <c r="P266" s="47"/>
      <c r="Q266" s="47"/>
      <c r="R266" s="48" t="str">
        <f aca="false">IF(Q266="","",IF(Q266=0,"below 5:00",IF(Q266&gt;=66,"16:00 or above",INT((60+2*Q266)/12)&amp;":"&amp;TEXT(MOD(60+2*Q266,12),"00"))))</f>
        <v/>
      </c>
      <c r="S266" s="47"/>
      <c r="T266" s="47"/>
      <c r="U266" s="47"/>
      <c r="V266" s="47"/>
      <c r="W266" s="47"/>
      <c r="X266" s="47"/>
      <c r="Y266" s="47"/>
      <c r="Z266" s="47"/>
      <c r="AA266" s="47"/>
      <c r="AB266" s="47"/>
      <c r="AC266" s="47"/>
      <c r="AD266" s="47"/>
      <c r="AE266" s="47"/>
      <c r="AF266" s="47"/>
      <c r="AG266" s="47"/>
      <c r="AH266" s="47"/>
      <c r="AI266" s="46"/>
      <c r="AJ266" s="46"/>
      <c r="AK266" s="46"/>
      <c r="AL266" s="7"/>
      <c r="AM266" s="49" t="str">
        <f aca="false">IF(OR(C266="",G266=""),"",IFERROR(DATEDIF(C266,G266,"m"),""))</f>
        <v/>
      </c>
      <c r="AN266" s="49" t="str">
        <f aca="false">IF(OR(Q266="",AM266=""),"",60+2*Q266-AM266)</f>
        <v/>
      </c>
      <c r="AO266" s="49" t="str">
        <f aca="false">IF(OR(G266="",AJ266=""),"",AJ266-G266)</f>
        <v/>
      </c>
      <c r="AP266" s="50" t="str">
        <f aca="false">IF(AND(A266="",B266=""),"",IF(J266="","Status needed",IF(OR(J266="Applied",J266="Visit booked",J266="Withdrawn"),"OK",IF(G266="","Date assessed needed",IF(C266="","Date of birth needed",IF(COUNTA(L266,M266,P266,U266,V266,X266,AB266)&lt;7,"Band missing",IF(AND(OR(J266="Decision confirmed",J266="Family told",J266="Enrolled"),AG266=""),"Recommendation needed",IF(AND(OR(J266="Family told",J266="Enrolled"),AJ266=""),"Date family told needed","OK"))))))))</f>
        <v/>
      </c>
    </row>
    <row r="267" customFormat="false" ht="15" hidden="false" customHeight="false" outlineLevel="0" collapsed="false">
      <c r="A267" s="7"/>
      <c r="B267" s="7"/>
      <c r="C267" s="46"/>
      <c r="D267" s="7"/>
      <c r="E267" s="47"/>
      <c r="F267" s="46"/>
      <c r="G267" s="46"/>
      <c r="H267" s="7"/>
      <c r="I267" s="7"/>
      <c r="J267" s="47"/>
      <c r="K267" s="47"/>
      <c r="L267" s="47"/>
      <c r="M267" s="47"/>
      <c r="N267" s="10"/>
      <c r="O267" s="47"/>
      <c r="P267" s="47"/>
      <c r="Q267" s="47"/>
      <c r="R267" s="48" t="str">
        <f aca="false">IF(Q267="","",IF(Q267=0,"below 5:00",IF(Q267&gt;=66,"16:00 or above",INT((60+2*Q267)/12)&amp;":"&amp;TEXT(MOD(60+2*Q267,12),"00"))))</f>
        <v/>
      </c>
      <c r="S267" s="47"/>
      <c r="T267" s="47"/>
      <c r="U267" s="47"/>
      <c r="V267" s="47"/>
      <c r="W267" s="47"/>
      <c r="X267" s="47"/>
      <c r="Y267" s="47"/>
      <c r="Z267" s="47"/>
      <c r="AA267" s="47"/>
      <c r="AB267" s="47"/>
      <c r="AC267" s="47"/>
      <c r="AD267" s="47"/>
      <c r="AE267" s="47"/>
      <c r="AF267" s="47"/>
      <c r="AG267" s="47"/>
      <c r="AH267" s="47"/>
      <c r="AI267" s="46"/>
      <c r="AJ267" s="46"/>
      <c r="AK267" s="46"/>
      <c r="AL267" s="7"/>
      <c r="AM267" s="49" t="str">
        <f aca="false">IF(OR(C267="",G267=""),"",IFERROR(DATEDIF(C267,G267,"m"),""))</f>
        <v/>
      </c>
      <c r="AN267" s="49" t="str">
        <f aca="false">IF(OR(Q267="",AM267=""),"",60+2*Q267-AM267)</f>
        <v/>
      </c>
      <c r="AO267" s="49" t="str">
        <f aca="false">IF(OR(G267="",AJ267=""),"",AJ267-G267)</f>
        <v/>
      </c>
      <c r="AP267" s="50" t="str">
        <f aca="false">IF(AND(A267="",B267=""),"",IF(J267="","Status needed",IF(OR(J267="Applied",J267="Visit booked",J267="Withdrawn"),"OK",IF(G267="","Date assessed needed",IF(C267="","Date of birth needed",IF(COUNTA(L267,M267,P267,U267,V267,X267,AB267)&lt;7,"Band missing",IF(AND(OR(J267="Decision confirmed",J267="Family told",J267="Enrolled"),AG267=""),"Recommendation needed",IF(AND(OR(J267="Family told",J267="Enrolled"),AJ267=""),"Date family told needed","OK"))))))))</f>
        <v/>
      </c>
    </row>
    <row r="268" customFormat="false" ht="15" hidden="false" customHeight="false" outlineLevel="0" collapsed="false">
      <c r="A268" s="7"/>
      <c r="B268" s="7"/>
      <c r="C268" s="46"/>
      <c r="D268" s="7"/>
      <c r="E268" s="47"/>
      <c r="F268" s="46"/>
      <c r="G268" s="46"/>
      <c r="H268" s="7"/>
      <c r="I268" s="7"/>
      <c r="J268" s="47"/>
      <c r="K268" s="47"/>
      <c r="L268" s="47"/>
      <c r="M268" s="47"/>
      <c r="N268" s="10"/>
      <c r="O268" s="47"/>
      <c r="P268" s="47"/>
      <c r="Q268" s="47"/>
      <c r="R268" s="48" t="str">
        <f aca="false">IF(Q268="","",IF(Q268=0,"below 5:00",IF(Q268&gt;=66,"16:00 or above",INT((60+2*Q268)/12)&amp;":"&amp;TEXT(MOD(60+2*Q268,12),"00"))))</f>
        <v/>
      </c>
      <c r="S268" s="47"/>
      <c r="T268" s="47"/>
      <c r="U268" s="47"/>
      <c r="V268" s="47"/>
      <c r="W268" s="47"/>
      <c r="X268" s="47"/>
      <c r="Y268" s="47"/>
      <c r="Z268" s="47"/>
      <c r="AA268" s="47"/>
      <c r="AB268" s="47"/>
      <c r="AC268" s="47"/>
      <c r="AD268" s="47"/>
      <c r="AE268" s="47"/>
      <c r="AF268" s="47"/>
      <c r="AG268" s="47"/>
      <c r="AH268" s="47"/>
      <c r="AI268" s="46"/>
      <c r="AJ268" s="46"/>
      <c r="AK268" s="46"/>
      <c r="AL268" s="7"/>
      <c r="AM268" s="49" t="str">
        <f aca="false">IF(OR(C268="",G268=""),"",IFERROR(DATEDIF(C268,G268,"m"),""))</f>
        <v/>
      </c>
      <c r="AN268" s="49" t="str">
        <f aca="false">IF(OR(Q268="",AM268=""),"",60+2*Q268-AM268)</f>
        <v/>
      </c>
      <c r="AO268" s="49" t="str">
        <f aca="false">IF(OR(G268="",AJ268=""),"",AJ268-G268)</f>
        <v/>
      </c>
      <c r="AP268" s="50" t="str">
        <f aca="false">IF(AND(A268="",B268=""),"",IF(J268="","Status needed",IF(OR(J268="Applied",J268="Visit booked",J268="Withdrawn"),"OK",IF(G268="","Date assessed needed",IF(C268="","Date of birth needed",IF(COUNTA(L268,M268,P268,U268,V268,X268,AB268)&lt;7,"Band missing",IF(AND(OR(J268="Decision confirmed",J268="Family told",J268="Enrolled"),AG268=""),"Recommendation needed",IF(AND(OR(J268="Family told",J268="Enrolled"),AJ268=""),"Date family told needed","OK"))))))))</f>
        <v/>
      </c>
    </row>
    <row r="269" customFormat="false" ht="15" hidden="false" customHeight="false" outlineLevel="0" collapsed="false">
      <c r="A269" s="7"/>
      <c r="B269" s="7"/>
      <c r="C269" s="46"/>
      <c r="D269" s="7"/>
      <c r="E269" s="47"/>
      <c r="F269" s="46"/>
      <c r="G269" s="46"/>
      <c r="H269" s="7"/>
      <c r="I269" s="7"/>
      <c r="J269" s="47"/>
      <c r="K269" s="47"/>
      <c r="L269" s="47"/>
      <c r="M269" s="47"/>
      <c r="N269" s="10"/>
      <c r="O269" s="47"/>
      <c r="P269" s="47"/>
      <c r="Q269" s="47"/>
      <c r="R269" s="48" t="str">
        <f aca="false">IF(Q269="","",IF(Q269=0,"below 5:00",IF(Q269&gt;=66,"16:00 or above",INT((60+2*Q269)/12)&amp;":"&amp;TEXT(MOD(60+2*Q269,12),"00"))))</f>
        <v/>
      </c>
      <c r="S269" s="47"/>
      <c r="T269" s="47"/>
      <c r="U269" s="47"/>
      <c r="V269" s="47"/>
      <c r="W269" s="47"/>
      <c r="X269" s="47"/>
      <c r="Y269" s="47"/>
      <c r="Z269" s="47"/>
      <c r="AA269" s="47"/>
      <c r="AB269" s="47"/>
      <c r="AC269" s="47"/>
      <c r="AD269" s="47"/>
      <c r="AE269" s="47"/>
      <c r="AF269" s="47"/>
      <c r="AG269" s="47"/>
      <c r="AH269" s="47"/>
      <c r="AI269" s="46"/>
      <c r="AJ269" s="46"/>
      <c r="AK269" s="46"/>
      <c r="AL269" s="7"/>
      <c r="AM269" s="49" t="str">
        <f aca="false">IF(OR(C269="",G269=""),"",IFERROR(DATEDIF(C269,G269,"m"),""))</f>
        <v/>
      </c>
      <c r="AN269" s="49" t="str">
        <f aca="false">IF(OR(Q269="",AM269=""),"",60+2*Q269-AM269)</f>
        <v/>
      </c>
      <c r="AO269" s="49" t="str">
        <f aca="false">IF(OR(G269="",AJ269=""),"",AJ269-G269)</f>
        <v/>
      </c>
      <c r="AP269" s="50" t="str">
        <f aca="false">IF(AND(A269="",B269=""),"",IF(J269="","Status needed",IF(OR(J269="Applied",J269="Visit booked",J269="Withdrawn"),"OK",IF(G269="","Date assessed needed",IF(C269="","Date of birth needed",IF(COUNTA(L269,M269,P269,U269,V269,X269,AB269)&lt;7,"Band missing",IF(AND(OR(J269="Decision confirmed",J269="Family told",J269="Enrolled"),AG269=""),"Recommendation needed",IF(AND(OR(J269="Family told",J269="Enrolled"),AJ269=""),"Date family told needed","OK"))))))))</f>
        <v/>
      </c>
    </row>
    <row r="270" customFormat="false" ht="15" hidden="false" customHeight="false" outlineLevel="0" collapsed="false">
      <c r="A270" s="7"/>
      <c r="B270" s="7"/>
      <c r="C270" s="46"/>
      <c r="D270" s="7"/>
      <c r="E270" s="47"/>
      <c r="F270" s="46"/>
      <c r="G270" s="46"/>
      <c r="H270" s="7"/>
      <c r="I270" s="7"/>
      <c r="J270" s="47"/>
      <c r="K270" s="47"/>
      <c r="L270" s="47"/>
      <c r="M270" s="47"/>
      <c r="N270" s="10"/>
      <c r="O270" s="47"/>
      <c r="P270" s="47"/>
      <c r="Q270" s="47"/>
      <c r="R270" s="48" t="str">
        <f aca="false">IF(Q270="","",IF(Q270=0,"below 5:00",IF(Q270&gt;=66,"16:00 or above",INT((60+2*Q270)/12)&amp;":"&amp;TEXT(MOD(60+2*Q270,12),"00"))))</f>
        <v/>
      </c>
      <c r="S270" s="47"/>
      <c r="T270" s="47"/>
      <c r="U270" s="47"/>
      <c r="V270" s="47"/>
      <c r="W270" s="47"/>
      <c r="X270" s="47"/>
      <c r="Y270" s="47"/>
      <c r="Z270" s="47"/>
      <c r="AA270" s="47"/>
      <c r="AB270" s="47"/>
      <c r="AC270" s="47"/>
      <c r="AD270" s="47"/>
      <c r="AE270" s="47"/>
      <c r="AF270" s="47"/>
      <c r="AG270" s="47"/>
      <c r="AH270" s="47"/>
      <c r="AI270" s="46"/>
      <c r="AJ270" s="46"/>
      <c r="AK270" s="46"/>
      <c r="AL270" s="7"/>
      <c r="AM270" s="49" t="str">
        <f aca="false">IF(OR(C270="",G270=""),"",IFERROR(DATEDIF(C270,G270,"m"),""))</f>
        <v/>
      </c>
      <c r="AN270" s="49" t="str">
        <f aca="false">IF(OR(Q270="",AM270=""),"",60+2*Q270-AM270)</f>
        <v/>
      </c>
      <c r="AO270" s="49" t="str">
        <f aca="false">IF(OR(G270="",AJ270=""),"",AJ270-G270)</f>
        <v/>
      </c>
      <c r="AP270" s="50" t="str">
        <f aca="false">IF(AND(A270="",B270=""),"",IF(J270="","Status needed",IF(OR(J270="Applied",J270="Visit booked",J270="Withdrawn"),"OK",IF(G270="","Date assessed needed",IF(C270="","Date of birth needed",IF(COUNTA(L270,M270,P270,U270,V270,X270,AB270)&lt;7,"Band missing",IF(AND(OR(J270="Decision confirmed",J270="Family told",J270="Enrolled"),AG270=""),"Recommendation needed",IF(AND(OR(J270="Family told",J270="Enrolled"),AJ270=""),"Date family told needed","OK"))))))))</f>
        <v/>
      </c>
    </row>
    <row r="271" customFormat="false" ht="15" hidden="false" customHeight="false" outlineLevel="0" collapsed="false">
      <c r="A271" s="7"/>
      <c r="B271" s="7"/>
      <c r="C271" s="46"/>
      <c r="D271" s="7"/>
      <c r="E271" s="47"/>
      <c r="F271" s="46"/>
      <c r="G271" s="46"/>
      <c r="H271" s="7"/>
      <c r="I271" s="7"/>
      <c r="J271" s="47"/>
      <c r="K271" s="47"/>
      <c r="L271" s="47"/>
      <c r="M271" s="47"/>
      <c r="N271" s="10"/>
      <c r="O271" s="47"/>
      <c r="P271" s="47"/>
      <c r="Q271" s="47"/>
      <c r="R271" s="48" t="str">
        <f aca="false">IF(Q271="","",IF(Q271=0,"below 5:00",IF(Q271&gt;=66,"16:00 or above",INT((60+2*Q271)/12)&amp;":"&amp;TEXT(MOD(60+2*Q271,12),"00"))))</f>
        <v/>
      </c>
      <c r="S271" s="47"/>
      <c r="T271" s="47"/>
      <c r="U271" s="47"/>
      <c r="V271" s="47"/>
      <c r="W271" s="47"/>
      <c r="X271" s="47"/>
      <c r="Y271" s="47"/>
      <c r="Z271" s="47"/>
      <c r="AA271" s="47"/>
      <c r="AB271" s="47"/>
      <c r="AC271" s="47"/>
      <c r="AD271" s="47"/>
      <c r="AE271" s="47"/>
      <c r="AF271" s="47"/>
      <c r="AG271" s="47"/>
      <c r="AH271" s="47"/>
      <c r="AI271" s="46"/>
      <c r="AJ271" s="46"/>
      <c r="AK271" s="46"/>
      <c r="AL271" s="7"/>
      <c r="AM271" s="49" t="str">
        <f aca="false">IF(OR(C271="",G271=""),"",IFERROR(DATEDIF(C271,G271,"m"),""))</f>
        <v/>
      </c>
      <c r="AN271" s="49" t="str">
        <f aca="false">IF(OR(Q271="",AM271=""),"",60+2*Q271-AM271)</f>
        <v/>
      </c>
      <c r="AO271" s="49" t="str">
        <f aca="false">IF(OR(G271="",AJ271=""),"",AJ271-G271)</f>
        <v/>
      </c>
      <c r="AP271" s="50" t="str">
        <f aca="false">IF(AND(A271="",B271=""),"",IF(J271="","Status needed",IF(OR(J271="Applied",J271="Visit booked",J271="Withdrawn"),"OK",IF(G271="","Date assessed needed",IF(C271="","Date of birth needed",IF(COUNTA(L271,M271,P271,U271,V271,X271,AB271)&lt;7,"Band missing",IF(AND(OR(J271="Decision confirmed",J271="Family told",J271="Enrolled"),AG271=""),"Recommendation needed",IF(AND(OR(J271="Family told",J271="Enrolled"),AJ271=""),"Date family told needed","OK"))))))))</f>
        <v/>
      </c>
    </row>
    <row r="272" customFormat="false" ht="15" hidden="false" customHeight="false" outlineLevel="0" collapsed="false">
      <c r="A272" s="7"/>
      <c r="B272" s="7"/>
      <c r="C272" s="46"/>
      <c r="D272" s="7"/>
      <c r="E272" s="47"/>
      <c r="F272" s="46"/>
      <c r="G272" s="46"/>
      <c r="H272" s="7"/>
      <c r="I272" s="7"/>
      <c r="J272" s="47"/>
      <c r="K272" s="47"/>
      <c r="L272" s="47"/>
      <c r="M272" s="47"/>
      <c r="N272" s="10"/>
      <c r="O272" s="47"/>
      <c r="P272" s="47"/>
      <c r="Q272" s="47"/>
      <c r="R272" s="48" t="str">
        <f aca="false">IF(Q272="","",IF(Q272=0,"below 5:00",IF(Q272&gt;=66,"16:00 or above",INT((60+2*Q272)/12)&amp;":"&amp;TEXT(MOD(60+2*Q272,12),"00"))))</f>
        <v/>
      </c>
      <c r="S272" s="47"/>
      <c r="T272" s="47"/>
      <c r="U272" s="47"/>
      <c r="V272" s="47"/>
      <c r="W272" s="47"/>
      <c r="X272" s="47"/>
      <c r="Y272" s="47"/>
      <c r="Z272" s="47"/>
      <c r="AA272" s="47"/>
      <c r="AB272" s="47"/>
      <c r="AC272" s="47"/>
      <c r="AD272" s="47"/>
      <c r="AE272" s="47"/>
      <c r="AF272" s="47"/>
      <c r="AG272" s="47"/>
      <c r="AH272" s="47"/>
      <c r="AI272" s="46"/>
      <c r="AJ272" s="46"/>
      <c r="AK272" s="46"/>
      <c r="AL272" s="7"/>
      <c r="AM272" s="49" t="str">
        <f aca="false">IF(OR(C272="",G272=""),"",IFERROR(DATEDIF(C272,G272,"m"),""))</f>
        <v/>
      </c>
      <c r="AN272" s="49" t="str">
        <f aca="false">IF(OR(Q272="",AM272=""),"",60+2*Q272-AM272)</f>
        <v/>
      </c>
      <c r="AO272" s="49" t="str">
        <f aca="false">IF(OR(G272="",AJ272=""),"",AJ272-G272)</f>
        <v/>
      </c>
      <c r="AP272" s="50" t="str">
        <f aca="false">IF(AND(A272="",B272=""),"",IF(J272="","Status needed",IF(OR(J272="Applied",J272="Visit booked",J272="Withdrawn"),"OK",IF(G272="","Date assessed needed",IF(C272="","Date of birth needed",IF(COUNTA(L272,M272,P272,U272,V272,X272,AB272)&lt;7,"Band missing",IF(AND(OR(J272="Decision confirmed",J272="Family told",J272="Enrolled"),AG272=""),"Recommendation needed",IF(AND(OR(J272="Family told",J272="Enrolled"),AJ272=""),"Date family told needed","OK"))))))))</f>
        <v/>
      </c>
    </row>
    <row r="273" customFormat="false" ht="15" hidden="false" customHeight="false" outlineLevel="0" collapsed="false">
      <c r="A273" s="7"/>
      <c r="B273" s="7"/>
      <c r="C273" s="46"/>
      <c r="D273" s="7"/>
      <c r="E273" s="47"/>
      <c r="F273" s="46"/>
      <c r="G273" s="46"/>
      <c r="H273" s="7"/>
      <c r="I273" s="7"/>
      <c r="J273" s="47"/>
      <c r="K273" s="47"/>
      <c r="L273" s="47"/>
      <c r="M273" s="47"/>
      <c r="N273" s="10"/>
      <c r="O273" s="47"/>
      <c r="P273" s="47"/>
      <c r="Q273" s="47"/>
      <c r="R273" s="48" t="str">
        <f aca="false">IF(Q273="","",IF(Q273=0,"below 5:00",IF(Q273&gt;=66,"16:00 or above",INT((60+2*Q273)/12)&amp;":"&amp;TEXT(MOD(60+2*Q273,12),"00"))))</f>
        <v/>
      </c>
      <c r="S273" s="47"/>
      <c r="T273" s="47"/>
      <c r="U273" s="47"/>
      <c r="V273" s="47"/>
      <c r="W273" s="47"/>
      <c r="X273" s="47"/>
      <c r="Y273" s="47"/>
      <c r="Z273" s="47"/>
      <c r="AA273" s="47"/>
      <c r="AB273" s="47"/>
      <c r="AC273" s="47"/>
      <c r="AD273" s="47"/>
      <c r="AE273" s="47"/>
      <c r="AF273" s="47"/>
      <c r="AG273" s="47"/>
      <c r="AH273" s="47"/>
      <c r="AI273" s="46"/>
      <c r="AJ273" s="46"/>
      <c r="AK273" s="46"/>
      <c r="AL273" s="7"/>
      <c r="AM273" s="49" t="str">
        <f aca="false">IF(OR(C273="",G273=""),"",IFERROR(DATEDIF(C273,G273,"m"),""))</f>
        <v/>
      </c>
      <c r="AN273" s="49" t="str">
        <f aca="false">IF(OR(Q273="",AM273=""),"",60+2*Q273-AM273)</f>
        <v/>
      </c>
      <c r="AO273" s="49" t="str">
        <f aca="false">IF(OR(G273="",AJ273=""),"",AJ273-G273)</f>
        <v/>
      </c>
      <c r="AP273" s="50" t="str">
        <f aca="false">IF(AND(A273="",B273=""),"",IF(J273="","Status needed",IF(OR(J273="Applied",J273="Visit booked",J273="Withdrawn"),"OK",IF(G273="","Date assessed needed",IF(C273="","Date of birth needed",IF(COUNTA(L273,M273,P273,U273,V273,X273,AB273)&lt;7,"Band missing",IF(AND(OR(J273="Decision confirmed",J273="Family told",J273="Enrolled"),AG273=""),"Recommendation needed",IF(AND(OR(J273="Family told",J273="Enrolled"),AJ273=""),"Date family told needed","OK"))))))))</f>
        <v/>
      </c>
    </row>
    <row r="274" customFormat="false" ht="15" hidden="false" customHeight="false" outlineLevel="0" collapsed="false">
      <c r="A274" s="7"/>
      <c r="B274" s="7"/>
      <c r="C274" s="46"/>
      <c r="D274" s="7"/>
      <c r="E274" s="47"/>
      <c r="F274" s="46"/>
      <c r="G274" s="46"/>
      <c r="H274" s="7"/>
      <c r="I274" s="7"/>
      <c r="J274" s="47"/>
      <c r="K274" s="47"/>
      <c r="L274" s="47"/>
      <c r="M274" s="47"/>
      <c r="N274" s="10"/>
      <c r="O274" s="47"/>
      <c r="P274" s="47"/>
      <c r="Q274" s="47"/>
      <c r="R274" s="48" t="str">
        <f aca="false">IF(Q274="","",IF(Q274=0,"below 5:00",IF(Q274&gt;=66,"16:00 or above",INT((60+2*Q274)/12)&amp;":"&amp;TEXT(MOD(60+2*Q274,12),"00"))))</f>
        <v/>
      </c>
      <c r="S274" s="47"/>
      <c r="T274" s="47"/>
      <c r="U274" s="47"/>
      <c r="V274" s="47"/>
      <c r="W274" s="47"/>
      <c r="X274" s="47"/>
      <c r="Y274" s="47"/>
      <c r="Z274" s="47"/>
      <c r="AA274" s="47"/>
      <c r="AB274" s="47"/>
      <c r="AC274" s="47"/>
      <c r="AD274" s="47"/>
      <c r="AE274" s="47"/>
      <c r="AF274" s="47"/>
      <c r="AG274" s="47"/>
      <c r="AH274" s="47"/>
      <c r="AI274" s="46"/>
      <c r="AJ274" s="46"/>
      <c r="AK274" s="46"/>
      <c r="AL274" s="7"/>
      <c r="AM274" s="49" t="str">
        <f aca="false">IF(OR(C274="",G274=""),"",IFERROR(DATEDIF(C274,G274,"m"),""))</f>
        <v/>
      </c>
      <c r="AN274" s="49" t="str">
        <f aca="false">IF(OR(Q274="",AM274=""),"",60+2*Q274-AM274)</f>
        <v/>
      </c>
      <c r="AO274" s="49" t="str">
        <f aca="false">IF(OR(G274="",AJ274=""),"",AJ274-G274)</f>
        <v/>
      </c>
      <c r="AP274" s="50" t="str">
        <f aca="false">IF(AND(A274="",B274=""),"",IF(J274="","Status needed",IF(OR(J274="Applied",J274="Visit booked",J274="Withdrawn"),"OK",IF(G274="","Date assessed needed",IF(C274="","Date of birth needed",IF(COUNTA(L274,M274,P274,U274,V274,X274,AB274)&lt;7,"Band missing",IF(AND(OR(J274="Decision confirmed",J274="Family told",J274="Enrolled"),AG274=""),"Recommendation needed",IF(AND(OR(J274="Family told",J274="Enrolled"),AJ274=""),"Date family told needed","OK"))))))))</f>
        <v/>
      </c>
    </row>
    <row r="275" customFormat="false" ht="15" hidden="false" customHeight="false" outlineLevel="0" collapsed="false">
      <c r="A275" s="7"/>
      <c r="B275" s="7"/>
      <c r="C275" s="46"/>
      <c r="D275" s="7"/>
      <c r="E275" s="47"/>
      <c r="F275" s="46"/>
      <c r="G275" s="46"/>
      <c r="H275" s="7"/>
      <c r="I275" s="7"/>
      <c r="J275" s="47"/>
      <c r="K275" s="47"/>
      <c r="L275" s="47"/>
      <c r="M275" s="47"/>
      <c r="N275" s="10"/>
      <c r="O275" s="47"/>
      <c r="P275" s="47"/>
      <c r="Q275" s="47"/>
      <c r="R275" s="48" t="str">
        <f aca="false">IF(Q275="","",IF(Q275=0,"below 5:00",IF(Q275&gt;=66,"16:00 or above",INT((60+2*Q275)/12)&amp;":"&amp;TEXT(MOD(60+2*Q275,12),"00"))))</f>
        <v/>
      </c>
      <c r="S275" s="47"/>
      <c r="T275" s="47"/>
      <c r="U275" s="47"/>
      <c r="V275" s="47"/>
      <c r="W275" s="47"/>
      <c r="X275" s="47"/>
      <c r="Y275" s="47"/>
      <c r="Z275" s="47"/>
      <c r="AA275" s="47"/>
      <c r="AB275" s="47"/>
      <c r="AC275" s="47"/>
      <c r="AD275" s="47"/>
      <c r="AE275" s="47"/>
      <c r="AF275" s="47"/>
      <c r="AG275" s="47"/>
      <c r="AH275" s="47"/>
      <c r="AI275" s="46"/>
      <c r="AJ275" s="46"/>
      <c r="AK275" s="46"/>
      <c r="AL275" s="7"/>
      <c r="AM275" s="49" t="str">
        <f aca="false">IF(OR(C275="",G275=""),"",IFERROR(DATEDIF(C275,G275,"m"),""))</f>
        <v/>
      </c>
      <c r="AN275" s="49" t="str">
        <f aca="false">IF(OR(Q275="",AM275=""),"",60+2*Q275-AM275)</f>
        <v/>
      </c>
      <c r="AO275" s="49" t="str">
        <f aca="false">IF(OR(G275="",AJ275=""),"",AJ275-G275)</f>
        <v/>
      </c>
      <c r="AP275" s="50" t="str">
        <f aca="false">IF(AND(A275="",B275=""),"",IF(J275="","Status needed",IF(OR(J275="Applied",J275="Visit booked",J275="Withdrawn"),"OK",IF(G275="","Date assessed needed",IF(C275="","Date of birth needed",IF(COUNTA(L275,M275,P275,U275,V275,X275,AB275)&lt;7,"Band missing",IF(AND(OR(J275="Decision confirmed",J275="Family told",J275="Enrolled"),AG275=""),"Recommendation needed",IF(AND(OR(J275="Family told",J275="Enrolled"),AJ275=""),"Date family told needed","OK"))))))))</f>
        <v/>
      </c>
    </row>
    <row r="276" customFormat="false" ht="15" hidden="false" customHeight="false" outlineLevel="0" collapsed="false">
      <c r="A276" s="7"/>
      <c r="B276" s="7"/>
      <c r="C276" s="46"/>
      <c r="D276" s="7"/>
      <c r="E276" s="47"/>
      <c r="F276" s="46"/>
      <c r="G276" s="46"/>
      <c r="H276" s="7"/>
      <c r="I276" s="7"/>
      <c r="J276" s="47"/>
      <c r="K276" s="47"/>
      <c r="L276" s="47"/>
      <c r="M276" s="47"/>
      <c r="N276" s="10"/>
      <c r="O276" s="47"/>
      <c r="P276" s="47"/>
      <c r="Q276" s="47"/>
      <c r="R276" s="48" t="str">
        <f aca="false">IF(Q276="","",IF(Q276=0,"below 5:00",IF(Q276&gt;=66,"16:00 or above",INT((60+2*Q276)/12)&amp;":"&amp;TEXT(MOD(60+2*Q276,12),"00"))))</f>
        <v/>
      </c>
      <c r="S276" s="47"/>
      <c r="T276" s="47"/>
      <c r="U276" s="47"/>
      <c r="V276" s="47"/>
      <c r="W276" s="47"/>
      <c r="X276" s="47"/>
      <c r="Y276" s="47"/>
      <c r="Z276" s="47"/>
      <c r="AA276" s="47"/>
      <c r="AB276" s="47"/>
      <c r="AC276" s="47"/>
      <c r="AD276" s="47"/>
      <c r="AE276" s="47"/>
      <c r="AF276" s="47"/>
      <c r="AG276" s="47"/>
      <c r="AH276" s="47"/>
      <c r="AI276" s="46"/>
      <c r="AJ276" s="46"/>
      <c r="AK276" s="46"/>
      <c r="AL276" s="7"/>
      <c r="AM276" s="49" t="str">
        <f aca="false">IF(OR(C276="",G276=""),"",IFERROR(DATEDIF(C276,G276,"m"),""))</f>
        <v/>
      </c>
      <c r="AN276" s="49" t="str">
        <f aca="false">IF(OR(Q276="",AM276=""),"",60+2*Q276-AM276)</f>
        <v/>
      </c>
      <c r="AO276" s="49" t="str">
        <f aca="false">IF(OR(G276="",AJ276=""),"",AJ276-G276)</f>
        <v/>
      </c>
      <c r="AP276" s="50" t="str">
        <f aca="false">IF(AND(A276="",B276=""),"",IF(J276="","Status needed",IF(OR(J276="Applied",J276="Visit booked",J276="Withdrawn"),"OK",IF(G276="","Date assessed needed",IF(C276="","Date of birth needed",IF(COUNTA(L276,M276,P276,U276,V276,X276,AB276)&lt;7,"Band missing",IF(AND(OR(J276="Decision confirmed",J276="Family told",J276="Enrolled"),AG276=""),"Recommendation needed",IF(AND(OR(J276="Family told",J276="Enrolled"),AJ276=""),"Date family told needed","OK"))))))))</f>
        <v/>
      </c>
    </row>
    <row r="277" customFormat="false" ht="15" hidden="false" customHeight="false" outlineLevel="0" collapsed="false">
      <c r="A277" s="7"/>
      <c r="B277" s="7"/>
      <c r="C277" s="46"/>
      <c r="D277" s="7"/>
      <c r="E277" s="47"/>
      <c r="F277" s="46"/>
      <c r="G277" s="46"/>
      <c r="H277" s="7"/>
      <c r="I277" s="7"/>
      <c r="J277" s="47"/>
      <c r="K277" s="47"/>
      <c r="L277" s="47"/>
      <c r="M277" s="47"/>
      <c r="N277" s="10"/>
      <c r="O277" s="47"/>
      <c r="P277" s="47"/>
      <c r="Q277" s="47"/>
      <c r="R277" s="48" t="str">
        <f aca="false">IF(Q277="","",IF(Q277=0,"below 5:00",IF(Q277&gt;=66,"16:00 or above",INT((60+2*Q277)/12)&amp;":"&amp;TEXT(MOD(60+2*Q277,12),"00"))))</f>
        <v/>
      </c>
      <c r="S277" s="47"/>
      <c r="T277" s="47"/>
      <c r="U277" s="47"/>
      <c r="V277" s="47"/>
      <c r="W277" s="47"/>
      <c r="X277" s="47"/>
      <c r="Y277" s="47"/>
      <c r="Z277" s="47"/>
      <c r="AA277" s="47"/>
      <c r="AB277" s="47"/>
      <c r="AC277" s="47"/>
      <c r="AD277" s="47"/>
      <c r="AE277" s="47"/>
      <c r="AF277" s="47"/>
      <c r="AG277" s="47"/>
      <c r="AH277" s="47"/>
      <c r="AI277" s="46"/>
      <c r="AJ277" s="46"/>
      <c r="AK277" s="46"/>
      <c r="AL277" s="7"/>
      <c r="AM277" s="49" t="str">
        <f aca="false">IF(OR(C277="",G277=""),"",IFERROR(DATEDIF(C277,G277,"m"),""))</f>
        <v/>
      </c>
      <c r="AN277" s="49" t="str">
        <f aca="false">IF(OR(Q277="",AM277=""),"",60+2*Q277-AM277)</f>
        <v/>
      </c>
      <c r="AO277" s="49" t="str">
        <f aca="false">IF(OR(G277="",AJ277=""),"",AJ277-G277)</f>
        <v/>
      </c>
      <c r="AP277" s="50" t="str">
        <f aca="false">IF(AND(A277="",B277=""),"",IF(J277="","Status needed",IF(OR(J277="Applied",J277="Visit booked",J277="Withdrawn"),"OK",IF(G277="","Date assessed needed",IF(C277="","Date of birth needed",IF(COUNTA(L277,M277,P277,U277,V277,X277,AB277)&lt;7,"Band missing",IF(AND(OR(J277="Decision confirmed",J277="Family told",J277="Enrolled"),AG277=""),"Recommendation needed",IF(AND(OR(J277="Family told",J277="Enrolled"),AJ277=""),"Date family told needed","OK"))))))))</f>
        <v/>
      </c>
    </row>
    <row r="278" customFormat="false" ht="15" hidden="false" customHeight="false" outlineLevel="0" collapsed="false">
      <c r="A278" s="7"/>
      <c r="B278" s="7"/>
      <c r="C278" s="46"/>
      <c r="D278" s="7"/>
      <c r="E278" s="47"/>
      <c r="F278" s="46"/>
      <c r="G278" s="46"/>
      <c r="H278" s="7"/>
      <c r="I278" s="7"/>
      <c r="J278" s="47"/>
      <c r="K278" s="47"/>
      <c r="L278" s="47"/>
      <c r="M278" s="47"/>
      <c r="N278" s="10"/>
      <c r="O278" s="47"/>
      <c r="P278" s="47"/>
      <c r="Q278" s="47"/>
      <c r="R278" s="48" t="str">
        <f aca="false">IF(Q278="","",IF(Q278=0,"below 5:00",IF(Q278&gt;=66,"16:00 or above",INT((60+2*Q278)/12)&amp;":"&amp;TEXT(MOD(60+2*Q278,12),"00"))))</f>
        <v/>
      </c>
      <c r="S278" s="47"/>
      <c r="T278" s="47"/>
      <c r="U278" s="47"/>
      <c r="V278" s="47"/>
      <c r="W278" s="47"/>
      <c r="X278" s="47"/>
      <c r="Y278" s="47"/>
      <c r="Z278" s="47"/>
      <c r="AA278" s="47"/>
      <c r="AB278" s="47"/>
      <c r="AC278" s="47"/>
      <c r="AD278" s="47"/>
      <c r="AE278" s="47"/>
      <c r="AF278" s="47"/>
      <c r="AG278" s="47"/>
      <c r="AH278" s="47"/>
      <c r="AI278" s="46"/>
      <c r="AJ278" s="46"/>
      <c r="AK278" s="46"/>
      <c r="AL278" s="7"/>
      <c r="AM278" s="49" t="str">
        <f aca="false">IF(OR(C278="",G278=""),"",IFERROR(DATEDIF(C278,G278,"m"),""))</f>
        <v/>
      </c>
      <c r="AN278" s="49" t="str">
        <f aca="false">IF(OR(Q278="",AM278=""),"",60+2*Q278-AM278)</f>
        <v/>
      </c>
      <c r="AO278" s="49" t="str">
        <f aca="false">IF(OR(G278="",AJ278=""),"",AJ278-G278)</f>
        <v/>
      </c>
      <c r="AP278" s="50" t="str">
        <f aca="false">IF(AND(A278="",B278=""),"",IF(J278="","Status needed",IF(OR(J278="Applied",J278="Visit booked",J278="Withdrawn"),"OK",IF(G278="","Date assessed needed",IF(C278="","Date of birth needed",IF(COUNTA(L278,M278,P278,U278,V278,X278,AB278)&lt;7,"Band missing",IF(AND(OR(J278="Decision confirmed",J278="Family told",J278="Enrolled"),AG278=""),"Recommendation needed",IF(AND(OR(J278="Family told",J278="Enrolled"),AJ278=""),"Date family told needed","OK"))))))))</f>
        <v/>
      </c>
    </row>
    <row r="279" customFormat="false" ht="15" hidden="false" customHeight="false" outlineLevel="0" collapsed="false">
      <c r="A279" s="7"/>
      <c r="B279" s="7"/>
      <c r="C279" s="46"/>
      <c r="D279" s="7"/>
      <c r="E279" s="47"/>
      <c r="F279" s="46"/>
      <c r="G279" s="46"/>
      <c r="H279" s="7"/>
      <c r="I279" s="7"/>
      <c r="J279" s="47"/>
      <c r="K279" s="47"/>
      <c r="L279" s="47"/>
      <c r="M279" s="47"/>
      <c r="N279" s="10"/>
      <c r="O279" s="47"/>
      <c r="P279" s="47"/>
      <c r="Q279" s="47"/>
      <c r="R279" s="48" t="str">
        <f aca="false">IF(Q279="","",IF(Q279=0,"below 5:00",IF(Q279&gt;=66,"16:00 or above",INT((60+2*Q279)/12)&amp;":"&amp;TEXT(MOD(60+2*Q279,12),"00"))))</f>
        <v/>
      </c>
      <c r="S279" s="47"/>
      <c r="T279" s="47"/>
      <c r="U279" s="47"/>
      <c r="V279" s="47"/>
      <c r="W279" s="47"/>
      <c r="X279" s="47"/>
      <c r="Y279" s="47"/>
      <c r="Z279" s="47"/>
      <c r="AA279" s="47"/>
      <c r="AB279" s="47"/>
      <c r="AC279" s="47"/>
      <c r="AD279" s="47"/>
      <c r="AE279" s="47"/>
      <c r="AF279" s="47"/>
      <c r="AG279" s="47"/>
      <c r="AH279" s="47"/>
      <c r="AI279" s="46"/>
      <c r="AJ279" s="46"/>
      <c r="AK279" s="46"/>
      <c r="AL279" s="7"/>
      <c r="AM279" s="49" t="str">
        <f aca="false">IF(OR(C279="",G279=""),"",IFERROR(DATEDIF(C279,G279,"m"),""))</f>
        <v/>
      </c>
      <c r="AN279" s="49" t="str">
        <f aca="false">IF(OR(Q279="",AM279=""),"",60+2*Q279-AM279)</f>
        <v/>
      </c>
      <c r="AO279" s="49" t="str">
        <f aca="false">IF(OR(G279="",AJ279=""),"",AJ279-G279)</f>
        <v/>
      </c>
      <c r="AP279" s="50" t="str">
        <f aca="false">IF(AND(A279="",B279=""),"",IF(J279="","Status needed",IF(OR(J279="Applied",J279="Visit booked",J279="Withdrawn"),"OK",IF(G279="","Date assessed needed",IF(C279="","Date of birth needed",IF(COUNTA(L279,M279,P279,U279,V279,X279,AB279)&lt;7,"Band missing",IF(AND(OR(J279="Decision confirmed",J279="Family told",J279="Enrolled"),AG279=""),"Recommendation needed",IF(AND(OR(J279="Family told",J279="Enrolled"),AJ279=""),"Date family told needed","OK"))))))))</f>
        <v/>
      </c>
    </row>
    <row r="280" customFormat="false" ht="15" hidden="false" customHeight="false" outlineLevel="0" collapsed="false">
      <c r="A280" s="7"/>
      <c r="B280" s="7"/>
      <c r="C280" s="46"/>
      <c r="D280" s="7"/>
      <c r="E280" s="47"/>
      <c r="F280" s="46"/>
      <c r="G280" s="46"/>
      <c r="H280" s="7"/>
      <c r="I280" s="7"/>
      <c r="J280" s="47"/>
      <c r="K280" s="47"/>
      <c r="L280" s="47"/>
      <c r="M280" s="47"/>
      <c r="N280" s="10"/>
      <c r="O280" s="47"/>
      <c r="P280" s="47"/>
      <c r="Q280" s="47"/>
      <c r="R280" s="48" t="str">
        <f aca="false">IF(Q280="","",IF(Q280=0,"below 5:00",IF(Q280&gt;=66,"16:00 or above",INT((60+2*Q280)/12)&amp;":"&amp;TEXT(MOD(60+2*Q280,12),"00"))))</f>
        <v/>
      </c>
      <c r="S280" s="47"/>
      <c r="T280" s="47"/>
      <c r="U280" s="47"/>
      <c r="V280" s="47"/>
      <c r="W280" s="47"/>
      <c r="X280" s="47"/>
      <c r="Y280" s="47"/>
      <c r="Z280" s="47"/>
      <c r="AA280" s="47"/>
      <c r="AB280" s="47"/>
      <c r="AC280" s="47"/>
      <c r="AD280" s="47"/>
      <c r="AE280" s="47"/>
      <c r="AF280" s="47"/>
      <c r="AG280" s="47"/>
      <c r="AH280" s="47"/>
      <c r="AI280" s="46"/>
      <c r="AJ280" s="46"/>
      <c r="AK280" s="46"/>
      <c r="AL280" s="7"/>
      <c r="AM280" s="49" t="str">
        <f aca="false">IF(OR(C280="",G280=""),"",IFERROR(DATEDIF(C280,G280,"m"),""))</f>
        <v/>
      </c>
      <c r="AN280" s="49" t="str">
        <f aca="false">IF(OR(Q280="",AM280=""),"",60+2*Q280-AM280)</f>
        <v/>
      </c>
      <c r="AO280" s="49" t="str">
        <f aca="false">IF(OR(G280="",AJ280=""),"",AJ280-G280)</f>
        <v/>
      </c>
      <c r="AP280" s="50" t="str">
        <f aca="false">IF(AND(A280="",B280=""),"",IF(J280="","Status needed",IF(OR(J280="Applied",J280="Visit booked",J280="Withdrawn"),"OK",IF(G280="","Date assessed needed",IF(C280="","Date of birth needed",IF(COUNTA(L280,M280,P280,U280,V280,X280,AB280)&lt;7,"Band missing",IF(AND(OR(J280="Decision confirmed",J280="Family told",J280="Enrolled"),AG280=""),"Recommendation needed",IF(AND(OR(J280="Family told",J280="Enrolled"),AJ280=""),"Date family told needed","OK"))))))))</f>
        <v/>
      </c>
    </row>
    <row r="281" customFormat="false" ht="15" hidden="false" customHeight="false" outlineLevel="0" collapsed="false">
      <c r="A281" s="7"/>
      <c r="B281" s="7"/>
      <c r="C281" s="46"/>
      <c r="D281" s="7"/>
      <c r="E281" s="47"/>
      <c r="F281" s="46"/>
      <c r="G281" s="46"/>
      <c r="H281" s="7"/>
      <c r="I281" s="7"/>
      <c r="J281" s="47"/>
      <c r="K281" s="47"/>
      <c r="L281" s="47"/>
      <c r="M281" s="47"/>
      <c r="N281" s="10"/>
      <c r="O281" s="47"/>
      <c r="P281" s="47"/>
      <c r="Q281" s="47"/>
      <c r="R281" s="48" t="str">
        <f aca="false">IF(Q281="","",IF(Q281=0,"below 5:00",IF(Q281&gt;=66,"16:00 or above",INT((60+2*Q281)/12)&amp;":"&amp;TEXT(MOD(60+2*Q281,12),"00"))))</f>
        <v/>
      </c>
      <c r="S281" s="47"/>
      <c r="T281" s="47"/>
      <c r="U281" s="47"/>
      <c r="V281" s="47"/>
      <c r="W281" s="47"/>
      <c r="X281" s="47"/>
      <c r="Y281" s="47"/>
      <c r="Z281" s="47"/>
      <c r="AA281" s="47"/>
      <c r="AB281" s="47"/>
      <c r="AC281" s="47"/>
      <c r="AD281" s="47"/>
      <c r="AE281" s="47"/>
      <c r="AF281" s="47"/>
      <c r="AG281" s="47"/>
      <c r="AH281" s="47"/>
      <c r="AI281" s="46"/>
      <c r="AJ281" s="46"/>
      <c r="AK281" s="46"/>
      <c r="AL281" s="7"/>
      <c r="AM281" s="49" t="str">
        <f aca="false">IF(OR(C281="",G281=""),"",IFERROR(DATEDIF(C281,G281,"m"),""))</f>
        <v/>
      </c>
      <c r="AN281" s="49" t="str">
        <f aca="false">IF(OR(Q281="",AM281=""),"",60+2*Q281-AM281)</f>
        <v/>
      </c>
      <c r="AO281" s="49" t="str">
        <f aca="false">IF(OR(G281="",AJ281=""),"",AJ281-G281)</f>
        <v/>
      </c>
      <c r="AP281" s="50" t="str">
        <f aca="false">IF(AND(A281="",B281=""),"",IF(J281="","Status needed",IF(OR(J281="Applied",J281="Visit booked",J281="Withdrawn"),"OK",IF(G281="","Date assessed needed",IF(C281="","Date of birth needed",IF(COUNTA(L281,M281,P281,U281,V281,X281,AB281)&lt;7,"Band missing",IF(AND(OR(J281="Decision confirmed",J281="Family told",J281="Enrolled"),AG281=""),"Recommendation needed",IF(AND(OR(J281="Family told",J281="Enrolled"),AJ281=""),"Date family told needed","OK"))))))))</f>
        <v/>
      </c>
    </row>
    <row r="282" customFormat="false" ht="15" hidden="false" customHeight="false" outlineLevel="0" collapsed="false">
      <c r="A282" s="7"/>
      <c r="B282" s="7"/>
      <c r="C282" s="46"/>
      <c r="D282" s="7"/>
      <c r="E282" s="47"/>
      <c r="F282" s="46"/>
      <c r="G282" s="46"/>
      <c r="H282" s="7"/>
      <c r="I282" s="7"/>
      <c r="J282" s="47"/>
      <c r="K282" s="47"/>
      <c r="L282" s="47"/>
      <c r="M282" s="47"/>
      <c r="N282" s="10"/>
      <c r="O282" s="47"/>
      <c r="P282" s="47"/>
      <c r="Q282" s="47"/>
      <c r="R282" s="48" t="str">
        <f aca="false">IF(Q282="","",IF(Q282=0,"below 5:00",IF(Q282&gt;=66,"16:00 or above",INT((60+2*Q282)/12)&amp;":"&amp;TEXT(MOD(60+2*Q282,12),"00"))))</f>
        <v/>
      </c>
      <c r="S282" s="47"/>
      <c r="T282" s="47"/>
      <c r="U282" s="47"/>
      <c r="V282" s="47"/>
      <c r="W282" s="47"/>
      <c r="X282" s="47"/>
      <c r="Y282" s="47"/>
      <c r="Z282" s="47"/>
      <c r="AA282" s="47"/>
      <c r="AB282" s="47"/>
      <c r="AC282" s="47"/>
      <c r="AD282" s="47"/>
      <c r="AE282" s="47"/>
      <c r="AF282" s="47"/>
      <c r="AG282" s="47"/>
      <c r="AH282" s="47"/>
      <c r="AI282" s="46"/>
      <c r="AJ282" s="46"/>
      <c r="AK282" s="46"/>
      <c r="AL282" s="7"/>
      <c r="AM282" s="49" t="str">
        <f aca="false">IF(OR(C282="",G282=""),"",IFERROR(DATEDIF(C282,G282,"m"),""))</f>
        <v/>
      </c>
      <c r="AN282" s="49" t="str">
        <f aca="false">IF(OR(Q282="",AM282=""),"",60+2*Q282-AM282)</f>
        <v/>
      </c>
      <c r="AO282" s="49" t="str">
        <f aca="false">IF(OR(G282="",AJ282=""),"",AJ282-G282)</f>
        <v/>
      </c>
      <c r="AP282" s="50" t="str">
        <f aca="false">IF(AND(A282="",B282=""),"",IF(J282="","Status needed",IF(OR(J282="Applied",J282="Visit booked",J282="Withdrawn"),"OK",IF(G282="","Date assessed needed",IF(C282="","Date of birth needed",IF(COUNTA(L282,M282,P282,U282,V282,X282,AB282)&lt;7,"Band missing",IF(AND(OR(J282="Decision confirmed",J282="Family told",J282="Enrolled"),AG282=""),"Recommendation needed",IF(AND(OR(J282="Family told",J282="Enrolled"),AJ282=""),"Date family told needed","OK"))))))))</f>
        <v/>
      </c>
    </row>
    <row r="283" customFormat="false" ht="15" hidden="false" customHeight="false" outlineLevel="0" collapsed="false">
      <c r="A283" s="7"/>
      <c r="B283" s="7"/>
      <c r="C283" s="46"/>
      <c r="D283" s="7"/>
      <c r="E283" s="47"/>
      <c r="F283" s="46"/>
      <c r="G283" s="46"/>
      <c r="H283" s="7"/>
      <c r="I283" s="7"/>
      <c r="J283" s="47"/>
      <c r="K283" s="47"/>
      <c r="L283" s="47"/>
      <c r="M283" s="47"/>
      <c r="N283" s="10"/>
      <c r="O283" s="47"/>
      <c r="P283" s="47"/>
      <c r="Q283" s="47"/>
      <c r="R283" s="48" t="str">
        <f aca="false">IF(Q283="","",IF(Q283=0,"below 5:00",IF(Q283&gt;=66,"16:00 or above",INT((60+2*Q283)/12)&amp;":"&amp;TEXT(MOD(60+2*Q283,12),"00"))))</f>
        <v/>
      </c>
      <c r="S283" s="47"/>
      <c r="T283" s="47"/>
      <c r="U283" s="47"/>
      <c r="V283" s="47"/>
      <c r="W283" s="47"/>
      <c r="X283" s="47"/>
      <c r="Y283" s="47"/>
      <c r="Z283" s="47"/>
      <c r="AA283" s="47"/>
      <c r="AB283" s="47"/>
      <c r="AC283" s="47"/>
      <c r="AD283" s="47"/>
      <c r="AE283" s="47"/>
      <c r="AF283" s="47"/>
      <c r="AG283" s="47"/>
      <c r="AH283" s="47"/>
      <c r="AI283" s="46"/>
      <c r="AJ283" s="46"/>
      <c r="AK283" s="46"/>
      <c r="AL283" s="7"/>
      <c r="AM283" s="49" t="str">
        <f aca="false">IF(OR(C283="",G283=""),"",IFERROR(DATEDIF(C283,G283,"m"),""))</f>
        <v/>
      </c>
      <c r="AN283" s="49" t="str">
        <f aca="false">IF(OR(Q283="",AM283=""),"",60+2*Q283-AM283)</f>
        <v/>
      </c>
      <c r="AO283" s="49" t="str">
        <f aca="false">IF(OR(G283="",AJ283=""),"",AJ283-G283)</f>
        <v/>
      </c>
      <c r="AP283" s="50" t="str">
        <f aca="false">IF(AND(A283="",B283=""),"",IF(J283="","Status needed",IF(OR(J283="Applied",J283="Visit booked",J283="Withdrawn"),"OK",IF(G283="","Date assessed needed",IF(C283="","Date of birth needed",IF(COUNTA(L283,M283,P283,U283,V283,X283,AB283)&lt;7,"Band missing",IF(AND(OR(J283="Decision confirmed",J283="Family told",J283="Enrolled"),AG283=""),"Recommendation needed",IF(AND(OR(J283="Family told",J283="Enrolled"),AJ283=""),"Date family told needed","OK"))))))))</f>
        <v/>
      </c>
    </row>
    <row r="284" customFormat="false" ht="15" hidden="false" customHeight="false" outlineLevel="0" collapsed="false">
      <c r="A284" s="7"/>
      <c r="B284" s="7"/>
      <c r="C284" s="46"/>
      <c r="D284" s="7"/>
      <c r="E284" s="47"/>
      <c r="F284" s="46"/>
      <c r="G284" s="46"/>
      <c r="H284" s="7"/>
      <c r="I284" s="7"/>
      <c r="J284" s="47"/>
      <c r="K284" s="47"/>
      <c r="L284" s="47"/>
      <c r="M284" s="47"/>
      <c r="N284" s="10"/>
      <c r="O284" s="47"/>
      <c r="P284" s="47"/>
      <c r="Q284" s="47"/>
      <c r="R284" s="48" t="str">
        <f aca="false">IF(Q284="","",IF(Q284=0,"below 5:00",IF(Q284&gt;=66,"16:00 or above",INT((60+2*Q284)/12)&amp;":"&amp;TEXT(MOD(60+2*Q284,12),"00"))))</f>
        <v/>
      </c>
      <c r="S284" s="47"/>
      <c r="T284" s="47"/>
      <c r="U284" s="47"/>
      <c r="V284" s="47"/>
      <c r="W284" s="47"/>
      <c r="X284" s="47"/>
      <c r="Y284" s="47"/>
      <c r="Z284" s="47"/>
      <c r="AA284" s="47"/>
      <c r="AB284" s="47"/>
      <c r="AC284" s="47"/>
      <c r="AD284" s="47"/>
      <c r="AE284" s="47"/>
      <c r="AF284" s="47"/>
      <c r="AG284" s="47"/>
      <c r="AH284" s="47"/>
      <c r="AI284" s="46"/>
      <c r="AJ284" s="46"/>
      <c r="AK284" s="46"/>
      <c r="AL284" s="7"/>
      <c r="AM284" s="49" t="str">
        <f aca="false">IF(OR(C284="",G284=""),"",IFERROR(DATEDIF(C284,G284,"m"),""))</f>
        <v/>
      </c>
      <c r="AN284" s="49" t="str">
        <f aca="false">IF(OR(Q284="",AM284=""),"",60+2*Q284-AM284)</f>
        <v/>
      </c>
      <c r="AO284" s="49" t="str">
        <f aca="false">IF(OR(G284="",AJ284=""),"",AJ284-G284)</f>
        <v/>
      </c>
      <c r="AP284" s="50" t="str">
        <f aca="false">IF(AND(A284="",B284=""),"",IF(J284="","Status needed",IF(OR(J284="Applied",J284="Visit booked",J284="Withdrawn"),"OK",IF(G284="","Date assessed needed",IF(C284="","Date of birth needed",IF(COUNTA(L284,M284,P284,U284,V284,X284,AB284)&lt;7,"Band missing",IF(AND(OR(J284="Decision confirmed",J284="Family told",J284="Enrolled"),AG284=""),"Recommendation needed",IF(AND(OR(J284="Family told",J284="Enrolled"),AJ284=""),"Date family told needed","OK"))))))))</f>
        <v/>
      </c>
    </row>
    <row r="285" customFormat="false" ht="15" hidden="false" customHeight="false" outlineLevel="0" collapsed="false">
      <c r="A285" s="7"/>
      <c r="B285" s="7"/>
      <c r="C285" s="46"/>
      <c r="D285" s="7"/>
      <c r="E285" s="47"/>
      <c r="F285" s="46"/>
      <c r="G285" s="46"/>
      <c r="H285" s="7"/>
      <c r="I285" s="7"/>
      <c r="J285" s="47"/>
      <c r="K285" s="47"/>
      <c r="L285" s="47"/>
      <c r="M285" s="47"/>
      <c r="N285" s="10"/>
      <c r="O285" s="47"/>
      <c r="P285" s="47"/>
      <c r="Q285" s="47"/>
      <c r="R285" s="48" t="str">
        <f aca="false">IF(Q285="","",IF(Q285=0,"below 5:00",IF(Q285&gt;=66,"16:00 or above",INT((60+2*Q285)/12)&amp;":"&amp;TEXT(MOD(60+2*Q285,12),"00"))))</f>
        <v/>
      </c>
      <c r="S285" s="47"/>
      <c r="T285" s="47"/>
      <c r="U285" s="47"/>
      <c r="V285" s="47"/>
      <c r="W285" s="47"/>
      <c r="X285" s="47"/>
      <c r="Y285" s="47"/>
      <c r="Z285" s="47"/>
      <c r="AA285" s="47"/>
      <c r="AB285" s="47"/>
      <c r="AC285" s="47"/>
      <c r="AD285" s="47"/>
      <c r="AE285" s="47"/>
      <c r="AF285" s="47"/>
      <c r="AG285" s="47"/>
      <c r="AH285" s="47"/>
      <c r="AI285" s="46"/>
      <c r="AJ285" s="46"/>
      <c r="AK285" s="46"/>
      <c r="AL285" s="7"/>
      <c r="AM285" s="49" t="str">
        <f aca="false">IF(OR(C285="",G285=""),"",IFERROR(DATEDIF(C285,G285,"m"),""))</f>
        <v/>
      </c>
      <c r="AN285" s="49" t="str">
        <f aca="false">IF(OR(Q285="",AM285=""),"",60+2*Q285-AM285)</f>
        <v/>
      </c>
      <c r="AO285" s="49" t="str">
        <f aca="false">IF(OR(G285="",AJ285=""),"",AJ285-G285)</f>
        <v/>
      </c>
      <c r="AP285" s="50" t="str">
        <f aca="false">IF(AND(A285="",B285=""),"",IF(J285="","Status needed",IF(OR(J285="Applied",J285="Visit booked",J285="Withdrawn"),"OK",IF(G285="","Date assessed needed",IF(C285="","Date of birth needed",IF(COUNTA(L285,M285,P285,U285,V285,X285,AB285)&lt;7,"Band missing",IF(AND(OR(J285="Decision confirmed",J285="Family told",J285="Enrolled"),AG285=""),"Recommendation needed",IF(AND(OR(J285="Family told",J285="Enrolled"),AJ285=""),"Date family told needed","OK"))))))))</f>
        <v/>
      </c>
    </row>
    <row r="286" customFormat="false" ht="15" hidden="false" customHeight="false" outlineLevel="0" collapsed="false">
      <c r="A286" s="7"/>
      <c r="B286" s="7"/>
      <c r="C286" s="46"/>
      <c r="D286" s="7"/>
      <c r="E286" s="47"/>
      <c r="F286" s="46"/>
      <c r="G286" s="46"/>
      <c r="H286" s="7"/>
      <c r="I286" s="7"/>
      <c r="J286" s="47"/>
      <c r="K286" s="47"/>
      <c r="L286" s="47"/>
      <c r="M286" s="47"/>
      <c r="N286" s="10"/>
      <c r="O286" s="47"/>
      <c r="P286" s="47"/>
      <c r="Q286" s="47"/>
      <c r="R286" s="48" t="str">
        <f aca="false">IF(Q286="","",IF(Q286=0,"below 5:00",IF(Q286&gt;=66,"16:00 or above",INT((60+2*Q286)/12)&amp;":"&amp;TEXT(MOD(60+2*Q286,12),"00"))))</f>
        <v/>
      </c>
      <c r="S286" s="47"/>
      <c r="T286" s="47"/>
      <c r="U286" s="47"/>
      <c r="V286" s="47"/>
      <c r="W286" s="47"/>
      <c r="X286" s="47"/>
      <c r="Y286" s="47"/>
      <c r="Z286" s="47"/>
      <c r="AA286" s="47"/>
      <c r="AB286" s="47"/>
      <c r="AC286" s="47"/>
      <c r="AD286" s="47"/>
      <c r="AE286" s="47"/>
      <c r="AF286" s="47"/>
      <c r="AG286" s="47"/>
      <c r="AH286" s="47"/>
      <c r="AI286" s="46"/>
      <c r="AJ286" s="46"/>
      <c r="AK286" s="46"/>
      <c r="AL286" s="7"/>
      <c r="AM286" s="49" t="str">
        <f aca="false">IF(OR(C286="",G286=""),"",IFERROR(DATEDIF(C286,G286,"m"),""))</f>
        <v/>
      </c>
      <c r="AN286" s="49" t="str">
        <f aca="false">IF(OR(Q286="",AM286=""),"",60+2*Q286-AM286)</f>
        <v/>
      </c>
      <c r="AO286" s="49" t="str">
        <f aca="false">IF(OR(G286="",AJ286=""),"",AJ286-G286)</f>
        <v/>
      </c>
      <c r="AP286" s="50" t="str">
        <f aca="false">IF(AND(A286="",B286=""),"",IF(J286="","Status needed",IF(OR(J286="Applied",J286="Visit booked",J286="Withdrawn"),"OK",IF(G286="","Date assessed needed",IF(C286="","Date of birth needed",IF(COUNTA(L286,M286,P286,U286,V286,X286,AB286)&lt;7,"Band missing",IF(AND(OR(J286="Decision confirmed",J286="Family told",J286="Enrolled"),AG286=""),"Recommendation needed",IF(AND(OR(J286="Family told",J286="Enrolled"),AJ286=""),"Date family told needed","OK"))))))))</f>
        <v/>
      </c>
    </row>
    <row r="287" customFormat="false" ht="15" hidden="false" customHeight="false" outlineLevel="0" collapsed="false">
      <c r="A287" s="7"/>
      <c r="B287" s="7"/>
      <c r="C287" s="46"/>
      <c r="D287" s="7"/>
      <c r="E287" s="47"/>
      <c r="F287" s="46"/>
      <c r="G287" s="46"/>
      <c r="H287" s="7"/>
      <c r="I287" s="7"/>
      <c r="J287" s="47"/>
      <c r="K287" s="47"/>
      <c r="L287" s="47"/>
      <c r="M287" s="47"/>
      <c r="N287" s="10"/>
      <c r="O287" s="47"/>
      <c r="P287" s="47"/>
      <c r="Q287" s="47"/>
      <c r="R287" s="48" t="str">
        <f aca="false">IF(Q287="","",IF(Q287=0,"below 5:00",IF(Q287&gt;=66,"16:00 or above",INT((60+2*Q287)/12)&amp;":"&amp;TEXT(MOD(60+2*Q287,12),"00"))))</f>
        <v/>
      </c>
      <c r="S287" s="47"/>
      <c r="T287" s="47"/>
      <c r="U287" s="47"/>
      <c r="V287" s="47"/>
      <c r="W287" s="47"/>
      <c r="X287" s="47"/>
      <c r="Y287" s="47"/>
      <c r="Z287" s="47"/>
      <c r="AA287" s="47"/>
      <c r="AB287" s="47"/>
      <c r="AC287" s="47"/>
      <c r="AD287" s="47"/>
      <c r="AE287" s="47"/>
      <c r="AF287" s="47"/>
      <c r="AG287" s="47"/>
      <c r="AH287" s="47"/>
      <c r="AI287" s="46"/>
      <c r="AJ287" s="46"/>
      <c r="AK287" s="46"/>
      <c r="AL287" s="7"/>
      <c r="AM287" s="49" t="str">
        <f aca="false">IF(OR(C287="",G287=""),"",IFERROR(DATEDIF(C287,G287,"m"),""))</f>
        <v/>
      </c>
      <c r="AN287" s="49" t="str">
        <f aca="false">IF(OR(Q287="",AM287=""),"",60+2*Q287-AM287)</f>
        <v/>
      </c>
      <c r="AO287" s="49" t="str">
        <f aca="false">IF(OR(G287="",AJ287=""),"",AJ287-G287)</f>
        <v/>
      </c>
      <c r="AP287" s="50" t="str">
        <f aca="false">IF(AND(A287="",B287=""),"",IF(J287="","Status needed",IF(OR(J287="Applied",J287="Visit booked",J287="Withdrawn"),"OK",IF(G287="","Date assessed needed",IF(C287="","Date of birth needed",IF(COUNTA(L287,M287,P287,U287,V287,X287,AB287)&lt;7,"Band missing",IF(AND(OR(J287="Decision confirmed",J287="Family told",J287="Enrolled"),AG287=""),"Recommendation needed",IF(AND(OR(J287="Family told",J287="Enrolled"),AJ287=""),"Date family told needed","OK"))))))))</f>
        <v/>
      </c>
    </row>
    <row r="288" customFormat="false" ht="15" hidden="false" customHeight="false" outlineLevel="0" collapsed="false">
      <c r="A288" s="7"/>
      <c r="B288" s="7"/>
      <c r="C288" s="46"/>
      <c r="D288" s="7"/>
      <c r="E288" s="47"/>
      <c r="F288" s="46"/>
      <c r="G288" s="46"/>
      <c r="H288" s="7"/>
      <c r="I288" s="7"/>
      <c r="J288" s="47"/>
      <c r="K288" s="47"/>
      <c r="L288" s="47"/>
      <c r="M288" s="47"/>
      <c r="N288" s="10"/>
      <c r="O288" s="47"/>
      <c r="P288" s="47"/>
      <c r="Q288" s="47"/>
      <c r="R288" s="48" t="str">
        <f aca="false">IF(Q288="","",IF(Q288=0,"below 5:00",IF(Q288&gt;=66,"16:00 or above",INT((60+2*Q288)/12)&amp;":"&amp;TEXT(MOD(60+2*Q288,12),"00"))))</f>
        <v/>
      </c>
      <c r="S288" s="47"/>
      <c r="T288" s="47"/>
      <c r="U288" s="47"/>
      <c r="V288" s="47"/>
      <c r="W288" s="47"/>
      <c r="X288" s="47"/>
      <c r="Y288" s="47"/>
      <c r="Z288" s="47"/>
      <c r="AA288" s="47"/>
      <c r="AB288" s="47"/>
      <c r="AC288" s="47"/>
      <c r="AD288" s="47"/>
      <c r="AE288" s="47"/>
      <c r="AF288" s="47"/>
      <c r="AG288" s="47"/>
      <c r="AH288" s="47"/>
      <c r="AI288" s="46"/>
      <c r="AJ288" s="46"/>
      <c r="AK288" s="46"/>
      <c r="AL288" s="7"/>
      <c r="AM288" s="49" t="str">
        <f aca="false">IF(OR(C288="",G288=""),"",IFERROR(DATEDIF(C288,G288,"m"),""))</f>
        <v/>
      </c>
      <c r="AN288" s="49" t="str">
        <f aca="false">IF(OR(Q288="",AM288=""),"",60+2*Q288-AM288)</f>
        <v/>
      </c>
      <c r="AO288" s="49" t="str">
        <f aca="false">IF(OR(G288="",AJ288=""),"",AJ288-G288)</f>
        <v/>
      </c>
      <c r="AP288" s="50" t="str">
        <f aca="false">IF(AND(A288="",B288=""),"",IF(J288="","Status needed",IF(OR(J288="Applied",J288="Visit booked",J288="Withdrawn"),"OK",IF(G288="","Date assessed needed",IF(C288="","Date of birth needed",IF(COUNTA(L288,M288,P288,U288,V288,X288,AB288)&lt;7,"Band missing",IF(AND(OR(J288="Decision confirmed",J288="Family told",J288="Enrolled"),AG288=""),"Recommendation needed",IF(AND(OR(J288="Family told",J288="Enrolled"),AJ288=""),"Date family told needed","OK"))))))))</f>
        <v/>
      </c>
    </row>
    <row r="289" customFormat="false" ht="15" hidden="false" customHeight="false" outlineLevel="0" collapsed="false">
      <c r="A289" s="7"/>
      <c r="B289" s="7"/>
      <c r="C289" s="46"/>
      <c r="D289" s="7"/>
      <c r="E289" s="47"/>
      <c r="F289" s="46"/>
      <c r="G289" s="46"/>
      <c r="H289" s="7"/>
      <c r="I289" s="7"/>
      <c r="J289" s="47"/>
      <c r="K289" s="47"/>
      <c r="L289" s="47"/>
      <c r="M289" s="47"/>
      <c r="N289" s="10"/>
      <c r="O289" s="47"/>
      <c r="P289" s="47"/>
      <c r="Q289" s="47"/>
      <c r="R289" s="48" t="str">
        <f aca="false">IF(Q289="","",IF(Q289=0,"below 5:00",IF(Q289&gt;=66,"16:00 or above",INT((60+2*Q289)/12)&amp;":"&amp;TEXT(MOD(60+2*Q289,12),"00"))))</f>
        <v/>
      </c>
      <c r="S289" s="47"/>
      <c r="T289" s="47"/>
      <c r="U289" s="47"/>
      <c r="V289" s="47"/>
      <c r="W289" s="47"/>
      <c r="X289" s="47"/>
      <c r="Y289" s="47"/>
      <c r="Z289" s="47"/>
      <c r="AA289" s="47"/>
      <c r="AB289" s="47"/>
      <c r="AC289" s="47"/>
      <c r="AD289" s="47"/>
      <c r="AE289" s="47"/>
      <c r="AF289" s="47"/>
      <c r="AG289" s="47"/>
      <c r="AH289" s="47"/>
      <c r="AI289" s="46"/>
      <c r="AJ289" s="46"/>
      <c r="AK289" s="46"/>
      <c r="AL289" s="7"/>
      <c r="AM289" s="49" t="str">
        <f aca="false">IF(OR(C289="",G289=""),"",IFERROR(DATEDIF(C289,G289,"m"),""))</f>
        <v/>
      </c>
      <c r="AN289" s="49" t="str">
        <f aca="false">IF(OR(Q289="",AM289=""),"",60+2*Q289-AM289)</f>
        <v/>
      </c>
      <c r="AO289" s="49" t="str">
        <f aca="false">IF(OR(G289="",AJ289=""),"",AJ289-G289)</f>
        <v/>
      </c>
      <c r="AP289" s="50" t="str">
        <f aca="false">IF(AND(A289="",B289=""),"",IF(J289="","Status needed",IF(OR(J289="Applied",J289="Visit booked",J289="Withdrawn"),"OK",IF(G289="","Date assessed needed",IF(C289="","Date of birth needed",IF(COUNTA(L289,M289,P289,U289,V289,X289,AB289)&lt;7,"Band missing",IF(AND(OR(J289="Decision confirmed",J289="Family told",J289="Enrolled"),AG289=""),"Recommendation needed",IF(AND(OR(J289="Family told",J289="Enrolled"),AJ289=""),"Date family told needed","OK"))))))))</f>
        <v/>
      </c>
    </row>
    <row r="290" customFormat="false" ht="15" hidden="false" customHeight="false" outlineLevel="0" collapsed="false">
      <c r="A290" s="7"/>
      <c r="B290" s="7"/>
      <c r="C290" s="46"/>
      <c r="D290" s="7"/>
      <c r="E290" s="47"/>
      <c r="F290" s="46"/>
      <c r="G290" s="46"/>
      <c r="H290" s="7"/>
      <c r="I290" s="7"/>
      <c r="J290" s="47"/>
      <c r="K290" s="47"/>
      <c r="L290" s="47"/>
      <c r="M290" s="47"/>
      <c r="N290" s="10"/>
      <c r="O290" s="47"/>
      <c r="P290" s="47"/>
      <c r="Q290" s="47"/>
      <c r="R290" s="48" t="str">
        <f aca="false">IF(Q290="","",IF(Q290=0,"below 5:00",IF(Q290&gt;=66,"16:00 or above",INT((60+2*Q290)/12)&amp;":"&amp;TEXT(MOD(60+2*Q290,12),"00"))))</f>
        <v/>
      </c>
      <c r="S290" s="47"/>
      <c r="T290" s="47"/>
      <c r="U290" s="47"/>
      <c r="V290" s="47"/>
      <c r="W290" s="47"/>
      <c r="X290" s="47"/>
      <c r="Y290" s="47"/>
      <c r="Z290" s="47"/>
      <c r="AA290" s="47"/>
      <c r="AB290" s="47"/>
      <c r="AC290" s="47"/>
      <c r="AD290" s="47"/>
      <c r="AE290" s="47"/>
      <c r="AF290" s="47"/>
      <c r="AG290" s="47"/>
      <c r="AH290" s="47"/>
      <c r="AI290" s="46"/>
      <c r="AJ290" s="46"/>
      <c r="AK290" s="46"/>
      <c r="AL290" s="7"/>
      <c r="AM290" s="49" t="str">
        <f aca="false">IF(OR(C290="",G290=""),"",IFERROR(DATEDIF(C290,G290,"m"),""))</f>
        <v/>
      </c>
      <c r="AN290" s="49" t="str">
        <f aca="false">IF(OR(Q290="",AM290=""),"",60+2*Q290-AM290)</f>
        <v/>
      </c>
      <c r="AO290" s="49" t="str">
        <f aca="false">IF(OR(G290="",AJ290=""),"",AJ290-G290)</f>
        <v/>
      </c>
      <c r="AP290" s="50" t="str">
        <f aca="false">IF(AND(A290="",B290=""),"",IF(J290="","Status needed",IF(OR(J290="Applied",J290="Visit booked",J290="Withdrawn"),"OK",IF(G290="","Date assessed needed",IF(C290="","Date of birth needed",IF(COUNTA(L290,M290,P290,U290,V290,X290,AB290)&lt;7,"Band missing",IF(AND(OR(J290="Decision confirmed",J290="Family told",J290="Enrolled"),AG290=""),"Recommendation needed",IF(AND(OR(J290="Family told",J290="Enrolled"),AJ290=""),"Date family told needed","OK"))))))))</f>
        <v/>
      </c>
    </row>
    <row r="291" customFormat="false" ht="15" hidden="false" customHeight="false" outlineLevel="0" collapsed="false">
      <c r="A291" s="7"/>
      <c r="B291" s="7"/>
      <c r="C291" s="46"/>
      <c r="D291" s="7"/>
      <c r="E291" s="47"/>
      <c r="F291" s="46"/>
      <c r="G291" s="46"/>
      <c r="H291" s="7"/>
      <c r="I291" s="7"/>
      <c r="J291" s="47"/>
      <c r="K291" s="47"/>
      <c r="L291" s="47"/>
      <c r="M291" s="47"/>
      <c r="N291" s="10"/>
      <c r="O291" s="47"/>
      <c r="P291" s="47"/>
      <c r="Q291" s="47"/>
      <c r="R291" s="48" t="str">
        <f aca="false">IF(Q291="","",IF(Q291=0,"below 5:00",IF(Q291&gt;=66,"16:00 or above",INT((60+2*Q291)/12)&amp;":"&amp;TEXT(MOD(60+2*Q291,12),"00"))))</f>
        <v/>
      </c>
      <c r="S291" s="47"/>
      <c r="T291" s="47"/>
      <c r="U291" s="47"/>
      <c r="V291" s="47"/>
      <c r="W291" s="47"/>
      <c r="X291" s="47"/>
      <c r="Y291" s="47"/>
      <c r="Z291" s="47"/>
      <c r="AA291" s="47"/>
      <c r="AB291" s="47"/>
      <c r="AC291" s="47"/>
      <c r="AD291" s="47"/>
      <c r="AE291" s="47"/>
      <c r="AF291" s="47"/>
      <c r="AG291" s="47"/>
      <c r="AH291" s="47"/>
      <c r="AI291" s="46"/>
      <c r="AJ291" s="46"/>
      <c r="AK291" s="46"/>
      <c r="AL291" s="7"/>
      <c r="AM291" s="49" t="str">
        <f aca="false">IF(OR(C291="",G291=""),"",IFERROR(DATEDIF(C291,G291,"m"),""))</f>
        <v/>
      </c>
      <c r="AN291" s="49" t="str">
        <f aca="false">IF(OR(Q291="",AM291=""),"",60+2*Q291-AM291)</f>
        <v/>
      </c>
      <c r="AO291" s="49" t="str">
        <f aca="false">IF(OR(G291="",AJ291=""),"",AJ291-G291)</f>
        <v/>
      </c>
      <c r="AP291" s="50" t="str">
        <f aca="false">IF(AND(A291="",B291=""),"",IF(J291="","Status needed",IF(OR(J291="Applied",J291="Visit booked",J291="Withdrawn"),"OK",IF(G291="","Date assessed needed",IF(C291="","Date of birth needed",IF(COUNTA(L291,M291,P291,U291,V291,X291,AB291)&lt;7,"Band missing",IF(AND(OR(J291="Decision confirmed",J291="Family told",J291="Enrolled"),AG291=""),"Recommendation needed",IF(AND(OR(J291="Family told",J291="Enrolled"),AJ291=""),"Date family told needed","OK"))))))))</f>
        <v/>
      </c>
    </row>
    <row r="292" customFormat="false" ht="15" hidden="false" customHeight="false" outlineLevel="0" collapsed="false">
      <c r="A292" s="7"/>
      <c r="B292" s="7"/>
      <c r="C292" s="46"/>
      <c r="D292" s="7"/>
      <c r="E292" s="47"/>
      <c r="F292" s="46"/>
      <c r="G292" s="46"/>
      <c r="H292" s="7"/>
      <c r="I292" s="7"/>
      <c r="J292" s="47"/>
      <c r="K292" s="47"/>
      <c r="L292" s="47"/>
      <c r="M292" s="47"/>
      <c r="N292" s="10"/>
      <c r="O292" s="47"/>
      <c r="P292" s="47"/>
      <c r="Q292" s="47"/>
      <c r="R292" s="48" t="str">
        <f aca="false">IF(Q292="","",IF(Q292=0,"below 5:00",IF(Q292&gt;=66,"16:00 or above",INT((60+2*Q292)/12)&amp;":"&amp;TEXT(MOD(60+2*Q292,12),"00"))))</f>
        <v/>
      </c>
      <c r="S292" s="47"/>
      <c r="T292" s="47"/>
      <c r="U292" s="47"/>
      <c r="V292" s="47"/>
      <c r="W292" s="47"/>
      <c r="X292" s="47"/>
      <c r="Y292" s="47"/>
      <c r="Z292" s="47"/>
      <c r="AA292" s="47"/>
      <c r="AB292" s="47"/>
      <c r="AC292" s="47"/>
      <c r="AD292" s="47"/>
      <c r="AE292" s="47"/>
      <c r="AF292" s="47"/>
      <c r="AG292" s="47"/>
      <c r="AH292" s="47"/>
      <c r="AI292" s="46"/>
      <c r="AJ292" s="46"/>
      <c r="AK292" s="46"/>
      <c r="AL292" s="7"/>
      <c r="AM292" s="49" t="str">
        <f aca="false">IF(OR(C292="",G292=""),"",IFERROR(DATEDIF(C292,G292,"m"),""))</f>
        <v/>
      </c>
      <c r="AN292" s="49" t="str">
        <f aca="false">IF(OR(Q292="",AM292=""),"",60+2*Q292-AM292)</f>
        <v/>
      </c>
      <c r="AO292" s="49" t="str">
        <f aca="false">IF(OR(G292="",AJ292=""),"",AJ292-G292)</f>
        <v/>
      </c>
      <c r="AP292" s="50" t="str">
        <f aca="false">IF(AND(A292="",B292=""),"",IF(J292="","Status needed",IF(OR(J292="Applied",J292="Visit booked",J292="Withdrawn"),"OK",IF(G292="","Date assessed needed",IF(C292="","Date of birth needed",IF(COUNTA(L292,M292,P292,U292,V292,X292,AB292)&lt;7,"Band missing",IF(AND(OR(J292="Decision confirmed",J292="Family told",J292="Enrolled"),AG292=""),"Recommendation needed",IF(AND(OR(J292="Family told",J292="Enrolled"),AJ292=""),"Date family told needed","OK"))))))))</f>
        <v/>
      </c>
    </row>
    <row r="293" customFormat="false" ht="15" hidden="false" customHeight="false" outlineLevel="0" collapsed="false">
      <c r="A293" s="7"/>
      <c r="B293" s="7"/>
      <c r="C293" s="46"/>
      <c r="D293" s="7"/>
      <c r="E293" s="47"/>
      <c r="F293" s="46"/>
      <c r="G293" s="46"/>
      <c r="H293" s="7"/>
      <c r="I293" s="7"/>
      <c r="J293" s="47"/>
      <c r="K293" s="47"/>
      <c r="L293" s="47"/>
      <c r="M293" s="47"/>
      <c r="N293" s="10"/>
      <c r="O293" s="47"/>
      <c r="P293" s="47"/>
      <c r="Q293" s="47"/>
      <c r="R293" s="48" t="str">
        <f aca="false">IF(Q293="","",IF(Q293=0,"below 5:00",IF(Q293&gt;=66,"16:00 or above",INT((60+2*Q293)/12)&amp;":"&amp;TEXT(MOD(60+2*Q293,12),"00"))))</f>
        <v/>
      </c>
      <c r="S293" s="47"/>
      <c r="T293" s="47"/>
      <c r="U293" s="47"/>
      <c r="V293" s="47"/>
      <c r="W293" s="47"/>
      <c r="X293" s="47"/>
      <c r="Y293" s="47"/>
      <c r="Z293" s="47"/>
      <c r="AA293" s="47"/>
      <c r="AB293" s="47"/>
      <c r="AC293" s="47"/>
      <c r="AD293" s="47"/>
      <c r="AE293" s="47"/>
      <c r="AF293" s="47"/>
      <c r="AG293" s="47"/>
      <c r="AH293" s="47"/>
      <c r="AI293" s="46"/>
      <c r="AJ293" s="46"/>
      <c r="AK293" s="46"/>
      <c r="AL293" s="7"/>
      <c r="AM293" s="49" t="str">
        <f aca="false">IF(OR(C293="",G293=""),"",IFERROR(DATEDIF(C293,G293,"m"),""))</f>
        <v/>
      </c>
      <c r="AN293" s="49" t="str">
        <f aca="false">IF(OR(Q293="",AM293=""),"",60+2*Q293-AM293)</f>
        <v/>
      </c>
      <c r="AO293" s="49" t="str">
        <f aca="false">IF(OR(G293="",AJ293=""),"",AJ293-G293)</f>
        <v/>
      </c>
      <c r="AP293" s="50" t="str">
        <f aca="false">IF(AND(A293="",B293=""),"",IF(J293="","Status needed",IF(OR(J293="Applied",J293="Visit booked",J293="Withdrawn"),"OK",IF(G293="","Date assessed needed",IF(C293="","Date of birth needed",IF(COUNTA(L293,M293,P293,U293,V293,X293,AB293)&lt;7,"Band missing",IF(AND(OR(J293="Decision confirmed",J293="Family told",J293="Enrolled"),AG293=""),"Recommendation needed",IF(AND(OR(J293="Family told",J293="Enrolled"),AJ293=""),"Date family told needed","OK"))))))))</f>
        <v/>
      </c>
    </row>
    <row r="294" customFormat="false" ht="15" hidden="false" customHeight="false" outlineLevel="0" collapsed="false">
      <c r="A294" s="7"/>
      <c r="B294" s="7"/>
      <c r="C294" s="46"/>
      <c r="D294" s="7"/>
      <c r="E294" s="47"/>
      <c r="F294" s="46"/>
      <c r="G294" s="46"/>
      <c r="H294" s="7"/>
      <c r="I294" s="7"/>
      <c r="J294" s="47"/>
      <c r="K294" s="47"/>
      <c r="L294" s="47"/>
      <c r="M294" s="47"/>
      <c r="N294" s="10"/>
      <c r="O294" s="47"/>
      <c r="P294" s="47"/>
      <c r="Q294" s="47"/>
      <c r="R294" s="48" t="str">
        <f aca="false">IF(Q294="","",IF(Q294=0,"below 5:00",IF(Q294&gt;=66,"16:00 or above",INT((60+2*Q294)/12)&amp;":"&amp;TEXT(MOD(60+2*Q294,12),"00"))))</f>
        <v/>
      </c>
      <c r="S294" s="47"/>
      <c r="T294" s="47"/>
      <c r="U294" s="47"/>
      <c r="V294" s="47"/>
      <c r="W294" s="47"/>
      <c r="X294" s="47"/>
      <c r="Y294" s="47"/>
      <c r="Z294" s="47"/>
      <c r="AA294" s="47"/>
      <c r="AB294" s="47"/>
      <c r="AC294" s="47"/>
      <c r="AD294" s="47"/>
      <c r="AE294" s="47"/>
      <c r="AF294" s="47"/>
      <c r="AG294" s="47"/>
      <c r="AH294" s="47"/>
      <c r="AI294" s="46"/>
      <c r="AJ294" s="46"/>
      <c r="AK294" s="46"/>
      <c r="AL294" s="7"/>
      <c r="AM294" s="49" t="str">
        <f aca="false">IF(OR(C294="",G294=""),"",IFERROR(DATEDIF(C294,G294,"m"),""))</f>
        <v/>
      </c>
      <c r="AN294" s="49" t="str">
        <f aca="false">IF(OR(Q294="",AM294=""),"",60+2*Q294-AM294)</f>
        <v/>
      </c>
      <c r="AO294" s="49" t="str">
        <f aca="false">IF(OR(G294="",AJ294=""),"",AJ294-G294)</f>
        <v/>
      </c>
      <c r="AP294" s="50" t="str">
        <f aca="false">IF(AND(A294="",B294=""),"",IF(J294="","Status needed",IF(OR(J294="Applied",J294="Visit booked",J294="Withdrawn"),"OK",IF(G294="","Date assessed needed",IF(C294="","Date of birth needed",IF(COUNTA(L294,M294,P294,U294,V294,X294,AB294)&lt;7,"Band missing",IF(AND(OR(J294="Decision confirmed",J294="Family told",J294="Enrolled"),AG294=""),"Recommendation needed",IF(AND(OR(J294="Family told",J294="Enrolled"),AJ294=""),"Date family told needed","OK"))))))))</f>
        <v/>
      </c>
    </row>
    <row r="295" customFormat="false" ht="15" hidden="false" customHeight="false" outlineLevel="0" collapsed="false">
      <c r="A295" s="7"/>
      <c r="B295" s="7"/>
      <c r="C295" s="46"/>
      <c r="D295" s="7"/>
      <c r="E295" s="47"/>
      <c r="F295" s="46"/>
      <c r="G295" s="46"/>
      <c r="H295" s="7"/>
      <c r="I295" s="7"/>
      <c r="J295" s="47"/>
      <c r="K295" s="47"/>
      <c r="L295" s="47"/>
      <c r="M295" s="47"/>
      <c r="N295" s="10"/>
      <c r="O295" s="47"/>
      <c r="P295" s="47"/>
      <c r="Q295" s="47"/>
      <c r="R295" s="48" t="str">
        <f aca="false">IF(Q295="","",IF(Q295=0,"below 5:00",IF(Q295&gt;=66,"16:00 or above",INT((60+2*Q295)/12)&amp;":"&amp;TEXT(MOD(60+2*Q295,12),"00"))))</f>
        <v/>
      </c>
      <c r="S295" s="47"/>
      <c r="T295" s="47"/>
      <c r="U295" s="47"/>
      <c r="V295" s="47"/>
      <c r="W295" s="47"/>
      <c r="X295" s="47"/>
      <c r="Y295" s="47"/>
      <c r="Z295" s="47"/>
      <c r="AA295" s="47"/>
      <c r="AB295" s="47"/>
      <c r="AC295" s="47"/>
      <c r="AD295" s="47"/>
      <c r="AE295" s="47"/>
      <c r="AF295" s="47"/>
      <c r="AG295" s="47"/>
      <c r="AH295" s="47"/>
      <c r="AI295" s="46"/>
      <c r="AJ295" s="46"/>
      <c r="AK295" s="46"/>
      <c r="AL295" s="7"/>
      <c r="AM295" s="49" t="str">
        <f aca="false">IF(OR(C295="",G295=""),"",IFERROR(DATEDIF(C295,G295,"m"),""))</f>
        <v/>
      </c>
      <c r="AN295" s="49" t="str">
        <f aca="false">IF(OR(Q295="",AM295=""),"",60+2*Q295-AM295)</f>
        <v/>
      </c>
      <c r="AO295" s="49" t="str">
        <f aca="false">IF(OR(G295="",AJ295=""),"",AJ295-G295)</f>
        <v/>
      </c>
      <c r="AP295" s="50" t="str">
        <f aca="false">IF(AND(A295="",B295=""),"",IF(J295="","Status needed",IF(OR(J295="Applied",J295="Visit booked",J295="Withdrawn"),"OK",IF(G295="","Date assessed needed",IF(C295="","Date of birth needed",IF(COUNTA(L295,M295,P295,U295,V295,X295,AB295)&lt;7,"Band missing",IF(AND(OR(J295="Decision confirmed",J295="Family told",J295="Enrolled"),AG295=""),"Recommendation needed",IF(AND(OR(J295="Family told",J295="Enrolled"),AJ295=""),"Date family told needed","OK"))))))))</f>
        <v/>
      </c>
    </row>
    <row r="296" customFormat="false" ht="15" hidden="false" customHeight="false" outlineLevel="0" collapsed="false">
      <c r="A296" s="7"/>
      <c r="B296" s="7"/>
      <c r="C296" s="46"/>
      <c r="D296" s="7"/>
      <c r="E296" s="47"/>
      <c r="F296" s="46"/>
      <c r="G296" s="46"/>
      <c r="H296" s="7"/>
      <c r="I296" s="7"/>
      <c r="J296" s="47"/>
      <c r="K296" s="47"/>
      <c r="L296" s="47"/>
      <c r="M296" s="47"/>
      <c r="N296" s="10"/>
      <c r="O296" s="47"/>
      <c r="P296" s="47"/>
      <c r="Q296" s="47"/>
      <c r="R296" s="48" t="str">
        <f aca="false">IF(Q296="","",IF(Q296=0,"below 5:00",IF(Q296&gt;=66,"16:00 or above",INT((60+2*Q296)/12)&amp;":"&amp;TEXT(MOD(60+2*Q296,12),"00"))))</f>
        <v/>
      </c>
      <c r="S296" s="47"/>
      <c r="T296" s="47"/>
      <c r="U296" s="47"/>
      <c r="V296" s="47"/>
      <c r="W296" s="47"/>
      <c r="X296" s="47"/>
      <c r="Y296" s="47"/>
      <c r="Z296" s="47"/>
      <c r="AA296" s="47"/>
      <c r="AB296" s="47"/>
      <c r="AC296" s="47"/>
      <c r="AD296" s="47"/>
      <c r="AE296" s="47"/>
      <c r="AF296" s="47"/>
      <c r="AG296" s="47"/>
      <c r="AH296" s="47"/>
      <c r="AI296" s="46"/>
      <c r="AJ296" s="46"/>
      <c r="AK296" s="46"/>
      <c r="AL296" s="7"/>
      <c r="AM296" s="49" t="str">
        <f aca="false">IF(OR(C296="",G296=""),"",IFERROR(DATEDIF(C296,G296,"m"),""))</f>
        <v/>
      </c>
      <c r="AN296" s="49" t="str">
        <f aca="false">IF(OR(Q296="",AM296=""),"",60+2*Q296-AM296)</f>
        <v/>
      </c>
      <c r="AO296" s="49" t="str">
        <f aca="false">IF(OR(G296="",AJ296=""),"",AJ296-G296)</f>
        <v/>
      </c>
      <c r="AP296" s="50" t="str">
        <f aca="false">IF(AND(A296="",B296=""),"",IF(J296="","Status needed",IF(OR(J296="Applied",J296="Visit booked",J296="Withdrawn"),"OK",IF(G296="","Date assessed needed",IF(C296="","Date of birth needed",IF(COUNTA(L296,M296,P296,U296,V296,X296,AB296)&lt;7,"Band missing",IF(AND(OR(J296="Decision confirmed",J296="Family told",J296="Enrolled"),AG296=""),"Recommendation needed",IF(AND(OR(J296="Family told",J296="Enrolled"),AJ296=""),"Date family told needed","OK"))))))))</f>
        <v/>
      </c>
    </row>
    <row r="297" customFormat="false" ht="15" hidden="false" customHeight="false" outlineLevel="0" collapsed="false">
      <c r="A297" s="7"/>
      <c r="B297" s="7"/>
      <c r="C297" s="46"/>
      <c r="D297" s="7"/>
      <c r="E297" s="47"/>
      <c r="F297" s="46"/>
      <c r="G297" s="46"/>
      <c r="H297" s="7"/>
      <c r="I297" s="7"/>
      <c r="J297" s="47"/>
      <c r="K297" s="47"/>
      <c r="L297" s="47"/>
      <c r="M297" s="47"/>
      <c r="N297" s="10"/>
      <c r="O297" s="47"/>
      <c r="P297" s="47"/>
      <c r="Q297" s="47"/>
      <c r="R297" s="48" t="str">
        <f aca="false">IF(Q297="","",IF(Q297=0,"below 5:00",IF(Q297&gt;=66,"16:00 or above",INT((60+2*Q297)/12)&amp;":"&amp;TEXT(MOD(60+2*Q297,12),"00"))))</f>
        <v/>
      </c>
      <c r="S297" s="47"/>
      <c r="T297" s="47"/>
      <c r="U297" s="47"/>
      <c r="V297" s="47"/>
      <c r="W297" s="47"/>
      <c r="X297" s="47"/>
      <c r="Y297" s="47"/>
      <c r="Z297" s="47"/>
      <c r="AA297" s="47"/>
      <c r="AB297" s="47"/>
      <c r="AC297" s="47"/>
      <c r="AD297" s="47"/>
      <c r="AE297" s="47"/>
      <c r="AF297" s="47"/>
      <c r="AG297" s="47"/>
      <c r="AH297" s="47"/>
      <c r="AI297" s="46"/>
      <c r="AJ297" s="46"/>
      <c r="AK297" s="46"/>
      <c r="AL297" s="7"/>
      <c r="AM297" s="49" t="str">
        <f aca="false">IF(OR(C297="",G297=""),"",IFERROR(DATEDIF(C297,G297,"m"),""))</f>
        <v/>
      </c>
      <c r="AN297" s="49" t="str">
        <f aca="false">IF(OR(Q297="",AM297=""),"",60+2*Q297-AM297)</f>
        <v/>
      </c>
      <c r="AO297" s="49" t="str">
        <f aca="false">IF(OR(G297="",AJ297=""),"",AJ297-G297)</f>
        <v/>
      </c>
      <c r="AP297" s="50" t="str">
        <f aca="false">IF(AND(A297="",B297=""),"",IF(J297="","Status needed",IF(OR(J297="Applied",J297="Visit booked",J297="Withdrawn"),"OK",IF(G297="","Date assessed needed",IF(C297="","Date of birth needed",IF(COUNTA(L297,M297,P297,U297,V297,X297,AB297)&lt;7,"Band missing",IF(AND(OR(J297="Decision confirmed",J297="Family told",J297="Enrolled"),AG297=""),"Recommendation needed",IF(AND(OR(J297="Family told",J297="Enrolled"),AJ297=""),"Date family told needed","OK"))))))))</f>
        <v/>
      </c>
    </row>
    <row r="298" customFormat="false" ht="15" hidden="false" customHeight="false" outlineLevel="0" collapsed="false">
      <c r="A298" s="7"/>
      <c r="B298" s="7"/>
      <c r="C298" s="46"/>
      <c r="D298" s="7"/>
      <c r="E298" s="47"/>
      <c r="F298" s="46"/>
      <c r="G298" s="46"/>
      <c r="H298" s="7"/>
      <c r="I298" s="7"/>
      <c r="J298" s="47"/>
      <c r="K298" s="47"/>
      <c r="L298" s="47"/>
      <c r="M298" s="47"/>
      <c r="N298" s="10"/>
      <c r="O298" s="47"/>
      <c r="P298" s="47"/>
      <c r="Q298" s="47"/>
      <c r="R298" s="48" t="str">
        <f aca="false">IF(Q298="","",IF(Q298=0,"below 5:00",IF(Q298&gt;=66,"16:00 or above",INT((60+2*Q298)/12)&amp;":"&amp;TEXT(MOD(60+2*Q298,12),"00"))))</f>
        <v/>
      </c>
      <c r="S298" s="47"/>
      <c r="T298" s="47"/>
      <c r="U298" s="47"/>
      <c r="V298" s="47"/>
      <c r="W298" s="47"/>
      <c r="X298" s="47"/>
      <c r="Y298" s="47"/>
      <c r="Z298" s="47"/>
      <c r="AA298" s="47"/>
      <c r="AB298" s="47"/>
      <c r="AC298" s="47"/>
      <c r="AD298" s="47"/>
      <c r="AE298" s="47"/>
      <c r="AF298" s="47"/>
      <c r="AG298" s="47"/>
      <c r="AH298" s="47"/>
      <c r="AI298" s="46"/>
      <c r="AJ298" s="46"/>
      <c r="AK298" s="46"/>
      <c r="AL298" s="7"/>
      <c r="AM298" s="49" t="str">
        <f aca="false">IF(OR(C298="",G298=""),"",IFERROR(DATEDIF(C298,G298,"m"),""))</f>
        <v/>
      </c>
      <c r="AN298" s="49" t="str">
        <f aca="false">IF(OR(Q298="",AM298=""),"",60+2*Q298-AM298)</f>
        <v/>
      </c>
      <c r="AO298" s="49" t="str">
        <f aca="false">IF(OR(G298="",AJ298=""),"",AJ298-G298)</f>
        <v/>
      </c>
      <c r="AP298" s="50" t="str">
        <f aca="false">IF(AND(A298="",B298=""),"",IF(J298="","Status needed",IF(OR(J298="Applied",J298="Visit booked",J298="Withdrawn"),"OK",IF(G298="","Date assessed needed",IF(C298="","Date of birth needed",IF(COUNTA(L298,M298,P298,U298,V298,X298,AB298)&lt;7,"Band missing",IF(AND(OR(J298="Decision confirmed",J298="Family told",J298="Enrolled"),AG298=""),"Recommendation needed",IF(AND(OR(J298="Family told",J298="Enrolled"),AJ298=""),"Date family told needed","OK"))))))))</f>
        <v/>
      </c>
    </row>
    <row r="299" customFormat="false" ht="15" hidden="false" customHeight="false" outlineLevel="0" collapsed="false">
      <c r="A299" s="7"/>
      <c r="B299" s="7"/>
      <c r="C299" s="46"/>
      <c r="D299" s="7"/>
      <c r="E299" s="47"/>
      <c r="F299" s="46"/>
      <c r="G299" s="46"/>
      <c r="H299" s="7"/>
      <c r="I299" s="7"/>
      <c r="J299" s="47"/>
      <c r="K299" s="47"/>
      <c r="L299" s="47"/>
      <c r="M299" s="47"/>
      <c r="N299" s="10"/>
      <c r="O299" s="47"/>
      <c r="P299" s="47"/>
      <c r="Q299" s="47"/>
      <c r="R299" s="48" t="str">
        <f aca="false">IF(Q299="","",IF(Q299=0,"below 5:00",IF(Q299&gt;=66,"16:00 or above",INT((60+2*Q299)/12)&amp;":"&amp;TEXT(MOD(60+2*Q299,12),"00"))))</f>
        <v/>
      </c>
      <c r="S299" s="47"/>
      <c r="T299" s="47"/>
      <c r="U299" s="47"/>
      <c r="V299" s="47"/>
      <c r="W299" s="47"/>
      <c r="X299" s="47"/>
      <c r="Y299" s="47"/>
      <c r="Z299" s="47"/>
      <c r="AA299" s="47"/>
      <c r="AB299" s="47"/>
      <c r="AC299" s="47"/>
      <c r="AD299" s="47"/>
      <c r="AE299" s="47"/>
      <c r="AF299" s="47"/>
      <c r="AG299" s="47"/>
      <c r="AH299" s="47"/>
      <c r="AI299" s="46"/>
      <c r="AJ299" s="46"/>
      <c r="AK299" s="46"/>
      <c r="AL299" s="7"/>
      <c r="AM299" s="49" t="str">
        <f aca="false">IF(OR(C299="",G299=""),"",IFERROR(DATEDIF(C299,G299,"m"),""))</f>
        <v/>
      </c>
      <c r="AN299" s="49" t="str">
        <f aca="false">IF(OR(Q299="",AM299=""),"",60+2*Q299-AM299)</f>
        <v/>
      </c>
      <c r="AO299" s="49" t="str">
        <f aca="false">IF(OR(G299="",AJ299=""),"",AJ299-G299)</f>
        <v/>
      </c>
      <c r="AP299" s="50" t="str">
        <f aca="false">IF(AND(A299="",B299=""),"",IF(J299="","Status needed",IF(OR(J299="Applied",J299="Visit booked",J299="Withdrawn"),"OK",IF(G299="","Date assessed needed",IF(C299="","Date of birth needed",IF(COUNTA(L299,M299,P299,U299,V299,X299,AB299)&lt;7,"Band missing",IF(AND(OR(J299="Decision confirmed",J299="Family told",J299="Enrolled"),AG299=""),"Recommendation needed",IF(AND(OR(J299="Family told",J299="Enrolled"),AJ299=""),"Date family told needed","OK"))))))))</f>
        <v/>
      </c>
    </row>
    <row r="300" customFormat="false" ht="15" hidden="false" customHeight="false" outlineLevel="0" collapsed="false">
      <c r="A300" s="7"/>
      <c r="B300" s="7"/>
      <c r="C300" s="46"/>
      <c r="D300" s="7"/>
      <c r="E300" s="47"/>
      <c r="F300" s="46"/>
      <c r="G300" s="46"/>
      <c r="H300" s="7"/>
      <c r="I300" s="7"/>
      <c r="J300" s="47"/>
      <c r="K300" s="47"/>
      <c r="L300" s="47"/>
      <c r="M300" s="47"/>
      <c r="N300" s="10"/>
      <c r="O300" s="47"/>
      <c r="P300" s="47"/>
      <c r="Q300" s="47"/>
      <c r="R300" s="48" t="str">
        <f aca="false">IF(Q300="","",IF(Q300=0,"below 5:00",IF(Q300&gt;=66,"16:00 or above",INT((60+2*Q300)/12)&amp;":"&amp;TEXT(MOD(60+2*Q300,12),"00"))))</f>
        <v/>
      </c>
      <c r="S300" s="47"/>
      <c r="T300" s="47"/>
      <c r="U300" s="47"/>
      <c r="V300" s="47"/>
      <c r="W300" s="47"/>
      <c r="X300" s="47"/>
      <c r="Y300" s="47"/>
      <c r="Z300" s="47"/>
      <c r="AA300" s="47"/>
      <c r="AB300" s="47"/>
      <c r="AC300" s="47"/>
      <c r="AD300" s="47"/>
      <c r="AE300" s="47"/>
      <c r="AF300" s="47"/>
      <c r="AG300" s="47"/>
      <c r="AH300" s="47"/>
      <c r="AI300" s="46"/>
      <c r="AJ300" s="46"/>
      <c r="AK300" s="46"/>
      <c r="AL300" s="7"/>
      <c r="AM300" s="49" t="str">
        <f aca="false">IF(OR(C300="",G300=""),"",IFERROR(DATEDIF(C300,G300,"m"),""))</f>
        <v/>
      </c>
      <c r="AN300" s="49" t="str">
        <f aca="false">IF(OR(Q300="",AM300=""),"",60+2*Q300-AM300)</f>
        <v/>
      </c>
      <c r="AO300" s="49" t="str">
        <f aca="false">IF(OR(G300="",AJ300=""),"",AJ300-G300)</f>
        <v/>
      </c>
      <c r="AP300" s="50" t="str">
        <f aca="false">IF(AND(A300="",B300=""),"",IF(J300="","Status needed",IF(OR(J300="Applied",J300="Visit booked",J300="Withdrawn"),"OK",IF(G300="","Date assessed needed",IF(C300="","Date of birth needed",IF(COUNTA(L300,M300,P300,U300,V300,X300,AB300)&lt;7,"Band missing",IF(AND(OR(J300="Decision confirmed",J300="Family told",J300="Enrolled"),AG300=""),"Recommendation needed",IF(AND(OR(J300="Family told",J300="Enrolled"),AJ300=""),"Date family told needed","OK"))))))))</f>
        <v/>
      </c>
    </row>
    <row r="301" customFormat="false" ht="15" hidden="false" customHeight="false" outlineLevel="0" collapsed="false">
      <c r="A301" s="7"/>
      <c r="B301" s="7"/>
      <c r="C301" s="46"/>
      <c r="D301" s="7"/>
      <c r="E301" s="47"/>
      <c r="F301" s="46"/>
      <c r="G301" s="46"/>
      <c r="H301" s="7"/>
      <c r="I301" s="7"/>
      <c r="J301" s="47"/>
      <c r="K301" s="47"/>
      <c r="L301" s="47"/>
      <c r="M301" s="47"/>
      <c r="N301" s="10"/>
      <c r="O301" s="47"/>
      <c r="P301" s="47"/>
      <c r="Q301" s="47"/>
      <c r="R301" s="48" t="str">
        <f aca="false">IF(Q301="","",IF(Q301=0,"below 5:00",IF(Q301&gt;=66,"16:00 or above",INT((60+2*Q301)/12)&amp;":"&amp;TEXT(MOD(60+2*Q301,12),"00"))))</f>
        <v/>
      </c>
      <c r="S301" s="47"/>
      <c r="T301" s="47"/>
      <c r="U301" s="47"/>
      <c r="V301" s="47"/>
      <c r="W301" s="47"/>
      <c r="X301" s="47"/>
      <c r="Y301" s="47"/>
      <c r="Z301" s="47"/>
      <c r="AA301" s="47"/>
      <c r="AB301" s="47"/>
      <c r="AC301" s="47"/>
      <c r="AD301" s="47"/>
      <c r="AE301" s="47"/>
      <c r="AF301" s="47"/>
      <c r="AG301" s="47"/>
      <c r="AH301" s="47"/>
      <c r="AI301" s="46"/>
      <c r="AJ301" s="46"/>
      <c r="AK301" s="46"/>
      <c r="AL301" s="7"/>
      <c r="AM301" s="49" t="str">
        <f aca="false">IF(OR(C301="",G301=""),"",IFERROR(DATEDIF(C301,G301,"m"),""))</f>
        <v/>
      </c>
      <c r="AN301" s="49" t="str">
        <f aca="false">IF(OR(Q301="",AM301=""),"",60+2*Q301-AM301)</f>
        <v/>
      </c>
      <c r="AO301" s="49" t="str">
        <f aca="false">IF(OR(G301="",AJ301=""),"",AJ301-G301)</f>
        <v/>
      </c>
      <c r="AP301" s="50" t="str">
        <f aca="false">IF(AND(A301="",B301=""),"",IF(J301="","Status needed",IF(OR(J301="Applied",J301="Visit booked",J301="Withdrawn"),"OK",IF(G301="","Date assessed needed",IF(C301="","Date of birth needed",IF(COUNTA(L301,M301,P301,U301,V301,X301,AB301)&lt;7,"Band missing",IF(AND(OR(J301="Decision confirmed",J301="Family told",J301="Enrolled"),AG301=""),"Recommendation needed",IF(AND(OR(J301="Family told",J301="Enrolled"),AJ301=""),"Date family told needed","OK"))))))))</f>
        <v/>
      </c>
    </row>
    <row r="302" customFormat="false" ht="15" hidden="false" customHeight="false" outlineLevel="0" collapsed="false">
      <c r="A302" s="7"/>
      <c r="B302" s="7"/>
      <c r="C302" s="46"/>
      <c r="D302" s="7"/>
      <c r="E302" s="47"/>
      <c r="F302" s="46"/>
      <c r="G302" s="46"/>
      <c r="H302" s="7"/>
      <c r="I302" s="7"/>
      <c r="J302" s="47"/>
      <c r="K302" s="47"/>
      <c r="L302" s="47"/>
      <c r="M302" s="47"/>
      <c r="N302" s="10"/>
      <c r="O302" s="47"/>
      <c r="P302" s="47"/>
      <c r="Q302" s="47"/>
      <c r="R302" s="48" t="str">
        <f aca="false">IF(Q302="","",IF(Q302=0,"below 5:00",IF(Q302&gt;=66,"16:00 or above",INT((60+2*Q302)/12)&amp;":"&amp;TEXT(MOD(60+2*Q302,12),"00"))))</f>
        <v/>
      </c>
      <c r="S302" s="47"/>
      <c r="T302" s="47"/>
      <c r="U302" s="47"/>
      <c r="V302" s="47"/>
      <c r="W302" s="47"/>
      <c r="X302" s="47"/>
      <c r="Y302" s="47"/>
      <c r="Z302" s="47"/>
      <c r="AA302" s="47"/>
      <c r="AB302" s="47"/>
      <c r="AC302" s="47"/>
      <c r="AD302" s="47"/>
      <c r="AE302" s="47"/>
      <c r="AF302" s="47"/>
      <c r="AG302" s="47"/>
      <c r="AH302" s="47"/>
      <c r="AI302" s="46"/>
      <c r="AJ302" s="46"/>
      <c r="AK302" s="46"/>
      <c r="AL302" s="7"/>
      <c r="AM302" s="49" t="str">
        <f aca="false">IF(OR(C302="",G302=""),"",IFERROR(DATEDIF(C302,G302,"m"),""))</f>
        <v/>
      </c>
      <c r="AN302" s="49" t="str">
        <f aca="false">IF(OR(Q302="",AM302=""),"",60+2*Q302-AM302)</f>
        <v/>
      </c>
      <c r="AO302" s="49" t="str">
        <f aca="false">IF(OR(G302="",AJ302=""),"",AJ302-G302)</f>
        <v/>
      </c>
      <c r="AP302" s="50" t="str">
        <f aca="false">IF(AND(A302="",B302=""),"",IF(J302="","Status needed",IF(OR(J302="Applied",J302="Visit booked",J302="Withdrawn"),"OK",IF(G302="","Date assessed needed",IF(C302="","Date of birth needed",IF(COUNTA(L302,M302,P302,U302,V302,X302,AB302)&lt;7,"Band missing",IF(AND(OR(J302="Decision confirmed",J302="Family told",J302="Enrolled"),AG302=""),"Recommendation needed",IF(AND(OR(J302="Family told",J302="Enrolled"),AJ302=""),"Date family told needed","OK"))))))))</f>
        <v/>
      </c>
    </row>
    <row r="303" customFormat="false" ht="15" hidden="false" customHeight="false" outlineLevel="0" collapsed="false">
      <c r="A303" s="7"/>
      <c r="B303" s="7"/>
      <c r="C303" s="46"/>
      <c r="D303" s="7"/>
      <c r="E303" s="47"/>
      <c r="F303" s="46"/>
      <c r="G303" s="46"/>
      <c r="H303" s="7"/>
      <c r="I303" s="7"/>
      <c r="J303" s="47"/>
      <c r="K303" s="47"/>
      <c r="L303" s="47"/>
      <c r="M303" s="47"/>
      <c r="N303" s="10"/>
      <c r="O303" s="47"/>
      <c r="P303" s="47"/>
      <c r="Q303" s="47"/>
      <c r="R303" s="48" t="str">
        <f aca="false">IF(Q303="","",IF(Q303=0,"below 5:00",IF(Q303&gt;=66,"16:00 or above",INT((60+2*Q303)/12)&amp;":"&amp;TEXT(MOD(60+2*Q303,12),"00"))))</f>
        <v/>
      </c>
      <c r="S303" s="47"/>
      <c r="T303" s="47"/>
      <c r="U303" s="47"/>
      <c r="V303" s="47"/>
      <c r="W303" s="47"/>
      <c r="X303" s="47"/>
      <c r="Y303" s="47"/>
      <c r="Z303" s="47"/>
      <c r="AA303" s="47"/>
      <c r="AB303" s="47"/>
      <c r="AC303" s="47"/>
      <c r="AD303" s="47"/>
      <c r="AE303" s="47"/>
      <c r="AF303" s="47"/>
      <c r="AG303" s="47"/>
      <c r="AH303" s="47"/>
      <c r="AI303" s="46"/>
      <c r="AJ303" s="46"/>
      <c r="AK303" s="46"/>
      <c r="AL303" s="7"/>
      <c r="AM303" s="49" t="str">
        <f aca="false">IF(OR(C303="",G303=""),"",IFERROR(DATEDIF(C303,G303,"m"),""))</f>
        <v/>
      </c>
      <c r="AN303" s="49" t="str">
        <f aca="false">IF(OR(Q303="",AM303=""),"",60+2*Q303-AM303)</f>
        <v/>
      </c>
      <c r="AO303" s="49" t="str">
        <f aca="false">IF(OR(G303="",AJ303=""),"",AJ303-G303)</f>
        <v/>
      </c>
      <c r="AP303" s="50" t="str">
        <f aca="false">IF(AND(A303="",B303=""),"",IF(J303="","Status needed",IF(OR(J303="Applied",J303="Visit booked",J303="Withdrawn"),"OK",IF(G303="","Date assessed needed",IF(C303="","Date of birth needed",IF(COUNTA(L303,M303,P303,U303,V303,X303,AB303)&lt;7,"Band missing",IF(AND(OR(J303="Decision confirmed",J303="Family told",J303="Enrolled"),AG303=""),"Recommendation needed",IF(AND(OR(J303="Family told",J303="Enrolled"),AJ303=""),"Date family told needed","OK"))))))))</f>
        <v/>
      </c>
    </row>
    <row r="304" customFormat="false" ht="15" hidden="false" customHeight="false" outlineLevel="0" collapsed="false">
      <c r="A304" s="7"/>
      <c r="B304" s="7"/>
      <c r="C304" s="46"/>
      <c r="D304" s="7"/>
      <c r="E304" s="47"/>
      <c r="F304" s="46"/>
      <c r="G304" s="46"/>
      <c r="H304" s="7"/>
      <c r="I304" s="7"/>
      <c r="J304" s="47"/>
      <c r="K304" s="47"/>
      <c r="L304" s="47"/>
      <c r="M304" s="47"/>
      <c r="N304" s="10"/>
      <c r="O304" s="47"/>
      <c r="P304" s="47"/>
      <c r="Q304" s="47"/>
      <c r="R304" s="48" t="str">
        <f aca="false">IF(Q304="","",IF(Q304=0,"below 5:00",IF(Q304&gt;=66,"16:00 or above",INT((60+2*Q304)/12)&amp;":"&amp;TEXT(MOD(60+2*Q304,12),"00"))))</f>
        <v/>
      </c>
      <c r="S304" s="47"/>
      <c r="T304" s="47"/>
      <c r="U304" s="47"/>
      <c r="V304" s="47"/>
      <c r="W304" s="47"/>
      <c r="X304" s="47"/>
      <c r="Y304" s="47"/>
      <c r="Z304" s="47"/>
      <c r="AA304" s="47"/>
      <c r="AB304" s="47"/>
      <c r="AC304" s="47"/>
      <c r="AD304" s="47"/>
      <c r="AE304" s="47"/>
      <c r="AF304" s="47"/>
      <c r="AG304" s="47"/>
      <c r="AH304" s="47"/>
      <c r="AI304" s="46"/>
      <c r="AJ304" s="46"/>
      <c r="AK304" s="46"/>
      <c r="AL304" s="7"/>
      <c r="AM304" s="49" t="str">
        <f aca="false">IF(OR(C304="",G304=""),"",IFERROR(DATEDIF(C304,G304,"m"),""))</f>
        <v/>
      </c>
      <c r="AN304" s="49" t="str">
        <f aca="false">IF(OR(Q304="",AM304=""),"",60+2*Q304-AM304)</f>
        <v/>
      </c>
      <c r="AO304" s="49" t="str">
        <f aca="false">IF(OR(G304="",AJ304=""),"",AJ304-G304)</f>
        <v/>
      </c>
      <c r="AP304" s="50" t="str">
        <f aca="false">IF(AND(A304="",B304=""),"",IF(J304="","Status needed",IF(OR(J304="Applied",J304="Visit booked",J304="Withdrawn"),"OK",IF(G304="","Date assessed needed",IF(C304="","Date of birth needed",IF(COUNTA(L304,M304,P304,U304,V304,X304,AB304)&lt;7,"Band missing",IF(AND(OR(J304="Decision confirmed",J304="Family told",J304="Enrolled"),AG304=""),"Recommendation needed",IF(AND(OR(J304="Family told",J304="Enrolled"),AJ304=""),"Date family told needed","OK"))))))))</f>
        <v/>
      </c>
    </row>
    <row r="305" customFormat="false" ht="15" hidden="false" customHeight="false" outlineLevel="0" collapsed="false">
      <c r="A305" s="7"/>
      <c r="B305" s="7"/>
      <c r="C305" s="46"/>
      <c r="D305" s="7"/>
      <c r="E305" s="47"/>
      <c r="F305" s="46"/>
      <c r="G305" s="46"/>
      <c r="H305" s="7"/>
      <c r="I305" s="7"/>
      <c r="J305" s="47"/>
      <c r="K305" s="47"/>
      <c r="L305" s="47"/>
      <c r="M305" s="47"/>
      <c r="N305" s="10"/>
      <c r="O305" s="47"/>
      <c r="P305" s="47"/>
      <c r="Q305" s="47"/>
      <c r="R305" s="48" t="str">
        <f aca="false">IF(Q305="","",IF(Q305=0,"below 5:00",IF(Q305&gt;=66,"16:00 or above",INT((60+2*Q305)/12)&amp;":"&amp;TEXT(MOD(60+2*Q305,12),"00"))))</f>
        <v/>
      </c>
      <c r="S305" s="47"/>
      <c r="T305" s="47"/>
      <c r="U305" s="47"/>
      <c r="V305" s="47"/>
      <c r="W305" s="47"/>
      <c r="X305" s="47"/>
      <c r="Y305" s="47"/>
      <c r="Z305" s="47"/>
      <c r="AA305" s="47"/>
      <c r="AB305" s="47"/>
      <c r="AC305" s="47"/>
      <c r="AD305" s="47"/>
      <c r="AE305" s="47"/>
      <c r="AF305" s="47"/>
      <c r="AG305" s="47"/>
      <c r="AH305" s="47"/>
      <c r="AI305" s="46"/>
      <c r="AJ305" s="46"/>
      <c r="AK305" s="46"/>
      <c r="AL305" s="7"/>
      <c r="AM305" s="49" t="str">
        <f aca="false">IF(OR(C305="",G305=""),"",IFERROR(DATEDIF(C305,G305,"m"),""))</f>
        <v/>
      </c>
      <c r="AN305" s="49" t="str">
        <f aca="false">IF(OR(Q305="",AM305=""),"",60+2*Q305-AM305)</f>
        <v/>
      </c>
      <c r="AO305" s="49" t="str">
        <f aca="false">IF(OR(G305="",AJ305=""),"",AJ305-G305)</f>
        <v/>
      </c>
      <c r="AP305" s="50" t="str">
        <f aca="false">IF(AND(A305="",B305=""),"",IF(J305="","Status needed",IF(OR(J305="Applied",J305="Visit booked",J305="Withdrawn"),"OK",IF(G305="","Date assessed needed",IF(C305="","Date of birth needed",IF(COUNTA(L305,M305,P305,U305,V305,X305,AB305)&lt;7,"Band missing",IF(AND(OR(J305="Decision confirmed",J305="Family told",J305="Enrolled"),AG305=""),"Recommendation needed",IF(AND(OR(J305="Family told",J305="Enrolled"),AJ305=""),"Date family told needed","OK"))))))))</f>
        <v/>
      </c>
    </row>
  </sheetData>
  <autoFilter ref="A5:AP305"/>
  <mergeCells count="7">
    <mergeCell ref="A4:E4"/>
    <mergeCell ref="F4:J4"/>
    <mergeCell ref="K4:V4"/>
    <mergeCell ref="W4:AB4"/>
    <mergeCell ref="AC4:AF4"/>
    <mergeCell ref="AG4:AL4"/>
    <mergeCell ref="AM4:AP4"/>
  </mergeCells>
  <conditionalFormatting sqref="L6:L305">
    <cfRule type="cellIs" priority="2" operator="equal" aboveAverage="0" equalAverage="0" bottom="0" percent="0" rank="0" text="" dxfId="13">
      <formula>"A"</formula>
    </cfRule>
    <cfRule type="cellIs" priority="3" operator="equal" aboveAverage="0" equalAverage="0" bottom="0" percent="0" rank="0" text="" dxfId="14">
      <formula>"B"</formula>
    </cfRule>
    <cfRule type="cellIs" priority="4" operator="equal" aboveAverage="0" equalAverage="0" bottom="0" percent="0" rank="0" text="" dxfId="15">
      <formula>"C"</formula>
    </cfRule>
    <cfRule type="cellIs" priority="5" operator="equal" aboveAverage="0" equalAverage="0" bottom="0" percent="0" rank="0" text="" dxfId="16">
      <formula>"D"</formula>
    </cfRule>
    <cfRule type="cellIs" priority="6" operator="equal" aboveAverage="0" equalAverage="0" bottom="0" percent="0" rank="0" text="" dxfId="17">
      <formula>"E"</formula>
    </cfRule>
  </conditionalFormatting>
  <conditionalFormatting sqref="M6:M305">
    <cfRule type="cellIs" priority="7" operator="equal" aboveAverage="0" equalAverage="0" bottom="0" percent="0" rank="0" text="" dxfId="13">
      <formula>"A"</formula>
    </cfRule>
    <cfRule type="cellIs" priority="8" operator="equal" aboveAverage="0" equalAverage="0" bottom="0" percent="0" rank="0" text="" dxfId="14">
      <formula>"B"</formula>
    </cfRule>
    <cfRule type="cellIs" priority="9" operator="equal" aboveAverage="0" equalAverage="0" bottom="0" percent="0" rank="0" text="" dxfId="15">
      <formula>"C"</formula>
    </cfRule>
    <cfRule type="cellIs" priority="10" operator="equal" aboveAverage="0" equalAverage="0" bottom="0" percent="0" rank="0" text="" dxfId="16">
      <formula>"D"</formula>
    </cfRule>
    <cfRule type="cellIs" priority="11" operator="equal" aboveAverage="0" equalAverage="0" bottom="0" percent="0" rank="0" text="" dxfId="17">
      <formula>"E"</formula>
    </cfRule>
  </conditionalFormatting>
  <conditionalFormatting sqref="P6:P305">
    <cfRule type="cellIs" priority="12" operator="equal" aboveAverage="0" equalAverage="0" bottom="0" percent="0" rank="0" text="" dxfId="13">
      <formula>"A"</formula>
    </cfRule>
    <cfRule type="cellIs" priority="13" operator="equal" aboveAverage="0" equalAverage="0" bottom="0" percent="0" rank="0" text="" dxfId="14">
      <formula>"B"</formula>
    </cfRule>
    <cfRule type="cellIs" priority="14" operator="equal" aboveAverage="0" equalAverage="0" bottom="0" percent="0" rank="0" text="" dxfId="15">
      <formula>"C"</formula>
    </cfRule>
    <cfRule type="cellIs" priority="15" operator="equal" aboveAverage="0" equalAverage="0" bottom="0" percent="0" rank="0" text="" dxfId="16">
      <formula>"D"</formula>
    </cfRule>
    <cfRule type="cellIs" priority="16" operator="equal" aboveAverage="0" equalAverage="0" bottom="0" percent="0" rank="0" text="" dxfId="17">
      <formula>"E"</formula>
    </cfRule>
  </conditionalFormatting>
  <conditionalFormatting sqref="S6:S305">
    <cfRule type="cellIs" priority="17" operator="equal" aboveAverage="0" equalAverage="0" bottom="0" percent="0" rank="0" text="" dxfId="13">
      <formula>"A"</formula>
    </cfRule>
    <cfRule type="cellIs" priority="18" operator="equal" aboveAverage="0" equalAverage="0" bottom="0" percent="0" rank="0" text="" dxfId="14">
      <formula>"B"</formula>
    </cfRule>
    <cfRule type="cellIs" priority="19" operator="equal" aboveAverage="0" equalAverage="0" bottom="0" percent="0" rank="0" text="" dxfId="15">
      <formula>"C"</formula>
    </cfRule>
    <cfRule type="cellIs" priority="20" operator="equal" aboveAverage="0" equalAverage="0" bottom="0" percent="0" rank="0" text="" dxfId="16">
      <formula>"D"</formula>
    </cfRule>
    <cfRule type="cellIs" priority="21" operator="equal" aboveAverage="0" equalAverage="0" bottom="0" percent="0" rank="0" text="" dxfId="17">
      <formula>"E"</formula>
    </cfRule>
  </conditionalFormatting>
  <conditionalFormatting sqref="U6:U305">
    <cfRule type="cellIs" priority="22" operator="equal" aboveAverage="0" equalAverage="0" bottom="0" percent="0" rank="0" text="" dxfId="13">
      <formula>"A"</formula>
    </cfRule>
    <cfRule type="cellIs" priority="23" operator="equal" aboveAverage="0" equalAverage="0" bottom="0" percent="0" rank="0" text="" dxfId="14">
      <formula>"B"</formula>
    </cfRule>
    <cfRule type="cellIs" priority="24" operator="equal" aboveAverage="0" equalAverage="0" bottom="0" percent="0" rank="0" text="" dxfId="15">
      <formula>"C"</formula>
    </cfRule>
    <cfRule type="cellIs" priority="25" operator="equal" aboveAverage="0" equalAverage="0" bottom="0" percent="0" rank="0" text="" dxfId="16">
      <formula>"D"</formula>
    </cfRule>
    <cfRule type="cellIs" priority="26" operator="equal" aboveAverage="0" equalAverage="0" bottom="0" percent="0" rank="0" text="" dxfId="17">
      <formula>"E"</formula>
    </cfRule>
  </conditionalFormatting>
  <conditionalFormatting sqref="V6:V305">
    <cfRule type="cellIs" priority="27" operator="equal" aboveAverage="0" equalAverage="0" bottom="0" percent="0" rank="0" text="" dxfId="13">
      <formula>"A"</formula>
    </cfRule>
    <cfRule type="cellIs" priority="28" operator="equal" aboveAverage="0" equalAverage="0" bottom="0" percent="0" rank="0" text="" dxfId="14">
      <formula>"B"</formula>
    </cfRule>
    <cfRule type="cellIs" priority="29" operator="equal" aboveAverage="0" equalAverage="0" bottom="0" percent="0" rank="0" text="" dxfId="15">
      <formula>"C"</formula>
    </cfRule>
    <cfRule type="cellIs" priority="30" operator="equal" aboveAverage="0" equalAverage="0" bottom="0" percent="0" rank="0" text="" dxfId="16">
      <formula>"D"</formula>
    </cfRule>
    <cfRule type="cellIs" priority="31" operator="equal" aboveAverage="0" equalAverage="0" bottom="0" percent="0" rank="0" text="" dxfId="17">
      <formula>"E"</formula>
    </cfRule>
  </conditionalFormatting>
  <conditionalFormatting sqref="X6:X305">
    <cfRule type="cellIs" priority="32" operator="equal" aboveAverage="0" equalAverage="0" bottom="0" percent="0" rank="0" text="" dxfId="13">
      <formula>1</formula>
    </cfRule>
    <cfRule type="cellIs" priority="33" operator="equal" aboveAverage="0" equalAverage="0" bottom="0" percent="0" rank="0" text="" dxfId="14">
      <formula>2</formula>
    </cfRule>
    <cfRule type="cellIs" priority="34" operator="equal" aboveAverage="0" equalAverage="0" bottom="0" percent="0" rank="0" text="" dxfId="16">
      <formula>3</formula>
    </cfRule>
    <cfRule type="cellIs" priority="35" operator="equal" aboveAverage="0" equalAverage="0" bottom="0" percent="0" rank="0" text="" dxfId="17">
      <formula>4</formula>
    </cfRule>
  </conditionalFormatting>
  <conditionalFormatting sqref="AB6:AB305">
    <cfRule type="cellIs" priority="36" operator="equal" aboveAverage="0" equalAverage="0" bottom="0" percent="0" rank="0" text="" dxfId="13">
      <formula>1</formula>
    </cfRule>
    <cfRule type="cellIs" priority="37" operator="equal" aboveAverage="0" equalAverage="0" bottom="0" percent="0" rank="0" text="" dxfId="14">
      <formula>2</formula>
    </cfRule>
    <cfRule type="cellIs" priority="38" operator="equal" aboveAverage="0" equalAverage="0" bottom="0" percent="0" rank="0" text="" dxfId="16">
      <formula>3</formula>
    </cfRule>
    <cfRule type="cellIs" priority="39" operator="equal" aboveAverage="0" equalAverage="0" bottom="0" percent="0" rank="0" text="" dxfId="17">
      <formula>4</formula>
    </cfRule>
  </conditionalFormatting>
  <conditionalFormatting sqref="AC6:AC305">
    <cfRule type="cellIs" priority="40" operator="equal" aboveAverage="0" equalAverage="0" bottom="0" percent="0" rank="0" text="" dxfId="13">
      <formula>1</formula>
    </cfRule>
    <cfRule type="cellIs" priority="41" operator="equal" aboveAverage="0" equalAverage="0" bottom="0" percent="0" rank="0" text="" dxfId="14">
      <formula>2</formula>
    </cfRule>
  </conditionalFormatting>
  <conditionalFormatting sqref="AD6:AD305">
    <cfRule type="cellIs" priority="42" operator="equal" aboveAverage="0" equalAverage="0" bottom="0" percent="0" rank="0" text="" dxfId="14">
      <formula>"Y"</formula>
    </cfRule>
  </conditionalFormatting>
  <conditionalFormatting sqref="AE6:AE305">
    <cfRule type="cellIs" priority="43" operator="equal" aboveAverage="0" equalAverage="0" bottom="0" percent="0" rank="0" text="" dxfId="14">
      <formula>"Y"</formula>
    </cfRule>
  </conditionalFormatting>
  <conditionalFormatting sqref="AF6:AF305">
    <cfRule type="cellIs" priority="44" operator="equal" aboveAverage="0" equalAverage="0" bottom="0" percent="0" rank="0" text="" dxfId="14">
      <formula>"Y"</formula>
    </cfRule>
  </conditionalFormatting>
  <conditionalFormatting sqref="Z6:Z305">
    <cfRule type="cellIs" priority="45" operator="equal" aboveAverage="0" equalAverage="0" bottom="0" percent="0" rank="0" text="" dxfId="14">
      <formula>"Yes"</formula>
    </cfRule>
  </conditionalFormatting>
  <conditionalFormatting sqref="AN6:AN305">
    <cfRule type="cellIs" priority="46" operator="lessThanOrEqual" aboveAverage="0" equalAverage="0" bottom="0" percent="0" rank="0" text="" dxfId="14">
      <formula>-12</formula>
    </cfRule>
  </conditionalFormatting>
  <conditionalFormatting sqref="J6:J305">
    <cfRule type="cellIs" priority="47" operator="equal" aboveAverage="0" equalAverage="0" bottom="0" percent="0" rank="0" text="" dxfId="18">
      <formula>"Withdrawn"</formula>
    </cfRule>
  </conditionalFormatting>
  <conditionalFormatting sqref="AP6:AP305">
    <cfRule type="expression" priority="48" aboveAverage="0" equalAverage="0" bottom="0" percent="0" rank="0" text="" dxfId="19">
      <formula>AND(AP6&lt;&gt;"",AP6&lt;&gt;"OK")</formula>
    </cfRule>
    <cfRule type="expression" priority="49" aboveAverage="0" equalAverage="0" bottom="0" percent="0" rank="0" text="" dxfId="20">
      <formula>AP6="OK"</formula>
    </cfRule>
  </conditionalFormatting>
  <dataValidations count="25">
    <dataValidation allowBlank="true" error="Enter a date, day first, for example 14/10/2026." errorStyle="stop" errorTitle="Date" operator="between" showDropDown="false" showErrorMessage="true" showInputMessage="false" sqref="C6:C305 F6:G305 AI6:AK305" type="date">
      <formula1>36526</formula1>
      <formula2>73050</formula2>
    </dataValidation>
    <dataValidation allowBlank="true" error="Enter the lowest strand rating on the Interview sheet: 1, 2, 3 or 4." errorStyle="stop" errorTitle="Rating" operator="between" showDropDown="false" showErrorMessage="true" showInputMessage="false" sqref="AC6:AC305" type="whole">
      <formula1>1</formula1>
      <formula2>4</formula2>
    </dataValidation>
    <dataValidation allowBlank="true" error="Enter Y or N, or leave blank." errorStyle="stop" errorTitle="Y or N" operator="between" showDropDown="false" showErrorMessage="true" showInputMessage="false" sqref="E6:E305" type="list">
      <formula1>"Y,N"</formula1>
      <formula2>0</formula2>
    </dataValidation>
    <dataValidation allowBlank="true" error="Choose a status from the list." errorStyle="stop" errorTitle="Status" operator="between" showDropDown="false" showErrorMessage="true" showInputMessage="false" sqref="J6:J305" type="list">
      <formula1>Lists!$A$2:$A$8</formula1>
      <formula2>0</formula2>
    </dataValidation>
    <dataValidation allowBlank="true" error="Enter a whole number from 0 to the maximum shown in row 3 of this column." errorStyle="stop" errorTitle="Score" operator="between" showDropDown="false" showErrorMessage="true" showInputMessage="false" sqref="K6:K305" type="whole">
      <formula1>0</formula1>
      <formula2>$K$3</formula2>
    </dataValidation>
    <dataValidation allowBlank="true" error="Enter a band from the list: A, B, C, D or E." errorStyle="stop" errorTitle="Band" operator="between" showDropDown="false" showErrorMessage="true" showInputMessage="false" sqref="L6:L305" type="list">
      <formula1>"A,B,C,D,E"</formula1>
      <formula2>0</formula2>
    </dataValidation>
    <dataValidation allowBlank="true" error="Enter a band from the list: A, B, C, D or E." errorStyle="stop" errorTitle="Band" operator="between" showDropDown="false" showErrorMessage="true" showInputMessage="false" sqref="M6:M305" type="list">
      <formula1>"A,B,C,D,E"</formula1>
      <formula2>0</formula2>
    </dataValidation>
    <dataValidation allowBlank="true" error="Enter a whole number from 0 to the maximum shown in row 3 of this column." errorStyle="stop" errorTitle="Score" operator="between" showDropDown="false" showErrorMessage="true" showInputMessage="false" sqref="O6:O305" type="whole">
      <formula1>0</formula1>
      <formula2>$O$3</formula2>
    </dataValidation>
    <dataValidation allowBlank="true" error="Enter a band from the list: A, B, C, D or E." errorStyle="stop" errorTitle="Band" operator="between" showDropDown="false" showErrorMessage="true" showInputMessage="false" sqref="P6:P305" type="list">
      <formula1>"A,B,C,D,E"</formula1>
      <formula2>0</formula2>
    </dataValidation>
    <dataValidation allowBlank="true" error="Enter a whole number from 0 to the maximum shown in row 3 of this column." errorStyle="stop" errorTitle="Score" operator="between" showDropDown="false" showErrorMessage="true" showInputMessage="false" sqref="Q6:Q305" type="whole">
      <formula1>0</formula1>
      <formula2>$Q$3</formula2>
    </dataValidation>
    <dataValidation allowBlank="true" error="Enter a band from the list: A, B, C, D or E." errorStyle="stop" errorTitle="Band" operator="between" showDropDown="false" showErrorMessage="true" showInputMessage="false" sqref="S6:S305" type="list">
      <formula1>"A,B,C,D,E"</formula1>
      <formula2>0</formula2>
    </dataValidation>
    <dataValidation allowBlank="true" error="Enter a whole number from 0 to the maximum shown in row 3 of this column." errorStyle="stop" errorTitle="Score" operator="between" showDropDown="false" showErrorMessage="true" showInputMessage="false" sqref="T6:T305" type="whole">
      <formula1>0</formula1>
      <formula2>$T$3</formula2>
    </dataValidation>
    <dataValidation allowBlank="true" error="Enter a band from the list: A, B, C, D or E." errorStyle="stop" errorTitle="Band" operator="between" showDropDown="false" showErrorMessage="true" showInputMessage="false" sqref="U6:U305" type="list">
      <formula1>"A,B,C,D,E"</formula1>
      <formula2>0</formula2>
    </dataValidation>
    <dataValidation allowBlank="true" error="Enter a band from the list: A, B, C, D or E." errorStyle="stop" errorTitle="Band" operator="between" showDropDown="false" showErrorMessage="true" showInputMessage="false" sqref="V6:V305" type="list">
      <formula1>"A,B,C,D,E"</formula1>
      <formula2>0</formula2>
    </dataValidation>
    <dataValidation allowBlank="true" error="Enter a whole number from 0 to the maximum shown in row 3 of this column." errorStyle="stop" errorTitle="Score" operator="between" showDropDown="false" showErrorMessage="true" showInputMessage="false" sqref="W6:W305" type="whole">
      <formula1>0</formula1>
      <formula2>$W$3</formula2>
    </dataValidation>
    <dataValidation allowBlank="true" error="Enter a band from the list: 1, 2, 3 or 4." errorStyle="stop" errorTitle="Band" operator="between" showDropDown="false" showErrorMessage="true" showInputMessage="false" sqref="X6:X305" type="list">
      <formula1>"1,2,3,4"</formula1>
      <formula2>0</formula2>
    </dataValidation>
    <dataValidation allowBlank="true" error="Enter a whole number from 0 to the maximum shown in row 3 of this column." errorStyle="stop" errorTitle="Score" operator="between" showDropDown="false" showErrorMessage="true" showInputMessage="false" sqref="Y6:Y305" type="whole">
      <formula1>0</formula1>
      <formula2>$Y$3</formula2>
    </dataValidation>
    <dataValidation allowBlank="true" error="Choose Yes, No or Unsure." errorStyle="stop" errorTitle="English barrier in maths" operator="between" showDropDown="false" showErrorMessage="true" showInputMessage="false" sqref="Z6:Z305" type="list">
      <formula1>Lists!$E$2:$E$4</formula1>
      <formula2>0</formula2>
    </dataValidation>
    <dataValidation allowBlank="true" error="Enter a whole number from 0 to the maximum shown in row 3 of this column." errorStyle="stop" errorTitle="Score" operator="between" showDropDown="false" showErrorMessage="true" showInputMessage="false" sqref="AA6:AA305" type="whole">
      <formula1>0</formula1>
      <formula2>$AA$3</formula2>
    </dataValidation>
    <dataValidation allowBlank="true" error="Enter a band from the list: 1, 2, 3 or 4." errorStyle="stop" errorTitle="Band" operator="between" showDropDown="false" showErrorMessage="true" showInputMessage="false" sqref="AB6:AB305" type="list">
      <formula1>"1,2,3,4"</formula1>
      <formula2>0</formula2>
    </dataValidation>
    <dataValidation allowBlank="true" error="Enter Y or N, or leave blank." errorStyle="stop" errorTitle="Y or N" operator="between" showDropDown="false" showErrorMessage="true" showInputMessage="false" sqref="AD6:AD305" type="list">
      <formula1>"Y,N"</formula1>
      <formula2>0</formula2>
    </dataValidation>
    <dataValidation allowBlank="true" error="Enter Y or N, or leave blank." errorStyle="stop" errorTitle="Y or N" operator="between" showDropDown="false" showErrorMessage="true" showInputMessage="false" sqref="AE6:AE305" type="list">
      <formula1>"Y,N"</formula1>
      <formula2>0</formula2>
    </dataValidation>
    <dataValidation allowBlank="true" error="Enter Y or N, or leave blank." errorStyle="stop" errorTitle="Y or N" operator="between" showDropDown="false" showErrorMessage="true" showInputMessage="false" sqref="AF6:AF305" type="list">
      <formula1>"Y,N"</formula1>
      <formula2>0</formula2>
    </dataValidation>
    <dataValidation allowBlank="true" error="Choose a recommendation from the list." errorStyle="stop" errorTitle="Recommendation" operator="between" showDropDown="false" showErrorMessage="true" showInputMessage="false" sqref="AG6:AG305" type="list">
      <formula1>Lists!$B$2:$B$6</formula1>
      <formula2>0</formula2>
    </dataValidation>
    <dataValidation allowBlank="true" error="Choose a support level from the list." errorStyle="stop" errorTitle="English support level" operator="between" showDropDown="false" showErrorMessage="true" showInputMessage="false" sqref="AH6:AH305" type="list">
      <formula1>Lists!$C$2:$C$5</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78D6"/>
    <pageSetUpPr fitToPage="true"/>
  </sheetPr>
  <dimension ref="A1:AP3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4"/>
    <col collapsed="false" customWidth="true" hidden="false" outlineLevel="0" max="3" min="3" style="0" width="12"/>
    <col collapsed="false" customWidth="true" hidden="false" outlineLevel="0" max="4" min="4" style="0" width="24"/>
    <col collapsed="false" customWidth="true" hidden="false" outlineLevel="0" max="5" min="5" style="0" width="9"/>
    <col collapsed="false" customWidth="true" hidden="false" outlineLevel="0" max="7" min="6" style="0" width="12"/>
    <col collapsed="false" customWidth="true" hidden="false" outlineLevel="0" max="8" min="8" style="0" width="10"/>
    <col collapsed="false" customWidth="true" hidden="false" outlineLevel="0" max="9" min="9" style="0" width="9"/>
    <col collapsed="false" customWidth="true" hidden="false" outlineLevel="0" max="10" min="10" style="0" width="18"/>
    <col collapsed="false" customWidth="true" hidden="false" outlineLevel="0" max="13" min="11" style="0" width="9"/>
    <col collapsed="false" customWidth="true" hidden="false" outlineLevel="0" max="14" min="14" style="0" width="17"/>
    <col collapsed="false" customWidth="true" hidden="false" outlineLevel="0" max="15" min="15" style="0" width="10"/>
    <col collapsed="false" customWidth="true" hidden="false" outlineLevel="0" max="16" min="16" style="0" width="9"/>
    <col collapsed="false" customWidth="true" hidden="false" outlineLevel="0" max="17" min="17" style="0" width="10"/>
    <col collapsed="false" customWidth="true" hidden="false" outlineLevel="0" max="18" min="18" style="0" width="11"/>
    <col collapsed="false" customWidth="true" hidden="false" outlineLevel="0" max="19" min="19" style="0" width="10"/>
    <col collapsed="false" customWidth="true" hidden="false" outlineLevel="0" max="24" min="20" style="0" width="9"/>
    <col collapsed="false" customWidth="true" hidden="false" outlineLevel="0" max="25" min="25" style="0" width="10"/>
    <col collapsed="false" customWidth="true" hidden="false" outlineLevel="0" max="26" min="26" style="0" width="11"/>
    <col collapsed="false" customWidth="true" hidden="false" outlineLevel="0" max="28" min="27" style="0" width="9"/>
    <col collapsed="false" customWidth="true" hidden="false" outlineLevel="0" max="29" min="29" style="0" width="11"/>
    <col collapsed="false" customWidth="true" hidden="false" outlineLevel="0" max="31" min="30" style="0" width="10"/>
    <col collapsed="false" customWidth="true" hidden="false" outlineLevel="0" max="32" min="32" style="0" width="11"/>
    <col collapsed="false" customWidth="true" hidden="false" outlineLevel="0" max="33" min="33" style="0" width="32"/>
    <col collapsed="false" customWidth="true" hidden="false" outlineLevel="0" max="34" min="34" style="0" width="28"/>
    <col collapsed="false" customWidth="true" hidden="false" outlineLevel="0" max="37" min="35" style="0" width="12"/>
    <col collapsed="false" customWidth="true" hidden="false" outlineLevel="0" max="38" min="38" style="0" width="36"/>
    <col collapsed="false" customWidth="true" hidden="false" outlineLevel="0" max="39" min="39" style="0" width="11"/>
    <col collapsed="false" customWidth="true" hidden="false" outlineLevel="0" max="41" min="40" style="0" width="12"/>
    <col collapsed="false" customWidth="true" hidden="false" outlineLevel="0" max="42" min="42" style="0" width="26"/>
  </cols>
  <sheetData>
    <row r="1" customFormat="false" ht="17.35" hidden="false" customHeight="false" outlineLevel="0" collapsed="false">
      <c r="A1" s="38" t="s">
        <v>473</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row>
    <row r="2" customFormat="false" ht="15" hidden="false" customHeight="false" outlineLevel="0" collapsed="false">
      <c r="A2" s="18" t="s">
        <v>286</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row>
    <row r="3" customFormat="false" ht="15" hidden="false" customHeight="false" outlineLevel="0" collapsed="false">
      <c r="A3" s="1"/>
      <c r="B3" s="39" t="s">
        <v>474</v>
      </c>
      <c r="C3" s="1"/>
      <c r="D3" s="1"/>
      <c r="E3" s="1"/>
      <c r="F3" s="1"/>
      <c r="G3" s="1"/>
      <c r="H3" s="1"/>
      <c r="I3" s="1"/>
      <c r="J3" s="1"/>
      <c r="K3" s="40" t="n">
        <v>16</v>
      </c>
      <c r="L3" s="1"/>
      <c r="M3" s="1"/>
      <c r="N3" s="41" t="s">
        <v>288</v>
      </c>
      <c r="O3" s="40" t="n">
        <v>16</v>
      </c>
      <c r="P3" s="1"/>
      <c r="Q3" s="40" t="n">
        <v>72</v>
      </c>
      <c r="R3" s="1"/>
      <c r="S3" s="1"/>
      <c r="T3" s="40" t="n">
        <v>16</v>
      </c>
      <c r="U3" s="1"/>
      <c r="V3" s="1"/>
      <c r="W3" s="40" t="n">
        <v>30</v>
      </c>
      <c r="X3" s="1"/>
      <c r="Y3" s="40" t="n">
        <v>8</v>
      </c>
      <c r="Z3" s="1"/>
      <c r="AA3" s="40" t="n">
        <v>10</v>
      </c>
      <c r="AB3" s="1"/>
      <c r="AC3" s="1"/>
      <c r="AD3" s="1"/>
      <c r="AE3" s="1"/>
      <c r="AF3" s="1"/>
      <c r="AG3" s="1"/>
      <c r="AH3" s="1"/>
      <c r="AI3" s="1"/>
      <c r="AJ3" s="1"/>
      <c r="AK3" s="1"/>
      <c r="AL3" s="1"/>
      <c r="AM3" s="1"/>
      <c r="AN3" s="1"/>
      <c r="AO3" s="1"/>
      <c r="AP3" s="1"/>
    </row>
    <row r="4" customFormat="false" ht="19.5" hidden="false" customHeight="true" outlineLevel="0" collapsed="false">
      <c r="A4" s="42" t="s">
        <v>289</v>
      </c>
      <c r="B4" s="42"/>
      <c r="C4" s="42"/>
      <c r="D4" s="42"/>
      <c r="E4" s="42"/>
      <c r="F4" s="42" t="s">
        <v>290</v>
      </c>
      <c r="G4" s="42"/>
      <c r="H4" s="42"/>
      <c r="I4" s="42"/>
      <c r="J4" s="42"/>
      <c r="K4" s="42" t="s">
        <v>291</v>
      </c>
      <c r="L4" s="42"/>
      <c r="M4" s="42"/>
      <c r="N4" s="42"/>
      <c r="O4" s="42"/>
      <c r="P4" s="42"/>
      <c r="Q4" s="42"/>
      <c r="R4" s="42"/>
      <c r="S4" s="42"/>
      <c r="T4" s="42"/>
      <c r="U4" s="42"/>
      <c r="V4" s="42"/>
      <c r="W4" s="42" t="s">
        <v>292</v>
      </c>
      <c r="X4" s="42"/>
      <c r="Y4" s="42"/>
      <c r="Z4" s="42"/>
      <c r="AA4" s="42"/>
      <c r="AB4" s="42"/>
      <c r="AC4" s="42" t="s">
        <v>293</v>
      </c>
      <c r="AD4" s="42"/>
      <c r="AE4" s="42"/>
      <c r="AF4" s="42"/>
      <c r="AG4" s="42" t="s">
        <v>294</v>
      </c>
      <c r="AH4" s="42"/>
      <c r="AI4" s="42"/>
      <c r="AJ4" s="42"/>
      <c r="AK4" s="42"/>
      <c r="AL4" s="42"/>
      <c r="AM4" s="43" t="s">
        <v>295</v>
      </c>
      <c r="AN4" s="43"/>
      <c r="AO4" s="43"/>
      <c r="AP4" s="43"/>
    </row>
    <row r="5" customFormat="false" ht="61.5" hidden="false" customHeight="true" outlineLevel="0" collapsed="false">
      <c r="A5" s="44" t="s">
        <v>55</v>
      </c>
      <c r="B5" s="44" t="s">
        <v>59</v>
      </c>
      <c r="C5" s="44" t="s">
        <v>62</v>
      </c>
      <c r="D5" s="44" t="s">
        <v>65</v>
      </c>
      <c r="E5" s="44" t="s">
        <v>68</v>
      </c>
      <c r="F5" s="44" t="s">
        <v>72</v>
      </c>
      <c r="G5" s="44" t="s">
        <v>76</v>
      </c>
      <c r="H5" s="44" t="s">
        <v>79</v>
      </c>
      <c r="I5" s="44" t="s">
        <v>83</v>
      </c>
      <c r="J5" s="44" t="s">
        <v>86</v>
      </c>
      <c r="K5" s="44" t="s">
        <v>88</v>
      </c>
      <c r="L5" s="44" t="s">
        <v>91</v>
      </c>
      <c r="M5" s="44" t="s">
        <v>95</v>
      </c>
      <c r="N5" s="45" t="s">
        <v>98</v>
      </c>
      <c r="O5" s="44" t="s">
        <v>102</v>
      </c>
      <c r="P5" s="44" t="s">
        <v>106</v>
      </c>
      <c r="Q5" s="44" t="s">
        <v>109</v>
      </c>
      <c r="R5" s="44" t="s">
        <v>113</v>
      </c>
      <c r="S5" s="44" t="s">
        <v>117</v>
      </c>
      <c r="T5" s="44" t="s">
        <v>120</v>
      </c>
      <c r="U5" s="44" t="s">
        <v>123</v>
      </c>
      <c r="V5" s="44" t="s">
        <v>125</v>
      </c>
      <c r="W5" s="44" t="s">
        <v>127</v>
      </c>
      <c r="X5" s="44" t="s">
        <v>130</v>
      </c>
      <c r="Y5" s="44" t="s">
        <v>134</v>
      </c>
      <c r="Z5" s="44" t="s">
        <v>136</v>
      </c>
      <c r="AA5" s="44" t="s">
        <v>139</v>
      </c>
      <c r="AB5" s="44" t="s">
        <v>141</v>
      </c>
      <c r="AC5" s="44" t="s">
        <v>143</v>
      </c>
      <c r="AD5" s="44" t="s">
        <v>146</v>
      </c>
      <c r="AE5" s="44" t="s">
        <v>149</v>
      </c>
      <c r="AF5" s="44" t="s">
        <v>151</v>
      </c>
      <c r="AG5" s="44" t="s">
        <v>48</v>
      </c>
      <c r="AH5" s="44" t="s">
        <v>156</v>
      </c>
      <c r="AI5" s="44" t="s">
        <v>160</v>
      </c>
      <c r="AJ5" s="44" t="s">
        <v>164</v>
      </c>
      <c r="AK5" s="44" t="s">
        <v>167</v>
      </c>
      <c r="AL5" s="44" t="s">
        <v>170</v>
      </c>
      <c r="AM5" s="44" t="s">
        <v>173</v>
      </c>
      <c r="AN5" s="44" t="s">
        <v>176</v>
      </c>
      <c r="AO5" s="44" t="s">
        <v>179</v>
      </c>
      <c r="AP5" s="44" t="s">
        <v>181</v>
      </c>
    </row>
    <row r="6" customFormat="false" ht="15" hidden="false" customHeight="false" outlineLevel="0" collapsed="false">
      <c r="A6" s="7" t="s">
        <v>475</v>
      </c>
      <c r="B6" s="7" t="s">
        <v>476</v>
      </c>
      <c r="C6" s="46" t="n">
        <v>41135</v>
      </c>
      <c r="D6" s="7" t="s">
        <v>423</v>
      </c>
      <c r="E6" s="47" t="s">
        <v>311</v>
      </c>
      <c r="F6" s="46" t="n">
        <v>46278</v>
      </c>
      <c r="G6" s="46"/>
      <c r="H6" s="7"/>
      <c r="I6" s="7" t="s">
        <v>84</v>
      </c>
      <c r="J6" s="47" t="s">
        <v>27</v>
      </c>
      <c r="K6" s="47"/>
      <c r="L6" s="47"/>
      <c r="M6" s="47"/>
      <c r="N6" s="10"/>
      <c r="O6" s="47"/>
      <c r="P6" s="47"/>
      <c r="Q6" s="47"/>
      <c r="R6" s="48" t="str">
        <f aca="false">IF(Q6="","",IF(Q6=0,"below 5:00",IF(Q6&gt;=66,"16:00 or above",INT((60+2*Q6)/12)&amp;":"&amp;TEXT(MOD(60+2*Q6,12),"00"))))</f>
        <v/>
      </c>
      <c r="S6" s="47"/>
      <c r="T6" s="47"/>
      <c r="U6" s="47"/>
      <c r="V6" s="47"/>
      <c r="W6" s="47"/>
      <c r="X6" s="47"/>
      <c r="Y6" s="47"/>
      <c r="Z6" s="47"/>
      <c r="AA6" s="47"/>
      <c r="AB6" s="47"/>
      <c r="AC6" s="47"/>
      <c r="AD6" s="47"/>
      <c r="AE6" s="47"/>
      <c r="AF6" s="47"/>
      <c r="AG6" s="47"/>
      <c r="AH6" s="47"/>
      <c r="AI6" s="46"/>
      <c r="AJ6" s="46"/>
      <c r="AK6" s="46"/>
      <c r="AL6" s="7"/>
      <c r="AM6" s="49" t="str">
        <f aca="false">IF(OR(C6="",G6=""),"",IFERROR(DATEDIF(C6,G6,"m"),""))</f>
        <v/>
      </c>
      <c r="AN6" s="49" t="str">
        <f aca="false">IF(OR(Q6="",AM6=""),"",60+2*Q6-AM6)</f>
        <v/>
      </c>
      <c r="AO6" s="49" t="str">
        <f aca="false">IF(OR(G6="",AJ6=""),"",AJ6-G6)</f>
        <v/>
      </c>
      <c r="AP6" s="50" t="str">
        <f aca="false">IF(AND(A6="",B6=""),"",IF(J6="","Status needed",IF(OR(J6="Applied",J6="Visit booked",J6="Withdrawn"),"OK",IF(G6="","Date assessed needed",IF(C6="","Date of birth needed",IF(COUNTA(L6,M6,P6,U6,V6,X6,AB6)&lt;7,"Band missing",IF(AND(OR(J6="Decision confirmed",J6="Family told",J6="Enrolled"),AG6=""),"Recommendation needed",IF(AND(OR(J6="Family told",J6="Enrolled"),AJ6=""),"Date family told needed","OK"))))))))</f>
        <v>OK</v>
      </c>
    </row>
    <row r="7" customFormat="false" ht="15" hidden="false" customHeight="false" outlineLevel="0" collapsed="false">
      <c r="A7" s="7" t="s">
        <v>477</v>
      </c>
      <c r="B7" s="7" t="s">
        <v>478</v>
      </c>
      <c r="C7" s="46" t="n">
        <v>40812</v>
      </c>
      <c r="D7" s="7" t="s">
        <v>423</v>
      </c>
      <c r="E7" s="47" t="s">
        <v>69</v>
      </c>
      <c r="F7" s="46" t="n">
        <v>46274</v>
      </c>
      <c r="G7" s="46"/>
      <c r="H7" s="7"/>
      <c r="I7" s="7" t="s">
        <v>84</v>
      </c>
      <c r="J7" s="47" t="s">
        <v>39</v>
      </c>
      <c r="K7" s="47"/>
      <c r="L7" s="47"/>
      <c r="M7" s="47"/>
      <c r="N7" s="10"/>
      <c r="O7" s="47"/>
      <c r="P7" s="47"/>
      <c r="Q7" s="47"/>
      <c r="R7" s="48" t="str">
        <f aca="false">IF(Q7="","",IF(Q7=0,"below 5:00",IF(Q7&gt;=66,"16:00 or above",INT((60+2*Q7)/12)&amp;":"&amp;TEXT(MOD(60+2*Q7,12),"00"))))</f>
        <v/>
      </c>
      <c r="S7" s="47"/>
      <c r="T7" s="47"/>
      <c r="U7" s="47"/>
      <c r="V7" s="47"/>
      <c r="W7" s="47"/>
      <c r="X7" s="47"/>
      <c r="Y7" s="47"/>
      <c r="Z7" s="47"/>
      <c r="AA7" s="47"/>
      <c r="AB7" s="47"/>
      <c r="AC7" s="47"/>
      <c r="AD7" s="47"/>
      <c r="AE7" s="47"/>
      <c r="AF7" s="47"/>
      <c r="AG7" s="47"/>
      <c r="AH7" s="47"/>
      <c r="AI7" s="46"/>
      <c r="AJ7" s="46"/>
      <c r="AK7" s="46"/>
      <c r="AL7" s="7" t="s">
        <v>333</v>
      </c>
      <c r="AM7" s="49" t="str">
        <f aca="false">IF(OR(C7="",G7=""),"",IFERROR(DATEDIF(C7,G7,"m"),""))</f>
        <v/>
      </c>
      <c r="AN7" s="49" t="str">
        <f aca="false">IF(OR(Q7="",AM7=""),"",60+2*Q7-AM7)</f>
        <v/>
      </c>
      <c r="AO7" s="49" t="str">
        <f aca="false">IF(OR(G7="",AJ7=""),"",AJ7-G7)</f>
        <v/>
      </c>
      <c r="AP7" s="50" t="str">
        <f aca="false">IF(AND(A7="",B7=""),"",IF(J7="","Status needed",IF(OR(J7="Applied",J7="Visit booked",J7="Withdrawn"),"OK",IF(G7="","Date assessed needed",IF(C7="","Date of birth needed",IF(COUNTA(L7,M7,P7,U7,V7,X7,AB7)&lt;7,"Band missing",IF(AND(OR(J7="Decision confirmed",J7="Family told",J7="Enrolled"),AG7=""),"Recommendation needed",IF(AND(OR(J7="Family told",J7="Enrolled"),AJ7=""),"Date family told needed","OK"))))))))</f>
        <v>OK</v>
      </c>
    </row>
    <row r="8" customFormat="false" ht="15" hidden="false" customHeight="false" outlineLevel="0" collapsed="false">
      <c r="A8" s="7" t="s">
        <v>479</v>
      </c>
      <c r="B8" s="7" t="s">
        <v>480</v>
      </c>
      <c r="C8" s="46" t="n">
        <v>40938</v>
      </c>
      <c r="D8" s="7" t="s">
        <v>298</v>
      </c>
      <c r="E8" s="47" t="s">
        <v>69</v>
      </c>
      <c r="F8" s="46" t="n">
        <v>46261</v>
      </c>
      <c r="G8" s="46" t="n">
        <v>46274</v>
      </c>
      <c r="H8" s="7" t="s">
        <v>80</v>
      </c>
      <c r="I8" s="7" t="s">
        <v>84</v>
      </c>
      <c r="J8" s="47" t="s">
        <v>37</v>
      </c>
      <c r="K8" s="47" t="n">
        <v>10</v>
      </c>
      <c r="L8" s="47" t="s">
        <v>92</v>
      </c>
      <c r="M8" s="47" t="s">
        <v>92</v>
      </c>
      <c r="N8" s="10"/>
      <c r="O8" s="47" t="n">
        <v>7</v>
      </c>
      <c r="P8" s="47" t="s">
        <v>92</v>
      </c>
      <c r="Q8" s="47" t="n">
        <v>67</v>
      </c>
      <c r="R8" s="48" t="str">
        <f aca="false">IF(Q8="","",IF(Q8=0,"below 5:00",IF(Q8&gt;=66,"16:00 or above",INT((60+2*Q8)/12)&amp;":"&amp;TEXT(MOD(60+2*Q8,12),"00"))))</f>
        <v>16:00 or above</v>
      </c>
      <c r="S8" s="47" t="s">
        <v>222</v>
      </c>
      <c r="T8" s="47" t="n">
        <v>9</v>
      </c>
      <c r="U8" s="47" t="s">
        <v>92</v>
      </c>
      <c r="V8" s="47" t="s">
        <v>92</v>
      </c>
      <c r="W8" s="47" t="n">
        <v>17</v>
      </c>
      <c r="X8" s="47" t="n">
        <v>3</v>
      </c>
      <c r="Y8" s="47" t="n">
        <v>5</v>
      </c>
      <c r="Z8" s="47" t="s">
        <v>137</v>
      </c>
      <c r="AA8" s="47" t="n">
        <v>5</v>
      </c>
      <c r="AB8" s="47" t="n">
        <v>2</v>
      </c>
      <c r="AC8" s="47" t="n">
        <v>4</v>
      </c>
      <c r="AD8" s="47"/>
      <c r="AE8" s="47" t="s">
        <v>311</v>
      </c>
      <c r="AF8" s="47"/>
      <c r="AG8" s="47" t="s">
        <v>153</v>
      </c>
      <c r="AH8" s="47" t="s">
        <v>157</v>
      </c>
      <c r="AI8" s="46" t="n">
        <v>46277</v>
      </c>
      <c r="AJ8" s="46" t="n">
        <v>46279</v>
      </c>
      <c r="AK8" s="46" t="n">
        <v>46279</v>
      </c>
      <c r="AL8" s="7"/>
      <c r="AM8" s="49" t="n">
        <f aca="false">IF(OR(C8="",G8=""),"",IFERROR(DATEDIF(C8,G8,"m"),""))</f>
        <v>175</v>
      </c>
      <c r="AN8" s="49" t="n">
        <f aca="false">IF(OR(Q8="",AM8=""),"",60+2*Q8-AM8)</f>
        <v>19</v>
      </c>
      <c r="AO8" s="49" t="n">
        <f aca="false">IF(OR(G8="",AJ8=""),"",AJ8-G8)</f>
        <v>5</v>
      </c>
      <c r="AP8" s="50" t="str">
        <f aca="false">IF(AND(A8="",B8=""),"",IF(J8="","Status needed",IF(OR(J8="Applied",J8="Visit booked",J8="Withdrawn"),"OK",IF(G8="","Date assessed needed",IF(C8="","Date of birth needed",IF(COUNTA(L8,M8,P8,U8,V8,X8,AB8)&lt;7,"Band missing",IF(AND(OR(J8="Decision confirmed",J8="Family told",J8="Enrolled"),AG8=""),"Recommendation needed",IF(AND(OR(J8="Family told",J8="Enrolled"),AJ8=""),"Date family told needed","OK"))))))))</f>
        <v>OK</v>
      </c>
    </row>
    <row r="9" customFormat="false" ht="15" hidden="false" customHeight="false" outlineLevel="0" collapsed="false">
      <c r="A9" s="7" t="s">
        <v>481</v>
      </c>
      <c r="B9" s="7" t="s">
        <v>482</v>
      </c>
      <c r="C9" s="46" t="n">
        <v>40838</v>
      </c>
      <c r="D9" s="7" t="s">
        <v>423</v>
      </c>
      <c r="E9" s="47" t="s">
        <v>311</v>
      </c>
      <c r="F9" s="46" t="n">
        <v>46291</v>
      </c>
      <c r="G9" s="46"/>
      <c r="H9" s="7" t="s">
        <v>299</v>
      </c>
      <c r="I9" s="7" t="s">
        <v>84</v>
      </c>
      <c r="J9" s="47" t="s">
        <v>29</v>
      </c>
      <c r="K9" s="47"/>
      <c r="L9" s="47"/>
      <c r="M9" s="47"/>
      <c r="N9" s="10"/>
      <c r="O9" s="47"/>
      <c r="P9" s="47"/>
      <c r="Q9" s="47"/>
      <c r="R9" s="48" t="str">
        <f aca="false">IF(Q9="","",IF(Q9=0,"below 5:00",IF(Q9&gt;=66,"16:00 or above",INT((60+2*Q9)/12)&amp;":"&amp;TEXT(MOD(60+2*Q9,12),"00"))))</f>
        <v/>
      </c>
      <c r="S9" s="47"/>
      <c r="T9" s="47"/>
      <c r="U9" s="47"/>
      <c r="V9" s="47"/>
      <c r="W9" s="47"/>
      <c r="X9" s="47"/>
      <c r="Y9" s="47"/>
      <c r="Z9" s="47"/>
      <c r="AA9" s="47"/>
      <c r="AB9" s="47"/>
      <c r="AC9" s="47"/>
      <c r="AD9" s="47"/>
      <c r="AE9" s="47"/>
      <c r="AF9" s="47"/>
      <c r="AG9" s="47"/>
      <c r="AH9" s="47"/>
      <c r="AI9" s="46"/>
      <c r="AJ9" s="46"/>
      <c r="AK9" s="46"/>
      <c r="AL9" s="7"/>
      <c r="AM9" s="49" t="str">
        <f aca="false">IF(OR(C9="",G9=""),"",IFERROR(DATEDIF(C9,G9,"m"),""))</f>
        <v/>
      </c>
      <c r="AN9" s="49" t="str">
        <f aca="false">IF(OR(Q9="",AM9=""),"",60+2*Q9-AM9)</f>
        <v/>
      </c>
      <c r="AO9" s="49" t="str">
        <f aca="false">IF(OR(G9="",AJ9=""),"",AJ9-G9)</f>
        <v/>
      </c>
      <c r="AP9" s="50" t="str">
        <f aca="false">IF(AND(A9="",B9=""),"",IF(J9="","Status needed",IF(OR(J9="Applied",J9="Visit booked",J9="Withdrawn"),"OK",IF(G9="","Date assessed needed",IF(C9="","Date of birth needed",IF(COUNTA(L9,M9,P9,U9,V9,X9,AB9)&lt;7,"Band missing",IF(AND(OR(J9="Decision confirmed",J9="Family told",J9="Enrolled"),AG9=""),"Recommendation needed",IF(AND(OR(J9="Family told",J9="Enrolled"),AJ9=""),"Date family told needed","OK"))))))))</f>
        <v>OK</v>
      </c>
    </row>
    <row r="10" customFormat="false" ht="15" hidden="false" customHeight="false" outlineLevel="0" collapsed="false">
      <c r="A10" s="7" t="s">
        <v>483</v>
      </c>
      <c r="B10" s="7" t="s">
        <v>484</v>
      </c>
      <c r="C10" s="46" t="n">
        <v>41017</v>
      </c>
      <c r="D10" s="7" t="s">
        <v>423</v>
      </c>
      <c r="E10" s="47" t="s">
        <v>69</v>
      </c>
      <c r="F10" s="46" t="n">
        <v>46254</v>
      </c>
      <c r="G10" s="46" t="n">
        <v>46314</v>
      </c>
      <c r="H10" s="7" t="s">
        <v>314</v>
      </c>
      <c r="I10" s="7" t="s">
        <v>84</v>
      </c>
      <c r="J10" s="47" t="s">
        <v>31</v>
      </c>
      <c r="K10" s="47" t="n">
        <v>6</v>
      </c>
      <c r="L10" s="47" t="s">
        <v>221</v>
      </c>
      <c r="M10" s="47" t="s">
        <v>221</v>
      </c>
      <c r="N10" s="10"/>
      <c r="O10" s="47" t="n">
        <v>8</v>
      </c>
      <c r="P10" s="47" t="s">
        <v>92</v>
      </c>
      <c r="Q10" s="47" t="n">
        <v>55</v>
      </c>
      <c r="R10" s="48" t="str">
        <f aca="false">IF(Q10="","",IF(Q10=0,"below 5:00",IF(Q10&gt;=66,"16:00 or above",INT((60+2*Q10)/12)&amp;":"&amp;TEXT(MOD(60+2*Q10,12),"00"))))</f>
        <v>14:02</v>
      </c>
      <c r="S10" s="47" t="s">
        <v>222</v>
      </c>
      <c r="T10" s="47" t="n">
        <v>6</v>
      </c>
      <c r="U10" s="47" t="s">
        <v>221</v>
      </c>
      <c r="V10" s="47" t="s">
        <v>221</v>
      </c>
      <c r="W10" s="47" t="n">
        <v>15</v>
      </c>
      <c r="X10" s="47" t="n">
        <v>2</v>
      </c>
      <c r="Y10" s="47" t="n">
        <v>3</v>
      </c>
      <c r="Z10" s="47" t="s">
        <v>137</v>
      </c>
      <c r="AA10" s="47" t="n">
        <v>3</v>
      </c>
      <c r="AB10" s="47" t="n">
        <v>2</v>
      </c>
      <c r="AC10" s="47" t="n">
        <v>2</v>
      </c>
      <c r="AD10" s="47"/>
      <c r="AE10" s="47"/>
      <c r="AF10" s="47"/>
      <c r="AG10" s="47"/>
      <c r="AH10" s="47"/>
      <c r="AI10" s="46"/>
      <c r="AJ10" s="46"/>
      <c r="AK10" s="46"/>
      <c r="AL10" s="7"/>
      <c r="AM10" s="49" t="n">
        <f aca="false">IF(OR(C10="",G10=""),"",IFERROR(DATEDIF(C10,G10,"m"),""))</f>
        <v>174</v>
      </c>
      <c r="AN10" s="49" t="n">
        <f aca="false">IF(OR(Q10="",AM10=""),"",60+2*Q10-AM10)</f>
        <v>-4</v>
      </c>
      <c r="AO10" s="49" t="str">
        <f aca="false">IF(OR(G10="",AJ10=""),"",AJ10-G10)</f>
        <v/>
      </c>
      <c r="AP10" s="50" t="str">
        <f aca="false">IF(AND(A10="",B10=""),"",IF(J10="","Status needed",IF(OR(J10="Applied",J10="Visit booked",J10="Withdrawn"),"OK",IF(G10="","Date assessed needed",IF(C10="","Date of birth needed",IF(COUNTA(L10,M10,P10,U10,V10,X10,AB10)&lt;7,"Band missing",IF(AND(OR(J10="Decision confirmed",J10="Family told",J10="Enrolled"),AG10=""),"Recommendation needed",IF(AND(OR(J10="Family told",J10="Enrolled"),AJ10=""),"Date family told needed","OK"))))))))</f>
        <v>OK</v>
      </c>
    </row>
    <row r="11" customFormat="false" ht="15" hidden="false" customHeight="false" outlineLevel="0" collapsed="false">
      <c r="A11" s="7" t="s">
        <v>485</v>
      </c>
      <c r="B11" s="7" t="s">
        <v>486</v>
      </c>
      <c r="C11" s="46" t="n">
        <v>40804</v>
      </c>
      <c r="D11" s="7" t="s">
        <v>298</v>
      </c>
      <c r="E11" s="47" t="s">
        <v>69</v>
      </c>
      <c r="F11" s="46" t="n">
        <v>46262</v>
      </c>
      <c r="G11" s="46" t="n">
        <v>46315</v>
      </c>
      <c r="H11" s="7" t="s">
        <v>80</v>
      </c>
      <c r="I11" s="7" t="s">
        <v>84</v>
      </c>
      <c r="J11" s="47" t="s">
        <v>31</v>
      </c>
      <c r="K11" s="47" t="n">
        <v>12</v>
      </c>
      <c r="L11" s="47" t="s">
        <v>118</v>
      </c>
      <c r="M11" s="47" t="s">
        <v>92</v>
      </c>
      <c r="N11" s="10"/>
      <c r="O11" s="47" t="n">
        <v>11</v>
      </c>
      <c r="P11" s="47" t="s">
        <v>118</v>
      </c>
      <c r="Q11" s="47" t="n">
        <v>72</v>
      </c>
      <c r="R11" s="48" t="str">
        <f aca="false">IF(Q11="","",IF(Q11=0,"below 5:00",IF(Q11&gt;=66,"16:00 or above",INT((60+2*Q11)/12)&amp;":"&amp;TEXT(MOD(60+2*Q11,12),"00"))))</f>
        <v>16:00 or above</v>
      </c>
      <c r="S11" s="47" t="s">
        <v>222</v>
      </c>
      <c r="T11" s="47" t="n">
        <v>15</v>
      </c>
      <c r="U11" s="47" t="s">
        <v>222</v>
      </c>
      <c r="V11" s="47" t="s">
        <v>118</v>
      </c>
      <c r="W11" s="47" t="n">
        <v>17</v>
      </c>
      <c r="X11" s="47" t="n">
        <v>3</v>
      </c>
      <c r="Y11" s="47" t="n">
        <v>5</v>
      </c>
      <c r="Z11" s="47" t="s">
        <v>137</v>
      </c>
      <c r="AA11" s="47" t="n">
        <v>4</v>
      </c>
      <c r="AB11" s="47" t="n">
        <v>2</v>
      </c>
      <c r="AC11" s="47" t="n">
        <v>2</v>
      </c>
      <c r="AD11" s="47"/>
      <c r="AE11" s="47"/>
      <c r="AF11" s="47"/>
      <c r="AG11" s="47"/>
      <c r="AH11" s="47"/>
      <c r="AI11" s="46"/>
      <c r="AJ11" s="46"/>
      <c r="AK11" s="46"/>
      <c r="AL11" s="7"/>
      <c r="AM11" s="49" t="n">
        <f aca="false">IF(OR(C11="",G11=""),"",IFERROR(DATEDIF(C11,G11,"m"),""))</f>
        <v>181</v>
      </c>
      <c r="AN11" s="49" t="n">
        <f aca="false">IF(OR(Q11="",AM11=""),"",60+2*Q11-AM11)</f>
        <v>23</v>
      </c>
      <c r="AO11" s="49" t="str">
        <f aca="false">IF(OR(G11="",AJ11=""),"",AJ11-G11)</f>
        <v/>
      </c>
      <c r="AP11" s="50" t="str">
        <f aca="false">IF(AND(A11="",B11=""),"",IF(J11="","Status needed",IF(OR(J11="Applied",J11="Visit booked",J11="Withdrawn"),"OK",IF(G11="","Date assessed needed",IF(C11="","Date of birth needed",IF(COUNTA(L11,M11,P11,U11,V11,X11,AB11)&lt;7,"Band missing",IF(AND(OR(J11="Decision confirmed",J11="Family told",J11="Enrolled"),AG11=""),"Recommendation needed",IF(AND(OR(J11="Family told",J11="Enrolled"),AJ11=""),"Date family told needed","OK"))))))))</f>
        <v>OK</v>
      </c>
    </row>
    <row r="12" customFormat="false" ht="15" hidden="false" customHeight="false" outlineLevel="0" collapsed="false">
      <c r="A12" s="7" t="s">
        <v>487</v>
      </c>
      <c r="B12" s="7" t="s">
        <v>488</v>
      </c>
      <c r="C12" s="46" t="n">
        <v>41091</v>
      </c>
      <c r="D12" s="7" t="s">
        <v>361</v>
      </c>
      <c r="E12" s="47" t="s">
        <v>311</v>
      </c>
      <c r="F12" s="46" t="n">
        <v>46272</v>
      </c>
      <c r="G12" s="46" t="n">
        <v>46290</v>
      </c>
      <c r="H12" s="7" t="s">
        <v>299</v>
      </c>
      <c r="I12" s="7" t="s">
        <v>84</v>
      </c>
      <c r="J12" s="47" t="s">
        <v>33</v>
      </c>
      <c r="K12" s="47" t="n">
        <v>3</v>
      </c>
      <c r="L12" s="47" t="s">
        <v>220</v>
      </c>
      <c r="M12" s="47" t="s">
        <v>220</v>
      </c>
      <c r="N12" s="10"/>
      <c r="O12" s="47" t="n">
        <v>5</v>
      </c>
      <c r="P12" s="47" t="s">
        <v>221</v>
      </c>
      <c r="Q12" s="47" t="n">
        <v>30</v>
      </c>
      <c r="R12" s="48" t="str">
        <f aca="false">IF(Q12="","",IF(Q12=0,"below 5:00",IF(Q12&gt;=66,"16:00 or above",INT((60+2*Q12)/12)&amp;":"&amp;TEXT(MOD(60+2*Q12,12),"00"))))</f>
        <v>10:00</v>
      </c>
      <c r="S12" s="47" t="s">
        <v>221</v>
      </c>
      <c r="T12" s="47" t="n">
        <v>6</v>
      </c>
      <c r="U12" s="47" t="s">
        <v>221</v>
      </c>
      <c r="V12" s="47" t="s">
        <v>220</v>
      </c>
      <c r="W12" s="47" t="n">
        <v>20</v>
      </c>
      <c r="X12" s="47" t="n">
        <v>3</v>
      </c>
      <c r="Y12" s="47" t="n">
        <v>2</v>
      </c>
      <c r="Z12" s="47" t="s">
        <v>382</v>
      </c>
      <c r="AA12" s="47" t="n">
        <v>6</v>
      </c>
      <c r="AB12" s="47" t="n">
        <v>3</v>
      </c>
      <c r="AC12" s="47" t="n">
        <v>1</v>
      </c>
      <c r="AD12" s="47"/>
      <c r="AE12" s="47"/>
      <c r="AF12" s="47"/>
      <c r="AG12" s="47" t="s">
        <v>231</v>
      </c>
      <c r="AH12" s="47"/>
      <c r="AI12" s="46" t="n">
        <v>46292</v>
      </c>
      <c r="AJ12" s="46"/>
      <c r="AK12" s="46"/>
      <c r="AL12" s="7"/>
      <c r="AM12" s="49" t="n">
        <f aca="false">IF(OR(C12="",G12=""),"",IFERROR(DATEDIF(C12,G12,"m"),""))</f>
        <v>170</v>
      </c>
      <c r="AN12" s="49" t="n">
        <f aca="false">IF(OR(Q12="",AM12=""),"",60+2*Q12-AM12)</f>
        <v>-50</v>
      </c>
      <c r="AO12" s="49" t="str">
        <f aca="false">IF(OR(G12="",AJ12=""),"",AJ12-G12)</f>
        <v/>
      </c>
      <c r="AP12" s="50" t="str">
        <f aca="false">IF(AND(A12="",B12=""),"",IF(J12="","Status needed",IF(OR(J12="Applied",J12="Visit booked",J12="Withdrawn"),"OK",IF(G12="","Date assessed needed",IF(C12="","Date of birth needed",IF(COUNTA(L12,M12,P12,U12,V12,X12,AB12)&lt;7,"Band missing",IF(AND(OR(J12="Decision confirmed",J12="Family told",J12="Enrolled"),AG12=""),"Recommendation needed",IF(AND(OR(J12="Family told",J12="Enrolled"),AJ12=""),"Date family told needed","OK"))))))))</f>
        <v>OK</v>
      </c>
    </row>
    <row r="13" customFormat="false" ht="15" hidden="false" customHeight="false" outlineLevel="0" collapsed="false">
      <c r="A13" s="7" t="s">
        <v>489</v>
      </c>
      <c r="B13" s="7" t="s">
        <v>490</v>
      </c>
      <c r="C13" s="46" t="n">
        <v>41112</v>
      </c>
      <c r="D13" s="7" t="s">
        <v>298</v>
      </c>
      <c r="E13" s="47" t="s">
        <v>311</v>
      </c>
      <c r="F13" s="46" t="n">
        <v>46251</v>
      </c>
      <c r="G13" s="46" t="n">
        <v>46314</v>
      </c>
      <c r="H13" s="7" t="s">
        <v>80</v>
      </c>
      <c r="I13" s="7" t="s">
        <v>84</v>
      </c>
      <c r="J13" s="47" t="s">
        <v>31</v>
      </c>
      <c r="K13" s="47" t="n">
        <v>10</v>
      </c>
      <c r="L13" s="47" t="s">
        <v>92</v>
      </c>
      <c r="M13" s="47" t="s">
        <v>92</v>
      </c>
      <c r="N13" s="10"/>
      <c r="O13" s="47" t="n">
        <v>10</v>
      </c>
      <c r="P13" s="47" t="s">
        <v>92</v>
      </c>
      <c r="Q13" s="47" t="n">
        <v>53</v>
      </c>
      <c r="R13" s="48" t="str">
        <f aca="false">IF(Q13="","",IF(Q13=0,"below 5:00",IF(Q13&gt;=66,"16:00 or above",INT((60+2*Q13)/12)&amp;":"&amp;TEXT(MOD(60+2*Q13,12),"00"))))</f>
        <v>13:10</v>
      </c>
      <c r="S13" s="47" t="s">
        <v>222</v>
      </c>
      <c r="T13" s="47" t="n">
        <v>9</v>
      </c>
      <c r="U13" s="47" t="s">
        <v>92</v>
      </c>
      <c r="V13" s="47" t="s">
        <v>92</v>
      </c>
      <c r="W13" s="47" t="n">
        <v>12</v>
      </c>
      <c r="X13" s="47" t="n">
        <v>2</v>
      </c>
      <c r="Y13" s="47" t="n">
        <v>4</v>
      </c>
      <c r="Z13" s="47" t="s">
        <v>137</v>
      </c>
      <c r="AA13" s="47" t="n">
        <v>4</v>
      </c>
      <c r="AB13" s="47" t="n">
        <v>2</v>
      </c>
      <c r="AC13" s="47" t="n">
        <v>3</v>
      </c>
      <c r="AD13" s="47"/>
      <c r="AE13" s="47"/>
      <c r="AF13" s="47"/>
      <c r="AG13" s="47"/>
      <c r="AH13" s="47"/>
      <c r="AI13" s="46"/>
      <c r="AJ13" s="46"/>
      <c r="AK13" s="46"/>
      <c r="AL13" s="7"/>
      <c r="AM13" s="49" t="n">
        <f aca="false">IF(OR(C13="",G13=""),"",IFERROR(DATEDIF(C13,G13,"m"),""))</f>
        <v>170</v>
      </c>
      <c r="AN13" s="49" t="n">
        <f aca="false">IF(OR(Q13="",AM13=""),"",60+2*Q13-AM13)</f>
        <v>-4</v>
      </c>
      <c r="AO13" s="49" t="str">
        <f aca="false">IF(OR(G13="",AJ13=""),"",AJ13-G13)</f>
        <v/>
      </c>
      <c r="AP13" s="50" t="str">
        <f aca="false">IF(AND(A13="",B13=""),"",IF(J13="","Status needed",IF(OR(J13="Applied",J13="Visit booked",J13="Withdrawn"),"OK",IF(G13="","Date assessed needed",IF(C13="","Date of birth needed",IF(COUNTA(L13,M13,P13,U13,V13,X13,AB13)&lt;7,"Band missing",IF(AND(OR(J13="Decision confirmed",J13="Family told",J13="Enrolled"),AG13=""),"Recommendation needed",IF(AND(OR(J13="Family told",J13="Enrolled"),AJ13=""),"Date family told needed","OK"))))))))</f>
        <v>OK</v>
      </c>
    </row>
    <row r="14" customFormat="false" ht="15" hidden="false" customHeight="false" outlineLevel="0" collapsed="false">
      <c r="A14" s="7"/>
      <c r="B14" s="7"/>
      <c r="C14" s="46"/>
      <c r="D14" s="7"/>
      <c r="E14" s="47"/>
      <c r="F14" s="46"/>
      <c r="G14" s="46"/>
      <c r="H14" s="7"/>
      <c r="I14" s="7"/>
      <c r="J14" s="47"/>
      <c r="K14" s="47"/>
      <c r="L14" s="47"/>
      <c r="M14" s="47"/>
      <c r="N14" s="10"/>
      <c r="O14" s="47"/>
      <c r="P14" s="47"/>
      <c r="Q14" s="47"/>
      <c r="R14" s="48" t="str">
        <f aca="false">IF(Q14="","",IF(Q14=0,"below 5:00",IF(Q14&gt;=66,"16:00 or above",INT((60+2*Q14)/12)&amp;":"&amp;TEXT(MOD(60+2*Q14,12),"00"))))</f>
        <v/>
      </c>
      <c r="S14" s="47"/>
      <c r="T14" s="47"/>
      <c r="U14" s="47"/>
      <c r="V14" s="47"/>
      <c r="W14" s="47"/>
      <c r="X14" s="47"/>
      <c r="Y14" s="47"/>
      <c r="Z14" s="47"/>
      <c r="AA14" s="47"/>
      <c r="AB14" s="47"/>
      <c r="AC14" s="47"/>
      <c r="AD14" s="47"/>
      <c r="AE14" s="47"/>
      <c r="AF14" s="47"/>
      <c r="AG14" s="47"/>
      <c r="AH14" s="47"/>
      <c r="AI14" s="46"/>
      <c r="AJ14" s="46"/>
      <c r="AK14" s="46"/>
      <c r="AL14" s="7"/>
      <c r="AM14" s="49" t="str">
        <f aca="false">IF(OR(C14="",G14=""),"",IFERROR(DATEDIF(C14,G14,"m"),""))</f>
        <v/>
      </c>
      <c r="AN14" s="49" t="str">
        <f aca="false">IF(OR(Q14="",AM14=""),"",60+2*Q14-AM14)</f>
        <v/>
      </c>
      <c r="AO14" s="49" t="str">
        <f aca="false">IF(OR(G14="",AJ14=""),"",AJ14-G14)</f>
        <v/>
      </c>
      <c r="AP14" s="50" t="str">
        <f aca="false">IF(AND(A14="",B14=""),"",IF(J14="","Status needed",IF(OR(J14="Applied",J14="Visit booked",J14="Withdrawn"),"OK",IF(G14="","Date assessed needed",IF(C14="","Date of birth needed",IF(COUNTA(L14,M14,P14,U14,V14,X14,AB14)&lt;7,"Band missing",IF(AND(OR(J14="Decision confirmed",J14="Family told",J14="Enrolled"),AG14=""),"Recommendation needed",IF(AND(OR(J14="Family told",J14="Enrolled"),AJ14=""),"Date family told needed","OK"))))))))</f>
        <v/>
      </c>
    </row>
    <row r="15" customFormat="false" ht="15" hidden="false" customHeight="false" outlineLevel="0" collapsed="false">
      <c r="A15" s="7"/>
      <c r="B15" s="7"/>
      <c r="C15" s="46"/>
      <c r="D15" s="7"/>
      <c r="E15" s="47"/>
      <c r="F15" s="46"/>
      <c r="G15" s="46"/>
      <c r="H15" s="7"/>
      <c r="I15" s="7"/>
      <c r="J15" s="47"/>
      <c r="K15" s="47"/>
      <c r="L15" s="47"/>
      <c r="M15" s="47"/>
      <c r="N15" s="10"/>
      <c r="O15" s="47"/>
      <c r="P15" s="47"/>
      <c r="Q15" s="47"/>
      <c r="R15" s="48" t="str">
        <f aca="false">IF(Q15="","",IF(Q15=0,"below 5:00",IF(Q15&gt;=66,"16:00 or above",INT((60+2*Q15)/12)&amp;":"&amp;TEXT(MOD(60+2*Q15,12),"00"))))</f>
        <v/>
      </c>
      <c r="S15" s="47"/>
      <c r="T15" s="47"/>
      <c r="U15" s="47"/>
      <c r="V15" s="47"/>
      <c r="W15" s="47"/>
      <c r="X15" s="47"/>
      <c r="Y15" s="47"/>
      <c r="Z15" s="47"/>
      <c r="AA15" s="47"/>
      <c r="AB15" s="47"/>
      <c r="AC15" s="47"/>
      <c r="AD15" s="47"/>
      <c r="AE15" s="47"/>
      <c r="AF15" s="47"/>
      <c r="AG15" s="47"/>
      <c r="AH15" s="47"/>
      <c r="AI15" s="46"/>
      <c r="AJ15" s="46"/>
      <c r="AK15" s="46"/>
      <c r="AL15" s="7"/>
      <c r="AM15" s="49" t="str">
        <f aca="false">IF(OR(C15="",G15=""),"",IFERROR(DATEDIF(C15,G15,"m"),""))</f>
        <v/>
      </c>
      <c r="AN15" s="49" t="str">
        <f aca="false">IF(OR(Q15="",AM15=""),"",60+2*Q15-AM15)</f>
        <v/>
      </c>
      <c r="AO15" s="49" t="str">
        <f aca="false">IF(OR(G15="",AJ15=""),"",AJ15-G15)</f>
        <v/>
      </c>
      <c r="AP15" s="50" t="str">
        <f aca="false">IF(AND(A15="",B15=""),"",IF(J15="","Status needed",IF(OR(J15="Applied",J15="Visit booked",J15="Withdrawn"),"OK",IF(G15="","Date assessed needed",IF(C15="","Date of birth needed",IF(COUNTA(L15,M15,P15,U15,V15,X15,AB15)&lt;7,"Band missing",IF(AND(OR(J15="Decision confirmed",J15="Family told",J15="Enrolled"),AG15=""),"Recommendation needed",IF(AND(OR(J15="Family told",J15="Enrolled"),AJ15=""),"Date family told needed","OK"))))))))</f>
        <v/>
      </c>
    </row>
    <row r="16" customFormat="false" ht="15" hidden="false" customHeight="false" outlineLevel="0" collapsed="false">
      <c r="A16" s="7"/>
      <c r="B16" s="7"/>
      <c r="C16" s="46"/>
      <c r="D16" s="7"/>
      <c r="E16" s="47"/>
      <c r="F16" s="46"/>
      <c r="G16" s="46"/>
      <c r="H16" s="7"/>
      <c r="I16" s="7"/>
      <c r="J16" s="47"/>
      <c r="K16" s="47"/>
      <c r="L16" s="47"/>
      <c r="M16" s="47"/>
      <c r="N16" s="10"/>
      <c r="O16" s="47"/>
      <c r="P16" s="47"/>
      <c r="Q16" s="47"/>
      <c r="R16" s="48" t="str">
        <f aca="false">IF(Q16="","",IF(Q16=0,"below 5:00",IF(Q16&gt;=66,"16:00 or above",INT((60+2*Q16)/12)&amp;":"&amp;TEXT(MOD(60+2*Q16,12),"00"))))</f>
        <v/>
      </c>
      <c r="S16" s="47"/>
      <c r="T16" s="47"/>
      <c r="U16" s="47"/>
      <c r="V16" s="47"/>
      <c r="W16" s="47"/>
      <c r="X16" s="47"/>
      <c r="Y16" s="47"/>
      <c r="Z16" s="47"/>
      <c r="AA16" s="47"/>
      <c r="AB16" s="47"/>
      <c r="AC16" s="47"/>
      <c r="AD16" s="47"/>
      <c r="AE16" s="47"/>
      <c r="AF16" s="47"/>
      <c r="AG16" s="47"/>
      <c r="AH16" s="47"/>
      <c r="AI16" s="46"/>
      <c r="AJ16" s="46"/>
      <c r="AK16" s="46"/>
      <c r="AL16" s="7"/>
      <c r="AM16" s="49" t="str">
        <f aca="false">IF(OR(C16="",G16=""),"",IFERROR(DATEDIF(C16,G16,"m"),""))</f>
        <v/>
      </c>
      <c r="AN16" s="49" t="str">
        <f aca="false">IF(OR(Q16="",AM16=""),"",60+2*Q16-AM16)</f>
        <v/>
      </c>
      <c r="AO16" s="49" t="str">
        <f aca="false">IF(OR(G16="",AJ16=""),"",AJ16-G16)</f>
        <v/>
      </c>
      <c r="AP16" s="50" t="str">
        <f aca="false">IF(AND(A16="",B16=""),"",IF(J16="","Status needed",IF(OR(J16="Applied",J16="Visit booked",J16="Withdrawn"),"OK",IF(G16="","Date assessed needed",IF(C16="","Date of birth needed",IF(COUNTA(L16,M16,P16,U16,V16,X16,AB16)&lt;7,"Band missing",IF(AND(OR(J16="Decision confirmed",J16="Family told",J16="Enrolled"),AG16=""),"Recommendation needed",IF(AND(OR(J16="Family told",J16="Enrolled"),AJ16=""),"Date family told needed","OK"))))))))</f>
        <v/>
      </c>
    </row>
    <row r="17" customFormat="false" ht="15" hidden="false" customHeight="false" outlineLevel="0" collapsed="false">
      <c r="A17" s="7"/>
      <c r="B17" s="7"/>
      <c r="C17" s="46"/>
      <c r="D17" s="7"/>
      <c r="E17" s="47"/>
      <c r="F17" s="46"/>
      <c r="G17" s="46"/>
      <c r="H17" s="7"/>
      <c r="I17" s="7"/>
      <c r="J17" s="47"/>
      <c r="K17" s="47"/>
      <c r="L17" s="47"/>
      <c r="M17" s="47"/>
      <c r="N17" s="10"/>
      <c r="O17" s="47"/>
      <c r="P17" s="47"/>
      <c r="Q17" s="47"/>
      <c r="R17" s="48" t="str">
        <f aca="false">IF(Q17="","",IF(Q17=0,"below 5:00",IF(Q17&gt;=66,"16:00 or above",INT((60+2*Q17)/12)&amp;":"&amp;TEXT(MOD(60+2*Q17,12),"00"))))</f>
        <v/>
      </c>
      <c r="S17" s="47"/>
      <c r="T17" s="47"/>
      <c r="U17" s="47"/>
      <c r="V17" s="47"/>
      <c r="W17" s="47"/>
      <c r="X17" s="47"/>
      <c r="Y17" s="47"/>
      <c r="Z17" s="47"/>
      <c r="AA17" s="47"/>
      <c r="AB17" s="47"/>
      <c r="AC17" s="47"/>
      <c r="AD17" s="47"/>
      <c r="AE17" s="47"/>
      <c r="AF17" s="47"/>
      <c r="AG17" s="47"/>
      <c r="AH17" s="47"/>
      <c r="AI17" s="46"/>
      <c r="AJ17" s="46"/>
      <c r="AK17" s="46"/>
      <c r="AL17" s="7"/>
      <c r="AM17" s="49" t="str">
        <f aca="false">IF(OR(C17="",G17=""),"",IFERROR(DATEDIF(C17,G17,"m"),""))</f>
        <v/>
      </c>
      <c r="AN17" s="49" t="str">
        <f aca="false">IF(OR(Q17="",AM17=""),"",60+2*Q17-AM17)</f>
        <v/>
      </c>
      <c r="AO17" s="49" t="str">
        <f aca="false">IF(OR(G17="",AJ17=""),"",AJ17-G17)</f>
        <v/>
      </c>
      <c r="AP17" s="50" t="str">
        <f aca="false">IF(AND(A17="",B17=""),"",IF(J17="","Status needed",IF(OR(J17="Applied",J17="Visit booked",J17="Withdrawn"),"OK",IF(G17="","Date assessed needed",IF(C17="","Date of birth needed",IF(COUNTA(L17,M17,P17,U17,V17,X17,AB17)&lt;7,"Band missing",IF(AND(OR(J17="Decision confirmed",J17="Family told",J17="Enrolled"),AG17=""),"Recommendation needed",IF(AND(OR(J17="Family told",J17="Enrolled"),AJ17=""),"Date family told needed","OK"))))))))</f>
        <v/>
      </c>
    </row>
    <row r="18" customFormat="false" ht="15" hidden="false" customHeight="false" outlineLevel="0" collapsed="false">
      <c r="A18" s="7"/>
      <c r="B18" s="7"/>
      <c r="C18" s="46"/>
      <c r="D18" s="7"/>
      <c r="E18" s="47"/>
      <c r="F18" s="46"/>
      <c r="G18" s="46"/>
      <c r="H18" s="7"/>
      <c r="I18" s="7"/>
      <c r="J18" s="47"/>
      <c r="K18" s="47"/>
      <c r="L18" s="47"/>
      <c r="M18" s="47"/>
      <c r="N18" s="10"/>
      <c r="O18" s="47"/>
      <c r="P18" s="47"/>
      <c r="Q18" s="47"/>
      <c r="R18" s="48" t="str">
        <f aca="false">IF(Q18="","",IF(Q18=0,"below 5:00",IF(Q18&gt;=66,"16:00 or above",INT((60+2*Q18)/12)&amp;":"&amp;TEXT(MOD(60+2*Q18,12),"00"))))</f>
        <v/>
      </c>
      <c r="S18" s="47"/>
      <c r="T18" s="47"/>
      <c r="U18" s="47"/>
      <c r="V18" s="47"/>
      <c r="W18" s="47"/>
      <c r="X18" s="47"/>
      <c r="Y18" s="47"/>
      <c r="Z18" s="47"/>
      <c r="AA18" s="47"/>
      <c r="AB18" s="47"/>
      <c r="AC18" s="47"/>
      <c r="AD18" s="47"/>
      <c r="AE18" s="47"/>
      <c r="AF18" s="47"/>
      <c r="AG18" s="47"/>
      <c r="AH18" s="47"/>
      <c r="AI18" s="46"/>
      <c r="AJ18" s="46"/>
      <c r="AK18" s="46"/>
      <c r="AL18" s="7"/>
      <c r="AM18" s="49" t="str">
        <f aca="false">IF(OR(C18="",G18=""),"",IFERROR(DATEDIF(C18,G18,"m"),""))</f>
        <v/>
      </c>
      <c r="AN18" s="49" t="str">
        <f aca="false">IF(OR(Q18="",AM18=""),"",60+2*Q18-AM18)</f>
        <v/>
      </c>
      <c r="AO18" s="49" t="str">
        <f aca="false">IF(OR(G18="",AJ18=""),"",AJ18-G18)</f>
        <v/>
      </c>
      <c r="AP18" s="50" t="str">
        <f aca="false">IF(AND(A18="",B18=""),"",IF(J18="","Status needed",IF(OR(J18="Applied",J18="Visit booked",J18="Withdrawn"),"OK",IF(G18="","Date assessed needed",IF(C18="","Date of birth needed",IF(COUNTA(L18,M18,P18,U18,V18,X18,AB18)&lt;7,"Band missing",IF(AND(OR(J18="Decision confirmed",J18="Family told",J18="Enrolled"),AG18=""),"Recommendation needed",IF(AND(OR(J18="Family told",J18="Enrolled"),AJ18=""),"Date family told needed","OK"))))))))</f>
        <v/>
      </c>
    </row>
    <row r="19" customFormat="false" ht="15" hidden="false" customHeight="false" outlineLevel="0" collapsed="false">
      <c r="A19" s="7"/>
      <c r="B19" s="7"/>
      <c r="C19" s="46"/>
      <c r="D19" s="7"/>
      <c r="E19" s="47"/>
      <c r="F19" s="46"/>
      <c r="G19" s="46"/>
      <c r="H19" s="7"/>
      <c r="I19" s="7"/>
      <c r="J19" s="47"/>
      <c r="K19" s="47"/>
      <c r="L19" s="47"/>
      <c r="M19" s="47"/>
      <c r="N19" s="10"/>
      <c r="O19" s="47"/>
      <c r="P19" s="47"/>
      <c r="Q19" s="47"/>
      <c r="R19" s="48" t="str">
        <f aca="false">IF(Q19="","",IF(Q19=0,"below 5:00",IF(Q19&gt;=66,"16:00 or above",INT((60+2*Q19)/12)&amp;":"&amp;TEXT(MOD(60+2*Q19,12),"00"))))</f>
        <v/>
      </c>
      <c r="S19" s="47"/>
      <c r="T19" s="47"/>
      <c r="U19" s="47"/>
      <c r="V19" s="47"/>
      <c r="W19" s="47"/>
      <c r="X19" s="47"/>
      <c r="Y19" s="47"/>
      <c r="Z19" s="47"/>
      <c r="AA19" s="47"/>
      <c r="AB19" s="47"/>
      <c r="AC19" s="47"/>
      <c r="AD19" s="47"/>
      <c r="AE19" s="47"/>
      <c r="AF19" s="47"/>
      <c r="AG19" s="47"/>
      <c r="AH19" s="47"/>
      <c r="AI19" s="46"/>
      <c r="AJ19" s="46"/>
      <c r="AK19" s="46"/>
      <c r="AL19" s="7"/>
      <c r="AM19" s="49" t="str">
        <f aca="false">IF(OR(C19="",G19=""),"",IFERROR(DATEDIF(C19,G19,"m"),""))</f>
        <v/>
      </c>
      <c r="AN19" s="49" t="str">
        <f aca="false">IF(OR(Q19="",AM19=""),"",60+2*Q19-AM19)</f>
        <v/>
      </c>
      <c r="AO19" s="49" t="str">
        <f aca="false">IF(OR(G19="",AJ19=""),"",AJ19-G19)</f>
        <v/>
      </c>
      <c r="AP19" s="50" t="str">
        <f aca="false">IF(AND(A19="",B19=""),"",IF(J19="","Status needed",IF(OR(J19="Applied",J19="Visit booked",J19="Withdrawn"),"OK",IF(G19="","Date assessed needed",IF(C19="","Date of birth needed",IF(COUNTA(L19,M19,P19,U19,V19,X19,AB19)&lt;7,"Band missing",IF(AND(OR(J19="Decision confirmed",J19="Family told",J19="Enrolled"),AG19=""),"Recommendation needed",IF(AND(OR(J19="Family told",J19="Enrolled"),AJ19=""),"Date family told needed","OK"))))))))</f>
        <v/>
      </c>
    </row>
    <row r="20" customFormat="false" ht="15" hidden="false" customHeight="false" outlineLevel="0" collapsed="false">
      <c r="A20" s="7"/>
      <c r="B20" s="7"/>
      <c r="C20" s="46"/>
      <c r="D20" s="7"/>
      <c r="E20" s="47"/>
      <c r="F20" s="46"/>
      <c r="G20" s="46"/>
      <c r="H20" s="7"/>
      <c r="I20" s="7"/>
      <c r="J20" s="47"/>
      <c r="K20" s="47"/>
      <c r="L20" s="47"/>
      <c r="M20" s="47"/>
      <c r="N20" s="10"/>
      <c r="O20" s="47"/>
      <c r="P20" s="47"/>
      <c r="Q20" s="47"/>
      <c r="R20" s="48" t="str">
        <f aca="false">IF(Q20="","",IF(Q20=0,"below 5:00",IF(Q20&gt;=66,"16:00 or above",INT((60+2*Q20)/12)&amp;":"&amp;TEXT(MOD(60+2*Q20,12),"00"))))</f>
        <v/>
      </c>
      <c r="S20" s="47"/>
      <c r="T20" s="47"/>
      <c r="U20" s="47"/>
      <c r="V20" s="47"/>
      <c r="W20" s="47"/>
      <c r="X20" s="47"/>
      <c r="Y20" s="47"/>
      <c r="Z20" s="47"/>
      <c r="AA20" s="47"/>
      <c r="AB20" s="47"/>
      <c r="AC20" s="47"/>
      <c r="AD20" s="47"/>
      <c r="AE20" s="47"/>
      <c r="AF20" s="47"/>
      <c r="AG20" s="47"/>
      <c r="AH20" s="47"/>
      <c r="AI20" s="46"/>
      <c r="AJ20" s="46"/>
      <c r="AK20" s="46"/>
      <c r="AL20" s="7"/>
      <c r="AM20" s="49" t="str">
        <f aca="false">IF(OR(C20="",G20=""),"",IFERROR(DATEDIF(C20,G20,"m"),""))</f>
        <v/>
      </c>
      <c r="AN20" s="49" t="str">
        <f aca="false">IF(OR(Q20="",AM20=""),"",60+2*Q20-AM20)</f>
        <v/>
      </c>
      <c r="AO20" s="49" t="str">
        <f aca="false">IF(OR(G20="",AJ20=""),"",AJ20-G20)</f>
        <v/>
      </c>
      <c r="AP20" s="50" t="str">
        <f aca="false">IF(AND(A20="",B20=""),"",IF(J20="","Status needed",IF(OR(J20="Applied",J20="Visit booked",J20="Withdrawn"),"OK",IF(G20="","Date assessed needed",IF(C20="","Date of birth needed",IF(COUNTA(L20,M20,P20,U20,V20,X20,AB20)&lt;7,"Band missing",IF(AND(OR(J20="Decision confirmed",J20="Family told",J20="Enrolled"),AG20=""),"Recommendation needed",IF(AND(OR(J20="Family told",J20="Enrolled"),AJ20=""),"Date family told needed","OK"))))))))</f>
        <v/>
      </c>
    </row>
    <row r="21" customFormat="false" ht="15" hidden="false" customHeight="false" outlineLevel="0" collapsed="false">
      <c r="A21" s="7"/>
      <c r="B21" s="7"/>
      <c r="C21" s="46"/>
      <c r="D21" s="7"/>
      <c r="E21" s="47"/>
      <c r="F21" s="46"/>
      <c r="G21" s="46"/>
      <c r="H21" s="7"/>
      <c r="I21" s="7"/>
      <c r="J21" s="47"/>
      <c r="K21" s="47"/>
      <c r="L21" s="47"/>
      <c r="M21" s="47"/>
      <c r="N21" s="10"/>
      <c r="O21" s="47"/>
      <c r="P21" s="47"/>
      <c r="Q21" s="47"/>
      <c r="R21" s="48" t="str">
        <f aca="false">IF(Q21="","",IF(Q21=0,"below 5:00",IF(Q21&gt;=66,"16:00 or above",INT((60+2*Q21)/12)&amp;":"&amp;TEXT(MOD(60+2*Q21,12),"00"))))</f>
        <v/>
      </c>
      <c r="S21" s="47"/>
      <c r="T21" s="47"/>
      <c r="U21" s="47"/>
      <c r="V21" s="47"/>
      <c r="W21" s="47"/>
      <c r="X21" s="47"/>
      <c r="Y21" s="47"/>
      <c r="Z21" s="47"/>
      <c r="AA21" s="47"/>
      <c r="AB21" s="47"/>
      <c r="AC21" s="47"/>
      <c r="AD21" s="47"/>
      <c r="AE21" s="47"/>
      <c r="AF21" s="47"/>
      <c r="AG21" s="47"/>
      <c r="AH21" s="47"/>
      <c r="AI21" s="46"/>
      <c r="AJ21" s="46"/>
      <c r="AK21" s="46"/>
      <c r="AL21" s="7"/>
      <c r="AM21" s="49" t="str">
        <f aca="false">IF(OR(C21="",G21=""),"",IFERROR(DATEDIF(C21,G21,"m"),""))</f>
        <v/>
      </c>
      <c r="AN21" s="49" t="str">
        <f aca="false">IF(OR(Q21="",AM21=""),"",60+2*Q21-AM21)</f>
        <v/>
      </c>
      <c r="AO21" s="49" t="str">
        <f aca="false">IF(OR(G21="",AJ21=""),"",AJ21-G21)</f>
        <v/>
      </c>
      <c r="AP21" s="50" t="str">
        <f aca="false">IF(AND(A21="",B21=""),"",IF(J21="","Status needed",IF(OR(J21="Applied",J21="Visit booked",J21="Withdrawn"),"OK",IF(G21="","Date assessed needed",IF(C21="","Date of birth needed",IF(COUNTA(L21,M21,P21,U21,V21,X21,AB21)&lt;7,"Band missing",IF(AND(OR(J21="Decision confirmed",J21="Family told",J21="Enrolled"),AG21=""),"Recommendation needed",IF(AND(OR(J21="Family told",J21="Enrolled"),AJ21=""),"Date family told needed","OK"))))))))</f>
        <v/>
      </c>
    </row>
    <row r="22" customFormat="false" ht="15" hidden="false" customHeight="false" outlineLevel="0" collapsed="false">
      <c r="A22" s="7"/>
      <c r="B22" s="7"/>
      <c r="C22" s="46"/>
      <c r="D22" s="7"/>
      <c r="E22" s="47"/>
      <c r="F22" s="46"/>
      <c r="G22" s="46"/>
      <c r="H22" s="7"/>
      <c r="I22" s="7"/>
      <c r="J22" s="47"/>
      <c r="K22" s="47"/>
      <c r="L22" s="47"/>
      <c r="M22" s="47"/>
      <c r="N22" s="10"/>
      <c r="O22" s="47"/>
      <c r="P22" s="47"/>
      <c r="Q22" s="47"/>
      <c r="R22" s="48" t="str">
        <f aca="false">IF(Q22="","",IF(Q22=0,"below 5:00",IF(Q22&gt;=66,"16:00 or above",INT((60+2*Q22)/12)&amp;":"&amp;TEXT(MOD(60+2*Q22,12),"00"))))</f>
        <v/>
      </c>
      <c r="S22" s="47"/>
      <c r="T22" s="47"/>
      <c r="U22" s="47"/>
      <c r="V22" s="47"/>
      <c r="W22" s="47"/>
      <c r="X22" s="47"/>
      <c r="Y22" s="47"/>
      <c r="Z22" s="47"/>
      <c r="AA22" s="47"/>
      <c r="AB22" s="47"/>
      <c r="AC22" s="47"/>
      <c r="AD22" s="47"/>
      <c r="AE22" s="47"/>
      <c r="AF22" s="47"/>
      <c r="AG22" s="47"/>
      <c r="AH22" s="47"/>
      <c r="AI22" s="46"/>
      <c r="AJ22" s="46"/>
      <c r="AK22" s="46"/>
      <c r="AL22" s="7"/>
      <c r="AM22" s="49" t="str">
        <f aca="false">IF(OR(C22="",G22=""),"",IFERROR(DATEDIF(C22,G22,"m"),""))</f>
        <v/>
      </c>
      <c r="AN22" s="49" t="str">
        <f aca="false">IF(OR(Q22="",AM22=""),"",60+2*Q22-AM22)</f>
        <v/>
      </c>
      <c r="AO22" s="49" t="str">
        <f aca="false">IF(OR(G22="",AJ22=""),"",AJ22-G22)</f>
        <v/>
      </c>
      <c r="AP22" s="50" t="str">
        <f aca="false">IF(AND(A22="",B22=""),"",IF(J22="","Status needed",IF(OR(J22="Applied",J22="Visit booked",J22="Withdrawn"),"OK",IF(G22="","Date assessed needed",IF(C22="","Date of birth needed",IF(COUNTA(L22,M22,P22,U22,V22,X22,AB22)&lt;7,"Band missing",IF(AND(OR(J22="Decision confirmed",J22="Family told",J22="Enrolled"),AG22=""),"Recommendation needed",IF(AND(OR(J22="Family told",J22="Enrolled"),AJ22=""),"Date family told needed","OK"))))))))</f>
        <v/>
      </c>
    </row>
    <row r="23" customFormat="false" ht="15" hidden="false" customHeight="false" outlineLevel="0" collapsed="false">
      <c r="A23" s="7"/>
      <c r="B23" s="7"/>
      <c r="C23" s="46"/>
      <c r="D23" s="7"/>
      <c r="E23" s="47"/>
      <c r="F23" s="46"/>
      <c r="G23" s="46"/>
      <c r="H23" s="7"/>
      <c r="I23" s="7"/>
      <c r="J23" s="47"/>
      <c r="K23" s="47"/>
      <c r="L23" s="47"/>
      <c r="M23" s="47"/>
      <c r="N23" s="10"/>
      <c r="O23" s="47"/>
      <c r="P23" s="47"/>
      <c r="Q23" s="47"/>
      <c r="R23" s="48" t="str">
        <f aca="false">IF(Q23="","",IF(Q23=0,"below 5:00",IF(Q23&gt;=66,"16:00 or above",INT((60+2*Q23)/12)&amp;":"&amp;TEXT(MOD(60+2*Q23,12),"00"))))</f>
        <v/>
      </c>
      <c r="S23" s="47"/>
      <c r="T23" s="47"/>
      <c r="U23" s="47"/>
      <c r="V23" s="47"/>
      <c r="W23" s="47"/>
      <c r="X23" s="47"/>
      <c r="Y23" s="47"/>
      <c r="Z23" s="47"/>
      <c r="AA23" s="47"/>
      <c r="AB23" s="47"/>
      <c r="AC23" s="47"/>
      <c r="AD23" s="47"/>
      <c r="AE23" s="47"/>
      <c r="AF23" s="47"/>
      <c r="AG23" s="47"/>
      <c r="AH23" s="47"/>
      <c r="AI23" s="46"/>
      <c r="AJ23" s="46"/>
      <c r="AK23" s="46"/>
      <c r="AL23" s="7"/>
      <c r="AM23" s="49" t="str">
        <f aca="false">IF(OR(C23="",G23=""),"",IFERROR(DATEDIF(C23,G23,"m"),""))</f>
        <v/>
      </c>
      <c r="AN23" s="49" t="str">
        <f aca="false">IF(OR(Q23="",AM23=""),"",60+2*Q23-AM23)</f>
        <v/>
      </c>
      <c r="AO23" s="49" t="str">
        <f aca="false">IF(OR(G23="",AJ23=""),"",AJ23-G23)</f>
        <v/>
      </c>
      <c r="AP23" s="50" t="str">
        <f aca="false">IF(AND(A23="",B23=""),"",IF(J23="","Status needed",IF(OR(J23="Applied",J23="Visit booked",J23="Withdrawn"),"OK",IF(G23="","Date assessed needed",IF(C23="","Date of birth needed",IF(COUNTA(L23,M23,P23,U23,V23,X23,AB23)&lt;7,"Band missing",IF(AND(OR(J23="Decision confirmed",J23="Family told",J23="Enrolled"),AG23=""),"Recommendation needed",IF(AND(OR(J23="Family told",J23="Enrolled"),AJ23=""),"Date family told needed","OK"))))))))</f>
        <v/>
      </c>
    </row>
    <row r="24" customFormat="false" ht="15" hidden="false" customHeight="false" outlineLevel="0" collapsed="false">
      <c r="A24" s="7"/>
      <c r="B24" s="7"/>
      <c r="C24" s="46"/>
      <c r="D24" s="7"/>
      <c r="E24" s="47"/>
      <c r="F24" s="46"/>
      <c r="G24" s="46"/>
      <c r="H24" s="7"/>
      <c r="I24" s="7"/>
      <c r="J24" s="47"/>
      <c r="K24" s="47"/>
      <c r="L24" s="47"/>
      <c r="M24" s="47"/>
      <c r="N24" s="10"/>
      <c r="O24" s="47"/>
      <c r="P24" s="47"/>
      <c r="Q24" s="47"/>
      <c r="R24" s="48" t="str">
        <f aca="false">IF(Q24="","",IF(Q24=0,"below 5:00",IF(Q24&gt;=66,"16:00 or above",INT((60+2*Q24)/12)&amp;":"&amp;TEXT(MOD(60+2*Q24,12),"00"))))</f>
        <v/>
      </c>
      <c r="S24" s="47"/>
      <c r="T24" s="47"/>
      <c r="U24" s="47"/>
      <c r="V24" s="47"/>
      <c r="W24" s="47"/>
      <c r="X24" s="47"/>
      <c r="Y24" s="47"/>
      <c r="Z24" s="47"/>
      <c r="AA24" s="47"/>
      <c r="AB24" s="47"/>
      <c r="AC24" s="47"/>
      <c r="AD24" s="47"/>
      <c r="AE24" s="47"/>
      <c r="AF24" s="47"/>
      <c r="AG24" s="47"/>
      <c r="AH24" s="47"/>
      <c r="AI24" s="46"/>
      <c r="AJ24" s="46"/>
      <c r="AK24" s="46"/>
      <c r="AL24" s="7"/>
      <c r="AM24" s="49" t="str">
        <f aca="false">IF(OR(C24="",G24=""),"",IFERROR(DATEDIF(C24,G24,"m"),""))</f>
        <v/>
      </c>
      <c r="AN24" s="49" t="str">
        <f aca="false">IF(OR(Q24="",AM24=""),"",60+2*Q24-AM24)</f>
        <v/>
      </c>
      <c r="AO24" s="49" t="str">
        <f aca="false">IF(OR(G24="",AJ24=""),"",AJ24-G24)</f>
        <v/>
      </c>
      <c r="AP24" s="50" t="str">
        <f aca="false">IF(AND(A24="",B24=""),"",IF(J24="","Status needed",IF(OR(J24="Applied",J24="Visit booked",J24="Withdrawn"),"OK",IF(G24="","Date assessed needed",IF(C24="","Date of birth needed",IF(COUNTA(L24,M24,P24,U24,V24,X24,AB24)&lt;7,"Band missing",IF(AND(OR(J24="Decision confirmed",J24="Family told",J24="Enrolled"),AG24=""),"Recommendation needed",IF(AND(OR(J24="Family told",J24="Enrolled"),AJ24=""),"Date family told needed","OK"))))))))</f>
        <v/>
      </c>
    </row>
    <row r="25" customFormat="false" ht="15" hidden="false" customHeight="false" outlineLevel="0" collapsed="false">
      <c r="A25" s="7"/>
      <c r="B25" s="7"/>
      <c r="C25" s="46"/>
      <c r="D25" s="7"/>
      <c r="E25" s="47"/>
      <c r="F25" s="46"/>
      <c r="G25" s="46"/>
      <c r="H25" s="7"/>
      <c r="I25" s="7"/>
      <c r="J25" s="47"/>
      <c r="K25" s="47"/>
      <c r="L25" s="47"/>
      <c r="M25" s="47"/>
      <c r="N25" s="10"/>
      <c r="O25" s="47"/>
      <c r="P25" s="47"/>
      <c r="Q25" s="47"/>
      <c r="R25" s="48" t="str">
        <f aca="false">IF(Q25="","",IF(Q25=0,"below 5:00",IF(Q25&gt;=66,"16:00 or above",INT((60+2*Q25)/12)&amp;":"&amp;TEXT(MOD(60+2*Q25,12),"00"))))</f>
        <v/>
      </c>
      <c r="S25" s="47"/>
      <c r="T25" s="47"/>
      <c r="U25" s="47"/>
      <c r="V25" s="47"/>
      <c r="W25" s="47"/>
      <c r="X25" s="47"/>
      <c r="Y25" s="47"/>
      <c r="Z25" s="47"/>
      <c r="AA25" s="47"/>
      <c r="AB25" s="47"/>
      <c r="AC25" s="47"/>
      <c r="AD25" s="47"/>
      <c r="AE25" s="47"/>
      <c r="AF25" s="47"/>
      <c r="AG25" s="47"/>
      <c r="AH25" s="47"/>
      <c r="AI25" s="46"/>
      <c r="AJ25" s="46"/>
      <c r="AK25" s="46"/>
      <c r="AL25" s="7"/>
      <c r="AM25" s="49" t="str">
        <f aca="false">IF(OR(C25="",G25=""),"",IFERROR(DATEDIF(C25,G25,"m"),""))</f>
        <v/>
      </c>
      <c r="AN25" s="49" t="str">
        <f aca="false">IF(OR(Q25="",AM25=""),"",60+2*Q25-AM25)</f>
        <v/>
      </c>
      <c r="AO25" s="49" t="str">
        <f aca="false">IF(OR(G25="",AJ25=""),"",AJ25-G25)</f>
        <v/>
      </c>
      <c r="AP25" s="50" t="str">
        <f aca="false">IF(AND(A25="",B25=""),"",IF(J25="","Status needed",IF(OR(J25="Applied",J25="Visit booked",J25="Withdrawn"),"OK",IF(G25="","Date assessed needed",IF(C25="","Date of birth needed",IF(COUNTA(L25,M25,P25,U25,V25,X25,AB25)&lt;7,"Band missing",IF(AND(OR(J25="Decision confirmed",J25="Family told",J25="Enrolled"),AG25=""),"Recommendation needed",IF(AND(OR(J25="Family told",J25="Enrolled"),AJ25=""),"Date family told needed","OK"))))))))</f>
        <v/>
      </c>
    </row>
    <row r="26" customFormat="false" ht="15" hidden="false" customHeight="false" outlineLevel="0" collapsed="false">
      <c r="A26" s="7"/>
      <c r="B26" s="7"/>
      <c r="C26" s="46"/>
      <c r="D26" s="7"/>
      <c r="E26" s="47"/>
      <c r="F26" s="46"/>
      <c r="G26" s="46"/>
      <c r="H26" s="7"/>
      <c r="I26" s="7"/>
      <c r="J26" s="47"/>
      <c r="K26" s="47"/>
      <c r="L26" s="47"/>
      <c r="M26" s="47"/>
      <c r="N26" s="10"/>
      <c r="O26" s="47"/>
      <c r="P26" s="47"/>
      <c r="Q26" s="47"/>
      <c r="R26" s="48" t="str">
        <f aca="false">IF(Q26="","",IF(Q26=0,"below 5:00",IF(Q26&gt;=66,"16:00 or above",INT((60+2*Q26)/12)&amp;":"&amp;TEXT(MOD(60+2*Q26,12),"00"))))</f>
        <v/>
      </c>
      <c r="S26" s="47"/>
      <c r="T26" s="47"/>
      <c r="U26" s="47"/>
      <c r="V26" s="47"/>
      <c r="W26" s="47"/>
      <c r="X26" s="47"/>
      <c r="Y26" s="47"/>
      <c r="Z26" s="47"/>
      <c r="AA26" s="47"/>
      <c r="AB26" s="47"/>
      <c r="AC26" s="47"/>
      <c r="AD26" s="47"/>
      <c r="AE26" s="47"/>
      <c r="AF26" s="47"/>
      <c r="AG26" s="47"/>
      <c r="AH26" s="47"/>
      <c r="AI26" s="46"/>
      <c r="AJ26" s="46"/>
      <c r="AK26" s="46"/>
      <c r="AL26" s="7"/>
      <c r="AM26" s="49" t="str">
        <f aca="false">IF(OR(C26="",G26=""),"",IFERROR(DATEDIF(C26,G26,"m"),""))</f>
        <v/>
      </c>
      <c r="AN26" s="49" t="str">
        <f aca="false">IF(OR(Q26="",AM26=""),"",60+2*Q26-AM26)</f>
        <v/>
      </c>
      <c r="AO26" s="49" t="str">
        <f aca="false">IF(OR(G26="",AJ26=""),"",AJ26-G26)</f>
        <v/>
      </c>
      <c r="AP26" s="50" t="str">
        <f aca="false">IF(AND(A26="",B26=""),"",IF(J26="","Status needed",IF(OR(J26="Applied",J26="Visit booked",J26="Withdrawn"),"OK",IF(G26="","Date assessed needed",IF(C26="","Date of birth needed",IF(COUNTA(L26,M26,P26,U26,V26,X26,AB26)&lt;7,"Band missing",IF(AND(OR(J26="Decision confirmed",J26="Family told",J26="Enrolled"),AG26=""),"Recommendation needed",IF(AND(OR(J26="Family told",J26="Enrolled"),AJ26=""),"Date family told needed","OK"))))))))</f>
        <v/>
      </c>
    </row>
    <row r="27" customFormat="false" ht="15" hidden="false" customHeight="false" outlineLevel="0" collapsed="false">
      <c r="A27" s="7"/>
      <c r="B27" s="7"/>
      <c r="C27" s="46"/>
      <c r="D27" s="7"/>
      <c r="E27" s="47"/>
      <c r="F27" s="46"/>
      <c r="G27" s="46"/>
      <c r="H27" s="7"/>
      <c r="I27" s="7"/>
      <c r="J27" s="47"/>
      <c r="K27" s="47"/>
      <c r="L27" s="47"/>
      <c r="M27" s="47"/>
      <c r="N27" s="10"/>
      <c r="O27" s="47"/>
      <c r="P27" s="47"/>
      <c r="Q27" s="47"/>
      <c r="R27" s="48" t="str">
        <f aca="false">IF(Q27="","",IF(Q27=0,"below 5:00",IF(Q27&gt;=66,"16:00 or above",INT((60+2*Q27)/12)&amp;":"&amp;TEXT(MOD(60+2*Q27,12),"00"))))</f>
        <v/>
      </c>
      <c r="S27" s="47"/>
      <c r="T27" s="47"/>
      <c r="U27" s="47"/>
      <c r="V27" s="47"/>
      <c r="W27" s="47"/>
      <c r="X27" s="47"/>
      <c r="Y27" s="47"/>
      <c r="Z27" s="47"/>
      <c r="AA27" s="47"/>
      <c r="AB27" s="47"/>
      <c r="AC27" s="47"/>
      <c r="AD27" s="47"/>
      <c r="AE27" s="47"/>
      <c r="AF27" s="47"/>
      <c r="AG27" s="47"/>
      <c r="AH27" s="47"/>
      <c r="AI27" s="46"/>
      <c r="AJ27" s="46"/>
      <c r="AK27" s="46"/>
      <c r="AL27" s="7"/>
      <c r="AM27" s="49" t="str">
        <f aca="false">IF(OR(C27="",G27=""),"",IFERROR(DATEDIF(C27,G27,"m"),""))</f>
        <v/>
      </c>
      <c r="AN27" s="49" t="str">
        <f aca="false">IF(OR(Q27="",AM27=""),"",60+2*Q27-AM27)</f>
        <v/>
      </c>
      <c r="AO27" s="49" t="str">
        <f aca="false">IF(OR(G27="",AJ27=""),"",AJ27-G27)</f>
        <v/>
      </c>
      <c r="AP27" s="50" t="str">
        <f aca="false">IF(AND(A27="",B27=""),"",IF(J27="","Status needed",IF(OR(J27="Applied",J27="Visit booked",J27="Withdrawn"),"OK",IF(G27="","Date assessed needed",IF(C27="","Date of birth needed",IF(COUNTA(L27,M27,P27,U27,V27,X27,AB27)&lt;7,"Band missing",IF(AND(OR(J27="Decision confirmed",J27="Family told",J27="Enrolled"),AG27=""),"Recommendation needed",IF(AND(OR(J27="Family told",J27="Enrolled"),AJ27=""),"Date family told needed","OK"))))))))</f>
        <v/>
      </c>
    </row>
    <row r="28" customFormat="false" ht="15" hidden="false" customHeight="false" outlineLevel="0" collapsed="false">
      <c r="A28" s="7"/>
      <c r="B28" s="7"/>
      <c r="C28" s="46"/>
      <c r="D28" s="7"/>
      <c r="E28" s="47"/>
      <c r="F28" s="46"/>
      <c r="G28" s="46"/>
      <c r="H28" s="7"/>
      <c r="I28" s="7"/>
      <c r="J28" s="47"/>
      <c r="K28" s="47"/>
      <c r="L28" s="47"/>
      <c r="M28" s="47"/>
      <c r="N28" s="10"/>
      <c r="O28" s="47"/>
      <c r="P28" s="47"/>
      <c r="Q28" s="47"/>
      <c r="R28" s="48" t="str">
        <f aca="false">IF(Q28="","",IF(Q28=0,"below 5:00",IF(Q28&gt;=66,"16:00 or above",INT((60+2*Q28)/12)&amp;":"&amp;TEXT(MOD(60+2*Q28,12),"00"))))</f>
        <v/>
      </c>
      <c r="S28" s="47"/>
      <c r="T28" s="47"/>
      <c r="U28" s="47"/>
      <c r="V28" s="47"/>
      <c r="W28" s="47"/>
      <c r="X28" s="47"/>
      <c r="Y28" s="47"/>
      <c r="Z28" s="47"/>
      <c r="AA28" s="47"/>
      <c r="AB28" s="47"/>
      <c r="AC28" s="47"/>
      <c r="AD28" s="47"/>
      <c r="AE28" s="47"/>
      <c r="AF28" s="47"/>
      <c r="AG28" s="47"/>
      <c r="AH28" s="47"/>
      <c r="AI28" s="46"/>
      <c r="AJ28" s="46"/>
      <c r="AK28" s="46"/>
      <c r="AL28" s="7"/>
      <c r="AM28" s="49" t="str">
        <f aca="false">IF(OR(C28="",G28=""),"",IFERROR(DATEDIF(C28,G28,"m"),""))</f>
        <v/>
      </c>
      <c r="AN28" s="49" t="str">
        <f aca="false">IF(OR(Q28="",AM28=""),"",60+2*Q28-AM28)</f>
        <v/>
      </c>
      <c r="AO28" s="49" t="str">
        <f aca="false">IF(OR(G28="",AJ28=""),"",AJ28-G28)</f>
        <v/>
      </c>
      <c r="AP28" s="50" t="str">
        <f aca="false">IF(AND(A28="",B28=""),"",IF(J28="","Status needed",IF(OR(J28="Applied",J28="Visit booked",J28="Withdrawn"),"OK",IF(G28="","Date assessed needed",IF(C28="","Date of birth needed",IF(COUNTA(L28,M28,P28,U28,V28,X28,AB28)&lt;7,"Band missing",IF(AND(OR(J28="Decision confirmed",J28="Family told",J28="Enrolled"),AG28=""),"Recommendation needed",IF(AND(OR(J28="Family told",J28="Enrolled"),AJ28=""),"Date family told needed","OK"))))))))</f>
        <v/>
      </c>
    </row>
    <row r="29" customFormat="false" ht="15" hidden="false" customHeight="false" outlineLevel="0" collapsed="false">
      <c r="A29" s="7"/>
      <c r="B29" s="7"/>
      <c r="C29" s="46"/>
      <c r="D29" s="7"/>
      <c r="E29" s="47"/>
      <c r="F29" s="46"/>
      <c r="G29" s="46"/>
      <c r="H29" s="7"/>
      <c r="I29" s="7"/>
      <c r="J29" s="47"/>
      <c r="K29" s="47"/>
      <c r="L29" s="47"/>
      <c r="M29" s="47"/>
      <c r="N29" s="10"/>
      <c r="O29" s="47"/>
      <c r="P29" s="47"/>
      <c r="Q29" s="47"/>
      <c r="R29" s="48" t="str">
        <f aca="false">IF(Q29="","",IF(Q29=0,"below 5:00",IF(Q29&gt;=66,"16:00 or above",INT((60+2*Q29)/12)&amp;":"&amp;TEXT(MOD(60+2*Q29,12),"00"))))</f>
        <v/>
      </c>
      <c r="S29" s="47"/>
      <c r="T29" s="47"/>
      <c r="U29" s="47"/>
      <c r="V29" s="47"/>
      <c r="W29" s="47"/>
      <c r="X29" s="47"/>
      <c r="Y29" s="47"/>
      <c r="Z29" s="47"/>
      <c r="AA29" s="47"/>
      <c r="AB29" s="47"/>
      <c r="AC29" s="47"/>
      <c r="AD29" s="47"/>
      <c r="AE29" s="47"/>
      <c r="AF29" s="47"/>
      <c r="AG29" s="47"/>
      <c r="AH29" s="47"/>
      <c r="AI29" s="46"/>
      <c r="AJ29" s="46"/>
      <c r="AK29" s="46"/>
      <c r="AL29" s="7"/>
      <c r="AM29" s="49" t="str">
        <f aca="false">IF(OR(C29="",G29=""),"",IFERROR(DATEDIF(C29,G29,"m"),""))</f>
        <v/>
      </c>
      <c r="AN29" s="49" t="str">
        <f aca="false">IF(OR(Q29="",AM29=""),"",60+2*Q29-AM29)</f>
        <v/>
      </c>
      <c r="AO29" s="49" t="str">
        <f aca="false">IF(OR(G29="",AJ29=""),"",AJ29-G29)</f>
        <v/>
      </c>
      <c r="AP29" s="50" t="str">
        <f aca="false">IF(AND(A29="",B29=""),"",IF(J29="","Status needed",IF(OR(J29="Applied",J29="Visit booked",J29="Withdrawn"),"OK",IF(G29="","Date assessed needed",IF(C29="","Date of birth needed",IF(COUNTA(L29,M29,P29,U29,V29,X29,AB29)&lt;7,"Band missing",IF(AND(OR(J29="Decision confirmed",J29="Family told",J29="Enrolled"),AG29=""),"Recommendation needed",IF(AND(OR(J29="Family told",J29="Enrolled"),AJ29=""),"Date family told needed","OK"))))))))</f>
        <v/>
      </c>
    </row>
    <row r="30" customFormat="false" ht="15" hidden="false" customHeight="false" outlineLevel="0" collapsed="false">
      <c r="A30" s="7"/>
      <c r="B30" s="7"/>
      <c r="C30" s="46"/>
      <c r="D30" s="7"/>
      <c r="E30" s="47"/>
      <c r="F30" s="46"/>
      <c r="G30" s="46"/>
      <c r="H30" s="7"/>
      <c r="I30" s="7"/>
      <c r="J30" s="47"/>
      <c r="K30" s="47"/>
      <c r="L30" s="47"/>
      <c r="M30" s="47"/>
      <c r="N30" s="10"/>
      <c r="O30" s="47"/>
      <c r="P30" s="47"/>
      <c r="Q30" s="47"/>
      <c r="R30" s="48" t="str">
        <f aca="false">IF(Q30="","",IF(Q30=0,"below 5:00",IF(Q30&gt;=66,"16:00 or above",INT((60+2*Q30)/12)&amp;":"&amp;TEXT(MOD(60+2*Q30,12),"00"))))</f>
        <v/>
      </c>
      <c r="S30" s="47"/>
      <c r="T30" s="47"/>
      <c r="U30" s="47"/>
      <c r="V30" s="47"/>
      <c r="W30" s="47"/>
      <c r="X30" s="47"/>
      <c r="Y30" s="47"/>
      <c r="Z30" s="47"/>
      <c r="AA30" s="47"/>
      <c r="AB30" s="47"/>
      <c r="AC30" s="47"/>
      <c r="AD30" s="47"/>
      <c r="AE30" s="47"/>
      <c r="AF30" s="47"/>
      <c r="AG30" s="47"/>
      <c r="AH30" s="47"/>
      <c r="AI30" s="46"/>
      <c r="AJ30" s="46"/>
      <c r="AK30" s="46"/>
      <c r="AL30" s="7"/>
      <c r="AM30" s="49" t="str">
        <f aca="false">IF(OR(C30="",G30=""),"",IFERROR(DATEDIF(C30,G30,"m"),""))</f>
        <v/>
      </c>
      <c r="AN30" s="49" t="str">
        <f aca="false">IF(OR(Q30="",AM30=""),"",60+2*Q30-AM30)</f>
        <v/>
      </c>
      <c r="AO30" s="49" t="str">
        <f aca="false">IF(OR(G30="",AJ30=""),"",AJ30-G30)</f>
        <v/>
      </c>
      <c r="AP30" s="50" t="str">
        <f aca="false">IF(AND(A30="",B30=""),"",IF(J30="","Status needed",IF(OR(J30="Applied",J30="Visit booked",J30="Withdrawn"),"OK",IF(G30="","Date assessed needed",IF(C30="","Date of birth needed",IF(COUNTA(L30,M30,P30,U30,V30,X30,AB30)&lt;7,"Band missing",IF(AND(OR(J30="Decision confirmed",J30="Family told",J30="Enrolled"),AG30=""),"Recommendation needed",IF(AND(OR(J30="Family told",J30="Enrolled"),AJ30=""),"Date family told needed","OK"))))))))</f>
        <v/>
      </c>
    </row>
    <row r="31" customFormat="false" ht="15" hidden="false" customHeight="false" outlineLevel="0" collapsed="false">
      <c r="A31" s="7"/>
      <c r="B31" s="7"/>
      <c r="C31" s="46"/>
      <c r="D31" s="7"/>
      <c r="E31" s="47"/>
      <c r="F31" s="46"/>
      <c r="G31" s="46"/>
      <c r="H31" s="7"/>
      <c r="I31" s="7"/>
      <c r="J31" s="47"/>
      <c r="K31" s="47"/>
      <c r="L31" s="47"/>
      <c r="M31" s="47"/>
      <c r="N31" s="10"/>
      <c r="O31" s="47"/>
      <c r="P31" s="47"/>
      <c r="Q31" s="47"/>
      <c r="R31" s="48" t="str">
        <f aca="false">IF(Q31="","",IF(Q31=0,"below 5:00",IF(Q31&gt;=66,"16:00 or above",INT((60+2*Q31)/12)&amp;":"&amp;TEXT(MOD(60+2*Q31,12),"00"))))</f>
        <v/>
      </c>
      <c r="S31" s="47"/>
      <c r="T31" s="47"/>
      <c r="U31" s="47"/>
      <c r="V31" s="47"/>
      <c r="W31" s="47"/>
      <c r="X31" s="47"/>
      <c r="Y31" s="47"/>
      <c r="Z31" s="47"/>
      <c r="AA31" s="47"/>
      <c r="AB31" s="47"/>
      <c r="AC31" s="47"/>
      <c r="AD31" s="47"/>
      <c r="AE31" s="47"/>
      <c r="AF31" s="47"/>
      <c r="AG31" s="47"/>
      <c r="AH31" s="47"/>
      <c r="AI31" s="46"/>
      <c r="AJ31" s="46"/>
      <c r="AK31" s="46"/>
      <c r="AL31" s="7"/>
      <c r="AM31" s="49" t="str">
        <f aca="false">IF(OR(C31="",G31=""),"",IFERROR(DATEDIF(C31,G31,"m"),""))</f>
        <v/>
      </c>
      <c r="AN31" s="49" t="str">
        <f aca="false">IF(OR(Q31="",AM31=""),"",60+2*Q31-AM31)</f>
        <v/>
      </c>
      <c r="AO31" s="49" t="str">
        <f aca="false">IF(OR(G31="",AJ31=""),"",AJ31-G31)</f>
        <v/>
      </c>
      <c r="AP31" s="50" t="str">
        <f aca="false">IF(AND(A31="",B31=""),"",IF(J31="","Status needed",IF(OR(J31="Applied",J31="Visit booked",J31="Withdrawn"),"OK",IF(G31="","Date assessed needed",IF(C31="","Date of birth needed",IF(COUNTA(L31,M31,P31,U31,V31,X31,AB31)&lt;7,"Band missing",IF(AND(OR(J31="Decision confirmed",J31="Family told",J31="Enrolled"),AG31=""),"Recommendation needed",IF(AND(OR(J31="Family told",J31="Enrolled"),AJ31=""),"Date family told needed","OK"))))))))</f>
        <v/>
      </c>
    </row>
    <row r="32" customFormat="false" ht="15" hidden="false" customHeight="false" outlineLevel="0" collapsed="false">
      <c r="A32" s="7"/>
      <c r="B32" s="7"/>
      <c r="C32" s="46"/>
      <c r="D32" s="7"/>
      <c r="E32" s="47"/>
      <c r="F32" s="46"/>
      <c r="G32" s="46"/>
      <c r="H32" s="7"/>
      <c r="I32" s="7"/>
      <c r="J32" s="47"/>
      <c r="K32" s="47"/>
      <c r="L32" s="47"/>
      <c r="M32" s="47"/>
      <c r="N32" s="10"/>
      <c r="O32" s="47"/>
      <c r="P32" s="47"/>
      <c r="Q32" s="47"/>
      <c r="R32" s="48" t="str">
        <f aca="false">IF(Q32="","",IF(Q32=0,"below 5:00",IF(Q32&gt;=66,"16:00 or above",INT((60+2*Q32)/12)&amp;":"&amp;TEXT(MOD(60+2*Q32,12),"00"))))</f>
        <v/>
      </c>
      <c r="S32" s="47"/>
      <c r="T32" s="47"/>
      <c r="U32" s="47"/>
      <c r="V32" s="47"/>
      <c r="W32" s="47"/>
      <c r="X32" s="47"/>
      <c r="Y32" s="47"/>
      <c r="Z32" s="47"/>
      <c r="AA32" s="47"/>
      <c r="AB32" s="47"/>
      <c r="AC32" s="47"/>
      <c r="AD32" s="47"/>
      <c r="AE32" s="47"/>
      <c r="AF32" s="47"/>
      <c r="AG32" s="47"/>
      <c r="AH32" s="47"/>
      <c r="AI32" s="46"/>
      <c r="AJ32" s="46"/>
      <c r="AK32" s="46"/>
      <c r="AL32" s="7"/>
      <c r="AM32" s="49" t="str">
        <f aca="false">IF(OR(C32="",G32=""),"",IFERROR(DATEDIF(C32,G32,"m"),""))</f>
        <v/>
      </c>
      <c r="AN32" s="49" t="str">
        <f aca="false">IF(OR(Q32="",AM32=""),"",60+2*Q32-AM32)</f>
        <v/>
      </c>
      <c r="AO32" s="49" t="str">
        <f aca="false">IF(OR(G32="",AJ32=""),"",AJ32-G32)</f>
        <v/>
      </c>
      <c r="AP32" s="50" t="str">
        <f aca="false">IF(AND(A32="",B32=""),"",IF(J32="","Status needed",IF(OR(J32="Applied",J32="Visit booked",J32="Withdrawn"),"OK",IF(G32="","Date assessed needed",IF(C32="","Date of birth needed",IF(COUNTA(L32,M32,P32,U32,V32,X32,AB32)&lt;7,"Band missing",IF(AND(OR(J32="Decision confirmed",J32="Family told",J32="Enrolled"),AG32=""),"Recommendation needed",IF(AND(OR(J32="Family told",J32="Enrolled"),AJ32=""),"Date family told needed","OK"))))))))</f>
        <v/>
      </c>
    </row>
    <row r="33" customFormat="false" ht="15" hidden="false" customHeight="false" outlineLevel="0" collapsed="false">
      <c r="A33" s="7"/>
      <c r="B33" s="7"/>
      <c r="C33" s="46"/>
      <c r="D33" s="7"/>
      <c r="E33" s="47"/>
      <c r="F33" s="46"/>
      <c r="G33" s="46"/>
      <c r="H33" s="7"/>
      <c r="I33" s="7"/>
      <c r="J33" s="47"/>
      <c r="K33" s="47"/>
      <c r="L33" s="47"/>
      <c r="M33" s="47"/>
      <c r="N33" s="10"/>
      <c r="O33" s="47"/>
      <c r="P33" s="47"/>
      <c r="Q33" s="47"/>
      <c r="R33" s="48" t="str">
        <f aca="false">IF(Q33="","",IF(Q33=0,"below 5:00",IF(Q33&gt;=66,"16:00 or above",INT((60+2*Q33)/12)&amp;":"&amp;TEXT(MOD(60+2*Q33,12),"00"))))</f>
        <v/>
      </c>
      <c r="S33" s="47"/>
      <c r="T33" s="47"/>
      <c r="U33" s="47"/>
      <c r="V33" s="47"/>
      <c r="W33" s="47"/>
      <c r="X33" s="47"/>
      <c r="Y33" s="47"/>
      <c r="Z33" s="47"/>
      <c r="AA33" s="47"/>
      <c r="AB33" s="47"/>
      <c r="AC33" s="47"/>
      <c r="AD33" s="47"/>
      <c r="AE33" s="47"/>
      <c r="AF33" s="47"/>
      <c r="AG33" s="47"/>
      <c r="AH33" s="47"/>
      <c r="AI33" s="46"/>
      <c r="AJ33" s="46"/>
      <c r="AK33" s="46"/>
      <c r="AL33" s="7"/>
      <c r="AM33" s="49" t="str">
        <f aca="false">IF(OR(C33="",G33=""),"",IFERROR(DATEDIF(C33,G33,"m"),""))</f>
        <v/>
      </c>
      <c r="AN33" s="49" t="str">
        <f aca="false">IF(OR(Q33="",AM33=""),"",60+2*Q33-AM33)</f>
        <v/>
      </c>
      <c r="AO33" s="49" t="str">
        <f aca="false">IF(OR(G33="",AJ33=""),"",AJ33-G33)</f>
        <v/>
      </c>
      <c r="AP33" s="50" t="str">
        <f aca="false">IF(AND(A33="",B33=""),"",IF(J33="","Status needed",IF(OR(J33="Applied",J33="Visit booked",J33="Withdrawn"),"OK",IF(G33="","Date assessed needed",IF(C33="","Date of birth needed",IF(COUNTA(L33,M33,P33,U33,V33,X33,AB33)&lt;7,"Band missing",IF(AND(OR(J33="Decision confirmed",J33="Family told",J33="Enrolled"),AG33=""),"Recommendation needed",IF(AND(OR(J33="Family told",J33="Enrolled"),AJ33=""),"Date family told needed","OK"))))))))</f>
        <v/>
      </c>
    </row>
    <row r="34" customFormat="false" ht="15" hidden="false" customHeight="false" outlineLevel="0" collapsed="false">
      <c r="A34" s="7"/>
      <c r="B34" s="7"/>
      <c r="C34" s="46"/>
      <c r="D34" s="7"/>
      <c r="E34" s="47"/>
      <c r="F34" s="46"/>
      <c r="G34" s="46"/>
      <c r="H34" s="7"/>
      <c r="I34" s="7"/>
      <c r="J34" s="47"/>
      <c r="K34" s="47"/>
      <c r="L34" s="47"/>
      <c r="M34" s="47"/>
      <c r="N34" s="10"/>
      <c r="O34" s="47"/>
      <c r="P34" s="47"/>
      <c r="Q34" s="47"/>
      <c r="R34" s="48" t="str">
        <f aca="false">IF(Q34="","",IF(Q34=0,"below 5:00",IF(Q34&gt;=66,"16:00 or above",INT((60+2*Q34)/12)&amp;":"&amp;TEXT(MOD(60+2*Q34,12),"00"))))</f>
        <v/>
      </c>
      <c r="S34" s="47"/>
      <c r="T34" s="47"/>
      <c r="U34" s="47"/>
      <c r="V34" s="47"/>
      <c r="W34" s="47"/>
      <c r="X34" s="47"/>
      <c r="Y34" s="47"/>
      <c r="Z34" s="47"/>
      <c r="AA34" s="47"/>
      <c r="AB34" s="47"/>
      <c r="AC34" s="47"/>
      <c r="AD34" s="47"/>
      <c r="AE34" s="47"/>
      <c r="AF34" s="47"/>
      <c r="AG34" s="47"/>
      <c r="AH34" s="47"/>
      <c r="AI34" s="46"/>
      <c r="AJ34" s="46"/>
      <c r="AK34" s="46"/>
      <c r="AL34" s="7"/>
      <c r="AM34" s="49" t="str">
        <f aca="false">IF(OR(C34="",G34=""),"",IFERROR(DATEDIF(C34,G34,"m"),""))</f>
        <v/>
      </c>
      <c r="AN34" s="49" t="str">
        <f aca="false">IF(OR(Q34="",AM34=""),"",60+2*Q34-AM34)</f>
        <v/>
      </c>
      <c r="AO34" s="49" t="str">
        <f aca="false">IF(OR(G34="",AJ34=""),"",AJ34-G34)</f>
        <v/>
      </c>
      <c r="AP34" s="50" t="str">
        <f aca="false">IF(AND(A34="",B34=""),"",IF(J34="","Status needed",IF(OR(J34="Applied",J34="Visit booked",J34="Withdrawn"),"OK",IF(G34="","Date assessed needed",IF(C34="","Date of birth needed",IF(COUNTA(L34,M34,P34,U34,V34,X34,AB34)&lt;7,"Band missing",IF(AND(OR(J34="Decision confirmed",J34="Family told",J34="Enrolled"),AG34=""),"Recommendation needed",IF(AND(OR(J34="Family told",J34="Enrolled"),AJ34=""),"Date family told needed","OK"))))))))</f>
        <v/>
      </c>
    </row>
    <row r="35" customFormat="false" ht="15" hidden="false" customHeight="false" outlineLevel="0" collapsed="false">
      <c r="A35" s="7"/>
      <c r="B35" s="7"/>
      <c r="C35" s="46"/>
      <c r="D35" s="7"/>
      <c r="E35" s="47"/>
      <c r="F35" s="46"/>
      <c r="G35" s="46"/>
      <c r="H35" s="7"/>
      <c r="I35" s="7"/>
      <c r="J35" s="47"/>
      <c r="K35" s="47"/>
      <c r="L35" s="47"/>
      <c r="M35" s="47"/>
      <c r="N35" s="10"/>
      <c r="O35" s="47"/>
      <c r="P35" s="47"/>
      <c r="Q35" s="47"/>
      <c r="R35" s="48" t="str">
        <f aca="false">IF(Q35="","",IF(Q35=0,"below 5:00",IF(Q35&gt;=66,"16:00 or above",INT((60+2*Q35)/12)&amp;":"&amp;TEXT(MOD(60+2*Q35,12),"00"))))</f>
        <v/>
      </c>
      <c r="S35" s="47"/>
      <c r="T35" s="47"/>
      <c r="U35" s="47"/>
      <c r="V35" s="47"/>
      <c r="W35" s="47"/>
      <c r="X35" s="47"/>
      <c r="Y35" s="47"/>
      <c r="Z35" s="47"/>
      <c r="AA35" s="47"/>
      <c r="AB35" s="47"/>
      <c r="AC35" s="47"/>
      <c r="AD35" s="47"/>
      <c r="AE35" s="47"/>
      <c r="AF35" s="47"/>
      <c r="AG35" s="47"/>
      <c r="AH35" s="47"/>
      <c r="AI35" s="46"/>
      <c r="AJ35" s="46"/>
      <c r="AK35" s="46"/>
      <c r="AL35" s="7"/>
      <c r="AM35" s="49" t="str">
        <f aca="false">IF(OR(C35="",G35=""),"",IFERROR(DATEDIF(C35,G35,"m"),""))</f>
        <v/>
      </c>
      <c r="AN35" s="49" t="str">
        <f aca="false">IF(OR(Q35="",AM35=""),"",60+2*Q35-AM35)</f>
        <v/>
      </c>
      <c r="AO35" s="49" t="str">
        <f aca="false">IF(OR(G35="",AJ35=""),"",AJ35-G35)</f>
        <v/>
      </c>
      <c r="AP35" s="50" t="str">
        <f aca="false">IF(AND(A35="",B35=""),"",IF(J35="","Status needed",IF(OR(J35="Applied",J35="Visit booked",J35="Withdrawn"),"OK",IF(G35="","Date assessed needed",IF(C35="","Date of birth needed",IF(COUNTA(L35,M35,P35,U35,V35,X35,AB35)&lt;7,"Band missing",IF(AND(OR(J35="Decision confirmed",J35="Family told",J35="Enrolled"),AG35=""),"Recommendation needed",IF(AND(OR(J35="Family told",J35="Enrolled"),AJ35=""),"Date family told needed","OK"))))))))</f>
        <v/>
      </c>
    </row>
    <row r="36" customFormat="false" ht="15" hidden="false" customHeight="false" outlineLevel="0" collapsed="false">
      <c r="A36" s="7"/>
      <c r="B36" s="7"/>
      <c r="C36" s="46"/>
      <c r="D36" s="7"/>
      <c r="E36" s="47"/>
      <c r="F36" s="46"/>
      <c r="G36" s="46"/>
      <c r="H36" s="7"/>
      <c r="I36" s="7"/>
      <c r="J36" s="47"/>
      <c r="K36" s="47"/>
      <c r="L36" s="47"/>
      <c r="M36" s="47"/>
      <c r="N36" s="10"/>
      <c r="O36" s="47"/>
      <c r="P36" s="47"/>
      <c r="Q36" s="47"/>
      <c r="R36" s="48" t="str">
        <f aca="false">IF(Q36="","",IF(Q36=0,"below 5:00",IF(Q36&gt;=66,"16:00 or above",INT((60+2*Q36)/12)&amp;":"&amp;TEXT(MOD(60+2*Q36,12),"00"))))</f>
        <v/>
      </c>
      <c r="S36" s="47"/>
      <c r="T36" s="47"/>
      <c r="U36" s="47"/>
      <c r="V36" s="47"/>
      <c r="W36" s="47"/>
      <c r="X36" s="47"/>
      <c r="Y36" s="47"/>
      <c r="Z36" s="47"/>
      <c r="AA36" s="47"/>
      <c r="AB36" s="47"/>
      <c r="AC36" s="47"/>
      <c r="AD36" s="47"/>
      <c r="AE36" s="47"/>
      <c r="AF36" s="47"/>
      <c r="AG36" s="47"/>
      <c r="AH36" s="47"/>
      <c r="AI36" s="46"/>
      <c r="AJ36" s="46"/>
      <c r="AK36" s="46"/>
      <c r="AL36" s="7"/>
      <c r="AM36" s="49" t="str">
        <f aca="false">IF(OR(C36="",G36=""),"",IFERROR(DATEDIF(C36,G36,"m"),""))</f>
        <v/>
      </c>
      <c r="AN36" s="49" t="str">
        <f aca="false">IF(OR(Q36="",AM36=""),"",60+2*Q36-AM36)</f>
        <v/>
      </c>
      <c r="AO36" s="49" t="str">
        <f aca="false">IF(OR(G36="",AJ36=""),"",AJ36-G36)</f>
        <v/>
      </c>
      <c r="AP36" s="50" t="str">
        <f aca="false">IF(AND(A36="",B36=""),"",IF(J36="","Status needed",IF(OR(J36="Applied",J36="Visit booked",J36="Withdrawn"),"OK",IF(G36="","Date assessed needed",IF(C36="","Date of birth needed",IF(COUNTA(L36,M36,P36,U36,V36,X36,AB36)&lt;7,"Band missing",IF(AND(OR(J36="Decision confirmed",J36="Family told",J36="Enrolled"),AG36=""),"Recommendation needed",IF(AND(OR(J36="Family told",J36="Enrolled"),AJ36=""),"Date family told needed","OK"))))))))</f>
        <v/>
      </c>
    </row>
    <row r="37" customFormat="false" ht="15" hidden="false" customHeight="false" outlineLevel="0" collapsed="false">
      <c r="A37" s="7"/>
      <c r="B37" s="7"/>
      <c r="C37" s="46"/>
      <c r="D37" s="7"/>
      <c r="E37" s="47"/>
      <c r="F37" s="46"/>
      <c r="G37" s="46"/>
      <c r="H37" s="7"/>
      <c r="I37" s="7"/>
      <c r="J37" s="47"/>
      <c r="K37" s="47"/>
      <c r="L37" s="47"/>
      <c r="M37" s="47"/>
      <c r="N37" s="10"/>
      <c r="O37" s="47"/>
      <c r="P37" s="47"/>
      <c r="Q37" s="47"/>
      <c r="R37" s="48" t="str">
        <f aca="false">IF(Q37="","",IF(Q37=0,"below 5:00",IF(Q37&gt;=66,"16:00 or above",INT((60+2*Q37)/12)&amp;":"&amp;TEXT(MOD(60+2*Q37,12),"00"))))</f>
        <v/>
      </c>
      <c r="S37" s="47"/>
      <c r="T37" s="47"/>
      <c r="U37" s="47"/>
      <c r="V37" s="47"/>
      <c r="W37" s="47"/>
      <c r="X37" s="47"/>
      <c r="Y37" s="47"/>
      <c r="Z37" s="47"/>
      <c r="AA37" s="47"/>
      <c r="AB37" s="47"/>
      <c r="AC37" s="47"/>
      <c r="AD37" s="47"/>
      <c r="AE37" s="47"/>
      <c r="AF37" s="47"/>
      <c r="AG37" s="47"/>
      <c r="AH37" s="47"/>
      <c r="AI37" s="46"/>
      <c r="AJ37" s="46"/>
      <c r="AK37" s="46"/>
      <c r="AL37" s="7"/>
      <c r="AM37" s="49" t="str">
        <f aca="false">IF(OR(C37="",G37=""),"",IFERROR(DATEDIF(C37,G37,"m"),""))</f>
        <v/>
      </c>
      <c r="AN37" s="49" t="str">
        <f aca="false">IF(OR(Q37="",AM37=""),"",60+2*Q37-AM37)</f>
        <v/>
      </c>
      <c r="AO37" s="49" t="str">
        <f aca="false">IF(OR(G37="",AJ37=""),"",AJ37-G37)</f>
        <v/>
      </c>
      <c r="AP37" s="50" t="str">
        <f aca="false">IF(AND(A37="",B37=""),"",IF(J37="","Status needed",IF(OR(J37="Applied",J37="Visit booked",J37="Withdrawn"),"OK",IF(G37="","Date assessed needed",IF(C37="","Date of birth needed",IF(COUNTA(L37,M37,P37,U37,V37,X37,AB37)&lt;7,"Band missing",IF(AND(OR(J37="Decision confirmed",J37="Family told",J37="Enrolled"),AG37=""),"Recommendation needed",IF(AND(OR(J37="Family told",J37="Enrolled"),AJ37=""),"Date family told needed","OK"))))))))</f>
        <v/>
      </c>
    </row>
    <row r="38" customFormat="false" ht="15" hidden="false" customHeight="false" outlineLevel="0" collapsed="false">
      <c r="A38" s="7"/>
      <c r="B38" s="7"/>
      <c r="C38" s="46"/>
      <c r="D38" s="7"/>
      <c r="E38" s="47"/>
      <c r="F38" s="46"/>
      <c r="G38" s="46"/>
      <c r="H38" s="7"/>
      <c r="I38" s="7"/>
      <c r="J38" s="47"/>
      <c r="K38" s="47"/>
      <c r="L38" s="47"/>
      <c r="M38" s="47"/>
      <c r="N38" s="10"/>
      <c r="O38" s="47"/>
      <c r="P38" s="47"/>
      <c r="Q38" s="47"/>
      <c r="R38" s="48" t="str">
        <f aca="false">IF(Q38="","",IF(Q38=0,"below 5:00",IF(Q38&gt;=66,"16:00 or above",INT((60+2*Q38)/12)&amp;":"&amp;TEXT(MOD(60+2*Q38,12),"00"))))</f>
        <v/>
      </c>
      <c r="S38" s="47"/>
      <c r="T38" s="47"/>
      <c r="U38" s="47"/>
      <c r="V38" s="47"/>
      <c r="W38" s="47"/>
      <c r="X38" s="47"/>
      <c r="Y38" s="47"/>
      <c r="Z38" s="47"/>
      <c r="AA38" s="47"/>
      <c r="AB38" s="47"/>
      <c r="AC38" s="47"/>
      <c r="AD38" s="47"/>
      <c r="AE38" s="47"/>
      <c r="AF38" s="47"/>
      <c r="AG38" s="47"/>
      <c r="AH38" s="47"/>
      <c r="AI38" s="46"/>
      <c r="AJ38" s="46"/>
      <c r="AK38" s="46"/>
      <c r="AL38" s="7"/>
      <c r="AM38" s="49" t="str">
        <f aca="false">IF(OR(C38="",G38=""),"",IFERROR(DATEDIF(C38,G38,"m"),""))</f>
        <v/>
      </c>
      <c r="AN38" s="49" t="str">
        <f aca="false">IF(OR(Q38="",AM38=""),"",60+2*Q38-AM38)</f>
        <v/>
      </c>
      <c r="AO38" s="49" t="str">
        <f aca="false">IF(OR(G38="",AJ38=""),"",AJ38-G38)</f>
        <v/>
      </c>
      <c r="AP38" s="50" t="str">
        <f aca="false">IF(AND(A38="",B38=""),"",IF(J38="","Status needed",IF(OR(J38="Applied",J38="Visit booked",J38="Withdrawn"),"OK",IF(G38="","Date assessed needed",IF(C38="","Date of birth needed",IF(COUNTA(L38,M38,P38,U38,V38,X38,AB38)&lt;7,"Band missing",IF(AND(OR(J38="Decision confirmed",J38="Family told",J38="Enrolled"),AG38=""),"Recommendation needed",IF(AND(OR(J38="Family told",J38="Enrolled"),AJ38=""),"Date family told needed","OK"))))))))</f>
        <v/>
      </c>
    </row>
    <row r="39" customFormat="false" ht="15" hidden="false" customHeight="false" outlineLevel="0" collapsed="false">
      <c r="A39" s="7"/>
      <c r="B39" s="7"/>
      <c r="C39" s="46"/>
      <c r="D39" s="7"/>
      <c r="E39" s="47"/>
      <c r="F39" s="46"/>
      <c r="G39" s="46"/>
      <c r="H39" s="7"/>
      <c r="I39" s="7"/>
      <c r="J39" s="47"/>
      <c r="K39" s="47"/>
      <c r="L39" s="47"/>
      <c r="M39" s="47"/>
      <c r="N39" s="10"/>
      <c r="O39" s="47"/>
      <c r="P39" s="47"/>
      <c r="Q39" s="47"/>
      <c r="R39" s="48" t="str">
        <f aca="false">IF(Q39="","",IF(Q39=0,"below 5:00",IF(Q39&gt;=66,"16:00 or above",INT((60+2*Q39)/12)&amp;":"&amp;TEXT(MOD(60+2*Q39,12),"00"))))</f>
        <v/>
      </c>
      <c r="S39" s="47"/>
      <c r="T39" s="47"/>
      <c r="U39" s="47"/>
      <c r="V39" s="47"/>
      <c r="W39" s="47"/>
      <c r="X39" s="47"/>
      <c r="Y39" s="47"/>
      <c r="Z39" s="47"/>
      <c r="AA39" s="47"/>
      <c r="AB39" s="47"/>
      <c r="AC39" s="47"/>
      <c r="AD39" s="47"/>
      <c r="AE39" s="47"/>
      <c r="AF39" s="47"/>
      <c r="AG39" s="47"/>
      <c r="AH39" s="47"/>
      <c r="AI39" s="46"/>
      <c r="AJ39" s="46"/>
      <c r="AK39" s="46"/>
      <c r="AL39" s="7"/>
      <c r="AM39" s="49" t="str">
        <f aca="false">IF(OR(C39="",G39=""),"",IFERROR(DATEDIF(C39,G39,"m"),""))</f>
        <v/>
      </c>
      <c r="AN39" s="49" t="str">
        <f aca="false">IF(OR(Q39="",AM39=""),"",60+2*Q39-AM39)</f>
        <v/>
      </c>
      <c r="AO39" s="49" t="str">
        <f aca="false">IF(OR(G39="",AJ39=""),"",AJ39-G39)</f>
        <v/>
      </c>
      <c r="AP39" s="50" t="str">
        <f aca="false">IF(AND(A39="",B39=""),"",IF(J39="","Status needed",IF(OR(J39="Applied",J39="Visit booked",J39="Withdrawn"),"OK",IF(G39="","Date assessed needed",IF(C39="","Date of birth needed",IF(COUNTA(L39,M39,P39,U39,V39,X39,AB39)&lt;7,"Band missing",IF(AND(OR(J39="Decision confirmed",J39="Family told",J39="Enrolled"),AG39=""),"Recommendation needed",IF(AND(OR(J39="Family told",J39="Enrolled"),AJ39=""),"Date family told needed","OK"))))))))</f>
        <v/>
      </c>
    </row>
    <row r="40" customFormat="false" ht="15" hidden="false" customHeight="false" outlineLevel="0" collapsed="false">
      <c r="A40" s="7"/>
      <c r="B40" s="7"/>
      <c r="C40" s="46"/>
      <c r="D40" s="7"/>
      <c r="E40" s="47"/>
      <c r="F40" s="46"/>
      <c r="G40" s="46"/>
      <c r="H40" s="7"/>
      <c r="I40" s="7"/>
      <c r="J40" s="47"/>
      <c r="K40" s="47"/>
      <c r="L40" s="47"/>
      <c r="M40" s="47"/>
      <c r="N40" s="10"/>
      <c r="O40" s="47"/>
      <c r="P40" s="47"/>
      <c r="Q40" s="47"/>
      <c r="R40" s="48" t="str">
        <f aca="false">IF(Q40="","",IF(Q40=0,"below 5:00",IF(Q40&gt;=66,"16:00 or above",INT((60+2*Q40)/12)&amp;":"&amp;TEXT(MOD(60+2*Q40,12),"00"))))</f>
        <v/>
      </c>
      <c r="S40" s="47"/>
      <c r="T40" s="47"/>
      <c r="U40" s="47"/>
      <c r="V40" s="47"/>
      <c r="W40" s="47"/>
      <c r="X40" s="47"/>
      <c r="Y40" s="47"/>
      <c r="Z40" s="47"/>
      <c r="AA40" s="47"/>
      <c r="AB40" s="47"/>
      <c r="AC40" s="47"/>
      <c r="AD40" s="47"/>
      <c r="AE40" s="47"/>
      <c r="AF40" s="47"/>
      <c r="AG40" s="47"/>
      <c r="AH40" s="47"/>
      <c r="AI40" s="46"/>
      <c r="AJ40" s="46"/>
      <c r="AK40" s="46"/>
      <c r="AL40" s="7"/>
      <c r="AM40" s="49" t="str">
        <f aca="false">IF(OR(C40="",G40=""),"",IFERROR(DATEDIF(C40,G40,"m"),""))</f>
        <v/>
      </c>
      <c r="AN40" s="49" t="str">
        <f aca="false">IF(OR(Q40="",AM40=""),"",60+2*Q40-AM40)</f>
        <v/>
      </c>
      <c r="AO40" s="49" t="str">
        <f aca="false">IF(OR(G40="",AJ40=""),"",AJ40-G40)</f>
        <v/>
      </c>
      <c r="AP40" s="50" t="str">
        <f aca="false">IF(AND(A40="",B40=""),"",IF(J40="","Status needed",IF(OR(J40="Applied",J40="Visit booked",J40="Withdrawn"),"OK",IF(G40="","Date assessed needed",IF(C40="","Date of birth needed",IF(COUNTA(L40,M40,P40,U40,V40,X40,AB40)&lt;7,"Band missing",IF(AND(OR(J40="Decision confirmed",J40="Family told",J40="Enrolled"),AG40=""),"Recommendation needed",IF(AND(OR(J40="Family told",J40="Enrolled"),AJ40=""),"Date family told needed","OK"))))))))</f>
        <v/>
      </c>
    </row>
    <row r="41" customFormat="false" ht="15" hidden="false" customHeight="false" outlineLevel="0" collapsed="false">
      <c r="A41" s="7"/>
      <c r="B41" s="7"/>
      <c r="C41" s="46"/>
      <c r="D41" s="7"/>
      <c r="E41" s="47"/>
      <c r="F41" s="46"/>
      <c r="G41" s="46"/>
      <c r="H41" s="7"/>
      <c r="I41" s="7"/>
      <c r="J41" s="47"/>
      <c r="K41" s="47"/>
      <c r="L41" s="47"/>
      <c r="M41" s="47"/>
      <c r="N41" s="10"/>
      <c r="O41" s="47"/>
      <c r="P41" s="47"/>
      <c r="Q41" s="47"/>
      <c r="R41" s="48" t="str">
        <f aca="false">IF(Q41="","",IF(Q41=0,"below 5:00",IF(Q41&gt;=66,"16:00 or above",INT((60+2*Q41)/12)&amp;":"&amp;TEXT(MOD(60+2*Q41,12),"00"))))</f>
        <v/>
      </c>
      <c r="S41" s="47"/>
      <c r="T41" s="47"/>
      <c r="U41" s="47"/>
      <c r="V41" s="47"/>
      <c r="W41" s="47"/>
      <c r="X41" s="47"/>
      <c r="Y41" s="47"/>
      <c r="Z41" s="47"/>
      <c r="AA41" s="47"/>
      <c r="AB41" s="47"/>
      <c r="AC41" s="47"/>
      <c r="AD41" s="47"/>
      <c r="AE41" s="47"/>
      <c r="AF41" s="47"/>
      <c r="AG41" s="47"/>
      <c r="AH41" s="47"/>
      <c r="AI41" s="46"/>
      <c r="AJ41" s="46"/>
      <c r="AK41" s="46"/>
      <c r="AL41" s="7"/>
      <c r="AM41" s="49" t="str">
        <f aca="false">IF(OR(C41="",G41=""),"",IFERROR(DATEDIF(C41,G41,"m"),""))</f>
        <v/>
      </c>
      <c r="AN41" s="49" t="str">
        <f aca="false">IF(OR(Q41="",AM41=""),"",60+2*Q41-AM41)</f>
        <v/>
      </c>
      <c r="AO41" s="49" t="str">
        <f aca="false">IF(OR(G41="",AJ41=""),"",AJ41-G41)</f>
        <v/>
      </c>
      <c r="AP41" s="50" t="str">
        <f aca="false">IF(AND(A41="",B41=""),"",IF(J41="","Status needed",IF(OR(J41="Applied",J41="Visit booked",J41="Withdrawn"),"OK",IF(G41="","Date assessed needed",IF(C41="","Date of birth needed",IF(COUNTA(L41,M41,P41,U41,V41,X41,AB41)&lt;7,"Band missing",IF(AND(OR(J41="Decision confirmed",J41="Family told",J41="Enrolled"),AG41=""),"Recommendation needed",IF(AND(OR(J41="Family told",J41="Enrolled"),AJ41=""),"Date family told needed","OK"))))))))</f>
        <v/>
      </c>
    </row>
    <row r="42" customFormat="false" ht="15" hidden="false" customHeight="false" outlineLevel="0" collapsed="false">
      <c r="A42" s="7"/>
      <c r="B42" s="7"/>
      <c r="C42" s="46"/>
      <c r="D42" s="7"/>
      <c r="E42" s="47"/>
      <c r="F42" s="46"/>
      <c r="G42" s="46"/>
      <c r="H42" s="7"/>
      <c r="I42" s="7"/>
      <c r="J42" s="47"/>
      <c r="K42" s="47"/>
      <c r="L42" s="47"/>
      <c r="M42" s="47"/>
      <c r="N42" s="10"/>
      <c r="O42" s="47"/>
      <c r="P42" s="47"/>
      <c r="Q42" s="47"/>
      <c r="R42" s="48" t="str">
        <f aca="false">IF(Q42="","",IF(Q42=0,"below 5:00",IF(Q42&gt;=66,"16:00 or above",INT((60+2*Q42)/12)&amp;":"&amp;TEXT(MOD(60+2*Q42,12),"00"))))</f>
        <v/>
      </c>
      <c r="S42" s="47"/>
      <c r="T42" s="47"/>
      <c r="U42" s="47"/>
      <c r="V42" s="47"/>
      <c r="W42" s="47"/>
      <c r="X42" s="47"/>
      <c r="Y42" s="47"/>
      <c r="Z42" s="47"/>
      <c r="AA42" s="47"/>
      <c r="AB42" s="47"/>
      <c r="AC42" s="47"/>
      <c r="AD42" s="47"/>
      <c r="AE42" s="47"/>
      <c r="AF42" s="47"/>
      <c r="AG42" s="47"/>
      <c r="AH42" s="47"/>
      <c r="AI42" s="46"/>
      <c r="AJ42" s="46"/>
      <c r="AK42" s="46"/>
      <c r="AL42" s="7"/>
      <c r="AM42" s="49" t="str">
        <f aca="false">IF(OR(C42="",G42=""),"",IFERROR(DATEDIF(C42,G42,"m"),""))</f>
        <v/>
      </c>
      <c r="AN42" s="49" t="str">
        <f aca="false">IF(OR(Q42="",AM42=""),"",60+2*Q42-AM42)</f>
        <v/>
      </c>
      <c r="AO42" s="49" t="str">
        <f aca="false">IF(OR(G42="",AJ42=""),"",AJ42-G42)</f>
        <v/>
      </c>
      <c r="AP42" s="50" t="str">
        <f aca="false">IF(AND(A42="",B42=""),"",IF(J42="","Status needed",IF(OR(J42="Applied",J42="Visit booked",J42="Withdrawn"),"OK",IF(G42="","Date assessed needed",IF(C42="","Date of birth needed",IF(COUNTA(L42,M42,P42,U42,V42,X42,AB42)&lt;7,"Band missing",IF(AND(OR(J42="Decision confirmed",J42="Family told",J42="Enrolled"),AG42=""),"Recommendation needed",IF(AND(OR(J42="Family told",J42="Enrolled"),AJ42=""),"Date family told needed","OK"))))))))</f>
        <v/>
      </c>
    </row>
    <row r="43" customFormat="false" ht="15" hidden="false" customHeight="false" outlineLevel="0" collapsed="false">
      <c r="A43" s="7"/>
      <c r="B43" s="7"/>
      <c r="C43" s="46"/>
      <c r="D43" s="7"/>
      <c r="E43" s="47"/>
      <c r="F43" s="46"/>
      <c r="G43" s="46"/>
      <c r="H43" s="7"/>
      <c r="I43" s="7"/>
      <c r="J43" s="47"/>
      <c r="K43" s="47"/>
      <c r="L43" s="47"/>
      <c r="M43" s="47"/>
      <c r="N43" s="10"/>
      <c r="O43" s="47"/>
      <c r="P43" s="47"/>
      <c r="Q43" s="47"/>
      <c r="R43" s="48" t="str">
        <f aca="false">IF(Q43="","",IF(Q43=0,"below 5:00",IF(Q43&gt;=66,"16:00 or above",INT((60+2*Q43)/12)&amp;":"&amp;TEXT(MOD(60+2*Q43,12),"00"))))</f>
        <v/>
      </c>
      <c r="S43" s="47"/>
      <c r="T43" s="47"/>
      <c r="U43" s="47"/>
      <c r="V43" s="47"/>
      <c r="W43" s="47"/>
      <c r="X43" s="47"/>
      <c r="Y43" s="47"/>
      <c r="Z43" s="47"/>
      <c r="AA43" s="47"/>
      <c r="AB43" s="47"/>
      <c r="AC43" s="47"/>
      <c r="AD43" s="47"/>
      <c r="AE43" s="47"/>
      <c r="AF43" s="47"/>
      <c r="AG43" s="47"/>
      <c r="AH43" s="47"/>
      <c r="AI43" s="46"/>
      <c r="AJ43" s="46"/>
      <c r="AK43" s="46"/>
      <c r="AL43" s="7"/>
      <c r="AM43" s="49" t="str">
        <f aca="false">IF(OR(C43="",G43=""),"",IFERROR(DATEDIF(C43,G43,"m"),""))</f>
        <v/>
      </c>
      <c r="AN43" s="49" t="str">
        <f aca="false">IF(OR(Q43="",AM43=""),"",60+2*Q43-AM43)</f>
        <v/>
      </c>
      <c r="AO43" s="49" t="str">
        <f aca="false">IF(OR(G43="",AJ43=""),"",AJ43-G43)</f>
        <v/>
      </c>
      <c r="AP43" s="50" t="str">
        <f aca="false">IF(AND(A43="",B43=""),"",IF(J43="","Status needed",IF(OR(J43="Applied",J43="Visit booked",J43="Withdrawn"),"OK",IF(G43="","Date assessed needed",IF(C43="","Date of birth needed",IF(COUNTA(L43,M43,P43,U43,V43,X43,AB43)&lt;7,"Band missing",IF(AND(OR(J43="Decision confirmed",J43="Family told",J43="Enrolled"),AG43=""),"Recommendation needed",IF(AND(OR(J43="Family told",J43="Enrolled"),AJ43=""),"Date family told needed","OK"))))))))</f>
        <v/>
      </c>
    </row>
    <row r="44" customFormat="false" ht="15" hidden="false" customHeight="false" outlineLevel="0" collapsed="false">
      <c r="A44" s="7"/>
      <c r="B44" s="7"/>
      <c r="C44" s="46"/>
      <c r="D44" s="7"/>
      <c r="E44" s="47"/>
      <c r="F44" s="46"/>
      <c r="G44" s="46"/>
      <c r="H44" s="7"/>
      <c r="I44" s="7"/>
      <c r="J44" s="47"/>
      <c r="K44" s="47"/>
      <c r="L44" s="47"/>
      <c r="M44" s="47"/>
      <c r="N44" s="10"/>
      <c r="O44" s="47"/>
      <c r="P44" s="47"/>
      <c r="Q44" s="47"/>
      <c r="R44" s="48" t="str">
        <f aca="false">IF(Q44="","",IF(Q44=0,"below 5:00",IF(Q44&gt;=66,"16:00 or above",INT((60+2*Q44)/12)&amp;":"&amp;TEXT(MOD(60+2*Q44,12),"00"))))</f>
        <v/>
      </c>
      <c r="S44" s="47"/>
      <c r="T44" s="47"/>
      <c r="U44" s="47"/>
      <c r="V44" s="47"/>
      <c r="W44" s="47"/>
      <c r="X44" s="47"/>
      <c r="Y44" s="47"/>
      <c r="Z44" s="47"/>
      <c r="AA44" s="47"/>
      <c r="AB44" s="47"/>
      <c r="AC44" s="47"/>
      <c r="AD44" s="47"/>
      <c r="AE44" s="47"/>
      <c r="AF44" s="47"/>
      <c r="AG44" s="47"/>
      <c r="AH44" s="47"/>
      <c r="AI44" s="46"/>
      <c r="AJ44" s="46"/>
      <c r="AK44" s="46"/>
      <c r="AL44" s="7"/>
      <c r="AM44" s="49" t="str">
        <f aca="false">IF(OR(C44="",G44=""),"",IFERROR(DATEDIF(C44,G44,"m"),""))</f>
        <v/>
      </c>
      <c r="AN44" s="49" t="str">
        <f aca="false">IF(OR(Q44="",AM44=""),"",60+2*Q44-AM44)</f>
        <v/>
      </c>
      <c r="AO44" s="49" t="str">
        <f aca="false">IF(OR(G44="",AJ44=""),"",AJ44-G44)</f>
        <v/>
      </c>
      <c r="AP44" s="50" t="str">
        <f aca="false">IF(AND(A44="",B44=""),"",IF(J44="","Status needed",IF(OR(J44="Applied",J44="Visit booked",J44="Withdrawn"),"OK",IF(G44="","Date assessed needed",IF(C44="","Date of birth needed",IF(COUNTA(L44,M44,P44,U44,V44,X44,AB44)&lt;7,"Band missing",IF(AND(OR(J44="Decision confirmed",J44="Family told",J44="Enrolled"),AG44=""),"Recommendation needed",IF(AND(OR(J44="Family told",J44="Enrolled"),AJ44=""),"Date family told needed","OK"))))))))</f>
        <v/>
      </c>
    </row>
    <row r="45" customFormat="false" ht="15" hidden="false" customHeight="false" outlineLevel="0" collapsed="false">
      <c r="A45" s="7"/>
      <c r="B45" s="7"/>
      <c r="C45" s="46"/>
      <c r="D45" s="7"/>
      <c r="E45" s="47"/>
      <c r="F45" s="46"/>
      <c r="G45" s="46"/>
      <c r="H45" s="7"/>
      <c r="I45" s="7"/>
      <c r="J45" s="47"/>
      <c r="K45" s="47"/>
      <c r="L45" s="47"/>
      <c r="M45" s="47"/>
      <c r="N45" s="10"/>
      <c r="O45" s="47"/>
      <c r="P45" s="47"/>
      <c r="Q45" s="47"/>
      <c r="R45" s="48" t="str">
        <f aca="false">IF(Q45="","",IF(Q45=0,"below 5:00",IF(Q45&gt;=66,"16:00 or above",INT((60+2*Q45)/12)&amp;":"&amp;TEXT(MOD(60+2*Q45,12),"00"))))</f>
        <v/>
      </c>
      <c r="S45" s="47"/>
      <c r="T45" s="47"/>
      <c r="U45" s="47"/>
      <c r="V45" s="47"/>
      <c r="W45" s="47"/>
      <c r="X45" s="47"/>
      <c r="Y45" s="47"/>
      <c r="Z45" s="47"/>
      <c r="AA45" s="47"/>
      <c r="AB45" s="47"/>
      <c r="AC45" s="47"/>
      <c r="AD45" s="47"/>
      <c r="AE45" s="47"/>
      <c r="AF45" s="47"/>
      <c r="AG45" s="47"/>
      <c r="AH45" s="47"/>
      <c r="AI45" s="46"/>
      <c r="AJ45" s="46"/>
      <c r="AK45" s="46"/>
      <c r="AL45" s="7"/>
      <c r="AM45" s="49" t="str">
        <f aca="false">IF(OR(C45="",G45=""),"",IFERROR(DATEDIF(C45,G45,"m"),""))</f>
        <v/>
      </c>
      <c r="AN45" s="49" t="str">
        <f aca="false">IF(OR(Q45="",AM45=""),"",60+2*Q45-AM45)</f>
        <v/>
      </c>
      <c r="AO45" s="49" t="str">
        <f aca="false">IF(OR(G45="",AJ45=""),"",AJ45-G45)</f>
        <v/>
      </c>
      <c r="AP45" s="50" t="str">
        <f aca="false">IF(AND(A45="",B45=""),"",IF(J45="","Status needed",IF(OR(J45="Applied",J45="Visit booked",J45="Withdrawn"),"OK",IF(G45="","Date assessed needed",IF(C45="","Date of birth needed",IF(COUNTA(L45,M45,P45,U45,V45,X45,AB45)&lt;7,"Band missing",IF(AND(OR(J45="Decision confirmed",J45="Family told",J45="Enrolled"),AG45=""),"Recommendation needed",IF(AND(OR(J45="Family told",J45="Enrolled"),AJ45=""),"Date family told needed","OK"))))))))</f>
        <v/>
      </c>
    </row>
    <row r="46" customFormat="false" ht="15" hidden="false" customHeight="false" outlineLevel="0" collapsed="false">
      <c r="A46" s="7"/>
      <c r="B46" s="7"/>
      <c r="C46" s="46"/>
      <c r="D46" s="7"/>
      <c r="E46" s="47"/>
      <c r="F46" s="46"/>
      <c r="G46" s="46"/>
      <c r="H46" s="7"/>
      <c r="I46" s="7"/>
      <c r="J46" s="47"/>
      <c r="K46" s="47"/>
      <c r="L46" s="47"/>
      <c r="M46" s="47"/>
      <c r="N46" s="10"/>
      <c r="O46" s="47"/>
      <c r="P46" s="47"/>
      <c r="Q46" s="47"/>
      <c r="R46" s="48" t="str">
        <f aca="false">IF(Q46="","",IF(Q46=0,"below 5:00",IF(Q46&gt;=66,"16:00 or above",INT((60+2*Q46)/12)&amp;":"&amp;TEXT(MOD(60+2*Q46,12),"00"))))</f>
        <v/>
      </c>
      <c r="S46" s="47"/>
      <c r="T46" s="47"/>
      <c r="U46" s="47"/>
      <c r="V46" s="47"/>
      <c r="W46" s="47"/>
      <c r="X46" s="47"/>
      <c r="Y46" s="47"/>
      <c r="Z46" s="47"/>
      <c r="AA46" s="47"/>
      <c r="AB46" s="47"/>
      <c r="AC46" s="47"/>
      <c r="AD46" s="47"/>
      <c r="AE46" s="47"/>
      <c r="AF46" s="47"/>
      <c r="AG46" s="47"/>
      <c r="AH46" s="47"/>
      <c r="AI46" s="46"/>
      <c r="AJ46" s="46"/>
      <c r="AK46" s="46"/>
      <c r="AL46" s="7"/>
      <c r="AM46" s="49" t="str">
        <f aca="false">IF(OR(C46="",G46=""),"",IFERROR(DATEDIF(C46,G46,"m"),""))</f>
        <v/>
      </c>
      <c r="AN46" s="49" t="str">
        <f aca="false">IF(OR(Q46="",AM46=""),"",60+2*Q46-AM46)</f>
        <v/>
      </c>
      <c r="AO46" s="49" t="str">
        <f aca="false">IF(OR(G46="",AJ46=""),"",AJ46-G46)</f>
        <v/>
      </c>
      <c r="AP46" s="50" t="str">
        <f aca="false">IF(AND(A46="",B46=""),"",IF(J46="","Status needed",IF(OR(J46="Applied",J46="Visit booked",J46="Withdrawn"),"OK",IF(G46="","Date assessed needed",IF(C46="","Date of birth needed",IF(COUNTA(L46,M46,P46,U46,V46,X46,AB46)&lt;7,"Band missing",IF(AND(OR(J46="Decision confirmed",J46="Family told",J46="Enrolled"),AG46=""),"Recommendation needed",IF(AND(OR(J46="Family told",J46="Enrolled"),AJ46=""),"Date family told needed","OK"))))))))</f>
        <v/>
      </c>
    </row>
    <row r="47" customFormat="false" ht="15" hidden="false" customHeight="false" outlineLevel="0" collapsed="false">
      <c r="A47" s="7"/>
      <c r="B47" s="7"/>
      <c r="C47" s="46"/>
      <c r="D47" s="7"/>
      <c r="E47" s="47"/>
      <c r="F47" s="46"/>
      <c r="G47" s="46"/>
      <c r="H47" s="7"/>
      <c r="I47" s="7"/>
      <c r="J47" s="47"/>
      <c r="K47" s="47"/>
      <c r="L47" s="47"/>
      <c r="M47" s="47"/>
      <c r="N47" s="10"/>
      <c r="O47" s="47"/>
      <c r="P47" s="47"/>
      <c r="Q47" s="47"/>
      <c r="R47" s="48" t="str">
        <f aca="false">IF(Q47="","",IF(Q47=0,"below 5:00",IF(Q47&gt;=66,"16:00 or above",INT((60+2*Q47)/12)&amp;":"&amp;TEXT(MOD(60+2*Q47,12),"00"))))</f>
        <v/>
      </c>
      <c r="S47" s="47"/>
      <c r="T47" s="47"/>
      <c r="U47" s="47"/>
      <c r="V47" s="47"/>
      <c r="W47" s="47"/>
      <c r="X47" s="47"/>
      <c r="Y47" s="47"/>
      <c r="Z47" s="47"/>
      <c r="AA47" s="47"/>
      <c r="AB47" s="47"/>
      <c r="AC47" s="47"/>
      <c r="AD47" s="47"/>
      <c r="AE47" s="47"/>
      <c r="AF47" s="47"/>
      <c r="AG47" s="47"/>
      <c r="AH47" s="47"/>
      <c r="AI47" s="46"/>
      <c r="AJ47" s="46"/>
      <c r="AK47" s="46"/>
      <c r="AL47" s="7"/>
      <c r="AM47" s="49" t="str">
        <f aca="false">IF(OR(C47="",G47=""),"",IFERROR(DATEDIF(C47,G47,"m"),""))</f>
        <v/>
      </c>
      <c r="AN47" s="49" t="str">
        <f aca="false">IF(OR(Q47="",AM47=""),"",60+2*Q47-AM47)</f>
        <v/>
      </c>
      <c r="AO47" s="49" t="str">
        <f aca="false">IF(OR(G47="",AJ47=""),"",AJ47-G47)</f>
        <v/>
      </c>
      <c r="AP47" s="50" t="str">
        <f aca="false">IF(AND(A47="",B47=""),"",IF(J47="","Status needed",IF(OR(J47="Applied",J47="Visit booked",J47="Withdrawn"),"OK",IF(G47="","Date assessed needed",IF(C47="","Date of birth needed",IF(COUNTA(L47,M47,P47,U47,V47,X47,AB47)&lt;7,"Band missing",IF(AND(OR(J47="Decision confirmed",J47="Family told",J47="Enrolled"),AG47=""),"Recommendation needed",IF(AND(OR(J47="Family told",J47="Enrolled"),AJ47=""),"Date family told needed","OK"))))))))</f>
        <v/>
      </c>
    </row>
    <row r="48" customFormat="false" ht="15" hidden="false" customHeight="false" outlineLevel="0" collapsed="false">
      <c r="A48" s="7"/>
      <c r="B48" s="7"/>
      <c r="C48" s="46"/>
      <c r="D48" s="7"/>
      <c r="E48" s="47"/>
      <c r="F48" s="46"/>
      <c r="G48" s="46"/>
      <c r="H48" s="7"/>
      <c r="I48" s="7"/>
      <c r="J48" s="47"/>
      <c r="K48" s="47"/>
      <c r="L48" s="47"/>
      <c r="M48" s="47"/>
      <c r="N48" s="10"/>
      <c r="O48" s="47"/>
      <c r="P48" s="47"/>
      <c r="Q48" s="47"/>
      <c r="R48" s="48" t="str">
        <f aca="false">IF(Q48="","",IF(Q48=0,"below 5:00",IF(Q48&gt;=66,"16:00 or above",INT((60+2*Q48)/12)&amp;":"&amp;TEXT(MOD(60+2*Q48,12),"00"))))</f>
        <v/>
      </c>
      <c r="S48" s="47"/>
      <c r="T48" s="47"/>
      <c r="U48" s="47"/>
      <c r="V48" s="47"/>
      <c r="W48" s="47"/>
      <c r="X48" s="47"/>
      <c r="Y48" s="47"/>
      <c r="Z48" s="47"/>
      <c r="AA48" s="47"/>
      <c r="AB48" s="47"/>
      <c r="AC48" s="47"/>
      <c r="AD48" s="47"/>
      <c r="AE48" s="47"/>
      <c r="AF48" s="47"/>
      <c r="AG48" s="47"/>
      <c r="AH48" s="47"/>
      <c r="AI48" s="46"/>
      <c r="AJ48" s="46"/>
      <c r="AK48" s="46"/>
      <c r="AL48" s="7"/>
      <c r="AM48" s="49" t="str">
        <f aca="false">IF(OR(C48="",G48=""),"",IFERROR(DATEDIF(C48,G48,"m"),""))</f>
        <v/>
      </c>
      <c r="AN48" s="49" t="str">
        <f aca="false">IF(OR(Q48="",AM48=""),"",60+2*Q48-AM48)</f>
        <v/>
      </c>
      <c r="AO48" s="49" t="str">
        <f aca="false">IF(OR(G48="",AJ48=""),"",AJ48-G48)</f>
        <v/>
      </c>
      <c r="AP48" s="50" t="str">
        <f aca="false">IF(AND(A48="",B48=""),"",IF(J48="","Status needed",IF(OR(J48="Applied",J48="Visit booked",J48="Withdrawn"),"OK",IF(G48="","Date assessed needed",IF(C48="","Date of birth needed",IF(COUNTA(L48,M48,P48,U48,V48,X48,AB48)&lt;7,"Band missing",IF(AND(OR(J48="Decision confirmed",J48="Family told",J48="Enrolled"),AG48=""),"Recommendation needed",IF(AND(OR(J48="Family told",J48="Enrolled"),AJ48=""),"Date family told needed","OK"))))))))</f>
        <v/>
      </c>
    </row>
    <row r="49" customFormat="false" ht="15" hidden="false" customHeight="false" outlineLevel="0" collapsed="false">
      <c r="A49" s="7"/>
      <c r="B49" s="7"/>
      <c r="C49" s="46"/>
      <c r="D49" s="7"/>
      <c r="E49" s="47"/>
      <c r="F49" s="46"/>
      <c r="G49" s="46"/>
      <c r="H49" s="7"/>
      <c r="I49" s="7"/>
      <c r="J49" s="47"/>
      <c r="K49" s="47"/>
      <c r="L49" s="47"/>
      <c r="M49" s="47"/>
      <c r="N49" s="10"/>
      <c r="O49" s="47"/>
      <c r="P49" s="47"/>
      <c r="Q49" s="47"/>
      <c r="R49" s="48" t="str">
        <f aca="false">IF(Q49="","",IF(Q49=0,"below 5:00",IF(Q49&gt;=66,"16:00 or above",INT((60+2*Q49)/12)&amp;":"&amp;TEXT(MOD(60+2*Q49,12),"00"))))</f>
        <v/>
      </c>
      <c r="S49" s="47"/>
      <c r="T49" s="47"/>
      <c r="U49" s="47"/>
      <c r="V49" s="47"/>
      <c r="W49" s="47"/>
      <c r="X49" s="47"/>
      <c r="Y49" s="47"/>
      <c r="Z49" s="47"/>
      <c r="AA49" s="47"/>
      <c r="AB49" s="47"/>
      <c r="AC49" s="47"/>
      <c r="AD49" s="47"/>
      <c r="AE49" s="47"/>
      <c r="AF49" s="47"/>
      <c r="AG49" s="47"/>
      <c r="AH49" s="47"/>
      <c r="AI49" s="46"/>
      <c r="AJ49" s="46"/>
      <c r="AK49" s="46"/>
      <c r="AL49" s="7"/>
      <c r="AM49" s="49" t="str">
        <f aca="false">IF(OR(C49="",G49=""),"",IFERROR(DATEDIF(C49,G49,"m"),""))</f>
        <v/>
      </c>
      <c r="AN49" s="49" t="str">
        <f aca="false">IF(OR(Q49="",AM49=""),"",60+2*Q49-AM49)</f>
        <v/>
      </c>
      <c r="AO49" s="49" t="str">
        <f aca="false">IF(OR(G49="",AJ49=""),"",AJ49-G49)</f>
        <v/>
      </c>
      <c r="AP49" s="50" t="str">
        <f aca="false">IF(AND(A49="",B49=""),"",IF(J49="","Status needed",IF(OR(J49="Applied",J49="Visit booked",J49="Withdrawn"),"OK",IF(G49="","Date assessed needed",IF(C49="","Date of birth needed",IF(COUNTA(L49,M49,P49,U49,V49,X49,AB49)&lt;7,"Band missing",IF(AND(OR(J49="Decision confirmed",J49="Family told",J49="Enrolled"),AG49=""),"Recommendation needed",IF(AND(OR(J49="Family told",J49="Enrolled"),AJ49=""),"Date family told needed","OK"))))))))</f>
        <v/>
      </c>
    </row>
    <row r="50" customFormat="false" ht="15" hidden="false" customHeight="false" outlineLevel="0" collapsed="false">
      <c r="A50" s="7"/>
      <c r="B50" s="7"/>
      <c r="C50" s="46"/>
      <c r="D50" s="7"/>
      <c r="E50" s="47"/>
      <c r="F50" s="46"/>
      <c r="G50" s="46"/>
      <c r="H50" s="7"/>
      <c r="I50" s="7"/>
      <c r="J50" s="47"/>
      <c r="K50" s="47"/>
      <c r="L50" s="47"/>
      <c r="M50" s="47"/>
      <c r="N50" s="10"/>
      <c r="O50" s="47"/>
      <c r="P50" s="47"/>
      <c r="Q50" s="47"/>
      <c r="R50" s="48" t="str">
        <f aca="false">IF(Q50="","",IF(Q50=0,"below 5:00",IF(Q50&gt;=66,"16:00 or above",INT((60+2*Q50)/12)&amp;":"&amp;TEXT(MOD(60+2*Q50,12),"00"))))</f>
        <v/>
      </c>
      <c r="S50" s="47"/>
      <c r="T50" s="47"/>
      <c r="U50" s="47"/>
      <c r="V50" s="47"/>
      <c r="W50" s="47"/>
      <c r="X50" s="47"/>
      <c r="Y50" s="47"/>
      <c r="Z50" s="47"/>
      <c r="AA50" s="47"/>
      <c r="AB50" s="47"/>
      <c r="AC50" s="47"/>
      <c r="AD50" s="47"/>
      <c r="AE50" s="47"/>
      <c r="AF50" s="47"/>
      <c r="AG50" s="47"/>
      <c r="AH50" s="47"/>
      <c r="AI50" s="46"/>
      <c r="AJ50" s="46"/>
      <c r="AK50" s="46"/>
      <c r="AL50" s="7"/>
      <c r="AM50" s="49" t="str">
        <f aca="false">IF(OR(C50="",G50=""),"",IFERROR(DATEDIF(C50,G50,"m"),""))</f>
        <v/>
      </c>
      <c r="AN50" s="49" t="str">
        <f aca="false">IF(OR(Q50="",AM50=""),"",60+2*Q50-AM50)</f>
        <v/>
      </c>
      <c r="AO50" s="49" t="str">
        <f aca="false">IF(OR(G50="",AJ50=""),"",AJ50-G50)</f>
        <v/>
      </c>
      <c r="AP50" s="50" t="str">
        <f aca="false">IF(AND(A50="",B50=""),"",IF(J50="","Status needed",IF(OR(J50="Applied",J50="Visit booked",J50="Withdrawn"),"OK",IF(G50="","Date assessed needed",IF(C50="","Date of birth needed",IF(COUNTA(L50,M50,P50,U50,V50,X50,AB50)&lt;7,"Band missing",IF(AND(OR(J50="Decision confirmed",J50="Family told",J50="Enrolled"),AG50=""),"Recommendation needed",IF(AND(OR(J50="Family told",J50="Enrolled"),AJ50=""),"Date family told needed","OK"))))))))</f>
        <v/>
      </c>
    </row>
    <row r="51" customFormat="false" ht="15" hidden="false" customHeight="false" outlineLevel="0" collapsed="false">
      <c r="A51" s="7"/>
      <c r="B51" s="7"/>
      <c r="C51" s="46"/>
      <c r="D51" s="7"/>
      <c r="E51" s="47"/>
      <c r="F51" s="46"/>
      <c r="G51" s="46"/>
      <c r="H51" s="7"/>
      <c r="I51" s="7"/>
      <c r="J51" s="47"/>
      <c r="K51" s="47"/>
      <c r="L51" s="47"/>
      <c r="M51" s="47"/>
      <c r="N51" s="10"/>
      <c r="O51" s="47"/>
      <c r="P51" s="47"/>
      <c r="Q51" s="47"/>
      <c r="R51" s="48" t="str">
        <f aca="false">IF(Q51="","",IF(Q51=0,"below 5:00",IF(Q51&gt;=66,"16:00 or above",INT((60+2*Q51)/12)&amp;":"&amp;TEXT(MOD(60+2*Q51,12),"00"))))</f>
        <v/>
      </c>
      <c r="S51" s="47"/>
      <c r="T51" s="47"/>
      <c r="U51" s="47"/>
      <c r="V51" s="47"/>
      <c r="W51" s="47"/>
      <c r="X51" s="47"/>
      <c r="Y51" s="47"/>
      <c r="Z51" s="47"/>
      <c r="AA51" s="47"/>
      <c r="AB51" s="47"/>
      <c r="AC51" s="47"/>
      <c r="AD51" s="47"/>
      <c r="AE51" s="47"/>
      <c r="AF51" s="47"/>
      <c r="AG51" s="47"/>
      <c r="AH51" s="47"/>
      <c r="AI51" s="46"/>
      <c r="AJ51" s="46"/>
      <c r="AK51" s="46"/>
      <c r="AL51" s="7"/>
      <c r="AM51" s="49" t="str">
        <f aca="false">IF(OR(C51="",G51=""),"",IFERROR(DATEDIF(C51,G51,"m"),""))</f>
        <v/>
      </c>
      <c r="AN51" s="49" t="str">
        <f aca="false">IF(OR(Q51="",AM51=""),"",60+2*Q51-AM51)</f>
        <v/>
      </c>
      <c r="AO51" s="49" t="str">
        <f aca="false">IF(OR(G51="",AJ51=""),"",AJ51-G51)</f>
        <v/>
      </c>
      <c r="AP51" s="50" t="str">
        <f aca="false">IF(AND(A51="",B51=""),"",IF(J51="","Status needed",IF(OR(J51="Applied",J51="Visit booked",J51="Withdrawn"),"OK",IF(G51="","Date assessed needed",IF(C51="","Date of birth needed",IF(COUNTA(L51,M51,P51,U51,V51,X51,AB51)&lt;7,"Band missing",IF(AND(OR(J51="Decision confirmed",J51="Family told",J51="Enrolled"),AG51=""),"Recommendation needed",IF(AND(OR(J51="Family told",J51="Enrolled"),AJ51=""),"Date family told needed","OK"))))))))</f>
        <v/>
      </c>
    </row>
    <row r="52" customFormat="false" ht="15" hidden="false" customHeight="false" outlineLevel="0" collapsed="false">
      <c r="A52" s="7"/>
      <c r="B52" s="7"/>
      <c r="C52" s="46"/>
      <c r="D52" s="7"/>
      <c r="E52" s="47"/>
      <c r="F52" s="46"/>
      <c r="G52" s="46"/>
      <c r="H52" s="7"/>
      <c r="I52" s="7"/>
      <c r="J52" s="47"/>
      <c r="K52" s="47"/>
      <c r="L52" s="47"/>
      <c r="M52" s="47"/>
      <c r="N52" s="10"/>
      <c r="O52" s="47"/>
      <c r="P52" s="47"/>
      <c r="Q52" s="47"/>
      <c r="R52" s="48" t="str">
        <f aca="false">IF(Q52="","",IF(Q52=0,"below 5:00",IF(Q52&gt;=66,"16:00 or above",INT((60+2*Q52)/12)&amp;":"&amp;TEXT(MOD(60+2*Q52,12),"00"))))</f>
        <v/>
      </c>
      <c r="S52" s="47"/>
      <c r="T52" s="47"/>
      <c r="U52" s="47"/>
      <c r="V52" s="47"/>
      <c r="W52" s="47"/>
      <c r="X52" s="47"/>
      <c r="Y52" s="47"/>
      <c r="Z52" s="47"/>
      <c r="AA52" s="47"/>
      <c r="AB52" s="47"/>
      <c r="AC52" s="47"/>
      <c r="AD52" s="47"/>
      <c r="AE52" s="47"/>
      <c r="AF52" s="47"/>
      <c r="AG52" s="47"/>
      <c r="AH52" s="47"/>
      <c r="AI52" s="46"/>
      <c r="AJ52" s="46"/>
      <c r="AK52" s="46"/>
      <c r="AL52" s="7"/>
      <c r="AM52" s="49" t="str">
        <f aca="false">IF(OR(C52="",G52=""),"",IFERROR(DATEDIF(C52,G52,"m"),""))</f>
        <v/>
      </c>
      <c r="AN52" s="49" t="str">
        <f aca="false">IF(OR(Q52="",AM52=""),"",60+2*Q52-AM52)</f>
        <v/>
      </c>
      <c r="AO52" s="49" t="str">
        <f aca="false">IF(OR(G52="",AJ52=""),"",AJ52-G52)</f>
        <v/>
      </c>
      <c r="AP52" s="50" t="str">
        <f aca="false">IF(AND(A52="",B52=""),"",IF(J52="","Status needed",IF(OR(J52="Applied",J52="Visit booked",J52="Withdrawn"),"OK",IF(G52="","Date assessed needed",IF(C52="","Date of birth needed",IF(COUNTA(L52,M52,P52,U52,V52,X52,AB52)&lt;7,"Band missing",IF(AND(OR(J52="Decision confirmed",J52="Family told",J52="Enrolled"),AG52=""),"Recommendation needed",IF(AND(OR(J52="Family told",J52="Enrolled"),AJ52=""),"Date family told needed","OK"))))))))</f>
        <v/>
      </c>
    </row>
    <row r="53" customFormat="false" ht="15" hidden="false" customHeight="false" outlineLevel="0" collapsed="false">
      <c r="A53" s="7"/>
      <c r="B53" s="7"/>
      <c r="C53" s="46"/>
      <c r="D53" s="7"/>
      <c r="E53" s="47"/>
      <c r="F53" s="46"/>
      <c r="G53" s="46"/>
      <c r="H53" s="7"/>
      <c r="I53" s="7"/>
      <c r="J53" s="47"/>
      <c r="K53" s="47"/>
      <c r="L53" s="47"/>
      <c r="M53" s="47"/>
      <c r="N53" s="10"/>
      <c r="O53" s="47"/>
      <c r="P53" s="47"/>
      <c r="Q53" s="47"/>
      <c r="R53" s="48" t="str">
        <f aca="false">IF(Q53="","",IF(Q53=0,"below 5:00",IF(Q53&gt;=66,"16:00 or above",INT((60+2*Q53)/12)&amp;":"&amp;TEXT(MOD(60+2*Q53,12),"00"))))</f>
        <v/>
      </c>
      <c r="S53" s="47"/>
      <c r="T53" s="47"/>
      <c r="U53" s="47"/>
      <c r="V53" s="47"/>
      <c r="W53" s="47"/>
      <c r="X53" s="47"/>
      <c r="Y53" s="47"/>
      <c r="Z53" s="47"/>
      <c r="AA53" s="47"/>
      <c r="AB53" s="47"/>
      <c r="AC53" s="47"/>
      <c r="AD53" s="47"/>
      <c r="AE53" s="47"/>
      <c r="AF53" s="47"/>
      <c r="AG53" s="47"/>
      <c r="AH53" s="47"/>
      <c r="AI53" s="46"/>
      <c r="AJ53" s="46"/>
      <c r="AK53" s="46"/>
      <c r="AL53" s="7"/>
      <c r="AM53" s="49" t="str">
        <f aca="false">IF(OR(C53="",G53=""),"",IFERROR(DATEDIF(C53,G53,"m"),""))</f>
        <v/>
      </c>
      <c r="AN53" s="49" t="str">
        <f aca="false">IF(OR(Q53="",AM53=""),"",60+2*Q53-AM53)</f>
        <v/>
      </c>
      <c r="AO53" s="49" t="str">
        <f aca="false">IF(OR(G53="",AJ53=""),"",AJ53-G53)</f>
        <v/>
      </c>
      <c r="AP53" s="50" t="str">
        <f aca="false">IF(AND(A53="",B53=""),"",IF(J53="","Status needed",IF(OR(J53="Applied",J53="Visit booked",J53="Withdrawn"),"OK",IF(G53="","Date assessed needed",IF(C53="","Date of birth needed",IF(COUNTA(L53,M53,P53,U53,V53,X53,AB53)&lt;7,"Band missing",IF(AND(OR(J53="Decision confirmed",J53="Family told",J53="Enrolled"),AG53=""),"Recommendation needed",IF(AND(OR(J53="Family told",J53="Enrolled"),AJ53=""),"Date family told needed","OK"))))))))</f>
        <v/>
      </c>
    </row>
    <row r="54" customFormat="false" ht="15" hidden="false" customHeight="false" outlineLevel="0" collapsed="false">
      <c r="A54" s="7"/>
      <c r="B54" s="7"/>
      <c r="C54" s="46"/>
      <c r="D54" s="7"/>
      <c r="E54" s="47"/>
      <c r="F54" s="46"/>
      <c r="G54" s="46"/>
      <c r="H54" s="7"/>
      <c r="I54" s="7"/>
      <c r="J54" s="47"/>
      <c r="K54" s="47"/>
      <c r="L54" s="47"/>
      <c r="M54" s="47"/>
      <c r="N54" s="10"/>
      <c r="O54" s="47"/>
      <c r="P54" s="47"/>
      <c r="Q54" s="47"/>
      <c r="R54" s="48" t="str">
        <f aca="false">IF(Q54="","",IF(Q54=0,"below 5:00",IF(Q54&gt;=66,"16:00 or above",INT((60+2*Q54)/12)&amp;":"&amp;TEXT(MOD(60+2*Q54,12),"00"))))</f>
        <v/>
      </c>
      <c r="S54" s="47"/>
      <c r="T54" s="47"/>
      <c r="U54" s="47"/>
      <c r="V54" s="47"/>
      <c r="W54" s="47"/>
      <c r="X54" s="47"/>
      <c r="Y54" s="47"/>
      <c r="Z54" s="47"/>
      <c r="AA54" s="47"/>
      <c r="AB54" s="47"/>
      <c r="AC54" s="47"/>
      <c r="AD54" s="47"/>
      <c r="AE54" s="47"/>
      <c r="AF54" s="47"/>
      <c r="AG54" s="47"/>
      <c r="AH54" s="47"/>
      <c r="AI54" s="46"/>
      <c r="AJ54" s="46"/>
      <c r="AK54" s="46"/>
      <c r="AL54" s="7"/>
      <c r="AM54" s="49" t="str">
        <f aca="false">IF(OR(C54="",G54=""),"",IFERROR(DATEDIF(C54,G54,"m"),""))</f>
        <v/>
      </c>
      <c r="AN54" s="49" t="str">
        <f aca="false">IF(OR(Q54="",AM54=""),"",60+2*Q54-AM54)</f>
        <v/>
      </c>
      <c r="AO54" s="49" t="str">
        <f aca="false">IF(OR(G54="",AJ54=""),"",AJ54-G54)</f>
        <v/>
      </c>
      <c r="AP54" s="50" t="str">
        <f aca="false">IF(AND(A54="",B54=""),"",IF(J54="","Status needed",IF(OR(J54="Applied",J54="Visit booked",J54="Withdrawn"),"OK",IF(G54="","Date assessed needed",IF(C54="","Date of birth needed",IF(COUNTA(L54,M54,P54,U54,V54,X54,AB54)&lt;7,"Band missing",IF(AND(OR(J54="Decision confirmed",J54="Family told",J54="Enrolled"),AG54=""),"Recommendation needed",IF(AND(OR(J54="Family told",J54="Enrolled"),AJ54=""),"Date family told needed","OK"))))))))</f>
        <v/>
      </c>
    </row>
    <row r="55" customFormat="false" ht="15" hidden="false" customHeight="false" outlineLevel="0" collapsed="false">
      <c r="A55" s="7"/>
      <c r="B55" s="7"/>
      <c r="C55" s="46"/>
      <c r="D55" s="7"/>
      <c r="E55" s="47"/>
      <c r="F55" s="46"/>
      <c r="G55" s="46"/>
      <c r="H55" s="7"/>
      <c r="I55" s="7"/>
      <c r="J55" s="47"/>
      <c r="K55" s="47"/>
      <c r="L55" s="47"/>
      <c r="M55" s="47"/>
      <c r="N55" s="10"/>
      <c r="O55" s="47"/>
      <c r="P55" s="47"/>
      <c r="Q55" s="47"/>
      <c r="R55" s="48" t="str">
        <f aca="false">IF(Q55="","",IF(Q55=0,"below 5:00",IF(Q55&gt;=66,"16:00 or above",INT((60+2*Q55)/12)&amp;":"&amp;TEXT(MOD(60+2*Q55,12),"00"))))</f>
        <v/>
      </c>
      <c r="S55" s="47"/>
      <c r="T55" s="47"/>
      <c r="U55" s="47"/>
      <c r="V55" s="47"/>
      <c r="W55" s="47"/>
      <c r="X55" s="47"/>
      <c r="Y55" s="47"/>
      <c r="Z55" s="47"/>
      <c r="AA55" s="47"/>
      <c r="AB55" s="47"/>
      <c r="AC55" s="47"/>
      <c r="AD55" s="47"/>
      <c r="AE55" s="47"/>
      <c r="AF55" s="47"/>
      <c r="AG55" s="47"/>
      <c r="AH55" s="47"/>
      <c r="AI55" s="46"/>
      <c r="AJ55" s="46"/>
      <c r="AK55" s="46"/>
      <c r="AL55" s="7"/>
      <c r="AM55" s="49" t="str">
        <f aca="false">IF(OR(C55="",G55=""),"",IFERROR(DATEDIF(C55,G55,"m"),""))</f>
        <v/>
      </c>
      <c r="AN55" s="49" t="str">
        <f aca="false">IF(OR(Q55="",AM55=""),"",60+2*Q55-AM55)</f>
        <v/>
      </c>
      <c r="AO55" s="49" t="str">
        <f aca="false">IF(OR(G55="",AJ55=""),"",AJ55-G55)</f>
        <v/>
      </c>
      <c r="AP55" s="50" t="str">
        <f aca="false">IF(AND(A55="",B55=""),"",IF(J55="","Status needed",IF(OR(J55="Applied",J55="Visit booked",J55="Withdrawn"),"OK",IF(G55="","Date assessed needed",IF(C55="","Date of birth needed",IF(COUNTA(L55,M55,P55,U55,V55,X55,AB55)&lt;7,"Band missing",IF(AND(OR(J55="Decision confirmed",J55="Family told",J55="Enrolled"),AG55=""),"Recommendation needed",IF(AND(OR(J55="Family told",J55="Enrolled"),AJ55=""),"Date family told needed","OK"))))))))</f>
        <v/>
      </c>
    </row>
    <row r="56" customFormat="false" ht="15" hidden="false" customHeight="false" outlineLevel="0" collapsed="false">
      <c r="A56" s="7"/>
      <c r="B56" s="7"/>
      <c r="C56" s="46"/>
      <c r="D56" s="7"/>
      <c r="E56" s="47"/>
      <c r="F56" s="46"/>
      <c r="G56" s="46"/>
      <c r="H56" s="7"/>
      <c r="I56" s="7"/>
      <c r="J56" s="47"/>
      <c r="K56" s="47"/>
      <c r="L56" s="47"/>
      <c r="M56" s="47"/>
      <c r="N56" s="10"/>
      <c r="O56" s="47"/>
      <c r="P56" s="47"/>
      <c r="Q56" s="47"/>
      <c r="R56" s="48" t="str">
        <f aca="false">IF(Q56="","",IF(Q56=0,"below 5:00",IF(Q56&gt;=66,"16:00 or above",INT((60+2*Q56)/12)&amp;":"&amp;TEXT(MOD(60+2*Q56,12),"00"))))</f>
        <v/>
      </c>
      <c r="S56" s="47"/>
      <c r="T56" s="47"/>
      <c r="U56" s="47"/>
      <c r="V56" s="47"/>
      <c r="W56" s="47"/>
      <c r="X56" s="47"/>
      <c r="Y56" s="47"/>
      <c r="Z56" s="47"/>
      <c r="AA56" s="47"/>
      <c r="AB56" s="47"/>
      <c r="AC56" s="47"/>
      <c r="AD56" s="47"/>
      <c r="AE56" s="47"/>
      <c r="AF56" s="47"/>
      <c r="AG56" s="47"/>
      <c r="AH56" s="47"/>
      <c r="AI56" s="46"/>
      <c r="AJ56" s="46"/>
      <c r="AK56" s="46"/>
      <c r="AL56" s="7"/>
      <c r="AM56" s="49" t="str">
        <f aca="false">IF(OR(C56="",G56=""),"",IFERROR(DATEDIF(C56,G56,"m"),""))</f>
        <v/>
      </c>
      <c r="AN56" s="49" t="str">
        <f aca="false">IF(OR(Q56="",AM56=""),"",60+2*Q56-AM56)</f>
        <v/>
      </c>
      <c r="AO56" s="49" t="str">
        <f aca="false">IF(OR(G56="",AJ56=""),"",AJ56-G56)</f>
        <v/>
      </c>
      <c r="AP56" s="50" t="str">
        <f aca="false">IF(AND(A56="",B56=""),"",IF(J56="","Status needed",IF(OR(J56="Applied",J56="Visit booked",J56="Withdrawn"),"OK",IF(G56="","Date assessed needed",IF(C56="","Date of birth needed",IF(COUNTA(L56,M56,P56,U56,V56,X56,AB56)&lt;7,"Band missing",IF(AND(OR(J56="Decision confirmed",J56="Family told",J56="Enrolled"),AG56=""),"Recommendation needed",IF(AND(OR(J56="Family told",J56="Enrolled"),AJ56=""),"Date family told needed","OK"))))))))</f>
        <v/>
      </c>
    </row>
    <row r="57" customFormat="false" ht="15" hidden="false" customHeight="false" outlineLevel="0" collapsed="false">
      <c r="A57" s="7"/>
      <c r="B57" s="7"/>
      <c r="C57" s="46"/>
      <c r="D57" s="7"/>
      <c r="E57" s="47"/>
      <c r="F57" s="46"/>
      <c r="G57" s="46"/>
      <c r="H57" s="7"/>
      <c r="I57" s="7"/>
      <c r="J57" s="47"/>
      <c r="K57" s="47"/>
      <c r="L57" s="47"/>
      <c r="M57" s="47"/>
      <c r="N57" s="10"/>
      <c r="O57" s="47"/>
      <c r="P57" s="47"/>
      <c r="Q57" s="47"/>
      <c r="R57" s="48" t="str">
        <f aca="false">IF(Q57="","",IF(Q57=0,"below 5:00",IF(Q57&gt;=66,"16:00 or above",INT((60+2*Q57)/12)&amp;":"&amp;TEXT(MOD(60+2*Q57,12),"00"))))</f>
        <v/>
      </c>
      <c r="S57" s="47"/>
      <c r="T57" s="47"/>
      <c r="U57" s="47"/>
      <c r="V57" s="47"/>
      <c r="W57" s="47"/>
      <c r="X57" s="47"/>
      <c r="Y57" s="47"/>
      <c r="Z57" s="47"/>
      <c r="AA57" s="47"/>
      <c r="AB57" s="47"/>
      <c r="AC57" s="47"/>
      <c r="AD57" s="47"/>
      <c r="AE57" s="47"/>
      <c r="AF57" s="47"/>
      <c r="AG57" s="47"/>
      <c r="AH57" s="47"/>
      <c r="AI57" s="46"/>
      <c r="AJ57" s="46"/>
      <c r="AK57" s="46"/>
      <c r="AL57" s="7"/>
      <c r="AM57" s="49" t="str">
        <f aca="false">IF(OR(C57="",G57=""),"",IFERROR(DATEDIF(C57,G57,"m"),""))</f>
        <v/>
      </c>
      <c r="AN57" s="49" t="str">
        <f aca="false">IF(OR(Q57="",AM57=""),"",60+2*Q57-AM57)</f>
        <v/>
      </c>
      <c r="AO57" s="49" t="str">
        <f aca="false">IF(OR(G57="",AJ57=""),"",AJ57-G57)</f>
        <v/>
      </c>
      <c r="AP57" s="50" t="str">
        <f aca="false">IF(AND(A57="",B57=""),"",IF(J57="","Status needed",IF(OR(J57="Applied",J57="Visit booked",J57="Withdrawn"),"OK",IF(G57="","Date assessed needed",IF(C57="","Date of birth needed",IF(COUNTA(L57,M57,P57,U57,V57,X57,AB57)&lt;7,"Band missing",IF(AND(OR(J57="Decision confirmed",J57="Family told",J57="Enrolled"),AG57=""),"Recommendation needed",IF(AND(OR(J57="Family told",J57="Enrolled"),AJ57=""),"Date family told needed","OK"))))))))</f>
        <v/>
      </c>
    </row>
    <row r="58" customFormat="false" ht="15" hidden="false" customHeight="false" outlineLevel="0" collapsed="false">
      <c r="A58" s="7"/>
      <c r="B58" s="7"/>
      <c r="C58" s="46"/>
      <c r="D58" s="7"/>
      <c r="E58" s="47"/>
      <c r="F58" s="46"/>
      <c r="G58" s="46"/>
      <c r="H58" s="7"/>
      <c r="I58" s="7"/>
      <c r="J58" s="47"/>
      <c r="K58" s="47"/>
      <c r="L58" s="47"/>
      <c r="M58" s="47"/>
      <c r="N58" s="10"/>
      <c r="O58" s="47"/>
      <c r="P58" s="47"/>
      <c r="Q58" s="47"/>
      <c r="R58" s="48" t="str">
        <f aca="false">IF(Q58="","",IF(Q58=0,"below 5:00",IF(Q58&gt;=66,"16:00 or above",INT((60+2*Q58)/12)&amp;":"&amp;TEXT(MOD(60+2*Q58,12),"00"))))</f>
        <v/>
      </c>
      <c r="S58" s="47"/>
      <c r="T58" s="47"/>
      <c r="U58" s="47"/>
      <c r="V58" s="47"/>
      <c r="W58" s="47"/>
      <c r="X58" s="47"/>
      <c r="Y58" s="47"/>
      <c r="Z58" s="47"/>
      <c r="AA58" s="47"/>
      <c r="AB58" s="47"/>
      <c r="AC58" s="47"/>
      <c r="AD58" s="47"/>
      <c r="AE58" s="47"/>
      <c r="AF58" s="47"/>
      <c r="AG58" s="47"/>
      <c r="AH58" s="47"/>
      <c r="AI58" s="46"/>
      <c r="AJ58" s="46"/>
      <c r="AK58" s="46"/>
      <c r="AL58" s="7"/>
      <c r="AM58" s="49" t="str">
        <f aca="false">IF(OR(C58="",G58=""),"",IFERROR(DATEDIF(C58,G58,"m"),""))</f>
        <v/>
      </c>
      <c r="AN58" s="49" t="str">
        <f aca="false">IF(OR(Q58="",AM58=""),"",60+2*Q58-AM58)</f>
        <v/>
      </c>
      <c r="AO58" s="49" t="str">
        <f aca="false">IF(OR(G58="",AJ58=""),"",AJ58-G58)</f>
        <v/>
      </c>
      <c r="AP58" s="50" t="str">
        <f aca="false">IF(AND(A58="",B58=""),"",IF(J58="","Status needed",IF(OR(J58="Applied",J58="Visit booked",J58="Withdrawn"),"OK",IF(G58="","Date assessed needed",IF(C58="","Date of birth needed",IF(COUNTA(L58,M58,P58,U58,V58,X58,AB58)&lt;7,"Band missing",IF(AND(OR(J58="Decision confirmed",J58="Family told",J58="Enrolled"),AG58=""),"Recommendation needed",IF(AND(OR(J58="Family told",J58="Enrolled"),AJ58=""),"Date family told needed","OK"))))))))</f>
        <v/>
      </c>
    </row>
    <row r="59" customFormat="false" ht="15" hidden="false" customHeight="false" outlineLevel="0" collapsed="false">
      <c r="A59" s="7"/>
      <c r="B59" s="7"/>
      <c r="C59" s="46"/>
      <c r="D59" s="7"/>
      <c r="E59" s="47"/>
      <c r="F59" s="46"/>
      <c r="G59" s="46"/>
      <c r="H59" s="7"/>
      <c r="I59" s="7"/>
      <c r="J59" s="47"/>
      <c r="K59" s="47"/>
      <c r="L59" s="47"/>
      <c r="M59" s="47"/>
      <c r="N59" s="10"/>
      <c r="O59" s="47"/>
      <c r="P59" s="47"/>
      <c r="Q59" s="47"/>
      <c r="R59" s="48" t="str">
        <f aca="false">IF(Q59="","",IF(Q59=0,"below 5:00",IF(Q59&gt;=66,"16:00 or above",INT((60+2*Q59)/12)&amp;":"&amp;TEXT(MOD(60+2*Q59,12),"00"))))</f>
        <v/>
      </c>
      <c r="S59" s="47"/>
      <c r="T59" s="47"/>
      <c r="U59" s="47"/>
      <c r="V59" s="47"/>
      <c r="W59" s="47"/>
      <c r="X59" s="47"/>
      <c r="Y59" s="47"/>
      <c r="Z59" s="47"/>
      <c r="AA59" s="47"/>
      <c r="AB59" s="47"/>
      <c r="AC59" s="47"/>
      <c r="AD59" s="47"/>
      <c r="AE59" s="47"/>
      <c r="AF59" s="47"/>
      <c r="AG59" s="47"/>
      <c r="AH59" s="47"/>
      <c r="AI59" s="46"/>
      <c r="AJ59" s="46"/>
      <c r="AK59" s="46"/>
      <c r="AL59" s="7"/>
      <c r="AM59" s="49" t="str">
        <f aca="false">IF(OR(C59="",G59=""),"",IFERROR(DATEDIF(C59,G59,"m"),""))</f>
        <v/>
      </c>
      <c r="AN59" s="49" t="str">
        <f aca="false">IF(OR(Q59="",AM59=""),"",60+2*Q59-AM59)</f>
        <v/>
      </c>
      <c r="AO59" s="49" t="str">
        <f aca="false">IF(OR(G59="",AJ59=""),"",AJ59-G59)</f>
        <v/>
      </c>
      <c r="AP59" s="50" t="str">
        <f aca="false">IF(AND(A59="",B59=""),"",IF(J59="","Status needed",IF(OR(J59="Applied",J59="Visit booked",J59="Withdrawn"),"OK",IF(G59="","Date assessed needed",IF(C59="","Date of birth needed",IF(COUNTA(L59,M59,P59,U59,V59,X59,AB59)&lt;7,"Band missing",IF(AND(OR(J59="Decision confirmed",J59="Family told",J59="Enrolled"),AG59=""),"Recommendation needed",IF(AND(OR(J59="Family told",J59="Enrolled"),AJ59=""),"Date family told needed","OK"))))))))</f>
        <v/>
      </c>
    </row>
    <row r="60" customFormat="false" ht="15" hidden="false" customHeight="false" outlineLevel="0" collapsed="false">
      <c r="A60" s="7"/>
      <c r="B60" s="7"/>
      <c r="C60" s="46"/>
      <c r="D60" s="7"/>
      <c r="E60" s="47"/>
      <c r="F60" s="46"/>
      <c r="G60" s="46"/>
      <c r="H60" s="7"/>
      <c r="I60" s="7"/>
      <c r="J60" s="47"/>
      <c r="K60" s="47"/>
      <c r="L60" s="47"/>
      <c r="M60" s="47"/>
      <c r="N60" s="10"/>
      <c r="O60" s="47"/>
      <c r="P60" s="47"/>
      <c r="Q60" s="47"/>
      <c r="R60" s="48" t="str">
        <f aca="false">IF(Q60="","",IF(Q60=0,"below 5:00",IF(Q60&gt;=66,"16:00 or above",INT((60+2*Q60)/12)&amp;":"&amp;TEXT(MOD(60+2*Q60,12),"00"))))</f>
        <v/>
      </c>
      <c r="S60" s="47"/>
      <c r="T60" s="47"/>
      <c r="U60" s="47"/>
      <c r="V60" s="47"/>
      <c r="W60" s="47"/>
      <c r="X60" s="47"/>
      <c r="Y60" s="47"/>
      <c r="Z60" s="47"/>
      <c r="AA60" s="47"/>
      <c r="AB60" s="47"/>
      <c r="AC60" s="47"/>
      <c r="AD60" s="47"/>
      <c r="AE60" s="47"/>
      <c r="AF60" s="47"/>
      <c r="AG60" s="47"/>
      <c r="AH60" s="47"/>
      <c r="AI60" s="46"/>
      <c r="AJ60" s="46"/>
      <c r="AK60" s="46"/>
      <c r="AL60" s="7"/>
      <c r="AM60" s="49" t="str">
        <f aca="false">IF(OR(C60="",G60=""),"",IFERROR(DATEDIF(C60,G60,"m"),""))</f>
        <v/>
      </c>
      <c r="AN60" s="49" t="str">
        <f aca="false">IF(OR(Q60="",AM60=""),"",60+2*Q60-AM60)</f>
        <v/>
      </c>
      <c r="AO60" s="49" t="str">
        <f aca="false">IF(OR(G60="",AJ60=""),"",AJ60-G60)</f>
        <v/>
      </c>
      <c r="AP60" s="50" t="str">
        <f aca="false">IF(AND(A60="",B60=""),"",IF(J60="","Status needed",IF(OR(J60="Applied",J60="Visit booked",J60="Withdrawn"),"OK",IF(G60="","Date assessed needed",IF(C60="","Date of birth needed",IF(COUNTA(L60,M60,P60,U60,V60,X60,AB60)&lt;7,"Band missing",IF(AND(OR(J60="Decision confirmed",J60="Family told",J60="Enrolled"),AG60=""),"Recommendation needed",IF(AND(OR(J60="Family told",J60="Enrolled"),AJ60=""),"Date family told needed","OK"))))))))</f>
        <v/>
      </c>
    </row>
    <row r="61" customFormat="false" ht="15" hidden="false" customHeight="false" outlineLevel="0" collapsed="false">
      <c r="A61" s="7"/>
      <c r="B61" s="7"/>
      <c r="C61" s="46"/>
      <c r="D61" s="7"/>
      <c r="E61" s="47"/>
      <c r="F61" s="46"/>
      <c r="G61" s="46"/>
      <c r="H61" s="7"/>
      <c r="I61" s="7"/>
      <c r="J61" s="47"/>
      <c r="K61" s="47"/>
      <c r="L61" s="47"/>
      <c r="M61" s="47"/>
      <c r="N61" s="10"/>
      <c r="O61" s="47"/>
      <c r="P61" s="47"/>
      <c r="Q61" s="47"/>
      <c r="R61" s="48" t="str">
        <f aca="false">IF(Q61="","",IF(Q61=0,"below 5:00",IF(Q61&gt;=66,"16:00 or above",INT((60+2*Q61)/12)&amp;":"&amp;TEXT(MOD(60+2*Q61,12),"00"))))</f>
        <v/>
      </c>
      <c r="S61" s="47"/>
      <c r="T61" s="47"/>
      <c r="U61" s="47"/>
      <c r="V61" s="47"/>
      <c r="W61" s="47"/>
      <c r="X61" s="47"/>
      <c r="Y61" s="47"/>
      <c r="Z61" s="47"/>
      <c r="AA61" s="47"/>
      <c r="AB61" s="47"/>
      <c r="AC61" s="47"/>
      <c r="AD61" s="47"/>
      <c r="AE61" s="47"/>
      <c r="AF61" s="47"/>
      <c r="AG61" s="47"/>
      <c r="AH61" s="47"/>
      <c r="AI61" s="46"/>
      <c r="AJ61" s="46"/>
      <c r="AK61" s="46"/>
      <c r="AL61" s="7"/>
      <c r="AM61" s="49" t="str">
        <f aca="false">IF(OR(C61="",G61=""),"",IFERROR(DATEDIF(C61,G61,"m"),""))</f>
        <v/>
      </c>
      <c r="AN61" s="49" t="str">
        <f aca="false">IF(OR(Q61="",AM61=""),"",60+2*Q61-AM61)</f>
        <v/>
      </c>
      <c r="AO61" s="49" t="str">
        <f aca="false">IF(OR(G61="",AJ61=""),"",AJ61-G61)</f>
        <v/>
      </c>
      <c r="AP61" s="50" t="str">
        <f aca="false">IF(AND(A61="",B61=""),"",IF(J61="","Status needed",IF(OR(J61="Applied",J61="Visit booked",J61="Withdrawn"),"OK",IF(G61="","Date assessed needed",IF(C61="","Date of birth needed",IF(COUNTA(L61,M61,P61,U61,V61,X61,AB61)&lt;7,"Band missing",IF(AND(OR(J61="Decision confirmed",J61="Family told",J61="Enrolled"),AG61=""),"Recommendation needed",IF(AND(OR(J61="Family told",J61="Enrolled"),AJ61=""),"Date family told needed","OK"))))))))</f>
        <v/>
      </c>
    </row>
    <row r="62" customFormat="false" ht="15" hidden="false" customHeight="false" outlineLevel="0" collapsed="false">
      <c r="A62" s="7"/>
      <c r="B62" s="7"/>
      <c r="C62" s="46"/>
      <c r="D62" s="7"/>
      <c r="E62" s="47"/>
      <c r="F62" s="46"/>
      <c r="G62" s="46"/>
      <c r="H62" s="7"/>
      <c r="I62" s="7"/>
      <c r="J62" s="47"/>
      <c r="K62" s="47"/>
      <c r="L62" s="47"/>
      <c r="M62" s="47"/>
      <c r="N62" s="10"/>
      <c r="O62" s="47"/>
      <c r="P62" s="47"/>
      <c r="Q62" s="47"/>
      <c r="R62" s="48" t="str">
        <f aca="false">IF(Q62="","",IF(Q62=0,"below 5:00",IF(Q62&gt;=66,"16:00 or above",INT((60+2*Q62)/12)&amp;":"&amp;TEXT(MOD(60+2*Q62,12),"00"))))</f>
        <v/>
      </c>
      <c r="S62" s="47"/>
      <c r="T62" s="47"/>
      <c r="U62" s="47"/>
      <c r="V62" s="47"/>
      <c r="W62" s="47"/>
      <c r="X62" s="47"/>
      <c r="Y62" s="47"/>
      <c r="Z62" s="47"/>
      <c r="AA62" s="47"/>
      <c r="AB62" s="47"/>
      <c r="AC62" s="47"/>
      <c r="AD62" s="47"/>
      <c r="AE62" s="47"/>
      <c r="AF62" s="47"/>
      <c r="AG62" s="47"/>
      <c r="AH62" s="47"/>
      <c r="AI62" s="46"/>
      <c r="AJ62" s="46"/>
      <c r="AK62" s="46"/>
      <c r="AL62" s="7"/>
      <c r="AM62" s="49" t="str">
        <f aca="false">IF(OR(C62="",G62=""),"",IFERROR(DATEDIF(C62,G62,"m"),""))</f>
        <v/>
      </c>
      <c r="AN62" s="49" t="str">
        <f aca="false">IF(OR(Q62="",AM62=""),"",60+2*Q62-AM62)</f>
        <v/>
      </c>
      <c r="AO62" s="49" t="str">
        <f aca="false">IF(OR(G62="",AJ62=""),"",AJ62-G62)</f>
        <v/>
      </c>
      <c r="AP62" s="50" t="str">
        <f aca="false">IF(AND(A62="",B62=""),"",IF(J62="","Status needed",IF(OR(J62="Applied",J62="Visit booked",J62="Withdrawn"),"OK",IF(G62="","Date assessed needed",IF(C62="","Date of birth needed",IF(COUNTA(L62,M62,P62,U62,V62,X62,AB62)&lt;7,"Band missing",IF(AND(OR(J62="Decision confirmed",J62="Family told",J62="Enrolled"),AG62=""),"Recommendation needed",IF(AND(OR(J62="Family told",J62="Enrolled"),AJ62=""),"Date family told needed","OK"))))))))</f>
        <v/>
      </c>
    </row>
    <row r="63" customFormat="false" ht="15" hidden="false" customHeight="false" outlineLevel="0" collapsed="false">
      <c r="A63" s="7"/>
      <c r="B63" s="7"/>
      <c r="C63" s="46"/>
      <c r="D63" s="7"/>
      <c r="E63" s="47"/>
      <c r="F63" s="46"/>
      <c r="G63" s="46"/>
      <c r="H63" s="7"/>
      <c r="I63" s="7"/>
      <c r="J63" s="47"/>
      <c r="K63" s="47"/>
      <c r="L63" s="47"/>
      <c r="M63" s="47"/>
      <c r="N63" s="10"/>
      <c r="O63" s="47"/>
      <c r="P63" s="47"/>
      <c r="Q63" s="47"/>
      <c r="R63" s="48" t="str">
        <f aca="false">IF(Q63="","",IF(Q63=0,"below 5:00",IF(Q63&gt;=66,"16:00 or above",INT((60+2*Q63)/12)&amp;":"&amp;TEXT(MOD(60+2*Q63,12),"00"))))</f>
        <v/>
      </c>
      <c r="S63" s="47"/>
      <c r="T63" s="47"/>
      <c r="U63" s="47"/>
      <c r="V63" s="47"/>
      <c r="W63" s="47"/>
      <c r="X63" s="47"/>
      <c r="Y63" s="47"/>
      <c r="Z63" s="47"/>
      <c r="AA63" s="47"/>
      <c r="AB63" s="47"/>
      <c r="AC63" s="47"/>
      <c r="AD63" s="47"/>
      <c r="AE63" s="47"/>
      <c r="AF63" s="47"/>
      <c r="AG63" s="47"/>
      <c r="AH63" s="47"/>
      <c r="AI63" s="46"/>
      <c r="AJ63" s="46"/>
      <c r="AK63" s="46"/>
      <c r="AL63" s="7"/>
      <c r="AM63" s="49" t="str">
        <f aca="false">IF(OR(C63="",G63=""),"",IFERROR(DATEDIF(C63,G63,"m"),""))</f>
        <v/>
      </c>
      <c r="AN63" s="49" t="str">
        <f aca="false">IF(OR(Q63="",AM63=""),"",60+2*Q63-AM63)</f>
        <v/>
      </c>
      <c r="AO63" s="49" t="str">
        <f aca="false">IF(OR(G63="",AJ63=""),"",AJ63-G63)</f>
        <v/>
      </c>
      <c r="AP63" s="50" t="str">
        <f aca="false">IF(AND(A63="",B63=""),"",IF(J63="","Status needed",IF(OR(J63="Applied",J63="Visit booked",J63="Withdrawn"),"OK",IF(G63="","Date assessed needed",IF(C63="","Date of birth needed",IF(COUNTA(L63,M63,P63,U63,V63,X63,AB63)&lt;7,"Band missing",IF(AND(OR(J63="Decision confirmed",J63="Family told",J63="Enrolled"),AG63=""),"Recommendation needed",IF(AND(OR(J63="Family told",J63="Enrolled"),AJ63=""),"Date family told needed","OK"))))))))</f>
        <v/>
      </c>
    </row>
    <row r="64" customFormat="false" ht="15" hidden="false" customHeight="false" outlineLevel="0" collapsed="false">
      <c r="A64" s="7"/>
      <c r="B64" s="7"/>
      <c r="C64" s="46"/>
      <c r="D64" s="7"/>
      <c r="E64" s="47"/>
      <c r="F64" s="46"/>
      <c r="G64" s="46"/>
      <c r="H64" s="7"/>
      <c r="I64" s="7"/>
      <c r="J64" s="47"/>
      <c r="K64" s="47"/>
      <c r="L64" s="47"/>
      <c r="M64" s="47"/>
      <c r="N64" s="10"/>
      <c r="O64" s="47"/>
      <c r="P64" s="47"/>
      <c r="Q64" s="47"/>
      <c r="R64" s="48" t="str">
        <f aca="false">IF(Q64="","",IF(Q64=0,"below 5:00",IF(Q64&gt;=66,"16:00 or above",INT((60+2*Q64)/12)&amp;":"&amp;TEXT(MOD(60+2*Q64,12),"00"))))</f>
        <v/>
      </c>
      <c r="S64" s="47"/>
      <c r="T64" s="47"/>
      <c r="U64" s="47"/>
      <c r="V64" s="47"/>
      <c r="W64" s="47"/>
      <c r="X64" s="47"/>
      <c r="Y64" s="47"/>
      <c r="Z64" s="47"/>
      <c r="AA64" s="47"/>
      <c r="AB64" s="47"/>
      <c r="AC64" s="47"/>
      <c r="AD64" s="47"/>
      <c r="AE64" s="47"/>
      <c r="AF64" s="47"/>
      <c r="AG64" s="47"/>
      <c r="AH64" s="47"/>
      <c r="AI64" s="46"/>
      <c r="AJ64" s="46"/>
      <c r="AK64" s="46"/>
      <c r="AL64" s="7"/>
      <c r="AM64" s="49" t="str">
        <f aca="false">IF(OR(C64="",G64=""),"",IFERROR(DATEDIF(C64,G64,"m"),""))</f>
        <v/>
      </c>
      <c r="AN64" s="49" t="str">
        <f aca="false">IF(OR(Q64="",AM64=""),"",60+2*Q64-AM64)</f>
        <v/>
      </c>
      <c r="AO64" s="49" t="str">
        <f aca="false">IF(OR(G64="",AJ64=""),"",AJ64-G64)</f>
        <v/>
      </c>
      <c r="AP64" s="50" t="str">
        <f aca="false">IF(AND(A64="",B64=""),"",IF(J64="","Status needed",IF(OR(J64="Applied",J64="Visit booked",J64="Withdrawn"),"OK",IF(G64="","Date assessed needed",IF(C64="","Date of birth needed",IF(COUNTA(L64,M64,P64,U64,V64,X64,AB64)&lt;7,"Band missing",IF(AND(OR(J64="Decision confirmed",J64="Family told",J64="Enrolled"),AG64=""),"Recommendation needed",IF(AND(OR(J64="Family told",J64="Enrolled"),AJ64=""),"Date family told needed","OK"))))))))</f>
        <v/>
      </c>
    </row>
    <row r="65" customFormat="false" ht="15" hidden="false" customHeight="false" outlineLevel="0" collapsed="false">
      <c r="A65" s="7"/>
      <c r="B65" s="7"/>
      <c r="C65" s="46"/>
      <c r="D65" s="7"/>
      <c r="E65" s="47"/>
      <c r="F65" s="46"/>
      <c r="G65" s="46"/>
      <c r="H65" s="7"/>
      <c r="I65" s="7"/>
      <c r="J65" s="47"/>
      <c r="K65" s="47"/>
      <c r="L65" s="47"/>
      <c r="M65" s="47"/>
      <c r="N65" s="10"/>
      <c r="O65" s="47"/>
      <c r="P65" s="47"/>
      <c r="Q65" s="47"/>
      <c r="R65" s="48" t="str">
        <f aca="false">IF(Q65="","",IF(Q65=0,"below 5:00",IF(Q65&gt;=66,"16:00 or above",INT((60+2*Q65)/12)&amp;":"&amp;TEXT(MOD(60+2*Q65,12),"00"))))</f>
        <v/>
      </c>
      <c r="S65" s="47"/>
      <c r="T65" s="47"/>
      <c r="U65" s="47"/>
      <c r="V65" s="47"/>
      <c r="W65" s="47"/>
      <c r="X65" s="47"/>
      <c r="Y65" s="47"/>
      <c r="Z65" s="47"/>
      <c r="AA65" s="47"/>
      <c r="AB65" s="47"/>
      <c r="AC65" s="47"/>
      <c r="AD65" s="47"/>
      <c r="AE65" s="47"/>
      <c r="AF65" s="47"/>
      <c r="AG65" s="47"/>
      <c r="AH65" s="47"/>
      <c r="AI65" s="46"/>
      <c r="AJ65" s="46"/>
      <c r="AK65" s="46"/>
      <c r="AL65" s="7"/>
      <c r="AM65" s="49" t="str">
        <f aca="false">IF(OR(C65="",G65=""),"",IFERROR(DATEDIF(C65,G65,"m"),""))</f>
        <v/>
      </c>
      <c r="AN65" s="49" t="str">
        <f aca="false">IF(OR(Q65="",AM65=""),"",60+2*Q65-AM65)</f>
        <v/>
      </c>
      <c r="AO65" s="49" t="str">
        <f aca="false">IF(OR(G65="",AJ65=""),"",AJ65-G65)</f>
        <v/>
      </c>
      <c r="AP65" s="50" t="str">
        <f aca="false">IF(AND(A65="",B65=""),"",IF(J65="","Status needed",IF(OR(J65="Applied",J65="Visit booked",J65="Withdrawn"),"OK",IF(G65="","Date assessed needed",IF(C65="","Date of birth needed",IF(COUNTA(L65,M65,P65,U65,V65,X65,AB65)&lt;7,"Band missing",IF(AND(OR(J65="Decision confirmed",J65="Family told",J65="Enrolled"),AG65=""),"Recommendation needed",IF(AND(OR(J65="Family told",J65="Enrolled"),AJ65=""),"Date family told needed","OK"))))))))</f>
        <v/>
      </c>
    </row>
    <row r="66" customFormat="false" ht="15" hidden="false" customHeight="false" outlineLevel="0" collapsed="false">
      <c r="A66" s="7"/>
      <c r="B66" s="7"/>
      <c r="C66" s="46"/>
      <c r="D66" s="7"/>
      <c r="E66" s="47"/>
      <c r="F66" s="46"/>
      <c r="G66" s="46"/>
      <c r="H66" s="7"/>
      <c r="I66" s="7"/>
      <c r="J66" s="47"/>
      <c r="K66" s="47"/>
      <c r="L66" s="47"/>
      <c r="M66" s="47"/>
      <c r="N66" s="10"/>
      <c r="O66" s="47"/>
      <c r="P66" s="47"/>
      <c r="Q66" s="47"/>
      <c r="R66" s="48" t="str">
        <f aca="false">IF(Q66="","",IF(Q66=0,"below 5:00",IF(Q66&gt;=66,"16:00 or above",INT((60+2*Q66)/12)&amp;":"&amp;TEXT(MOD(60+2*Q66,12),"00"))))</f>
        <v/>
      </c>
      <c r="S66" s="47"/>
      <c r="T66" s="47"/>
      <c r="U66" s="47"/>
      <c r="V66" s="47"/>
      <c r="W66" s="47"/>
      <c r="X66" s="47"/>
      <c r="Y66" s="47"/>
      <c r="Z66" s="47"/>
      <c r="AA66" s="47"/>
      <c r="AB66" s="47"/>
      <c r="AC66" s="47"/>
      <c r="AD66" s="47"/>
      <c r="AE66" s="47"/>
      <c r="AF66" s="47"/>
      <c r="AG66" s="47"/>
      <c r="AH66" s="47"/>
      <c r="AI66" s="46"/>
      <c r="AJ66" s="46"/>
      <c r="AK66" s="46"/>
      <c r="AL66" s="7"/>
      <c r="AM66" s="49" t="str">
        <f aca="false">IF(OR(C66="",G66=""),"",IFERROR(DATEDIF(C66,G66,"m"),""))</f>
        <v/>
      </c>
      <c r="AN66" s="49" t="str">
        <f aca="false">IF(OR(Q66="",AM66=""),"",60+2*Q66-AM66)</f>
        <v/>
      </c>
      <c r="AO66" s="49" t="str">
        <f aca="false">IF(OR(G66="",AJ66=""),"",AJ66-G66)</f>
        <v/>
      </c>
      <c r="AP66" s="50" t="str">
        <f aca="false">IF(AND(A66="",B66=""),"",IF(J66="","Status needed",IF(OR(J66="Applied",J66="Visit booked",J66="Withdrawn"),"OK",IF(G66="","Date assessed needed",IF(C66="","Date of birth needed",IF(COUNTA(L66,M66,P66,U66,V66,X66,AB66)&lt;7,"Band missing",IF(AND(OR(J66="Decision confirmed",J66="Family told",J66="Enrolled"),AG66=""),"Recommendation needed",IF(AND(OR(J66="Family told",J66="Enrolled"),AJ66=""),"Date family told needed","OK"))))))))</f>
        <v/>
      </c>
    </row>
    <row r="67" customFormat="false" ht="15" hidden="false" customHeight="false" outlineLevel="0" collapsed="false">
      <c r="A67" s="7"/>
      <c r="B67" s="7"/>
      <c r="C67" s="46"/>
      <c r="D67" s="7"/>
      <c r="E67" s="47"/>
      <c r="F67" s="46"/>
      <c r="G67" s="46"/>
      <c r="H67" s="7"/>
      <c r="I67" s="7"/>
      <c r="J67" s="47"/>
      <c r="K67" s="47"/>
      <c r="L67" s="47"/>
      <c r="M67" s="47"/>
      <c r="N67" s="10"/>
      <c r="O67" s="47"/>
      <c r="P67" s="47"/>
      <c r="Q67" s="47"/>
      <c r="R67" s="48" t="str">
        <f aca="false">IF(Q67="","",IF(Q67=0,"below 5:00",IF(Q67&gt;=66,"16:00 or above",INT((60+2*Q67)/12)&amp;":"&amp;TEXT(MOD(60+2*Q67,12),"00"))))</f>
        <v/>
      </c>
      <c r="S67" s="47"/>
      <c r="T67" s="47"/>
      <c r="U67" s="47"/>
      <c r="V67" s="47"/>
      <c r="W67" s="47"/>
      <c r="X67" s="47"/>
      <c r="Y67" s="47"/>
      <c r="Z67" s="47"/>
      <c r="AA67" s="47"/>
      <c r="AB67" s="47"/>
      <c r="AC67" s="47"/>
      <c r="AD67" s="47"/>
      <c r="AE67" s="47"/>
      <c r="AF67" s="47"/>
      <c r="AG67" s="47"/>
      <c r="AH67" s="47"/>
      <c r="AI67" s="46"/>
      <c r="AJ67" s="46"/>
      <c r="AK67" s="46"/>
      <c r="AL67" s="7"/>
      <c r="AM67" s="49" t="str">
        <f aca="false">IF(OR(C67="",G67=""),"",IFERROR(DATEDIF(C67,G67,"m"),""))</f>
        <v/>
      </c>
      <c r="AN67" s="49" t="str">
        <f aca="false">IF(OR(Q67="",AM67=""),"",60+2*Q67-AM67)</f>
        <v/>
      </c>
      <c r="AO67" s="49" t="str">
        <f aca="false">IF(OR(G67="",AJ67=""),"",AJ67-G67)</f>
        <v/>
      </c>
      <c r="AP67" s="50" t="str">
        <f aca="false">IF(AND(A67="",B67=""),"",IF(J67="","Status needed",IF(OR(J67="Applied",J67="Visit booked",J67="Withdrawn"),"OK",IF(G67="","Date assessed needed",IF(C67="","Date of birth needed",IF(COUNTA(L67,M67,P67,U67,V67,X67,AB67)&lt;7,"Band missing",IF(AND(OR(J67="Decision confirmed",J67="Family told",J67="Enrolled"),AG67=""),"Recommendation needed",IF(AND(OR(J67="Family told",J67="Enrolled"),AJ67=""),"Date family told needed","OK"))))))))</f>
        <v/>
      </c>
    </row>
    <row r="68" customFormat="false" ht="15" hidden="false" customHeight="false" outlineLevel="0" collapsed="false">
      <c r="A68" s="7"/>
      <c r="B68" s="7"/>
      <c r="C68" s="46"/>
      <c r="D68" s="7"/>
      <c r="E68" s="47"/>
      <c r="F68" s="46"/>
      <c r="G68" s="46"/>
      <c r="H68" s="7"/>
      <c r="I68" s="7"/>
      <c r="J68" s="47"/>
      <c r="K68" s="47"/>
      <c r="L68" s="47"/>
      <c r="M68" s="47"/>
      <c r="N68" s="10"/>
      <c r="O68" s="47"/>
      <c r="P68" s="47"/>
      <c r="Q68" s="47"/>
      <c r="R68" s="48" t="str">
        <f aca="false">IF(Q68="","",IF(Q68=0,"below 5:00",IF(Q68&gt;=66,"16:00 or above",INT((60+2*Q68)/12)&amp;":"&amp;TEXT(MOD(60+2*Q68,12),"00"))))</f>
        <v/>
      </c>
      <c r="S68" s="47"/>
      <c r="T68" s="47"/>
      <c r="U68" s="47"/>
      <c r="V68" s="47"/>
      <c r="W68" s="47"/>
      <c r="X68" s="47"/>
      <c r="Y68" s="47"/>
      <c r="Z68" s="47"/>
      <c r="AA68" s="47"/>
      <c r="AB68" s="47"/>
      <c r="AC68" s="47"/>
      <c r="AD68" s="47"/>
      <c r="AE68" s="47"/>
      <c r="AF68" s="47"/>
      <c r="AG68" s="47"/>
      <c r="AH68" s="47"/>
      <c r="AI68" s="46"/>
      <c r="AJ68" s="46"/>
      <c r="AK68" s="46"/>
      <c r="AL68" s="7"/>
      <c r="AM68" s="49" t="str">
        <f aca="false">IF(OR(C68="",G68=""),"",IFERROR(DATEDIF(C68,G68,"m"),""))</f>
        <v/>
      </c>
      <c r="AN68" s="49" t="str">
        <f aca="false">IF(OR(Q68="",AM68=""),"",60+2*Q68-AM68)</f>
        <v/>
      </c>
      <c r="AO68" s="49" t="str">
        <f aca="false">IF(OR(G68="",AJ68=""),"",AJ68-G68)</f>
        <v/>
      </c>
      <c r="AP68" s="50" t="str">
        <f aca="false">IF(AND(A68="",B68=""),"",IF(J68="","Status needed",IF(OR(J68="Applied",J68="Visit booked",J68="Withdrawn"),"OK",IF(G68="","Date assessed needed",IF(C68="","Date of birth needed",IF(COUNTA(L68,M68,P68,U68,V68,X68,AB68)&lt;7,"Band missing",IF(AND(OR(J68="Decision confirmed",J68="Family told",J68="Enrolled"),AG68=""),"Recommendation needed",IF(AND(OR(J68="Family told",J68="Enrolled"),AJ68=""),"Date family told needed","OK"))))))))</f>
        <v/>
      </c>
    </row>
    <row r="69" customFormat="false" ht="15" hidden="false" customHeight="false" outlineLevel="0" collapsed="false">
      <c r="A69" s="7"/>
      <c r="B69" s="7"/>
      <c r="C69" s="46"/>
      <c r="D69" s="7"/>
      <c r="E69" s="47"/>
      <c r="F69" s="46"/>
      <c r="G69" s="46"/>
      <c r="H69" s="7"/>
      <c r="I69" s="7"/>
      <c r="J69" s="47"/>
      <c r="K69" s="47"/>
      <c r="L69" s="47"/>
      <c r="M69" s="47"/>
      <c r="N69" s="10"/>
      <c r="O69" s="47"/>
      <c r="P69" s="47"/>
      <c r="Q69" s="47"/>
      <c r="R69" s="48" t="str">
        <f aca="false">IF(Q69="","",IF(Q69=0,"below 5:00",IF(Q69&gt;=66,"16:00 or above",INT((60+2*Q69)/12)&amp;":"&amp;TEXT(MOD(60+2*Q69,12),"00"))))</f>
        <v/>
      </c>
      <c r="S69" s="47"/>
      <c r="T69" s="47"/>
      <c r="U69" s="47"/>
      <c r="V69" s="47"/>
      <c r="W69" s="47"/>
      <c r="X69" s="47"/>
      <c r="Y69" s="47"/>
      <c r="Z69" s="47"/>
      <c r="AA69" s="47"/>
      <c r="AB69" s="47"/>
      <c r="AC69" s="47"/>
      <c r="AD69" s="47"/>
      <c r="AE69" s="47"/>
      <c r="AF69" s="47"/>
      <c r="AG69" s="47"/>
      <c r="AH69" s="47"/>
      <c r="AI69" s="46"/>
      <c r="AJ69" s="46"/>
      <c r="AK69" s="46"/>
      <c r="AL69" s="7"/>
      <c r="AM69" s="49" t="str">
        <f aca="false">IF(OR(C69="",G69=""),"",IFERROR(DATEDIF(C69,G69,"m"),""))</f>
        <v/>
      </c>
      <c r="AN69" s="49" t="str">
        <f aca="false">IF(OR(Q69="",AM69=""),"",60+2*Q69-AM69)</f>
        <v/>
      </c>
      <c r="AO69" s="49" t="str">
        <f aca="false">IF(OR(G69="",AJ69=""),"",AJ69-G69)</f>
        <v/>
      </c>
      <c r="AP69" s="50" t="str">
        <f aca="false">IF(AND(A69="",B69=""),"",IF(J69="","Status needed",IF(OR(J69="Applied",J69="Visit booked",J69="Withdrawn"),"OK",IF(G69="","Date assessed needed",IF(C69="","Date of birth needed",IF(COUNTA(L69,M69,P69,U69,V69,X69,AB69)&lt;7,"Band missing",IF(AND(OR(J69="Decision confirmed",J69="Family told",J69="Enrolled"),AG69=""),"Recommendation needed",IF(AND(OR(J69="Family told",J69="Enrolled"),AJ69=""),"Date family told needed","OK"))))))))</f>
        <v/>
      </c>
    </row>
    <row r="70" customFormat="false" ht="15" hidden="false" customHeight="false" outlineLevel="0" collapsed="false">
      <c r="A70" s="7"/>
      <c r="B70" s="7"/>
      <c r="C70" s="46"/>
      <c r="D70" s="7"/>
      <c r="E70" s="47"/>
      <c r="F70" s="46"/>
      <c r="G70" s="46"/>
      <c r="H70" s="7"/>
      <c r="I70" s="7"/>
      <c r="J70" s="47"/>
      <c r="K70" s="47"/>
      <c r="L70" s="47"/>
      <c r="M70" s="47"/>
      <c r="N70" s="10"/>
      <c r="O70" s="47"/>
      <c r="P70" s="47"/>
      <c r="Q70" s="47"/>
      <c r="R70" s="48" t="str">
        <f aca="false">IF(Q70="","",IF(Q70=0,"below 5:00",IF(Q70&gt;=66,"16:00 or above",INT((60+2*Q70)/12)&amp;":"&amp;TEXT(MOD(60+2*Q70,12),"00"))))</f>
        <v/>
      </c>
      <c r="S70" s="47"/>
      <c r="T70" s="47"/>
      <c r="U70" s="47"/>
      <c r="V70" s="47"/>
      <c r="W70" s="47"/>
      <c r="X70" s="47"/>
      <c r="Y70" s="47"/>
      <c r="Z70" s="47"/>
      <c r="AA70" s="47"/>
      <c r="AB70" s="47"/>
      <c r="AC70" s="47"/>
      <c r="AD70" s="47"/>
      <c r="AE70" s="47"/>
      <c r="AF70" s="47"/>
      <c r="AG70" s="47"/>
      <c r="AH70" s="47"/>
      <c r="AI70" s="46"/>
      <c r="AJ70" s="46"/>
      <c r="AK70" s="46"/>
      <c r="AL70" s="7"/>
      <c r="AM70" s="49" t="str">
        <f aca="false">IF(OR(C70="",G70=""),"",IFERROR(DATEDIF(C70,G70,"m"),""))</f>
        <v/>
      </c>
      <c r="AN70" s="49" t="str">
        <f aca="false">IF(OR(Q70="",AM70=""),"",60+2*Q70-AM70)</f>
        <v/>
      </c>
      <c r="AO70" s="49" t="str">
        <f aca="false">IF(OR(G70="",AJ70=""),"",AJ70-G70)</f>
        <v/>
      </c>
      <c r="AP70" s="50" t="str">
        <f aca="false">IF(AND(A70="",B70=""),"",IF(J70="","Status needed",IF(OR(J70="Applied",J70="Visit booked",J70="Withdrawn"),"OK",IF(G70="","Date assessed needed",IF(C70="","Date of birth needed",IF(COUNTA(L70,M70,P70,U70,V70,X70,AB70)&lt;7,"Band missing",IF(AND(OR(J70="Decision confirmed",J70="Family told",J70="Enrolled"),AG70=""),"Recommendation needed",IF(AND(OR(J70="Family told",J70="Enrolled"),AJ70=""),"Date family told needed","OK"))))))))</f>
        <v/>
      </c>
    </row>
    <row r="71" customFormat="false" ht="15" hidden="false" customHeight="false" outlineLevel="0" collapsed="false">
      <c r="A71" s="7"/>
      <c r="B71" s="7"/>
      <c r="C71" s="46"/>
      <c r="D71" s="7"/>
      <c r="E71" s="47"/>
      <c r="F71" s="46"/>
      <c r="G71" s="46"/>
      <c r="H71" s="7"/>
      <c r="I71" s="7"/>
      <c r="J71" s="47"/>
      <c r="K71" s="47"/>
      <c r="L71" s="47"/>
      <c r="M71" s="47"/>
      <c r="N71" s="10"/>
      <c r="O71" s="47"/>
      <c r="P71" s="47"/>
      <c r="Q71" s="47"/>
      <c r="R71" s="48" t="str">
        <f aca="false">IF(Q71="","",IF(Q71=0,"below 5:00",IF(Q71&gt;=66,"16:00 or above",INT((60+2*Q71)/12)&amp;":"&amp;TEXT(MOD(60+2*Q71,12),"00"))))</f>
        <v/>
      </c>
      <c r="S71" s="47"/>
      <c r="T71" s="47"/>
      <c r="U71" s="47"/>
      <c r="V71" s="47"/>
      <c r="W71" s="47"/>
      <c r="X71" s="47"/>
      <c r="Y71" s="47"/>
      <c r="Z71" s="47"/>
      <c r="AA71" s="47"/>
      <c r="AB71" s="47"/>
      <c r="AC71" s="47"/>
      <c r="AD71" s="47"/>
      <c r="AE71" s="47"/>
      <c r="AF71" s="47"/>
      <c r="AG71" s="47"/>
      <c r="AH71" s="47"/>
      <c r="AI71" s="46"/>
      <c r="AJ71" s="46"/>
      <c r="AK71" s="46"/>
      <c r="AL71" s="7"/>
      <c r="AM71" s="49" t="str">
        <f aca="false">IF(OR(C71="",G71=""),"",IFERROR(DATEDIF(C71,G71,"m"),""))</f>
        <v/>
      </c>
      <c r="AN71" s="49" t="str">
        <f aca="false">IF(OR(Q71="",AM71=""),"",60+2*Q71-AM71)</f>
        <v/>
      </c>
      <c r="AO71" s="49" t="str">
        <f aca="false">IF(OR(G71="",AJ71=""),"",AJ71-G71)</f>
        <v/>
      </c>
      <c r="AP71" s="50" t="str">
        <f aca="false">IF(AND(A71="",B71=""),"",IF(J71="","Status needed",IF(OR(J71="Applied",J71="Visit booked",J71="Withdrawn"),"OK",IF(G71="","Date assessed needed",IF(C71="","Date of birth needed",IF(COUNTA(L71,M71,P71,U71,V71,X71,AB71)&lt;7,"Band missing",IF(AND(OR(J71="Decision confirmed",J71="Family told",J71="Enrolled"),AG71=""),"Recommendation needed",IF(AND(OR(J71="Family told",J71="Enrolled"),AJ71=""),"Date family told needed","OK"))))))))</f>
        <v/>
      </c>
    </row>
    <row r="72" customFormat="false" ht="15" hidden="false" customHeight="false" outlineLevel="0" collapsed="false">
      <c r="A72" s="7"/>
      <c r="B72" s="7"/>
      <c r="C72" s="46"/>
      <c r="D72" s="7"/>
      <c r="E72" s="47"/>
      <c r="F72" s="46"/>
      <c r="G72" s="46"/>
      <c r="H72" s="7"/>
      <c r="I72" s="7"/>
      <c r="J72" s="47"/>
      <c r="K72" s="47"/>
      <c r="L72" s="47"/>
      <c r="M72" s="47"/>
      <c r="N72" s="10"/>
      <c r="O72" s="47"/>
      <c r="P72" s="47"/>
      <c r="Q72" s="47"/>
      <c r="R72" s="48" t="str">
        <f aca="false">IF(Q72="","",IF(Q72=0,"below 5:00",IF(Q72&gt;=66,"16:00 or above",INT((60+2*Q72)/12)&amp;":"&amp;TEXT(MOD(60+2*Q72,12),"00"))))</f>
        <v/>
      </c>
      <c r="S72" s="47"/>
      <c r="T72" s="47"/>
      <c r="U72" s="47"/>
      <c r="V72" s="47"/>
      <c r="W72" s="47"/>
      <c r="X72" s="47"/>
      <c r="Y72" s="47"/>
      <c r="Z72" s="47"/>
      <c r="AA72" s="47"/>
      <c r="AB72" s="47"/>
      <c r="AC72" s="47"/>
      <c r="AD72" s="47"/>
      <c r="AE72" s="47"/>
      <c r="AF72" s="47"/>
      <c r="AG72" s="47"/>
      <c r="AH72" s="47"/>
      <c r="AI72" s="46"/>
      <c r="AJ72" s="46"/>
      <c r="AK72" s="46"/>
      <c r="AL72" s="7"/>
      <c r="AM72" s="49" t="str">
        <f aca="false">IF(OR(C72="",G72=""),"",IFERROR(DATEDIF(C72,G72,"m"),""))</f>
        <v/>
      </c>
      <c r="AN72" s="49" t="str">
        <f aca="false">IF(OR(Q72="",AM72=""),"",60+2*Q72-AM72)</f>
        <v/>
      </c>
      <c r="AO72" s="49" t="str">
        <f aca="false">IF(OR(G72="",AJ72=""),"",AJ72-G72)</f>
        <v/>
      </c>
      <c r="AP72" s="50" t="str">
        <f aca="false">IF(AND(A72="",B72=""),"",IF(J72="","Status needed",IF(OR(J72="Applied",J72="Visit booked",J72="Withdrawn"),"OK",IF(G72="","Date assessed needed",IF(C72="","Date of birth needed",IF(COUNTA(L72,M72,P72,U72,V72,X72,AB72)&lt;7,"Band missing",IF(AND(OR(J72="Decision confirmed",J72="Family told",J72="Enrolled"),AG72=""),"Recommendation needed",IF(AND(OR(J72="Family told",J72="Enrolled"),AJ72=""),"Date family told needed","OK"))))))))</f>
        <v/>
      </c>
    </row>
    <row r="73" customFormat="false" ht="15" hidden="false" customHeight="false" outlineLevel="0" collapsed="false">
      <c r="A73" s="7"/>
      <c r="B73" s="7"/>
      <c r="C73" s="46"/>
      <c r="D73" s="7"/>
      <c r="E73" s="47"/>
      <c r="F73" s="46"/>
      <c r="G73" s="46"/>
      <c r="H73" s="7"/>
      <c r="I73" s="7"/>
      <c r="J73" s="47"/>
      <c r="K73" s="47"/>
      <c r="L73" s="47"/>
      <c r="M73" s="47"/>
      <c r="N73" s="10"/>
      <c r="O73" s="47"/>
      <c r="P73" s="47"/>
      <c r="Q73" s="47"/>
      <c r="R73" s="48" t="str">
        <f aca="false">IF(Q73="","",IF(Q73=0,"below 5:00",IF(Q73&gt;=66,"16:00 or above",INT((60+2*Q73)/12)&amp;":"&amp;TEXT(MOD(60+2*Q73,12),"00"))))</f>
        <v/>
      </c>
      <c r="S73" s="47"/>
      <c r="T73" s="47"/>
      <c r="U73" s="47"/>
      <c r="V73" s="47"/>
      <c r="W73" s="47"/>
      <c r="X73" s="47"/>
      <c r="Y73" s="47"/>
      <c r="Z73" s="47"/>
      <c r="AA73" s="47"/>
      <c r="AB73" s="47"/>
      <c r="AC73" s="47"/>
      <c r="AD73" s="47"/>
      <c r="AE73" s="47"/>
      <c r="AF73" s="47"/>
      <c r="AG73" s="47"/>
      <c r="AH73" s="47"/>
      <c r="AI73" s="46"/>
      <c r="AJ73" s="46"/>
      <c r="AK73" s="46"/>
      <c r="AL73" s="7"/>
      <c r="AM73" s="49" t="str">
        <f aca="false">IF(OR(C73="",G73=""),"",IFERROR(DATEDIF(C73,G73,"m"),""))</f>
        <v/>
      </c>
      <c r="AN73" s="49" t="str">
        <f aca="false">IF(OR(Q73="",AM73=""),"",60+2*Q73-AM73)</f>
        <v/>
      </c>
      <c r="AO73" s="49" t="str">
        <f aca="false">IF(OR(G73="",AJ73=""),"",AJ73-G73)</f>
        <v/>
      </c>
      <c r="AP73" s="50" t="str">
        <f aca="false">IF(AND(A73="",B73=""),"",IF(J73="","Status needed",IF(OR(J73="Applied",J73="Visit booked",J73="Withdrawn"),"OK",IF(G73="","Date assessed needed",IF(C73="","Date of birth needed",IF(COUNTA(L73,M73,P73,U73,V73,X73,AB73)&lt;7,"Band missing",IF(AND(OR(J73="Decision confirmed",J73="Family told",J73="Enrolled"),AG73=""),"Recommendation needed",IF(AND(OR(J73="Family told",J73="Enrolled"),AJ73=""),"Date family told needed","OK"))))))))</f>
        <v/>
      </c>
    </row>
    <row r="74" customFormat="false" ht="15" hidden="false" customHeight="false" outlineLevel="0" collapsed="false">
      <c r="A74" s="7"/>
      <c r="B74" s="7"/>
      <c r="C74" s="46"/>
      <c r="D74" s="7"/>
      <c r="E74" s="47"/>
      <c r="F74" s="46"/>
      <c r="G74" s="46"/>
      <c r="H74" s="7"/>
      <c r="I74" s="7"/>
      <c r="J74" s="47"/>
      <c r="K74" s="47"/>
      <c r="L74" s="47"/>
      <c r="M74" s="47"/>
      <c r="N74" s="10"/>
      <c r="O74" s="47"/>
      <c r="P74" s="47"/>
      <c r="Q74" s="47"/>
      <c r="R74" s="48" t="str">
        <f aca="false">IF(Q74="","",IF(Q74=0,"below 5:00",IF(Q74&gt;=66,"16:00 or above",INT((60+2*Q74)/12)&amp;":"&amp;TEXT(MOD(60+2*Q74,12),"00"))))</f>
        <v/>
      </c>
      <c r="S74" s="47"/>
      <c r="T74" s="47"/>
      <c r="U74" s="47"/>
      <c r="V74" s="47"/>
      <c r="W74" s="47"/>
      <c r="X74" s="47"/>
      <c r="Y74" s="47"/>
      <c r="Z74" s="47"/>
      <c r="AA74" s="47"/>
      <c r="AB74" s="47"/>
      <c r="AC74" s="47"/>
      <c r="AD74" s="47"/>
      <c r="AE74" s="47"/>
      <c r="AF74" s="47"/>
      <c r="AG74" s="47"/>
      <c r="AH74" s="47"/>
      <c r="AI74" s="46"/>
      <c r="AJ74" s="46"/>
      <c r="AK74" s="46"/>
      <c r="AL74" s="7"/>
      <c r="AM74" s="49" t="str">
        <f aca="false">IF(OR(C74="",G74=""),"",IFERROR(DATEDIF(C74,G74,"m"),""))</f>
        <v/>
      </c>
      <c r="AN74" s="49" t="str">
        <f aca="false">IF(OR(Q74="",AM74=""),"",60+2*Q74-AM74)</f>
        <v/>
      </c>
      <c r="AO74" s="49" t="str">
        <f aca="false">IF(OR(G74="",AJ74=""),"",AJ74-G74)</f>
        <v/>
      </c>
      <c r="AP74" s="50" t="str">
        <f aca="false">IF(AND(A74="",B74=""),"",IF(J74="","Status needed",IF(OR(J74="Applied",J74="Visit booked",J74="Withdrawn"),"OK",IF(G74="","Date assessed needed",IF(C74="","Date of birth needed",IF(COUNTA(L74,M74,P74,U74,V74,X74,AB74)&lt;7,"Band missing",IF(AND(OR(J74="Decision confirmed",J74="Family told",J74="Enrolled"),AG74=""),"Recommendation needed",IF(AND(OR(J74="Family told",J74="Enrolled"),AJ74=""),"Date family told needed","OK"))))))))</f>
        <v/>
      </c>
    </row>
    <row r="75" customFormat="false" ht="15" hidden="false" customHeight="false" outlineLevel="0" collapsed="false">
      <c r="A75" s="7"/>
      <c r="B75" s="7"/>
      <c r="C75" s="46"/>
      <c r="D75" s="7"/>
      <c r="E75" s="47"/>
      <c r="F75" s="46"/>
      <c r="G75" s="46"/>
      <c r="H75" s="7"/>
      <c r="I75" s="7"/>
      <c r="J75" s="47"/>
      <c r="K75" s="47"/>
      <c r="L75" s="47"/>
      <c r="M75" s="47"/>
      <c r="N75" s="10"/>
      <c r="O75" s="47"/>
      <c r="P75" s="47"/>
      <c r="Q75" s="47"/>
      <c r="R75" s="48" t="str">
        <f aca="false">IF(Q75="","",IF(Q75=0,"below 5:00",IF(Q75&gt;=66,"16:00 or above",INT((60+2*Q75)/12)&amp;":"&amp;TEXT(MOD(60+2*Q75,12),"00"))))</f>
        <v/>
      </c>
      <c r="S75" s="47"/>
      <c r="T75" s="47"/>
      <c r="U75" s="47"/>
      <c r="V75" s="47"/>
      <c r="W75" s="47"/>
      <c r="X75" s="47"/>
      <c r="Y75" s="47"/>
      <c r="Z75" s="47"/>
      <c r="AA75" s="47"/>
      <c r="AB75" s="47"/>
      <c r="AC75" s="47"/>
      <c r="AD75" s="47"/>
      <c r="AE75" s="47"/>
      <c r="AF75" s="47"/>
      <c r="AG75" s="47"/>
      <c r="AH75" s="47"/>
      <c r="AI75" s="46"/>
      <c r="AJ75" s="46"/>
      <c r="AK75" s="46"/>
      <c r="AL75" s="7"/>
      <c r="AM75" s="49" t="str">
        <f aca="false">IF(OR(C75="",G75=""),"",IFERROR(DATEDIF(C75,G75,"m"),""))</f>
        <v/>
      </c>
      <c r="AN75" s="49" t="str">
        <f aca="false">IF(OR(Q75="",AM75=""),"",60+2*Q75-AM75)</f>
        <v/>
      </c>
      <c r="AO75" s="49" t="str">
        <f aca="false">IF(OR(G75="",AJ75=""),"",AJ75-G75)</f>
        <v/>
      </c>
      <c r="AP75" s="50" t="str">
        <f aca="false">IF(AND(A75="",B75=""),"",IF(J75="","Status needed",IF(OR(J75="Applied",J75="Visit booked",J75="Withdrawn"),"OK",IF(G75="","Date assessed needed",IF(C75="","Date of birth needed",IF(COUNTA(L75,M75,P75,U75,V75,X75,AB75)&lt;7,"Band missing",IF(AND(OR(J75="Decision confirmed",J75="Family told",J75="Enrolled"),AG75=""),"Recommendation needed",IF(AND(OR(J75="Family told",J75="Enrolled"),AJ75=""),"Date family told needed","OK"))))))))</f>
        <v/>
      </c>
    </row>
    <row r="76" customFormat="false" ht="15" hidden="false" customHeight="false" outlineLevel="0" collapsed="false">
      <c r="A76" s="7"/>
      <c r="B76" s="7"/>
      <c r="C76" s="46"/>
      <c r="D76" s="7"/>
      <c r="E76" s="47"/>
      <c r="F76" s="46"/>
      <c r="G76" s="46"/>
      <c r="H76" s="7"/>
      <c r="I76" s="7"/>
      <c r="J76" s="47"/>
      <c r="K76" s="47"/>
      <c r="L76" s="47"/>
      <c r="M76" s="47"/>
      <c r="N76" s="10"/>
      <c r="O76" s="47"/>
      <c r="P76" s="47"/>
      <c r="Q76" s="47"/>
      <c r="R76" s="48" t="str">
        <f aca="false">IF(Q76="","",IF(Q76=0,"below 5:00",IF(Q76&gt;=66,"16:00 or above",INT((60+2*Q76)/12)&amp;":"&amp;TEXT(MOD(60+2*Q76,12),"00"))))</f>
        <v/>
      </c>
      <c r="S76" s="47"/>
      <c r="T76" s="47"/>
      <c r="U76" s="47"/>
      <c r="V76" s="47"/>
      <c r="W76" s="47"/>
      <c r="X76" s="47"/>
      <c r="Y76" s="47"/>
      <c r="Z76" s="47"/>
      <c r="AA76" s="47"/>
      <c r="AB76" s="47"/>
      <c r="AC76" s="47"/>
      <c r="AD76" s="47"/>
      <c r="AE76" s="47"/>
      <c r="AF76" s="47"/>
      <c r="AG76" s="47"/>
      <c r="AH76" s="47"/>
      <c r="AI76" s="46"/>
      <c r="AJ76" s="46"/>
      <c r="AK76" s="46"/>
      <c r="AL76" s="7"/>
      <c r="AM76" s="49" t="str">
        <f aca="false">IF(OR(C76="",G76=""),"",IFERROR(DATEDIF(C76,G76,"m"),""))</f>
        <v/>
      </c>
      <c r="AN76" s="49" t="str">
        <f aca="false">IF(OR(Q76="",AM76=""),"",60+2*Q76-AM76)</f>
        <v/>
      </c>
      <c r="AO76" s="49" t="str">
        <f aca="false">IF(OR(G76="",AJ76=""),"",AJ76-G76)</f>
        <v/>
      </c>
      <c r="AP76" s="50" t="str">
        <f aca="false">IF(AND(A76="",B76=""),"",IF(J76="","Status needed",IF(OR(J76="Applied",J76="Visit booked",J76="Withdrawn"),"OK",IF(G76="","Date assessed needed",IF(C76="","Date of birth needed",IF(COUNTA(L76,M76,P76,U76,V76,X76,AB76)&lt;7,"Band missing",IF(AND(OR(J76="Decision confirmed",J76="Family told",J76="Enrolled"),AG76=""),"Recommendation needed",IF(AND(OR(J76="Family told",J76="Enrolled"),AJ76=""),"Date family told needed","OK"))))))))</f>
        <v/>
      </c>
    </row>
    <row r="77" customFormat="false" ht="15" hidden="false" customHeight="false" outlineLevel="0" collapsed="false">
      <c r="A77" s="7"/>
      <c r="B77" s="7"/>
      <c r="C77" s="46"/>
      <c r="D77" s="7"/>
      <c r="E77" s="47"/>
      <c r="F77" s="46"/>
      <c r="G77" s="46"/>
      <c r="H77" s="7"/>
      <c r="I77" s="7"/>
      <c r="J77" s="47"/>
      <c r="K77" s="47"/>
      <c r="L77" s="47"/>
      <c r="M77" s="47"/>
      <c r="N77" s="10"/>
      <c r="O77" s="47"/>
      <c r="P77" s="47"/>
      <c r="Q77" s="47"/>
      <c r="R77" s="48" t="str">
        <f aca="false">IF(Q77="","",IF(Q77=0,"below 5:00",IF(Q77&gt;=66,"16:00 or above",INT((60+2*Q77)/12)&amp;":"&amp;TEXT(MOD(60+2*Q77,12),"00"))))</f>
        <v/>
      </c>
      <c r="S77" s="47"/>
      <c r="T77" s="47"/>
      <c r="U77" s="47"/>
      <c r="V77" s="47"/>
      <c r="W77" s="47"/>
      <c r="X77" s="47"/>
      <c r="Y77" s="47"/>
      <c r="Z77" s="47"/>
      <c r="AA77" s="47"/>
      <c r="AB77" s="47"/>
      <c r="AC77" s="47"/>
      <c r="AD77" s="47"/>
      <c r="AE77" s="47"/>
      <c r="AF77" s="47"/>
      <c r="AG77" s="47"/>
      <c r="AH77" s="47"/>
      <c r="AI77" s="46"/>
      <c r="AJ77" s="46"/>
      <c r="AK77" s="46"/>
      <c r="AL77" s="7"/>
      <c r="AM77" s="49" t="str">
        <f aca="false">IF(OR(C77="",G77=""),"",IFERROR(DATEDIF(C77,G77,"m"),""))</f>
        <v/>
      </c>
      <c r="AN77" s="49" t="str">
        <f aca="false">IF(OR(Q77="",AM77=""),"",60+2*Q77-AM77)</f>
        <v/>
      </c>
      <c r="AO77" s="49" t="str">
        <f aca="false">IF(OR(G77="",AJ77=""),"",AJ77-G77)</f>
        <v/>
      </c>
      <c r="AP77" s="50" t="str">
        <f aca="false">IF(AND(A77="",B77=""),"",IF(J77="","Status needed",IF(OR(J77="Applied",J77="Visit booked",J77="Withdrawn"),"OK",IF(G77="","Date assessed needed",IF(C77="","Date of birth needed",IF(COUNTA(L77,M77,P77,U77,V77,X77,AB77)&lt;7,"Band missing",IF(AND(OR(J77="Decision confirmed",J77="Family told",J77="Enrolled"),AG77=""),"Recommendation needed",IF(AND(OR(J77="Family told",J77="Enrolled"),AJ77=""),"Date family told needed","OK"))))))))</f>
        <v/>
      </c>
    </row>
    <row r="78" customFormat="false" ht="15" hidden="false" customHeight="false" outlineLevel="0" collapsed="false">
      <c r="A78" s="7"/>
      <c r="B78" s="7"/>
      <c r="C78" s="46"/>
      <c r="D78" s="7"/>
      <c r="E78" s="47"/>
      <c r="F78" s="46"/>
      <c r="G78" s="46"/>
      <c r="H78" s="7"/>
      <c r="I78" s="7"/>
      <c r="J78" s="47"/>
      <c r="K78" s="47"/>
      <c r="L78" s="47"/>
      <c r="M78" s="47"/>
      <c r="N78" s="10"/>
      <c r="O78" s="47"/>
      <c r="P78" s="47"/>
      <c r="Q78" s="47"/>
      <c r="R78" s="48" t="str">
        <f aca="false">IF(Q78="","",IF(Q78=0,"below 5:00",IF(Q78&gt;=66,"16:00 or above",INT((60+2*Q78)/12)&amp;":"&amp;TEXT(MOD(60+2*Q78,12),"00"))))</f>
        <v/>
      </c>
      <c r="S78" s="47"/>
      <c r="T78" s="47"/>
      <c r="U78" s="47"/>
      <c r="V78" s="47"/>
      <c r="W78" s="47"/>
      <c r="X78" s="47"/>
      <c r="Y78" s="47"/>
      <c r="Z78" s="47"/>
      <c r="AA78" s="47"/>
      <c r="AB78" s="47"/>
      <c r="AC78" s="47"/>
      <c r="AD78" s="47"/>
      <c r="AE78" s="47"/>
      <c r="AF78" s="47"/>
      <c r="AG78" s="47"/>
      <c r="AH78" s="47"/>
      <c r="AI78" s="46"/>
      <c r="AJ78" s="46"/>
      <c r="AK78" s="46"/>
      <c r="AL78" s="7"/>
      <c r="AM78" s="49" t="str">
        <f aca="false">IF(OR(C78="",G78=""),"",IFERROR(DATEDIF(C78,G78,"m"),""))</f>
        <v/>
      </c>
      <c r="AN78" s="49" t="str">
        <f aca="false">IF(OR(Q78="",AM78=""),"",60+2*Q78-AM78)</f>
        <v/>
      </c>
      <c r="AO78" s="49" t="str">
        <f aca="false">IF(OR(G78="",AJ78=""),"",AJ78-G78)</f>
        <v/>
      </c>
      <c r="AP78" s="50" t="str">
        <f aca="false">IF(AND(A78="",B78=""),"",IF(J78="","Status needed",IF(OR(J78="Applied",J78="Visit booked",J78="Withdrawn"),"OK",IF(G78="","Date assessed needed",IF(C78="","Date of birth needed",IF(COUNTA(L78,M78,P78,U78,V78,X78,AB78)&lt;7,"Band missing",IF(AND(OR(J78="Decision confirmed",J78="Family told",J78="Enrolled"),AG78=""),"Recommendation needed",IF(AND(OR(J78="Family told",J78="Enrolled"),AJ78=""),"Date family told needed","OK"))))))))</f>
        <v/>
      </c>
    </row>
    <row r="79" customFormat="false" ht="15" hidden="false" customHeight="false" outlineLevel="0" collapsed="false">
      <c r="A79" s="7"/>
      <c r="B79" s="7"/>
      <c r="C79" s="46"/>
      <c r="D79" s="7"/>
      <c r="E79" s="47"/>
      <c r="F79" s="46"/>
      <c r="G79" s="46"/>
      <c r="H79" s="7"/>
      <c r="I79" s="7"/>
      <c r="J79" s="47"/>
      <c r="K79" s="47"/>
      <c r="L79" s="47"/>
      <c r="M79" s="47"/>
      <c r="N79" s="10"/>
      <c r="O79" s="47"/>
      <c r="P79" s="47"/>
      <c r="Q79" s="47"/>
      <c r="R79" s="48" t="str">
        <f aca="false">IF(Q79="","",IF(Q79=0,"below 5:00",IF(Q79&gt;=66,"16:00 or above",INT((60+2*Q79)/12)&amp;":"&amp;TEXT(MOD(60+2*Q79,12),"00"))))</f>
        <v/>
      </c>
      <c r="S79" s="47"/>
      <c r="T79" s="47"/>
      <c r="U79" s="47"/>
      <c r="V79" s="47"/>
      <c r="W79" s="47"/>
      <c r="X79" s="47"/>
      <c r="Y79" s="47"/>
      <c r="Z79" s="47"/>
      <c r="AA79" s="47"/>
      <c r="AB79" s="47"/>
      <c r="AC79" s="47"/>
      <c r="AD79" s="47"/>
      <c r="AE79" s="47"/>
      <c r="AF79" s="47"/>
      <c r="AG79" s="47"/>
      <c r="AH79" s="47"/>
      <c r="AI79" s="46"/>
      <c r="AJ79" s="46"/>
      <c r="AK79" s="46"/>
      <c r="AL79" s="7"/>
      <c r="AM79" s="49" t="str">
        <f aca="false">IF(OR(C79="",G79=""),"",IFERROR(DATEDIF(C79,G79,"m"),""))</f>
        <v/>
      </c>
      <c r="AN79" s="49" t="str">
        <f aca="false">IF(OR(Q79="",AM79=""),"",60+2*Q79-AM79)</f>
        <v/>
      </c>
      <c r="AO79" s="49" t="str">
        <f aca="false">IF(OR(G79="",AJ79=""),"",AJ79-G79)</f>
        <v/>
      </c>
      <c r="AP79" s="50" t="str">
        <f aca="false">IF(AND(A79="",B79=""),"",IF(J79="","Status needed",IF(OR(J79="Applied",J79="Visit booked",J79="Withdrawn"),"OK",IF(G79="","Date assessed needed",IF(C79="","Date of birth needed",IF(COUNTA(L79,M79,P79,U79,V79,X79,AB79)&lt;7,"Band missing",IF(AND(OR(J79="Decision confirmed",J79="Family told",J79="Enrolled"),AG79=""),"Recommendation needed",IF(AND(OR(J79="Family told",J79="Enrolled"),AJ79=""),"Date family told needed","OK"))))))))</f>
        <v/>
      </c>
    </row>
    <row r="80" customFormat="false" ht="15" hidden="false" customHeight="false" outlineLevel="0" collapsed="false">
      <c r="A80" s="7"/>
      <c r="B80" s="7"/>
      <c r="C80" s="46"/>
      <c r="D80" s="7"/>
      <c r="E80" s="47"/>
      <c r="F80" s="46"/>
      <c r="G80" s="46"/>
      <c r="H80" s="7"/>
      <c r="I80" s="7"/>
      <c r="J80" s="47"/>
      <c r="K80" s="47"/>
      <c r="L80" s="47"/>
      <c r="M80" s="47"/>
      <c r="N80" s="10"/>
      <c r="O80" s="47"/>
      <c r="P80" s="47"/>
      <c r="Q80" s="47"/>
      <c r="R80" s="48" t="str">
        <f aca="false">IF(Q80="","",IF(Q80=0,"below 5:00",IF(Q80&gt;=66,"16:00 or above",INT((60+2*Q80)/12)&amp;":"&amp;TEXT(MOD(60+2*Q80,12),"00"))))</f>
        <v/>
      </c>
      <c r="S80" s="47"/>
      <c r="T80" s="47"/>
      <c r="U80" s="47"/>
      <c r="V80" s="47"/>
      <c r="W80" s="47"/>
      <c r="X80" s="47"/>
      <c r="Y80" s="47"/>
      <c r="Z80" s="47"/>
      <c r="AA80" s="47"/>
      <c r="AB80" s="47"/>
      <c r="AC80" s="47"/>
      <c r="AD80" s="47"/>
      <c r="AE80" s="47"/>
      <c r="AF80" s="47"/>
      <c r="AG80" s="47"/>
      <c r="AH80" s="47"/>
      <c r="AI80" s="46"/>
      <c r="AJ80" s="46"/>
      <c r="AK80" s="46"/>
      <c r="AL80" s="7"/>
      <c r="AM80" s="49" t="str">
        <f aca="false">IF(OR(C80="",G80=""),"",IFERROR(DATEDIF(C80,G80,"m"),""))</f>
        <v/>
      </c>
      <c r="AN80" s="49" t="str">
        <f aca="false">IF(OR(Q80="",AM80=""),"",60+2*Q80-AM80)</f>
        <v/>
      </c>
      <c r="AO80" s="49" t="str">
        <f aca="false">IF(OR(G80="",AJ80=""),"",AJ80-G80)</f>
        <v/>
      </c>
      <c r="AP80" s="50" t="str">
        <f aca="false">IF(AND(A80="",B80=""),"",IF(J80="","Status needed",IF(OR(J80="Applied",J80="Visit booked",J80="Withdrawn"),"OK",IF(G80="","Date assessed needed",IF(C80="","Date of birth needed",IF(COUNTA(L80,M80,P80,U80,V80,X80,AB80)&lt;7,"Band missing",IF(AND(OR(J80="Decision confirmed",J80="Family told",J80="Enrolled"),AG80=""),"Recommendation needed",IF(AND(OR(J80="Family told",J80="Enrolled"),AJ80=""),"Date family told needed","OK"))))))))</f>
        <v/>
      </c>
    </row>
    <row r="81" customFormat="false" ht="15" hidden="false" customHeight="false" outlineLevel="0" collapsed="false">
      <c r="A81" s="7"/>
      <c r="B81" s="7"/>
      <c r="C81" s="46"/>
      <c r="D81" s="7"/>
      <c r="E81" s="47"/>
      <c r="F81" s="46"/>
      <c r="G81" s="46"/>
      <c r="H81" s="7"/>
      <c r="I81" s="7"/>
      <c r="J81" s="47"/>
      <c r="K81" s="47"/>
      <c r="L81" s="47"/>
      <c r="M81" s="47"/>
      <c r="N81" s="10"/>
      <c r="O81" s="47"/>
      <c r="P81" s="47"/>
      <c r="Q81" s="47"/>
      <c r="R81" s="48" t="str">
        <f aca="false">IF(Q81="","",IF(Q81=0,"below 5:00",IF(Q81&gt;=66,"16:00 or above",INT((60+2*Q81)/12)&amp;":"&amp;TEXT(MOD(60+2*Q81,12),"00"))))</f>
        <v/>
      </c>
      <c r="S81" s="47"/>
      <c r="T81" s="47"/>
      <c r="U81" s="47"/>
      <c r="V81" s="47"/>
      <c r="W81" s="47"/>
      <c r="X81" s="47"/>
      <c r="Y81" s="47"/>
      <c r="Z81" s="47"/>
      <c r="AA81" s="47"/>
      <c r="AB81" s="47"/>
      <c r="AC81" s="47"/>
      <c r="AD81" s="47"/>
      <c r="AE81" s="47"/>
      <c r="AF81" s="47"/>
      <c r="AG81" s="47"/>
      <c r="AH81" s="47"/>
      <c r="AI81" s="46"/>
      <c r="AJ81" s="46"/>
      <c r="AK81" s="46"/>
      <c r="AL81" s="7"/>
      <c r="AM81" s="49" t="str">
        <f aca="false">IF(OR(C81="",G81=""),"",IFERROR(DATEDIF(C81,G81,"m"),""))</f>
        <v/>
      </c>
      <c r="AN81" s="49" t="str">
        <f aca="false">IF(OR(Q81="",AM81=""),"",60+2*Q81-AM81)</f>
        <v/>
      </c>
      <c r="AO81" s="49" t="str">
        <f aca="false">IF(OR(G81="",AJ81=""),"",AJ81-G81)</f>
        <v/>
      </c>
      <c r="AP81" s="50" t="str">
        <f aca="false">IF(AND(A81="",B81=""),"",IF(J81="","Status needed",IF(OR(J81="Applied",J81="Visit booked",J81="Withdrawn"),"OK",IF(G81="","Date assessed needed",IF(C81="","Date of birth needed",IF(COUNTA(L81,M81,P81,U81,V81,X81,AB81)&lt;7,"Band missing",IF(AND(OR(J81="Decision confirmed",J81="Family told",J81="Enrolled"),AG81=""),"Recommendation needed",IF(AND(OR(J81="Family told",J81="Enrolled"),AJ81=""),"Date family told needed","OK"))))))))</f>
        <v/>
      </c>
    </row>
    <row r="82" customFormat="false" ht="15" hidden="false" customHeight="false" outlineLevel="0" collapsed="false">
      <c r="A82" s="7"/>
      <c r="B82" s="7"/>
      <c r="C82" s="46"/>
      <c r="D82" s="7"/>
      <c r="E82" s="47"/>
      <c r="F82" s="46"/>
      <c r="G82" s="46"/>
      <c r="H82" s="7"/>
      <c r="I82" s="7"/>
      <c r="J82" s="47"/>
      <c r="K82" s="47"/>
      <c r="L82" s="47"/>
      <c r="M82" s="47"/>
      <c r="N82" s="10"/>
      <c r="O82" s="47"/>
      <c r="P82" s="47"/>
      <c r="Q82" s="47"/>
      <c r="R82" s="48" t="str">
        <f aca="false">IF(Q82="","",IF(Q82=0,"below 5:00",IF(Q82&gt;=66,"16:00 or above",INT((60+2*Q82)/12)&amp;":"&amp;TEXT(MOD(60+2*Q82,12),"00"))))</f>
        <v/>
      </c>
      <c r="S82" s="47"/>
      <c r="T82" s="47"/>
      <c r="U82" s="47"/>
      <c r="V82" s="47"/>
      <c r="W82" s="47"/>
      <c r="X82" s="47"/>
      <c r="Y82" s="47"/>
      <c r="Z82" s="47"/>
      <c r="AA82" s="47"/>
      <c r="AB82" s="47"/>
      <c r="AC82" s="47"/>
      <c r="AD82" s="47"/>
      <c r="AE82" s="47"/>
      <c r="AF82" s="47"/>
      <c r="AG82" s="47"/>
      <c r="AH82" s="47"/>
      <c r="AI82" s="46"/>
      <c r="AJ82" s="46"/>
      <c r="AK82" s="46"/>
      <c r="AL82" s="7"/>
      <c r="AM82" s="49" t="str">
        <f aca="false">IF(OR(C82="",G82=""),"",IFERROR(DATEDIF(C82,G82,"m"),""))</f>
        <v/>
      </c>
      <c r="AN82" s="49" t="str">
        <f aca="false">IF(OR(Q82="",AM82=""),"",60+2*Q82-AM82)</f>
        <v/>
      </c>
      <c r="AO82" s="49" t="str">
        <f aca="false">IF(OR(G82="",AJ82=""),"",AJ82-G82)</f>
        <v/>
      </c>
      <c r="AP82" s="50" t="str">
        <f aca="false">IF(AND(A82="",B82=""),"",IF(J82="","Status needed",IF(OR(J82="Applied",J82="Visit booked",J82="Withdrawn"),"OK",IF(G82="","Date assessed needed",IF(C82="","Date of birth needed",IF(COUNTA(L82,M82,P82,U82,V82,X82,AB82)&lt;7,"Band missing",IF(AND(OR(J82="Decision confirmed",J82="Family told",J82="Enrolled"),AG82=""),"Recommendation needed",IF(AND(OR(J82="Family told",J82="Enrolled"),AJ82=""),"Date family told needed","OK"))))))))</f>
        <v/>
      </c>
    </row>
    <row r="83" customFormat="false" ht="15" hidden="false" customHeight="false" outlineLevel="0" collapsed="false">
      <c r="A83" s="7"/>
      <c r="B83" s="7"/>
      <c r="C83" s="46"/>
      <c r="D83" s="7"/>
      <c r="E83" s="47"/>
      <c r="F83" s="46"/>
      <c r="G83" s="46"/>
      <c r="H83" s="7"/>
      <c r="I83" s="7"/>
      <c r="J83" s="47"/>
      <c r="K83" s="47"/>
      <c r="L83" s="47"/>
      <c r="M83" s="47"/>
      <c r="N83" s="10"/>
      <c r="O83" s="47"/>
      <c r="P83" s="47"/>
      <c r="Q83" s="47"/>
      <c r="R83" s="48" t="str">
        <f aca="false">IF(Q83="","",IF(Q83=0,"below 5:00",IF(Q83&gt;=66,"16:00 or above",INT((60+2*Q83)/12)&amp;":"&amp;TEXT(MOD(60+2*Q83,12),"00"))))</f>
        <v/>
      </c>
      <c r="S83" s="47"/>
      <c r="T83" s="47"/>
      <c r="U83" s="47"/>
      <c r="V83" s="47"/>
      <c r="W83" s="47"/>
      <c r="X83" s="47"/>
      <c r="Y83" s="47"/>
      <c r="Z83" s="47"/>
      <c r="AA83" s="47"/>
      <c r="AB83" s="47"/>
      <c r="AC83" s="47"/>
      <c r="AD83" s="47"/>
      <c r="AE83" s="47"/>
      <c r="AF83" s="47"/>
      <c r="AG83" s="47"/>
      <c r="AH83" s="47"/>
      <c r="AI83" s="46"/>
      <c r="AJ83" s="46"/>
      <c r="AK83" s="46"/>
      <c r="AL83" s="7"/>
      <c r="AM83" s="49" t="str">
        <f aca="false">IF(OR(C83="",G83=""),"",IFERROR(DATEDIF(C83,G83,"m"),""))</f>
        <v/>
      </c>
      <c r="AN83" s="49" t="str">
        <f aca="false">IF(OR(Q83="",AM83=""),"",60+2*Q83-AM83)</f>
        <v/>
      </c>
      <c r="AO83" s="49" t="str">
        <f aca="false">IF(OR(G83="",AJ83=""),"",AJ83-G83)</f>
        <v/>
      </c>
      <c r="AP83" s="50" t="str">
        <f aca="false">IF(AND(A83="",B83=""),"",IF(J83="","Status needed",IF(OR(J83="Applied",J83="Visit booked",J83="Withdrawn"),"OK",IF(G83="","Date assessed needed",IF(C83="","Date of birth needed",IF(COUNTA(L83,M83,P83,U83,V83,X83,AB83)&lt;7,"Band missing",IF(AND(OR(J83="Decision confirmed",J83="Family told",J83="Enrolled"),AG83=""),"Recommendation needed",IF(AND(OR(J83="Family told",J83="Enrolled"),AJ83=""),"Date family told needed","OK"))))))))</f>
        <v/>
      </c>
    </row>
    <row r="84" customFormat="false" ht="15" hidden="false" customHeight="false" outlineLevel="0" collapsed="false">
      <c r="A84" s="7"/>
      <c r="B84" s="7"/>
      <c r="C84" s="46"/>
      <c r="D84" s="7"/>
      <c r="E84" s="47"/>
      <c r="F84" s="46"/>
      <c r="G84" s="46"/>
      <c r="H84" s="7"/>
      <c r="I84" s="7"/>
      <c r="J84" s="47"/>
      <c r="K84" s="47"/>
      <c r="L84" s="47"/>
      <c r="M84" s="47"/>
      <c r="N84" s="10"/>
      <c r="O84" s="47"/>
      <c r="P84" s="47"/>
      <c r="Q84" s="47"/>
      <c r="R84" s="48" t="str">
        <f aca="false">IF(Q84="","",IF(Q84=0,"below 5:00",IF(Q84&gt;=66,"16:00 or above",INT((60+2*Q84)/12)&amp;":"&amp;TEXT(MOD(60+2*Q84,12),"00"))))</f>
        <v/>
      </c>
      <c r="S84" s="47"/>
      <c r="T84" s="47"/>
      <c r="U84" s="47"/>
      <c r="V84" s="47"/>
      <c r="W84" s="47"/>
      <c r="X84" s="47"/>
      <c r="Y84" s="47"/>
      <c r="Z84" s="47"/>
      <c r="AA84" s="47"/>
      <c r="AB84" s="47"/>
      <c r="AC84" s="47"/>
      <c r="AD84" s="47"/>
      <c r="AE84" s="47"/>
      <c r="AF84" s="47"/>
      <c r="AG84" s="47"/>
      <c r="AH84" s="47"/>
      <c r="AI84" s="46"/>
      <c r="AJ84" s="46"/>
      <c r="AK84" s="46"/>
      <c r="AL84" s="7"/>
      <c r="AM84" s="49" t="str">
        <f aca="false">IF(OR(C84="",G84=""),"",IFERROR(DATEDIF(C84,G84,"m"),""))</f>
        <v/>
      </c>
      <c r="AN84" s="49" t="str">
        <f aca="false">IF(OR(Q84="",AM84=""),"",60+2*Q84-AM84)</f>
        <v/>
      </c>
      <c r="AO84" s="49" t="str">
        <f aca="false">IF(OR(G84="",AJ84=""),"",AJ84-G84)</f>
        <v/>
      </c>
      <c r="AP84" s="50" t="str">
        <f aca="false">IF(AND(A84="",B84=""),"",IF(J84="","Status needed",IF(OR(J84="Applied",J84="Visit booked",J84="Withdrawn"),"OK",IF(G84="","Date assessed needed",IF(C84="","Date of birth needed",IF(COUNTA(L84,M84,P84,U84,V84,X84,AB84)&lt;7,"Band missing",IF(AND(OR(J84="Decision confirmed",J84="Family told",J84="Enrolled"),AG84=""),"Recommendation needed",IF(AND(OR(J84="Family told",J84="Enrolled"),AJ84=""),"Date family told needed","OK"))))))))</f>
        <v/>
      </c>
    </row>
    <row r="85" customFormat="false" ht="15" hidden="false" customHeight="false" outlineLevel="0" collapsed="false">
      <c r="A85" s="7"/>
      <c r="B85" s="7"/>
      <c r="C85" s="46"/>
      <c r="D85" s="7"/>
      <c r="E85" s="47"/>
      <c r="F85" s="46"/>
      <c r="G85" s="46"/>
      <c r="H85" s="7"/>
      <c r="I85" s="7"/>
      <c r="J85" s="47"/>
      <c r="K85" s="47"/>
      <c r="L85" s="47"/>
      <c r="M85" s="47"/>
      <c r="N85" s="10"/>
      <c r="O85" s="47"/>
      <c r="P85" s="47"/>
      <c r="Q85" s="47"/>
      <c r="R85" s="48" t="str">
        <f aca="false">IF(Q85="","",IF(Q85=0,"below 5:00",IF(Q85&gt;=66,"16:00 or above",INT((60+2*Q85)/12)&amp;":"&amp;TEXT(MOD(60+2*Q85,12),"00"))))</f>
        <v/>
      </c>
      <c r="S85" s="47"/>
      <c r="T85" s="47"/>
      <c r="U85" s="47"/>
      <c r="V85" s="47"/>
      <c r="W85" s="47"/>
      <c r="X85" s="47"/>
      <c r="Y85" s="47"/>
      <c r="Z85" s="47"/>
      <c r="AA85" s="47"/>
      <c r="AB85" s="47"/>
      <c r="AC85" s="47"/>
      <c r="AD85" s="47"/>
      <c r="AE85" s="47"/>
      <c r="AF85" s="47"/>
      <c r="AG85" s="47"/>
      <c r="AH85" s="47"/>
      <c r="AI85" s="46"/>
      <c r="AJ85" s="46"/>
      <c r="AK85" s="46"/>
      <c r="AL85" s="7"/>
      <c r="AM85" s="49" t="str">
        <f aca="false">IF(OR(C85="",G85=""),"",IFERROR(DATEDIF(C85,G85,"m"),""))</f>
        <v/>
      </c>
      <c r="AN85" s="49" t="str">
        <f aca="false">IF(OR(Q85="",AM85=""),"",60+2*Q85-AM85)</f>
        <v/>
      </c>
      <c r="AO85" s="49" t="str">
        <f aca="false">IF(OR(G85="",AJ85=""),"",AJ85-G85)</f>
        <v/>
      </c>
      <c r="AP85" s="50" t="str">
        <f aca="false">IF(AND(A85="",B85=""),"",IF(J85="","Status needed",IF(OR(J85="Applied",J85="Visit booked",J85="Withdrawn"),"OK",IF(G85="","Date assessed needed",IF(C85="","Date of birth needed",IF(COUNTA(L85,M85,P85,U85,V85,X85,AB85)&lt;7,"Band missing",IF(AND(OR(J85="Decision confirmed",J85="Family told",J85="Enrolled"),AG85=""),"Recommendation needed",IF(AND(OR(J85="Family told",J85="Enrolled"),AJ85=""),"Date family told needed","OK"))))))))</f>
        <v/>
      </c>
    </row>
    <row r="86" customFormat="false" ht="15" hidden="false" customHeight="false" outlineLevel="0" collapsed="false">
      <c r="A86" s="7"/>
      <c r="B86" s="7"/>
      <c r="C86" s="46"/>
      <c r="D86" s="7"/>
      <c r="E86" s="47"/>
      <c r="F86" s="46"/>
      <c r="G86" s="46"/>
      <c r="H86" s="7"/>
      <c r="I86" s="7"/>
      <c r="J86" s="47"/>
      <c r="K86" s="47"/>
      <c r="L86" s="47"/>
      <c r="M86" s="47"/>
      <c r="N86" s="10"/>
      <c r="O86" s="47"/>
      <c r="P86" s="47"/>
      <c r="Q86" s="47"/>
      <c r="R86" s="48" t="str">
        <f aca="false">IF(Q86="","",IF(Q86=0,"below 5:00",IF(Q86&gt;=66,"16:00 or above",INT((60+2*Q86)/12)&amp;":"&amp;TEXT(MOD(60+2*Q86,12),"00"))))</f>
        <v/>
      </c>
      <c r="S86" s="47"/>
      <c r="T86" s="47"/>
      <c r="U86" s="47"/>
      <c r="V86" s="47"/>
      <c r="W86" s="47"/>
      <c r="X86" s="47"/>
      <c r="Y86" s="47"/>
      <c r="Z86" s="47"/>
      <c r="AA86" s="47"/>
      <c r="AB86" s="47"/>
      <c r="AC86" s="47"/>
      <c r="AD86" s="47"/>
      <c r="AE86" s="47"/>
      <c r="AF86" s="47"/>
      <c r="AG86" s="47"/>
      <c r="AH86" s="47"/>
      <c r="AI86" s="46"/>
      <c r="AJ86" s="46"/>
      <c r="AK86" s="46"/>
      <c r="AL86" s="7"/>
      <c r="AM86" s="49" t="str">
        <f aca="false">IF(OR(C86="",G86=""),"",IFERROR(DATEDIF(C86,G86,"m"),""))</f>
        <v/>
      </c>
      <c r="AN86" s="49" t="str">
        <f aca="false">IF(OR(Q86="",AM86=""),"",60+2*Q86-AM86)</f>
        <v/>
      </c>
      <c r="AO86" s="49" t="str">
        <f aca="false">IF(OR(G86="",AJ86=""),"",AJ86-G86)</f>
        <v/>
      </c>
      <c r="AP86" s="50" t="str">
        <f aca="false">IF(AND(A86="",B86=""),"",IF(J86="","Status needed",IF(OR(J86="Applied",J86="Visit booked",J86="Withdrawn"),"OK",IF(G86="","Date assessed needed",IF(C86="","Date of birth needed",IF(COUNTA(L86,M86,P86,U86,V86,X86,AB86)&lt;7,"Band missing",IF(AND(OR(J86="Decision confirmed",J86="Family told",J86="Enrolled"),AG86=""),"Recommendation needed",IF(AND(OR(J86="Family told",J86="Enrolled"),AJ86=""),"Date family told needed","OK"))))))))</f>
        <v/>
      </c>
    </row>
    <row r="87" customFormat="false" ht="15" hidden="false" customHeight="false" outlineLevel="0" collapsed="false">
      <c r="A87" s="7"/>
      <c r="B87" s="7"/>
      <c r="C87" s="46"/>
      <c r="D87" s="7"/>
      <c r="E87" s="47"/>
      <c r="F87" s="46"/>
      <c r="G87" s="46"/>
      <c r="H87" s="7"/>
      <c r="I87" s="7"/>
      <c r="J87" s="47"/>
      <c r="K87" s="47"/>
      <c r="L87" s="47"/>
      <c r="M87" s="47"/>
      <c r="N87" s="10"/>
      <c r="O87" s="47"/>
      <c r="P87" s="47"/>
      <c r="Q87" s="47"/>
      <c r="R87" s="48" t="str">
        <f aca="false">IF(Q87="","",IF(Q87=0,"below 5:00",IF(Q87&gt;=66,"16:00 or above",INT((60+2*Q87)/12)&amp;":"&amp;TEXT(MOD(60+2*Q87,12),"00"))))</f>
        <v/>
      </c>
      <c r="S87" s="47"/>
      <c r="T87" s="47"/>
      <c r="U87" s="47"/>
      <c r="V87" s="47"/>
      <c r="W87" s="47"/>
      <c r="X87" s="47"/>
      <c r="Y87" s="47"/>
      <c r="Z87" s="47"/>
      <c r="AA87" s="47"/>
      <c r="AB87" s="47"/>
      <c r="AC87" s="47"/>
      <c r="AD87" s="47"/>
      <c r="AE87" s="47"/>
      <c r="AF87" s="47"/>
      <c r="AG87" s="47"/>
      <c r="AH87" s="47"/>
      <c r="AI87" s="46"/>
      <c r="AJ87" s="46"/>
      <c r="AK87" s="46"/>
      <c r="AL87" s="7"/>
      <c r="AM87" s="49" t="str">
        <f aca="false">IF(OR(C87="",G87=""),"",IFERROR(DATEDIF(C87,G87,"m"),""))</f>
        <v/>
      </c>
      <c r="AN87" s="49" t="str">
        <f aca="false">IF(OR(Q87="",AM87=""),"",60+2*Q87-AM87)</f>
        <v/>
      </c>
      <c r="AO87" s="49" t="str">
        <f aca="false">IF(OR(G87="",AJ87=""),"",AJ87-G87)</f>
        <v/>
      </c>
      <c r="AP87" s="50" t="str">
        <f aca="false">IF(AND(A87="",B87=""),"",IF(J87="","Status needed",IF(OR(J87="Applied",J87="Visit booked",J87="Withdrawn"),"OK",IF(G87="","Date assessed needed",IF(C87="","Date of birth needed",IF(COUNTA(L87,M87,P87,U87,V87,X87,AB87)&lt;7,"Band missing",IF(AND(OR(J87="Decision confirmed",J87="Family told",J87="Enrolled"),AG87=""),"Recommendation needed",IF(AND(OR(J87="Family told",J87="Enrolled"),AJ87=""),"Date family told needed","OK"))))))))</f>
        <v/>
      </c>
    </row>
    <row r="88" customFormat="false" ht="15" hidden="false" customHeight="false" outlineLevel="0" collapsed="false">
      <c r="A88" s="7"/>
      <c r="B88" s="7"/>
      <c r="C88" s="46"/>
      <c r="D88" s="7"/>
      <c r="E88" s="47"/>
      <c r="F88" s="46"/>
      <c r="G88" s="46"/>
      <c r="H88" s="7"/>
      <c r="I88" s="7"/>
      <c r="J88" s="47"/>
      <c r="K88" s="47"/>
      <c r="L88" s="47"/>
      <c r="M88" s="47"/>
      <c r="N88" s="10"/>
      <c r="O88" s="47"/>
      <c r="P88" s="47"/>
      <c r="Q88" s="47"/>
      <c r="R88" s="48" t="str">
        <f aca="false">IF(Q88="","",IF(Q88=0,"below 5:00",IF(Q88&gt;=66,"16:00 or above",INT((60+2*Q88)/12)&amp;":"&amp;TEXT(MOD(60+2*Q88,12),"00"))))</f>
        <v/>
      </c>
      <c r="S88" s="47"/>
      <c r="T88" s="47"/>
      <c r="U88" s="47"/>
      <c r="V88" s="47"/>
      <c r="W88" s="47"/>
      <c r="X88" s="47"/>
      <c r="Y88" s="47"/>
      <c r="Z88" s="47"/>
      <c r="AA88" s="47"/>
      <c r="AB88" s="47"/>
      <c r="AC88" s="47"/>
      <c r="AD88" s="47"/>
      <c r="AE88" s="47"/>
      <c r="AF88" s="47"/>
      <c r="AG88" s="47"/>
      <c r="AH88" s="47"/>
      <c r="AI88" s="46"/>
      <c r="AJ88" s="46"/>
      <c r="AK88" s="46"/>
      <c r="AL88" s="7"/>
      <c r="AM88" s="49" t="str">
        <f aca="false">IF(OR(C88="",G88=""),"",IFERROR(DATEDIF(C88,G88,"m"),""))</f>
        <v/>
      </c>
      <c r="AN88" s="49" t="str">
        <f aca="false">IF(OR(Q88="",AM88=""),"",60+2*Q88-AM88)</f>
        <v/>
      </c>
      <c r="AO88" s="49" t="str">
        <f aca="false">IF(OR(G88="",AJ88=""),"",AJ88-G88)</f>
        <v/>
      </c>
      <c r="AP88" s="50" t="str">
        <f aca="false">IF(AND(A88="",B88=""),"",IF(J88="","Status needed",IF(OR(J88="Applied",J88="Visit booked",J88="Withdrawn"),"OK",IF(G88="","Date assessed needed",IF(C88="","Date of birth needed",IF(COUNTA(L88,M88,P88,U88,V88,X88,AB88)&lt;7,"Band missing",IF(AND(OR(J88="Decision confirmed",J88="Family told",J88="Enrolled"),AG88=""),"Recommendation needed",IF(AND(OR(J88="Family told",J88="Enrolled"),AJ88=""),"Date family told needed","OK"))))))))</f>
        <v/>
      </c>
    </row>
    <row r="89" customFormat="false" ht="15" hidden="false" customHeight="false" outlineLevel="0" collapsed="false">
      <c r="A89" s="7"/>
      <c r="B89" s="7"/>
      <c r="C89" s="46"/>
      <c r="D89" s="7"/>
      <c r="E89" s="47"/>
      <c r="F89" s="46"/>
      <c r="G89" s="46"/>
      <c r="H89" s="7"/>
      <c r="I89" s="7"/>
      <c r="J89" s="47"/>
      <c r="K89" s="47"/>
      <c r="L89" s="47"/>
      <c r="M89" s="47"/>
      <c r="N89" s="10"/>
      <c r="O89" s="47"/>
      <c r="P89" s="47"/>
      <c r="Q89" s="47"/>
      <c r="R89" s="48" t="str">
        <f aca="false">IF(Q89="","",IF(Q89=0,"below 5:00",IF(Q89&gt;=66,"16:00 or above",INT((60+2*Q89)/12)&amp;":"&amp;TEXT(MOD(60+2*Q89,12),"00"))))</f>
        <v/>
      </c>
      <c r="S89" s="47"/>
      <c r="T89" s="47"/>
      <c r="U89" s="47"/>
      <c r="V89" s="47"/>
      <c r="W89" s="47"/>
      <c r="X89" s="47"/>
      <c r="Y89" s="47"/>
      <c r="Z89" s="47"/>
      <c r="AA89" s="47"/>
      <c r="AB89" s="47"/>
      <c r="AC89" s="47"/>
      <c r="AD89" s="47"/>
      <c r="AE89" s="47"/>
      <c r="AF89" s="47"/>
      <c r="AG89" s="47"/>
      <c r="AH89" s="47"/>
      <c r="AI89" s="46"/>
      <c r="AJ89" s="46"/>
      <c r="AK89" s="46"/>
      <c r="AL89" s="7"/>
      <c r="AM89" s="49" t="str">
        <f aca="false">IF(OR(C89="",G89=""),"",IFERROR(DATEDIF(C89,G89,"m"),""))</f>
        <v/>
      </c>
      <c r="AN89" s="49" t="str">
        <f aca="false">IF(OR(Q89="",AM89=""),"",60+2*Q89-AM89)</f>
        <v/>
      </c>
      <c r="AO89" s="49" t="str">
        <f aca="false">IF(OR(G89="",AJ89=""),"",AJ89-G89)</f>
        <v/>
      </c>
      <c r="AP89" s="50" t="str">
        <f aca="false">IF(AND(A89="",B89=""),"",IF(J89="","Status needed",IF(OR(J89="Applied",J89="Visit booked",J89="Withdrawn"),"OK",IF(G89="","Date assessed needed",IF(C89="","Date of birth needed",IF(COUNTA(L89,M89,P89,U89,V89,X89,AB89)&lt;7,"Band missing",IF(AND(OR(J89="Decision confirmed",J89="Family told",J89="Enrolled"),AG89=""),"Recommendation needed",IF(AND(OR(J89="Family told",J89="Enrolled"),AJ89=""),"Date family told needed","OK"))))))))</f>
        <v/>
      </c>
    </row>
    <row r="90" customFormat="false" ht="15" hidden="false" customHeight="false" outlineLevel="0" collapsed="false">
      <c r="A90" s="7"/>
      <c r="B90" s="7"/>
      <c r="C90" s="46"/>
      <c r="D90" s="7"/>
      <c r="E90" s="47"/>
      <c r="F90" s="46"/>
      <c r="G90" s="46"/>
      <c r="H90" s="7"/>
      <c r="I90" s="7"/>
      <c r="J90" s="47"/>
      <c r="K90" s="47"/>
      <c r="L90" s="47"/>
      <c r="M90" s="47"/>
      <c r="N90" s="10"/>
      <c r="O90" s="47"/>
      <c r="P90" s="47"/>
      <c r="Q90" s="47"/>
      <c r="R90" s="48" t="str">
        <f aca="false">IF(Q90="","",IF(Q90=0,"below 5:00",IF(Q90&gt;=66,"16:00 or above",INT((60+2*Q90)/12)&amp;":"&amp;TEXT(MOD(60+2*Q90,12),"00"))))</f>
        <v/>
      </c>
      <c r="S90" s="47"/>
      <c r="T90" s="47"/>
      <c r="U90" s="47"/>
      <c r="V90" s="47"/>
      <c r="W90" s="47"/>
      <c r="X90" s="47"/>
      <c r="Y90" s="47"/>
      <c r="Z90" s="47"/>
      <c r="AA90" s="47"/>
      <c r="AB90" s="47"/>
      <c r="AC90" s="47"/>
      <c r="AD90" s="47"/>
      <c r="AE90" s="47"/>
      <c r="AF90" s="47"/>
      <c r="AG90" s="47"/>
      <c r="AH90" s="47"/>
      <c r="AI90" s="46"/>
      <c r="AJ90" s="46"/>
      <c r="AK90" s="46"/>
      <c r="AL90" s="7"/>
      <c r="AM90" s="49" t="str">
        <f aca="false">IF(OR(C90="",G90=""),"",IFERROR(DATEDIF(C90,G90,"m"),""))</f>
        <v/>
      </c>
      <c r="AN90" s="49" t="str">
        <f aca="false">IF(OR(Q90="",AM90=""),"",60+2*Q90-AM90)</f>
        <v/>
      </c>
      <c r="AO90" s="49" t="str">
        <f aca="false">IF(OR(G90="",AJ90=""),"",AJ90-G90)</f>
        <v/>
      </c>
      <c r="AP90" s="50" t="str">
        <f aca="false">IF(AND(A90="",B90=""),"",IF(J90="","Status needed",IF(OR(J90="Applied",J90="Visit booked",J90="Withdrawn"),"OK",IF(G90="","Date assessed needed",IF(C90="","Date of birth needed",IF(COUNTA(L90,M90,P90,U90,V90,X90,AB90)&lt;7,"Band missing",IF(AND(OR(J90="Decision confirmed",J90="Family told",J90="Enrolled"),AG90=""),"Recommendation needed",IF(AND(OR(J90="Family told",J90="Enrolled"),AJ90=""),"Date family told needed","OK"))))))))</f>
        <v/>
      </c>
    </row>
    <row r="91" customFormat="false" ht="15" hidden="false" customHeight="false" outlineLevel="0" collapsed="false">
      <c r="A91" s="7"/>
      <c r="B91" s="7"/>
      <c r="C91" s="46"/>
      <c r="D91" s="7"/>
      <c r="E91" s="47"/>
      <c r="F91" s="46"/>
      <c r="G91" s="46"/>
      <c r="H91" s="7"/>
      <c r="I91" s="7"/>
      <c r="J91" s="47"/>
      <c r="K91" s="47"/>
      <c r="L91" s="47"/>
      <c r="M91" s="47"/>
      <c r="N91" s="10"/>
      <c r="O91" s="47"/>
      <c r="P91" s="47"/>
      <c r="Q91" s="47"/>
      <c r="R91" s="48" t="str">
        <f aca="false">IF(Q91="","",IF(Q91=0,"below 5:00",IF(Q91&gt;=66,"16:00 or above",INT((60+2*Q91)/12)&amp;":"&amp;TEXT(MOD(60+2*Q91,12),"00"))))</f>
        <v/>
      </c>
      <c r="S91" s="47"/>
      <c r="T91" s="47"/>
      <c r="U91" s="47"/>
      <c r="V91" s="47"/>
      <c r="W91" s="47"/>
      <c r="X91" s="47"/>
      <c r="Y91" s="47"/>
      <c r="Z91" s="47"/>
      <c r="AA91" s="47"/>
      <c r="AB91" s="47"/>
      <c r="AC91" s="47"/>
      <c r="AD91" s="47"/>
      <c r="AE91" s="47"/>
      <c r="AF91" s="47"/>
      <c r="AG91" s="47"/>
      <c r="AH91" s="47"/>
      <c r="AI91" s="46"/>
      <c r="AJ91" s="46"/>
      <c r="AK91" s="46"/>
      <c r="AL91" s="7"/>
      <c r="AM91" s="49" t="str">
        <f aca="false">IF(OR(C91="",G91=""),"",IFERROR(DATEDIF(C91,G91,"m"),""))</f>
        <v/>
      </c>
      <c r="AN91" s="49" t="str">
        <f aca="false">IF(OR(Q91="",AM91=""),"",60+2*Q91-AM91)</f>
        <v/>
      </c>
      <c r="AO91" s="49" t="str">
        <f aca="false">IF(OR(G91="",AJ91=""),"",AJ91-G91)</f>
        <v/>
      </c>
      <c r="AP91" s="50" t="str">
        <f aca="false">IF(AND(A91="",B91=""),"",IF(J91="","Status needed",IF(OR(J91="Applied",J91="Visit booked",J91="Withdrawn"),"OK",IF(G91="","Date assessed needed",IF(C91="","Date of birth needed",IF(COUNTA(L91,M91,P91,U91,V91,X91,AB91)&lt;7,"Band missing",IF(AND(OR(J91="Decision confirmed",J91="Family told",J91="Enrolled"),AG91=""),"Recommendation needed",IF(AND(OR(J91="Family told",J91="Enrolled"),AJ91=""),"Date family told needed","OK"))))))))</f>
        <v/>
      </c>
    </row>
    <row r="92" customFormat="false" ht="15" hidden="false" customHeight="false" outlineLevel="0" collapsed="false">
      <c r="A92" s="7"/>
      <c r="B92" s="7"/>
      <c r="C92" s="46"/>
      <c r="D92" s="7"/>
      <c r="E92" s="47"/>
      <c r="F92" s="46"/>
      <c r="G92" s="46"/>
      <c r="H92" s="7"/>
      <c r="I92" s="7"/>
      <c r="J92" s="47"/>
      <c r="K92" s="47"/>
      <c r="L92" s="47"/>
      <c r="M92" s="47"/>
      <c r="N92" s="10"/>
      <c r="O92" s="47"/>
      <c r="P92" s="47"/>
      <c r="Q92" s="47"/>
      <c r="R92" s="48" t="str">
        <f aca="false">IF(Q92="","",IF(Q92=0,"below 5:00",IF(Q92&gt;=66,"16:00 or above",INT((60+2*Q92)/12)&amp;":"&amp;TEXT(MOD(60+2*Q92,12),"00"))))</f>
        <v/>
      </c>
      <c r="S92" s="47"/>
      <c r="T92" s="47"/>
      <c r="U92" s="47"/>
      <c r="V92" s="47"/>
      <c r="W92" s="47"/>
      <c r="X92" s="47"/>
      <c r="Y92" s="47"/>
      <c r="Z92" s="47"/>
      <c r="AA92" s="47"/>
      <c r="AB92" s="47"/>
      <c r="AC92" s="47"/>
      <c r="AD92" s="47"/>
      <c r="AE92" s="47"/>
      <c r="AF92" s="47"/>
      <c r="AG92" s="47"/>
      <c r="AH92" s="47"/>
      <c r="AI92" s="46"/>
      <c r="AJ92" s="46"/>
      <c r="AK92" s="46"/>
      <c r="AL92" s="7"/>
      <c r="AM92" s="49" t="str">
        <f aca="false">IF(OR(C92="",G92=""),"",IFERROR(DATEDIF(C92,G92,"m"),""))</f>
        <v/>
      </c>
      <c r="AN92" s="49" t="str">
        <f aca="false">IF(OR(Q92="",AM92=""),"",60+2*Q92-AM92)</f>
        <v/>
      </c>
      <c r="AO92" s="49" t="str">
        <f aca="false">IF(OR(G92="",AJ92=""),"",AJ92-G92)</f>
        <v/>
      </c>
      <c r="AP92" s="50" t="str">
        <f aca="false">IF(AND(A92="",B92=""),"",IF(J92="","Status needed",IF(OR(J92="Applied",J92="Visit booked",J92="Withdrawn"),"OK",IF(G92="","Date assessed needed",IF(C92="","Date of birth needed",IF(COUNTA(L92,M92,P92,U92,V92,X92,AB92)&lt;7,"Band missing",IF(AND(OR(J92="Decision confirmed",J92="Family told",J92="Enrolled"),AG92=""),"Recommendation needed",IF(AND(OR(J92="Family told",J92="Enrolled"),AJ92=""),"Date family told needed","OK"))))))))</f>
        <v/>
      </c>
    </row>
    <row r="93" customFormat="false" ht="15" hidden="false" customHeight="false" outlineLevel="0" collapsed="false">
      <c r="A93" s="7"/>
      <c r="B93" s="7"/>
      <c r="C93" s="46"/>
      <c r="D93" s="7"/>
      <c r="E93" s="47"/>
      <c r="F93" s="46"/>
      <c r="G93" s="46"/>
      <c r="H93" s="7"/>
      <c r="I93" s="7"/>
      <c r="J93" s="47"/>
      <c r="K93" s="47"/>
      <c r="L93" s="47"/>
      <c r="M93" s="47"/>
      <c r="N93" s="10"/>
      <c r="O93" s="47"/>
      <c r="P93" s="47"/>
      <c r="Q93" s="47"/>
      <c r="R93" s="48" t="str">
        <f aca="false">IF(Q93="","",IF(Q93=0,"below 5:00",IF(Q93&gt;=66,"16:00 or above",INT((60+2*Q93)/12)&amp;":"&amp;TEXT(MOD(60+2*Q93,12),"00"))))</f>
        <v/>
      </c>
      <c r="S93" s="47"/>
      <c r="T93" s="47"/>
      <c r="U93" s="47"/>
      <c r="V93" s="47"/>
      <c r="W93" s="47"/>
      <c r="X93" s="47"/>
      <c r="Y93" s="47"/>
      <c r="Z93" s="47"/>
      <c r="AA93" s="47"/>
      <c r="AB93" s="47"/>
      <c r="AC93" s="47"/>
      <c r="AD93" s="47"/>
      <c r="AE93" s="47"/>
      <c r="AF93" s="47"/>
      <c r="AG93" s="47"/>
      <c r="AH93" s="47"/>
      <c r="AI93" s="46"/>
      <c r="AJ93" s="46"/>
      <c r="AK93" s="46"/>
      <c r="AL93" s="7"/>
      <c r="AM93" s="49" t="str">
        <f aca="false">IF(OR(C93="",G93=""),"",IFERROR(DATEDIF(C93,G93,"m"),""))</f>
        <v/>
      </c>
      <c r="AN93" s="49" t="str">
        <f aca="false">IF(OR(Q93="",AM93=""),"",60+2*Q93-AM93)</f>
        <v/>
      </c>
      <c r="AO93" s="49" t="str">
        <f aca="false">IF(OR(G93="",AJ93=""),"",AJ93-G93)</f>
        <v/>
      </c>
      <c r="AP93" s="50" t="str">
        <f aca="false">IF(AND(A93="",B93=""),"",IF(J93="","Status needed",IF(OR(J93="Applied",J93="Visit booked",J93="Withdrawn"),"OK",IF(G93="","Date assessed needed",IF(C93="","Date of birth needed",IF(COUNTA(L93,M93,P93,U93,V93,X93,AB93)&lt;7,"Band missing",IF(AND(OR(J93="Decision confirmed",J93="Family told",J93="Enrolled"),AG93=""),"Recommendation needed",IF(AND(OR(J93="Family told",J93="Enrolled"),AJ93=""),"Date family told needed","OK"))))))))</f>
        <v/>
      </c>
    </row>
    <row r="94" customFormat="false" ht="15" hidden="false" customHeight="false" outlineLevel="0" collapsed="false">
      <c r="A94" s="7"/>
      <c r="B94" s="7"/>
      <c r="C94" s="46"/>
      <c r="D94" s="7"/>
      <c r="E94" s="47"/>
      <c r="F94" s="46"/>
      <c r="G94" s="46"/>
      <c r="H94" s="7"/>
      <c r="I94" s="7"/>
      <c r="J94" s="47"/>
      <c r="K94" s="47"/>
      <c r="L94" s="47"/>
      <c r="M94" s="47"/>
      <c r="N94" s="10"/>
      <c r="O94" s="47"/>
      <c r="P94" s="47"/>
      <c r="Q94" s="47"/>
      <c r="R94" s="48" t="str">
        <f aca="false">IF(Q94="","",IF(Q94=0,"below 5:00",IF(Q94&gt;=66,"16:00 or above",INT((60+2*Q94)/12)&amp;":"&amp;TEXT(MOD(60+2*Q94,12),"00"))))</f>
        <v/>
      </c>
      <c r="S94" s="47"/>
      <c r="T94" s="47"/>
      <c r="U94" s="47"/>
      <c r="V94" s="47"/>
      <c r="W94" s="47"/>
      <c r="X94" s="47"/>
      <c r="Y94" s="47"/>
      <c r="Z94" s="47"/>
      <c r="AA94" s="47"/>
      <c r="AB94" s="47"/>
      <c r="AC94" s="47"/>
      <c r="AD94" s="47"/>
      <c r="AE94" s="47"/>
      <c r="AF94" s="47"/>
      <c r="AG94" s="47"/>
      <c r="AH94" s="47"/>
      <c r="AI94" s="46"/>
      <c r="AJ94" s="46"/>
      <c r="AK94" s="46"/>
      <c r="AL94" s="7"/>
      <c r="AM94" s="49" t="str">
        <f aca="false">IF(OR(C94="",G94=""),"",IFERROR(DATEDIF(C94,G94,"m"),""))</f>
        <v/>
      </c>
      <c r="AN94" s="49" t="str">
        <f aca="false">IF(OR(Q94="",AM94=""),"",60+2*Q94-AM94)</f>
        <v/>
      </c>
      <c r="AO94" s="49" t="str">
        <f aca="false">IF(OR(G94="",AJ94=""),"",AJ94-G94)</f>
        <v/>
      </c>
      <c r="AP94" s="50" t="str">
        <f aca="false">IF(AND(A94="",B94=""),"",IF(J94="","Status needed",IF(OR(J94="Applied",J94="Visit booked",J94="Withdrawn"),"OK",IF(G94="","Date assessed needed",IF(C94="","Date of birth needed",IF(COUNTA(L94,M94,P94,U94,V94,X94,AB94)&lt;7,"Band missing",IF(AND(OR(J94="Decision confirmed",J94="Family told",J94="Enrolled"),AG94=""),"Recommendation needed",IF(AND(OR(J94="Family told",J94="Enrolled"),AJ94=""),"Date family told needed","OK"))))))))</f>
        <v/>
      </c>
    </row>
    <row r="95" customFormat="false" ht="15" hidden="false" customHeight="false" outlineLevel="0" collapsed="false">
      <c r="A95" s="7"/>
      <c r="B95" s="7"/>
      <c r="C95" s="46"/>
      <c r="D95" s="7"/>
      <c r="E95" s="47"/>
      <c r="F95" s="46"/>
      <c r="G95" s="46"/>
      <c r="H95" s="7"/>
      <c r="I95" s="7"/>
      <c r="J95" s="47"/>
      <c r="K95" s="47"/>
      <c r="L95" s="47"/>
      <c r="M95" s="47"/>
      <c r="N95" s="10"/>
      <c r="O95" s="47"/>
      <c r="P95" s="47"/>
      <c r="Q95" s="47"/>
      <c r="R95" s="48" t="str">
        <f aca="false">IF(Q95="","",IF(Q95=0,"below 5:00",IF(Q95&gt;=66,"16:00 or above",INT((60+2*Q95)/12)&amp;":"&amp;TEXT(MOD(60+2*Q95,12),"00"))))</f>
        <v/>
      </c>
      <c r="S95" s="47"/>
      <c r="T95" s="47"/>
      <c r="U95" s="47"/>
      <c r="V95" s="47"/>
      <c r="W95" s="47"/>
      <c r="X95" s="47"/>
      <c r="Y95" s="47"/>
      <c r="Z95" s="47"/>
      <c r="AA95" s="47"/>
      <c r="AB95" s="47"/>
      <c r="AC95" s="47"/>
      <c r="AD95" s="47"/>
      <c r="AE95" s="47"/>
      <c r="AF95" s="47"/>
      <c r="AG95" s="47"/>
      <c r="AH95" s="47"/>
      <c r="AI95" s="46"/>
      <c r="AJ95" s="46"/>
      <c r="AK95" s="46"/>
      <c r="AL95" s="7"/>
      <c r="AM95" s="49" t="str">
        <f aca="false">IF(OR(C95="",G95=""),"",IFERROR(DATEDIF(C95,G95,"m"),""))</f>
        <v/>
      </c>
      <c r="AN95" s="49" t="str">
        <f aca="false">IF(OR(Q95="",AM95=""),"",60+2*Q95-AM95)</f>
        <v/>
      </c>
      <c r="AO95" s="49" t="str">
        <f aca="false">IF(OR(G95="",AJ95=""),"",AJ95-G95)</f>
        <v/>
      </c>
      <c r="AP95" s="50" t="str">
        <f aca="false">IF(AND(A95="",B95=""),"",IF(J95="","Status needed",IF(OR(J95="Applied",J95="Visit booked",J95="Withdrawn"),"OK",IF(G95="","Date assessed needed",IF(C95="","Date of birth needed",IF(COUNTA(L95,M95,P95,U95,V95,X95,AB95)&lt;7,"Band missing",IF(AND(OR(J95="Decision confirmed",J95="Family told",J95="Enrolled"),AG95=""),"Recommendation needed",IF(AND(OR(J95="Family told",J95="Enrolled"),AJ95=""),"Date family told needed","OK"))))))))</f>
        <v/>
      </c>
    </row>
    <row r="96" customFormat="false" ht="15" hidden="false" customHeight="false" outlineLevel="0" collapsed="false">
      <c r="A96" s="7"/>
      <c r="B96" s="7"/>
      <c r="C96" s="46"/>
      <c r="D96" s="7"/>
      <c r="E96" s="47"/>
      <c r="F96" s="46"/>
      <c r="G96" s="46"/>
      <c r="H96" s="7"/>
      <c r="I96" s="7"/>
      <c r="J96" s="47"/>
      <c r="K96" s="47"/>
      <c r="L96" s="47"/>
      <c r="M96" s="47"/>
      <c r="N96" s="10"/>
      <c r="O96" s="47"/>
      <c r="P96" s="47"/>
      <c r="Q96" s="47"/>
      <c r="R96" s="48" t="str">
        <f aca="false">IF(Q96="","",IF(Q96=0,"below 5:00",IF(Q96&gt;=66,"16:00 or above",INT((60+2*Q96)/12)&amp;":"&amp;TEXT(MOD(60+2*Q96,12),"00"))))</f>
        <v/>
      </c>
      <c r="S96" s="47"/>
      <c r="T96" s="47"/>
      <c r="U96" s="47"/>
      <c r="V96" s="47"/>
      <c r="W96" s="47"/>
      <c r="X96" s="47"/>
      <c r="Y96" s="47"/>
      <c r="Z96" s="47"/>
      <c r="AA96" s="47"/>
      <c r="AB96" s="47"/>
      <c r="AC96" s="47"/>
      <c r="AD96" s="47"/>
      <c r="AE96" s="47"/>
      <c r="AF96" s="47"/>
      <c r="AG96" s="47"/>
      <c r="AH96" s="47"/>
      <c r="AI96" s="46"/>
      <c r="AJ96" s="46"/>
      <c r="AK96" s="46"/>
      <c r="AL96" s="7"/>
      <c r="AM96" s="49" t="str">
        <f aca="false">IF(OR(C96="",G96=""),"",IFERROR(DATEDIF(C96,G96,"m"),""))</f>
        <v/>
      </c>
      <c r="AN96" s="49" t="str">
        <f aca="false">IF(OR(Q96="",AM96=""),"",60+2*Q96-AM96)</f>
        <v/>
      </c>
      <c r="AO96" s="49" t="str">
        <f aca="false">IF(OR(G96="",AJ96=""),"",AJ96-G96)</f>
        <v/>
      </c>
      <c r="AP96" s="50" t="str">
        <f aca="false">IF(AND(A96="",B96=""),"",IF(J96="","Status needed",IF(OR(J96="Applied",J96="Visit booked",J96="Withdrawn"),"OK",IF(G96="","Date assessed needed",IF(C96="","Date of birth needed",IF(COUNTA(L96,M96,P96,U96,V96,X96,AB96)&lt;7,"Band missing",IF(AND(OR(J96="Decision confirmed",J96="Family told",J96="Enrolled"),AG96=""),"Recommendation needed",IF(AND(OR(J96="Family told",J96="Enrolled"),AJ96=""),"Date family told needed","OK"))))))))</f>
        <v/>
      </c>
    </row>
    <row r="97" customFormat="false" ht="15" hidden="false" customHeight="false" outlineLevel="0" collapsed="false">
      <c r="A97" s="7"/>
      <c r="B97" s="7"/>
      <c r="C97" s="46"/>
      <c r="D97" s="7"/>
      <c r="E97" s="47"/>
      <c r="F97" s="46"/>
      <c r="G97" s="46"/>
      <c r="H97" s="7"/>
      <c r="I97" s="7"/>
      <c r="J97" s="47"/>
      <c r="K97" s="47"/>
      <c r="L97" s="47"/>
      <c r="M97" s="47"/>
      <c r="N97" s="10"/>
      <c r="O97" s="47"/>
      <c r="P97" s="47"/>
      <c r="Q97" s="47"/>
      <c r="R97" s="48" t="str">
        <f aca="false">IF(Q97="","",IF(Q97=0,"below 5:00",IF(Q97&gt;=66,"16:00 or above",INT((60+2*Q97)/12)&amp;":"&amp;TEXT(MOD(60+2*Q97,12),"00"))))</f>
        <v/>
      </c>
      <c r="S97" s="47"/>
      <c r="T97" s="47"/>
      <c r="U97" s="47"/>
      <c r="V97" s="47"/>
      <c r="W97" s="47"/>
      <c r="X97" s="47"/>
      <c r="Y97" s="47"/>
      <c r="Z97" s="47"/>
      <c r="AA97" s="47"/>
      <c r="AB97" s="47"/>
      <c r="AC97" s="47"/>
      <c r="AD97" s="47"/>
      <c r="AE97" s="47"/>
      <c r="AF97" s="47"/>
      <c r="AG97" s="47"/>
      <c r="AH97" s="47"/>
      <c r="AI97" s="46"/>
      <c r="AJ97" s="46"/>
      <c r="AK97" s="46"/>
      <c r="AL97" s="7"/>
      <c r="AM97" s="49" t="str">
        <f aca="false">IF(OR(C97="",G97=""),"",IFERROR(DATEDIF(C97,G97,"m"),""))</f>
        <v/>
      </c>
      <c r="AN97" s="49" t="str">
        <f aca="false">IF(OR(Q97="",AM97=""),"",60+2*Q97-AM97)</f>
        <v/>
      </c>
      <c r="AO97" s="49" t="str">
        <f aca="false">IF(OR(G97="",AJ97=""),"",AJ97-G97)</f>
        <v/>
      </c>
      <c r="AP97" s="50" t="str">
        <f aca="false">IF(AND(A97="",B97=""),"",IF(J97="","Status needed",IF(OR(J97="Applied",J97="Visit booked",J97="Withdrawn"),"OK",IF(G97="","Date assessed needed",IF(C97="","Date of birth needed",IF(COUNTA(L97,M97,P97,U97,V97,X97,AB97)&lt;7,"Band missing",IF(AND(OR(J97="Decision confirmed",J97="Family told",J97="Enrolled"),AG97=""),"Recommendation needed",IF(AND(OR(J97="Family told",J97="Enrolled"),AJ97=""),"Date family told needed","OK"))))))))</f>
        <v/>
      </c>
    </row>
    <row r="98" customFormat="false" ht="15" hidden="false" customHeight="false" outlineLevel="0" collapsed="false">
      <c r="A98" s="7"/>
      <c r="B98" s="7"/>
      <c r="C98" s="46"/>
      <c r="D98" s="7"/>
      <c r="E98" s="47"/>
      <c r="F98" s="46"/>
      <c r="G98" s="46"/>
      <c r="H98" s="7"/>
      <c r="I98" s="7"/>
      <c r="J98" s="47"/>
      <c r="K98" s="47"/>
      <c r="L98" s="47"/>
      <c r="M98" s="47"/>
      <c r="N98" s="10"/>
      <c r="O98" s="47"/>
      <c r="P98" s="47"/>
      <c r="Q98" s="47"/>
      <c r="R98" s="48" t="str">
        <f aca="false">IF(Q98="","",IF(Q98=0,"below 5:00",IF(Q98&gt;=66,"16:00 or above",INT((60+2*Q98)/12)&amp;":"&amp;TEXT(MOD(60+2*Q98,12),"00"))))</f>
        <v/>
      </c>
      <c r="S98" s="47"/>
      <c r="T98" s="47"/>
      <c r="U98" s="47"/>
      <c r="V98" s="47"/>
      <c r="W98" s="47"/>
      <c r="X98" s="47"/>
      <c r="Y98" s="47"/>
      <c r="Z98" s="47"/>
      <c r="AA98" s="47"/>
      <c r="AB98" s="47"/>
      <c r="AC98" s="47"/>
      <c r="AD98" s="47"/>
      <c r="AE98" s="47"/>
      <c r="AF98" s="47"/>
      <c r="AG98" s="47"/>
      <c r="AH98" s="47"/>
      <c r="AI98" s="46"/>
      <c r="AJ98" s="46"/>
      <c r="AK98" s="46"/>
      <c r="AL98" s="7"/>
      <c r="AM98" s="49" t="str">
        <f aca="false">IF(OR(C98="",G98=""),"",IFERROR(DATEDIF(C98,G98,"m"),""))</f>
        <v/>
      </c>
      <c r="AN98" s="49" t="str">
        <f aca="false">IF(OR(Q98="",AM98=""),"",60+2*Q98-AM98)</f>
        <v/>
      </c>
      <c r="AO98" s="49" t="str">
        <f aca="false">IF(OR(G98="",AJ98=""),"",AJ98-G98)</f>
        <v/>
      </c>
      <c r="AP98" s="50" t="str">
        <f aca="false">IF(AND(A98="",B98=""),"",IF(J98="","Status needed",IF(OR(J98="Applied",J98="Visit booked",J98="Withdrawn"),"OK",IF(G98="","Date assessed needed",IF(C98="","Date of birth needed",IF(COUNTA(L98,M98,P98,U98,V98,X98,AB98)&lt;7,"Band missing",IF(AND(OR(J98="Decision confirmed",J98="Family told",J98="Enrolled"),AG98=""),"Recommendation needed",IF(AND(OR(J98="Family told",J98="Enrolled"),AJ98=""),"Date family told needed","OK"))))))))</f>
        <v/>
      </c>
    </row>
    <row r="99" customFormat="false" ht="15" hidden="false" customHeight="false" outlineLevel="0" collapsed="false">
      <c r="A99" s="7"/>
      <c r="B99" s="7"/>
      <c r="C99" s="46"/>
      <c r="D99" s="7"/>
      <c r="E99" s="47"/>
      <c r="F99" s="46"/>
      <c r="G99" s="46"/>
      <c r="H99" s="7"/>
      <c r="I99" s="7"/>
      <c r="J99" s="47"/>
      <c r="K99" s="47"/>
      <c r="L99" s="47"/>
      <c r="M99" s="47"/>
      <c r="N99" s="10"/>
      <c r="O99" s="47"/>
      <c r="P99" s="47"/>
      <c r="Q99" s="47"/>
      <c r="R99" s="48" t="str">
        <f aca="false">IF(Q99="","",IF(Q99=0,"below 5:00",IF(Q99&gt;=66,"16:00 or above",INT((60+2*Q99)/12)&amp;":"&amp;TEXT(MOD(60+2*Q99,12),"00"))))</f>
        <v/>
      </c>
      <c r="S99" s="47"/>
      <c r="T99" s="47"/>
      <c r="U99" s="47"/>
      <c r="V99" s="47"/>
      <c r="W99" s="47"/>
      <c r="X99" s="47"/>
      <c r="Y99" s="47"/>
      <c r="Z99" s="47"/>
      <c r="AA99" s="47"/>
      <c r="AB99" s="47"/>
      <c r="AC99" s="47"/>
      <c r="AD99" s="47"/>
      <c r="AE99" s="47"/>
      <c r="AF99" s="47"/>
      <c r="AG99" s="47"/>
      <c r="AH99" s="47"/>
      <c r="AI99" s="46"/>
      <c r="AJ99" s="46"/>
      <c r="AK99" s="46"/>
      <c r="AL99" s="7"/>
      <c r="AM99" s="49" t="str">
        <f aca="false">IF(OR(C99="",G99=""),"",IFERROR(DATEDIF(C99,G99,"m"),""))</f>
        <v/>
      </c>
      <c r="AN99" s="49" t="str">
        <f aca="false">IF(OR(Q99="",AM99=""),"",60+2*Q99-AM99)</f>
        <v/>
      </c>
      <c r="AO99" s="49" t="str">
        <f aca="false">IF(OR(G99="",AJ99=""),"",AJ99-G99)</f>
        <v/>
      </c>
      <c r="AP99" s="50" t="str">
        <f aca="false">IF(AND(A99="",B99=""),"",IF(J99="","Status needed",IF(OR(J99="Applied",J99="Visit booked",J99="Withdrawn"),"OK",IF(G99="","Date assessed needed",IF(C99="","Date of birth needed",IF(COUNTA(L99,M99,P99,U99,V99,X99,AB99)&lt;7,"Band missing",IF(AND(OR(J99="Decision confirmed",J99="Family told",J99="Enrolled"),AG99=""),"Recommendation needed",IF(AND(OR(J99="Family told",J99="Enrolled"),AJ99=""),"Date family told needed","OK"))))))))</f>
        <v/>
      </c>
    </row>
    <row r="100" customFormat="false" ht="15" hidden="false" customHeight="false" outlineLevel="0" collapsed="false">
      <c r="A100" s="7"/>
      <c r="B100" s="7"/>
      <c r="C100" s="46"/>
      <c r="D100" s="7"/>
      <c r="E100" s="47"/>
      <c r="F100" s="46"/>
      <c r="G100" s="46"/>
      <c r="H100" s="7"/>
      <c r="I100" s="7"/>
      <c r="J100" s="47"/>
      <c r="K100" s="47"/>
      <c r="L100" s="47"/>
      <c r="M100" s="47"/>
      <c r="N100" s="10"/>
      <c r="O100" s="47"/>
      <c r="P100" s="47"/>
      <c r="Q100" s="47"/>
      <c r="R100" s="48" t="str">
        <f aca="false">IF(Q100="","",IF(Q100=0,"below 5:00",IF(Q100&gt;=66,"16:00 or above",INT((60+2*Q100)/12)&amp;":"&amp;TEXT(MOD(60+2*Q100,12),"00"))))</f>
        <v/>
      </c>
      <c r="S100" s="47"/>
      <c r="T100" s="47"/>
      <c r="U100" s="47"/>
      <c r="V100" s="47"/>
      <c r="W100" s="47"/>
      <c r="X100" s="47"/>
      <c r="Y100" s="47"/>
      <c r="Z100" s="47"/>
      <c r="AA100" s="47"/>
      <c r="AB100" s="47"/>
      <c r="AC100" s="47"/>
      <c r="AD100" s="47"/>
      <c r="AE100" s="47"/>
      <c r="AF100" s="47"/>
      <c r="AG100" s="47"/>
      <c r="AH100" s="47"/>
      <c r="AI100" s="46"/>
      <c r="AJ100" s="46"/>
      <c r="AK100" s="46"/>
      <c r="AL100" s="7"/>
      <c r="AM100" s="49" t="str">
        <f aca="false">IF(OR(C100="",G100=""),"",IFERROR(DATEDIF(C100,G100,"m"),""))</f>
        <v/>
      </c>
      <c r="AN100" s="49" t="str">
        <f aca="false">IF(OR(Q100="",AM100=""),"",60+2*Q100-AM100)</f>
        <v/>
      </c>
      <c r="AO100" s="49" t="str">
        <f aca="false">IF(OR(G100="",AJ100=""),"",AJ100-G100)</f>
        <v/>
      </c>
      <c r="AP100" s="50" t="str">
        <f aca="false">IF(AND(A100="",B100=""),"",IF(J100="","Status needed",IF(OR(J100="Applied",J100="Visit booked",J100="Withdrawn"),"OK",IF(G100="","Date assessed needed",IF(C100="","Date of birth needed",IF(COUNTA(L100,M100,P100,U100,V100,X100,AB100)&lt;7,"Band missing",IF(AND(OR(J100="Decision confirmed",J100="Family told",J100="Enrolled"),AG100=""),"Recommendation needed",IF(AND(OR(J100="Family told",J100="Enrolled"),AJ100=""),"Date family told needed","OK"))))))))</f>
        <v/>
      </c>
    </row>
    <row r="101" customFormat="false" ht="15" hidden="false" customHeight="false" outlineLevel="0" collapsed="false">
      <c r="A101" s="7"/>
      <c r="B101" s="7"/>
      <c r="C101" s="46"/>
      <c r="D101" s="7"/>
      <c r="E101" s="47"/>
      <c r="F101" s="46"/>
      <c r="G101" s="46"/>
      <c r="H101" s="7"/>
      <c r="I101" s="7"/>
      <c r="J101" s="47"/>
      <c r="K101" s="47"/>
      <c r="L101" s="47"/>
      <c r="M101" s="47"/>
      <c r="N101" s="10"/>
      <c r="O101" s="47"/>
      <c r="P101" s="47"/>
      <c r="Q101" s="47"/>
      <c r="R101" s="48" t="str">
        <f aca="false">IF(Q101="","",IF(Q101=0,"below 5:00",IF(Q101&gt;=66,"16:00 or above",INT((60+2*Q101)/12)&amp;":"&amp;TEXT(MOD(60+2*Q101,12),"00"))))</f>
        <v/>
      </c>
      <c r="S101" s="47"/>
      <c r="T101" s="47"/>
      <c r="U101" s="47"/>
      <c r="V101" s="47"/>
      <c r="W101" s="47"/>
      <c r="X101" s="47"/>
      <c r="Y101" s="47"/>
      <c r="Z101" s="47"/>
      <c r="AA101" s="47"/>
      <c r="AB101" s="47"/>
      <c r="AC101" s="47"/>
      <c r="AD101" s="47"/>
      <c r="AE101" s="47"/>
      <c r="AF101" s="47"/>
      <c r="AG101" s="47"/>
      <c r="AH101" s="47"/>
      <c r="AI101" s="46"/>
      <c r="AJ101" s="46"/>
      <c r="AK101" s="46"/>
      <c r="AL101" s="7"/>
      <c r="AM101" s="49" t="str">
        <f aca="false">IF(OR(C101="",G101=""),"",IFERROR(DATEDIF(C101,G101,"m"),""))</f>
        <v/>
      </c>
      <c r="AN101" s="49" t="str">
        <f aca="false">IF(OR(Q101="",AM101=""),"",60+2*Q101-AM101)</f>
        <v/>
      </c>
      <c r="AO101" s="49" t="str">
        <f aca="false">IF(OR(G101="",AJ101=""),"",AJ101-G101)</f>
        <v/>
      </c>
      <c r="AP101" s="50" t="str">
        <f aca="false">IF(AND(A101="",B101=""),"",IF(J101="","Status needed",IF(OR(J101="Applied",J101="Visit booked",J101="Withdrawn"),"OK",IF(G101="","Date assessed needed",IF(C101="","Date of birth needed",IF(COUNTA(L101,M101,P101,U101,V101,X101,AB101)&lt;7,"Band missing",IF(AND(OR(J101="Decision confirmed",J101="Family told",J101="Enrolled"),AG101=""),"Recommendation needed",IF(AND(OR(J101="Family told",J101="Enrolled"),AJ101=""),"Date family told needed","OK"))))))))</f>
        <v/>
      </c>
    </row>
    <row r="102" customFormat="false" ht="15" hidden="false" customHeight="false" outlineLevel="0" collapsed="false">
      <c r="A102" s="7"/>
      <c r="B102" s="7"/>
      <c r="C102" s="46"/>
      <c r="D102" s="7"/>
      <c r="E102" s="47"/>
      <c r="F102" s="46"/>
      <c r="G102" s="46"/>
      <c r="H102" s="7"/>
      <c r="I102" s="7"/>
      <c r="J102" s="47"/>
      <c r="K102" s="47"/>
      <c r="L102" s="47"/>
      <c r="M102" s="47"/>
      <c r="N102" s="10"/>
      <c r="O102" s="47"/>
      <c r="P102" s="47"/>
      <c r="Q102" s="47"/>
      <c r="R102" s="48" t="str">
        <f aca="false">IF(Q102="","",IF(Q102=0,"below 5:00",IF(Q102&gt;=66,"16:00 or above",INT((60+2*Q102)/12)&amp;":"&amp;TEXT(MOD(60+2*Q102,12),"00"))))</f>
        <v/>
      </c>
      <c r="S102" s="47"/>
      <c r="T102" s="47"/>
      <c r="U102" s="47"/>
      <c r="V102" s="47"/>
      <c r="W102" s="47"/>
      <c r="X102" s="47"/>
      <c r="Y102" s="47"/>
      <c r="Z102" s="47"/>
      <c r="AA102" s="47"/>
      <c r="AB102" s="47"/>
      <c r="AC102" s="47"/>
      <c r="AD102" s="47"/>
      <c r="AE102" s="47"/>
      <c r="AF102" s="47"/>
      <c r="AG102" s="47"/>
      <c r="AH102" s="47"/>
      <c r="AI102" s="46"/>
      <c r="AJ102" s="46"/>
      <c r="AK102" s="46"/>
      <c r="AL102" s="7"/>
      <c r="AM102" s="49" t="str">
        <f aca="false">IF(OR(C102="",G102=""),"",IFERROR(DATEDIF(C102,G102,"m"),""))</f>
        <v/>
      </c>
      <c r="AN102" s="49" t="str">
        <f aca="false">IF(OR(Q102="",AM102=""),"",60+2*Q102-AM102)</f>
        <v/>
      </c>
      <c r="AO102" s="49" t="str">
        <f aca="false">IF(OR(G102="",AJ102=""),"",AJ102-G102)</f>
        <v/>
      </c>
      <c r="AP102" s="50" t="str">
        <f aca="false">IF(AND(A102="",B102=""),"",IF(J102="","Status needed",IF(OR(J102="Applied",J102="Visit booked",J102="Withdrawn"),"OK",IF(G102="","Date assessed needed",IF(C102="","Date of birth needed",IF(COUNTA(L102,M102,P102,U102,V102,X102,AB102)&lt;7,"Band missing",IF(AND(OR(J102="Decision confirmed",J102="Family told",J102="Enrolled"),AG102=""),"Recommendation needed",IF(AND(OR(J102="Family told",J102="Enrolled"),AJ102=""),"Date family told needed","OK"))))))))</f>
        <v/>
      </c>
    </row>
    <row r="103" customFormat="false" ht="15" hidden="false" customHeight="false" outlineLevel="0" collapsed="false">
      <c r="A103" s="7"/>
      <c r="B103" s="7"/>
      <c r="C103" s="46"/>
      <c r="D103" s="7"/>
      <c r="E103" s="47"/>
      <c r="F103" s="46"/>
      <c r="G103" s="46"/>
      <c r="H103" s="7"/>
      <c r="I103" s="7"/>
      <c r="J103" s="47"/>
      <c r="K103" s="47"/>
      <c r="L103" s="47"/>
      <c r="M103" s="47"/>
      <c r="N103" s="10"/>
      <c r="O103" s="47"/>
      <c r="P103" s="47"/>
      <c r="Q103" s="47"/>
      <c r="R103" s="48" t="str">
        <f aca="false">IF(Q103="","",IF(Q103=0,"below 5:00",IF(Q103&gt;=66,"16:00 or above",INT((60+2*Q103)/12)&amp;":"&amp;TEXT(MOD(60+2*Q103,12),"00"))))</f>
        <v/>
      </c>
      <c r="S103" s="47"/>
      <c r="T103" s="47"/>
      <c r="U103" s="47"/>
      <c r="V103" s="47"/>
      <c r="W103" s="47"/>
      <c r="X103" s="47"/>
      <c r="Y103" s="47"/>
      <c r="Z103" s="47"/>
      <c r="AA103" s="47"/>
      <c r="AB103" s="47"/>
      <c r="AC103" s="47"/>
      <c r="AD103" s="47"/>
      <c r="AE103" s="47"/>
      <c r="AF103" s="47"/>
      <c r="AG103" s="47"/>
      <c r="AH103" s="47"/>
      <c r="AI103" s="46"/>
      <c r="AJ103" s="46"/>
      <c r="AK103" s="46"/>
      <c r="AL103" s="7"/>
      <c r="AM103" s="49" t="str">
        <f aca="false">IF(OR(C103="",G103=""),"",IFERROR(DATEDIF(C103,G103,"m"),""))</f>
        <v/>
      </c>
      <c r="AN103" s="49" t="str">
        <f aca="false">IF(OR(Q103="",AM103=""),"",60+2*Q103-AM103)</f>
        <v/>
      </c>
      <c r="AO103" s="49" t="str">
        <f aca="false">IF(OR(G103="",AJ103=""),"",AJ103-G103)</f>
        <v/>
      </c>
      <c r="AP103" s="50" t="str">
        <f aca="false">IF(AND(A103="",B103=""),"",IF(J103="","Status needed",IF(OR(J103="Applied",J103="Visit booked",J103="Withdrawn"),"OK",IF(G103="","Date assessed needed",IF(C103="","Date of birth needed",IF(COUNTA(L103,M103,P103,U103,V103,X103,AB103)&lt;7,"Band missing",IF(AND(OR(J103="Decision confirmed",J103="Family told",J103="Enrolled"),AG103=""),"Recommendation needed",IF(AND(OR(J103="Family told",J103="Enrolled"),AJ103=""),"Date family told needed","OK"))))))))</f>
        <v/>
      </c>
    </row>
    <row r="104" customFormat="false" ht="15" hidden="false" customHeight="false" outlineLevel="0" collapsed="false">
      <c r="A104" s="7"/>
      <c r="B104" s="7"/>
      <c r="C104" s="46"/>
      <c r="D104" s="7"/>
      <c r="E104" s="47"/>
      <c r="F104" s="46"/>
      <c r="G104" s="46"/>
      <c r="H104" s="7"/>
      <c r="I104" s="7"/>
      <c r="J104" s="47"/>
      <c r="K104" s="47"/>
      <c r="L104" s="47"/>
      <c r="M104" s="47"/>
      <c r="N104" s="10"/>
      <c r="O104" s="47"/>
      <c r="P104" s="47"/>
      <c r="Q104" s="47"/>
      <c r="R104" s="48" t="str">
        <f aca="false">IF(Q104="","",IF(Q104=0,"below 5:00",IF(Q104&gt;=66,"16:00 or above",INT((60+2*Q104)/12)&amp;":"&amp;TEXT(MOD(60+2*Q104,12),"00"))))</f>
        <v/>
      </c>
      <c r="S104" s="47"/>
      <c r="T104" s="47"/>
      <c r="U104" s="47"/>
      <c r="V104" s="47"/>
      <c r="W104" s="47"/>
      <c r="X104" s="47"/>
      <c r="Y104" s="47"/>
      <c r="Z104" s="47"/>
      <c r="AA104" s="47"/>
      <c r="AB104" s="47"/>
      <c r="AC104" s="47"/>
      <c r="AD104" s="47"/>
      <c r="AE104" s="47"/>
      <c r="AF104" s="47"/>
      <c r="AG104" s="47"/>
      <c r="AH104" s="47"/>
      <c r="AI104" s="46"/>
      <c r="AJ104" s="46"/>
      <c r="AK104" s="46"/>
      <c r="AL104" s="7"/>
      <c r="AM104" s="49" t="str">
        <f aca="false">IF(OR(C104="",G104=""),"",IFERROR(DATEDIF(C104,G104,"m"),""))</f>
        <v/>
      </c>
      <c r="AN104" s="49" t="str">
        <f aca="false">IF(OR(Q104="",AM104=""),"",60+2*Q104-AM104)</f>
        <v/>
      </c>
      <c r="AO104" s="49" t="str">
        <f aca="false">IF(OR(G104="",AJ104=""),"",AJ104-G104)</f>
        <v/>
      </c>
      <c r="AP104" s="50" t="str">
        <f aca="false">IF(AND(A104="",B104=""),"",IF(J104="","Status needed",IF(OR(J104="Applied",J104="Visit booked",J104="Withdrawn"),"OK",IF(G104="","Date assessed needed",IF(C104="","Date of birth needed",IF(COUNTA(L104,M104,P104,U104,V104,X104,AB104)&lt;7,"Band missing",IF(AND(OR(J104="Decision confirmed",J104="Family told",J104="Enrolled"),AG104=""),"Recommendation needed",IF(AND(OR(J104="Family told",J104="Enrolled"),AJ104=""),"Date family told needed","OK"))))))))</f>
        <v/>
      </c>
    </row>
    <row r="105" customFormat="false" ht="15" hidden="false" customHeight="false" outlineLevel="0" collapsed="false">
      <c r="A105" s="7"/>
      <c r="B105" s="7"/>
      <c r="C105" s="46"/>
      <c r="D105" s="7"/>
      <c r="E105" s="47"/>
      <c r="F105" s="46"/>
      <c r="G105" s="46"/>
      <c r="H105" s="7"/>
      <c r="I105" s="7"/>
      <c r="J105" s="47"/>
      <c r="K105" s="47"/>
      <c r="L105" s="47"/>
      <c r="M105" s="47"/>
      <c r="N105" s="10"/>
      <c r="O105" s="47"/>
      <c r="P105" s="47"/>
      <c r="Q105" s="47"/>
      <c r="R105" s="48" t="str">
        <f aca="false">IF(Q105="","",IF(Q105=0,"below 5:00",IF(Q105&gt;=66,"16:00 or above",INT((60+2*Q105)/12)&amp;":"&amp;TEXT(MOD(60+2*Q105,12),"00"))))</f>
        <v/>
      </c>
      <c r="S105" s="47"/>
      <c r="T105" s="47"/>
      <c r="U105" s="47"/>
      <c r="V105" s="47"/>
      <c r="W105" s="47"/>
      <c r="X105" s="47"/>
      <c r="Y105" s="47"/>
      <c r="Z105" s="47"/>
      <c r="AA105" s="47"/>
      <c r="AB105" s="47"/>
      <c r="AC105" s="47"/>
      <c r="AD105" s="47"/>
      <c r="AE105" s="47"/>
      <c r="AF105" s="47"/>
      <c r="AG105" s="47"/>
      <c r="AH105" s="47"/>
      <c r="AI105" s="46"/>
      <c r="AJ105" s="46"/>
      <c r="AK105" s="46"/>
      <c r="AL105" s="7"/>
      <c r="AM105" s="49" t="str">
        <f aca="false">IF(OR(C105="",G105=""),"",IFERROR(DATEDIF(C105,G105,"m"),""))</f>
        <v/>
      </c>
      <c r="AN105" s="49" t="str">
        <f aca="false">IF(OR(Q105="",AM105=""),"",60+2*Q105-AM105)</f>
        <v/>
      </c>
      <c r="AO105" s="49" t="str">
        <f aca="false">IF(OR(G105="",AJ105=""),"",AJ105-G105)</f>
        <v/>
      </c>
      <c r="AP105" s="50" t="str">
        <f aca="false">IF(AND(A105="",B105=""),"",IF(J105="","Status needed",IF(OR(J105="Applied",J105="Visit booked",J105="Withdrawn"),"OK",IF(G105="","Date assessed needed",IF(C105="","Date of birth needed",IF(COUNTA(L105,M105,P105,U105,V105,X105,AB105)&lt;7,"Band missing",IF(AND(OR(J105="Decision confirmed",J105="Family told",J105="Enrolled"),AG105=""),"Recommendation needed",IF(AND(OR(J105="Family told",J105="Enrolled"),AJ105=""),"Date family told needed","OK"))))))))</f>
        <v/>
      </c>
    </row>
    <row r="106" customFormat="false" ht="15" hidden="false" customHeight="false" outlineLevel="0" collapsed="false">
      <c r="A106" s="7"/>
      <c r="B106" s="7"/>
      <c r="C106" s="46"/>
      <c r="D106" s="7"/>
      <c r="E106" s="47"/>
      <c r="F106" s="46"/>
      <c r="G106" s="46"/>
      <c r="H106" s="7"/>
      <c r="I106" s="7"/>
      <c r="J106" s="47"/>
      <c r="K106" s="47"/>
      <c r="L106" s="47"/>
      <c r="M106" s="47"/>
      <c r="N106" s="10"/>
      <c r="O106" s="47"/>
      <c r="P106" s="47"/>
      <c r="Q106" s="47"/>
      <c r="R106" s="48" t="str">
        <f aca="false">IF(Q106="","",IF(Q106=0,"below 5:00",IF(Q106&gt;=66,"16:00 or above",INT((60+2*Q106)/12)&amp;":"&amp;TEXT(MOD(60+2*Q106,12),"00"))))</f>
        <v/>
      </c>
      <c r="S106" s="47"/>
      <c r="T106" s="47"/>
      <c r="U106" s="47"/>
      <c r="V106" s="47"/>
      <c r="W106" s="47"/>
      <c r="X106" s="47"/>
      <c r="Y106" s="47"/>
      <c r="Z106" s="47"/>
      <c r="AA106" s="47"/>
      <c r="AB106" s="47"/>
      <c r="AC106" s="47"/>
      <c r="AD106" s="47"/>
      <c r="AE106" s="47"/>
      <c r="AF106" s="47"/>
      <c r="AG106" s="47"/>
      <c r="AH106" s="47"/>
      <c r="AI106" s="46"/>
      <c r="AJ106" s="46"/>
      <c r="AK106" s="46"/>
      <c r="AL106" s="7"/>
      <c r="AM106" s="49" t="str">
        <f aca="false">IF(OR(C106="",G106=""),"",IFERROR(DATEDIF(C106,G106,"m"),""))</f>
        <v/>
      </c>
      <c r="AN106" s="49" t="str">
        <f aca="false">IF(OR(Q106="",AM106=""),"",60+2*Q106-AM106)</f>
        <v/>
      </c>
      <c r="AO106" s="49" t="str">
        <f aca="false">IF(OR(G106="",AJ106=""),"",AJ106-G106)</f>
        <v/>
      </c>
      <c r="AP106" s="50" t="str">
        <f aca="false">IF(AND(A106="",B106=""),"",IF(J106="","Status needed",IF(OR(J106="Applied",J106="Visit booked",J106="Withdrawn"),"OK",IF(G106="","Date assessed needed",IF(C106="","Date of birth needed",IF(COUNTA(L106,M106,P106,U106,V106,X106,AB106)&lt;7,"Band missing",IF(AND(OR(J106="Decision confirmed",J106="Family told",J106="Enrolled"),AG106=""),"Recommendation needed",IF(AND(OR(J106="Family told",J106="Enrolled"),AJ106=""),"Date family told needed","OK"))))))))</f>
        <v/>
      </c>
    </row>
    <row r="107" customFormat="false" ht="15" hidden="false" customHeight="false" outlineLevel="0" collapsed="false">
      <c r="A107" s="7"/>
      <c r="B107" s="7"/>
      <c r="C107" s="46"/>
      <c r="D107" s="7"/>
      <c r="E107" s="47"/>
      <c r="F107" s="46"/>
      <c r="G107" s="46"/>
      <c r="H107" s="7"/>
      <c r="I107" s="7"/>
      <c r="J107" s="47"/>
      <c r="K107" s="47"/>
      <c r="L107" s="47"/>
      <c r="M107" s="47"/>
      <c r="N107" s="10"/>
      <c r="O107" s="47"/>
      <c r="P107" s="47"/>
      <c r="Q107" s="47"/>
      <c r="R107" s="48" t="str">
        <f aca="false">IF(Q107="","",IF(Q107=0,"below 5:00",IF(Q107&gt;=66,"16:00 or above",INT((60+2*Q107)/12)&amp;":"&amp;TEXT(MOD(60+2*Q107,12),"00"))))</f>
        <v/>
      </c>
      <c r="S107" s="47"/>
      <c r="T107" s="47"/>
      <c r="U107" s="47"/>
      <c r="V107" s="47"/>
      <c r="W107" s="47"/>
      <c r="X107" s="47"/>
      <c r="Y107" s="47"/>
      <c r="Z107" s="47"/>
      <c r="AA107" s="47"/>
      <c r="AB107" s="47"/>
      <c r="AC107" s="47"/>
      <c r="AD107" s="47"/>
      <c r="AE107" s="47"/>
      <c r="AF107" s="47"/>
      <c r="AG107" s="47"/>
      <c r="AH107" s="47"/>
      <c r="AI107" s="46"/>
      <c r="AJ107" s="46"/>
      <c r="AK107" s="46"/>
      <c r="AL107" s="7"/>
      <c r="AM107" s="49" t="str">
        <f aca="false">IF(OR(C107="",G107=""),"",IFERROR(DATEDIF(C107,G107,"m"),""))</f>
        <v/>
      </c>
      <c r="AN107" s="49" t="str">
        <f aca="false">IF(OR(Q107="",AM107=""),"",60+2*Q107-AM107)</f>
        <v/>
      </c>
      <c r="AO107" s="49" t="str">
        <f aca="false">IF(OR(G107="",AJ107=""),"",AJ107-G107)</f>
        <v/>
      </c>
      <c r="AP107" s="50" t="str">
        <f aca="false">IF(AND(A107="",B107=""),"",IF(J107="","Status needed",IF(OR(J107="Applied",J107="Visit booked",J107="Withdrawn"),"OK",IF(G107="","Date assessed needed",IF(C107="","Date of birth needed",IF(COUNTA(L107,M107,P107,U107,V107,X107,AB107)&lt;7,"Band missing",IF(AND(OR(J107="Decision confirmed",J107="Family told",J107="Enrolled"),AG107=""),"Recommendation needed",IF(AND(OR(J107="Family told",J107="Enrolled"),AJ107=""),"Date family told needed","OK"))))))))</f>
        <v/>
      </c>
    </row>
    <row r="108" customFormat="false" ht="15" hidden="false" customHeight="false" outlineLevel="0" collapsed="false">
      <c r="A108" s="7"/>
      <c r="B108" s="7"/>
      <c r="C108" s="46"/>
      <c r="D108" s="7"/>
      <c r="E108" s="47"/>
      <c r="F108" s="46"/>
      <c r="G108" s="46"/>
      <c r="H108" s="7"/>
      <c r="I108" s="7"/>
      <c r="J108" s="47"/>
      <c r="K108" s="47"/>
      <c r="L108" s="47"/>
      <c r="M108" s="47"/>
      <c r="N108" s="10"/>
      <c r="O108" s="47"/>
      <c r="P108" s="47"/>
      <c r="Q108" s="47"/>
      <c r="R108" s="48" t="str">
        <f aca="false">IF(Q108="","",IF(Q108=0,"below 5:00",IF(Q108&gt;=66,"16:00 or above",INT((60+2*Q108)/12)&amp;":"&amp;TEXT(MOD(60+2*Q108,12),"00"))))</f>
        <v/>
      </c>
      <c r="S108" s="47"/>
      <c r="T108" s="47"/>
      <c r="U108" s="47"/>
      <c r="V108" s="47"/>
      <c r="W108" s="47"/>
      <c r="X108" s="47"/>
      <c r="Y108" s="47"/>
      <c r="Z108" s="47"/>
      <c r="AA108" s="47"/>
      <c r="AB108" s="47"/>
      <c r="AC108" s="47"/>
      <c r="AD108" s="47"/>
      <c r="AE108" s="47"/>
      <c r="AF108" s="47"/>
      <c r="AG108" s="47"/>
      <c r="AH108" s="47"/>
      <c r="AI108" s="46"/>
      <c r="AJ108" s="46"/>
      <c r="AK108" s="46"/>
      <c r="AL108" s="7"/>
      <c r="AM108" s="49" t="str">
        <f aca="false">IF(OR(C108="",G108=""),"",IFERROR(DATEDIF(C108,G108,"m"),""))</f>
        <v/>
      </c>
      <c r="AN108" s="49" t="str">
        <f aca="false">IF(OR(Q108="",AM108=""),"",60+2*Q108-AM108)</f>
        <v/>
      </c>
      <c r="AO108" s="49" t="str">
        <f aca="false">IF(OR(G108="",AJ108=""),"",AJ108-G108)</f>
        <v/>
      </c>
      <c r="AP108" s="50" t="str">
        <f aca="false">IF(AND(A108="",B108=""),"",IF(J108="","Status needed",IF(OR(J108="Applied",J108="Visit booked",J108="Withdrawn"),"OK",IF(G108="","Date assessed needed",IF(C108="","Date of birth needed",IF(COUNTA(L108,M108,P108,U108,V108,X108,AB108)&lt;7,"Band missing",IF(AND(OR(J108="Decision confirmed",J108="Family told",J108="Enrolled"),AG108=""),"Recommendation needed",IF(AND(OR(J108="Family told",J108="Enrolled"),AJ108=""),"Date family told needed","OK"))))))))</f>
        <v/>
      </c>
    </row>
    <row r="109" customFormat="false" ht="15" hidden="false" customHeight="false" outlineLevel="0" collapsed="false">
      <c r="A109" s="7"/>
      <c r="B109" s="7"/>
      <c r="C109" s="46"/>
      <c r="D109" s="7"/>
      <c r="E109" s="47"/>
      <c r="F109" s="46"/>
      <c r="G109" s="46"/>
      <c r="H109" s="7"/>
      <c r="I109" s="7"/>
      <c r="J109" s="47"/>
      <c r="K109" s="47"/>
      <c r="L109" s="47"/>
      <c r="M109" s="47"/>
      <c r="N109" s="10"/>
      <c r="O109" s="47"/>
      <c r="P109" s="47"/>
      <c r="Q109" s="47"/>
      <c r="R109" s="48" t="str">
        <f aca="false">IF(Q109="","",IF(Q109=0,"below 5:00",IF(Q109&gt;=66,"16:00 or above",INT((60+2*Q109)/12)&amp;":"&amp;TEXT(MOD(60+2*Q109,12),"00"))))</f>
        <v/>
      </c>
      <c r="S109" s="47"/>
      <c r="T109" s="47"/>
      <c r="U109" s="47"/>
      <c r="V109" s="47"/>
      <c r="W109" s="47"/>
      <c r="X109" s="47"/>
      <c r="Y109" s="47"/>
      <c r="Z109" s="47"/>
      <c r="AA109" s="47"/>
      <c r="AB109" s="47"/>
      <c r="AC109" s="47"/>
      <c r="AD109" s="47"/>
      <c r="AE109" s="47"/>
      <c r="AF109" s="47"/>
      <c r="AG109" s="47"/>
      <c r="AH109" s="47"/>
      <c r="AI109" s="46"/>
      <c r="AJ109" s="46"/>
      <c r="AK109" s="46"/>
      <c r="AL109" s="7"/>
      <c r="AM109" s="49" t="str">
        <f aca="false">IF(OR(C109="",G109=""),"",IFERROR(DATEDIF(C109,G109,"m"),""))</f>
        <v/>
      </c>
      <c r="AN109" s="49" t="str">
        <f aca="false">IF(OR(Q109="",AM109=""),"",60+2*Q109-AM109)</f>
        <v/>
      </c>
      <c r="AO109" s="49" t="str">
        <f aca="false">IF(OR(G109="",AJ109=""),"",AJ109-G109)</f>
        <v/>
      </c>
      <c r="AP109" s="50" t="str">
        <f aca="false">IF(AND(A109="",B109=""),"",IF(J109="","Status needed",IF(OR(J109="Applied",J109="Visit booked",J109="Withdrawn"),"OK",IF(G109="","Date assessed needed",IF(C109="","Date of birth needed",IF(COUNTA(L109,M109,P109,U109,V109,X109,AB109)&lt;7,"Band missing",IF(AND(OR(J109="Decision confirmed",J109="Family told",J109="Enrolled"),AG109=""),"Recommendation needed",IF(AND(OR(J109="Family told",J109="Enrolled"),AJ109=""),"Date family told needed","OK"))))))))</f>
        <v/>
      </c>
    </row>
    <row r="110" customFormat="false" ht="15" hidden="false" customHeight="false" outlineLevel="0" collapsed="false">
      <c r="A110" s="7"/>
      <c r="B110" s="7"/>
      <c r="C110" s="46"/>
      <c r="D110" s="7"/>
      <c r="E110" s="47"/>
      <c r="F110" s="46"/>
      <c r="G110" s="46"/>
      <c r="H110" s="7"/>
      <c r="I110" s="7"/>
      <c r="J110" s="47"/>
      <c r="K110" s="47"/>
      <c r="L110" s="47"/>
      <c r="M110" s="47"/>
      <c r="N110" s="10"/>
      <c r="O110" s="47"/>
      <c r="P110" s="47"/>
      <c r="Q110" s="47"/>
      <c r="R110" s="48" t="str">
        <f aca="false">IF(Q110="","",IF(Q110=0,"below 5:00",IF(Q110&gt;=66,"16:00 or above",INT((60+2*Q110)/12)&amp;":"&amp;TEXT(MOD(60+2*Q110,12),"00"))))</f>
        <v/>
      </c>
      <c r="S110" s="47"/>
      <c r="T110" s="47"/>
      <c r="U110" s="47"/>
      <c r="V110" s="47"/>
      <c r="W110" s="47"/>
      <c r="X110" s="47"/>
      <c r="Y110" s="47"/>
      <c r="Z110" s="47"/>
      <c r="AA110" s="47"/>
      <c r="AB110" s="47"/>
      <c r="AC110" s="47"/>
      <c r="AD110" s="47"/>
      <c r="AE110" s="47"/>
      <c r="AF110" s="47"/>
      <c r="AG110" s="47"/>
      <c r="AH110" s="47"/>
      <c r="AI110" s="46"/>
      <c r="AJ110" s="46"/>
      <c r="AK110" s="46"/>
      <c r="AL110" s="7"/>
      <c r="AM110" s="49" t="str">
        <f aca="false">IF(OR(C110="",G110=""),"",IFERROR(DATEDIF(C110,G110,"m"),""))</f>
        <v/>
      </c>
      <c r="AN110" s="49" t="str">
        <f aca="false">IF(OR(Q110="",AM110=""),"",60+2*Q110-AM110)</f>
        <v/>
      </c>
      <c r="AO110" s="49" t="str">
        <f aca="false">IF(OR(G110="",AJ110=""),"",AJ110-G110)</f>
        <v/>
      </c>
      <c r="AP110" s="50" t="str">
        <f aca="false">IF(AND(A110="",B110=""),"",IF(J110="","Status needed",IF(OR(J110="Applied",J110="Visit booked",J110="Withdrawn"),"OK",IF(G110="","Date assessed needed",IF(C110="","Date of birth needed",IF(COUNTA(L110,M110,P110,U110,V110,X110,AB110)&lt;7,"Band missing",IF(AND(OR(J110="Decision confirmed",J110="Family told",J110="Enrolled"),AG110=""),"Recommendation needed",IF(AND(OR(J110="Family told",J110="Enrolled"),AJ110=""),"Date family told needed","OK"))))))))</f>
        <v/>
      </c>
    </row>
    <row r="111" customFormat="false" ht="15" hidden="false" customHeight="false" outlineLevel="0" collapsed="false">
      <c r="A111" s="7"/>
      <c r="B111" s="7"/>
      <c r="C111" s="46"/>
      <c r="D111" s="7"/>
      <c r="E111" s="47"/>
      <c r="F111" s="46"/>
      <c r="G111" s="46"/>
      <c r="H111" s="7"/>
      <c r="I111" s="7"/>
      <c r="J111" s="47"/>
      <c r="K111" s="47"/>
      <c r="L111" s="47"/>
      <c r="M111" s="47"/>
      <c r="N111" s="10"/>
      <c r="O111" s="47"/>
      <c r="P111" s="47"/>
      <c r="Q111" s="47"/>
      <c r="R111" s="48" t="str">
        <f aca="false">IF(Q111="","",IF(Q111=0,"below 5:00",IF(Q111&gt;=66,"16:00 or above",INT((60+2*Q111)/12)&amp;":"&amp;TEXT(MOD(60+2*Q111,12),"00"))))</f>
        <v/>
      </c>
      <c r="S111" s="47"/>
      <c r="T111" s="47"/>
      <c r="U111" s="47"/>
      <c r="V111" s="47"/>
      <c r="W111" s="47"/>
      <c r="X111" s="47"/>
      <c r="Y111" s="47"/>
      <c r="Z111" s="47"/>
      <c r="AA111" s="47"/>
      <c r="AB111" s="47"/>
      <c r="AC111" s="47"/>
      <c r="AD111" s="47"/>
      <c r="AE111" s="47"/>
      <c r="AF111" s="47"/>
      <c r="AG111" s="47"/>
      <c r="AH111" s="47"/>
      <c r="AI111" s="46"/>
      <c r="AJ111" s="46"/>
      <c r="AK111" s="46"/>
      <c r="AL111" s="7"/>
      <c r="AM111" s="49" t="str">
        <f aca="false">IF(OR(C111="",G111=""),"",IFERROR(DATEDIF(C111,G111,"m"),""))</f>
        <v/>
      </c>
      <c r="AN111" s="49" t="str">
        <f aca="false">IF(OR(Q111="",AM111=""),"",60+2*Q111-AM111)</f>
        <v/>
      </c>
      <c r="AO111" s="49" t="str">
        <f aca="false">IF(OR(G111="",AJ111=""),"",AJ111-G111)</f>
        <v/>
      </c>
      <c r="AP111" s="50" t="str">
        <f aca="false">IF(AND(A111="",B111=""),"",IF(J111="","Status needed",IF(OR(J111="Applied",J111="Visit booked",J111="Withdrawn"),"OK",IF(G111="","Date assessed needed",IF(C111="","Date of birth needed",IF(COUNTA(L111,M111,P111,U111,V111,X111,AB111)&lt;7,"Band missing",IF(AND(OR(J111="Decision confirmed",J111="Family told",J111="Enrolled"),AG111=""),"Recommendation needed",IF(AND(OR(J111="Family told",J111="Enrolled"),AJ111=""),"Date family told needed","OK"))))))))</f>
        <v/>
      </c>
    </row>
    <row r="112" customFormat="false" ht="15" hidden="false" customHeight="false" outlineLevel="0" collapsed="false">
      <c r="A112" s="7"/>
      <c r="B112" s="7"/>
      <c r="C112" s="46"/>
      <c r="D112" s="7"/>
      <c r="E112" s="47"/>
      <c r="F112" s="46"/>
      <c r="G112" s="46"/>
      <c r="H112" s="7"/>
      <c r="I112" s="7"/>
      <c r="J112" s="47"/>
      <c r="K112" s="47"/>
      <c r="L112" s="47"/>
      <c r="M112" s="47"/>
      <c r="N112" s="10"/>
      <c r="O112" s="47"/>
      <c r="P112" s="47"/>
      <c r="Q112" s="47"/>
      <c r="R112" s="48" t="str">
        <f aca="false">IF(Q112="","",IF(Q112=0,"below 5:00",IF(Q112&gt;=66,"16:00 or above",INT((60+2*Q112)/12)&amp;":"&amp;TEXT(MOD(60+2*Q112,12),"00"))))</f>
        <v/>
      </c>
      <c r="S112" s="47"/>
      <c r="T112" s="47"/>
      <c r="U112" s="47"/>
      <c r="V112" s="47"/>
      <c r="W112" s="47"/>
      <c r="X112" s="47"/>
      <c r="Y112" s="47"/>
      <c r="Z112" s="47"/>
      <c r="AA112" s="47"/>
      <c r="AB112" s="47"/>
      <c r="AC112" s="47"/>
      <c r="AD112" s="47"/>
      <c r="AE112" s="47"/>
      <c r="AF112" s="47"/>
      <c r="AG112" s="47"/>
      <c r="AH112" s="47"/>
      <c r="AI112" s="46"/>
      <c r="AJ112" s="46"/>
      <c r="AK112" s="46"/>
      <c r="AL112" s="7"/>
      <c r="AM112" s="49" t="str">
        <f aca="false">IF(OR(C112="",G112=""),"",IFERROR(DATEDIF(C112,G112,"m"),""))</f>
        <v/>
      </c>
      <c r="AN112" s="49" t="str">
        <f aca="false">IF(OR(Q112="",AM112=""),"",60+2*Q112-AM112)</f>
        <v/>
      </c>
      <c r="AO112" s="49" t="str">
        <f aca="false">IF(OR(G112="",AJ112=""),"",AJ112-G112)</f>
        <v/>
      </c>
      <c r="AP112" s="50" t="str">
        <f aca="false">IF(AND(A112="",B112=""),"",IF(J112="","Status needed",IF(OR(J112="Applied",J112="Visit booked",J112="Withdrawn"),"OK",IF(G112="","Date assessed needed",IF(C112="","Date of birth needed",IF(COUNTA(L112,M112,P112,U112,V112,X112,AB112)&lt;7,"Band missing",IF(AND(OR(J112="Decision confirmed",J112="Family told",J112="Enrolled"),AG112=""),"Recommendation needed",IF(AND(OR(J112="Family told",J112="Enrolled"),AJ112=""),"Date family told needed","OK"))))))))</f>
        <v/>
      </c>
    </row>
    <row r="113" customFormat="false" ht="15" hidden="false" customHeight="false" outlineLevel="0" collapsed="false">
      <c r="A113" s="7"/>
      <c r="B113" s="7"/>
      <c r="C113" s="46"/>
      <c r="D113" s="7"/>
      <c r="E113" s="47"/>
      <c r="F113" s="46"/>
      <c r="G113" s="46"/>
      <c r="H113" s="7"/>
      <c r="I113" s="7"/>
      <c r="J113" s="47"/>
      <c r="K113" s="47"/>
      <c r="L113" s="47"/>
      <c r="M113" s="47"/>
      <c r="N113" s="10"/>
      <c r="O113" s="47"/>
      <c r="P113" s="47"/>
      <c r="Q113" s="47"/>
      <c r="R113" s="48" t="str">
        <f aca="false">IF(Q113="","",IF(Q113=0,"below 5:00",IF(Q113&gt;=66,"16:00 or above",INT((60+2*Q113)/12)&amp;":"&amp;TEXT(MOD(60+2*Q113,12),"00"))))</f>
        <v/>
      </c>
      <c r="S113" s="47"/>
      <c r="T113" s="47"/>
      <c r="U113" s="47"/>
      <c r="V113" s="47"/>
      <c r="W113" s="47"/>
      <c r="X113" s="47"/>
      <c r="Y113" s="47"/>
      <c r="Z113" s="47"/>
      <c r="AA113" s="47"/>
      <c r="AB113" s="47"/>
      <c r="AC113" s="47"/>
      <c r="AD113" s="47"/>
      <c r="AE113" s="47"/>
      <c r="AF113" s="47"/>
      <c r="AG113" s="47"/>
      <c r="AH113" s="47"/>
      <c r="AI113" s="46"/>
      <c r="AJ113" s="46"/>
      <c r="AK113" s="46"/>
      <c r="AL113" s="7"/>
      <c r="AM113" s="49" t="str">
        <f aca="false">IF(OR(C113="",G113=""),"",IFERROR(DATEDIF(C113,G113,"m"),""))</f>
        <v/>
      </c>
      <c r="AN113" s="49" t="str">
        <f aca="false">IF(OR(Q113="",AM113=""),"",60+2*Q113-AM113)</f>
        <v/>
      </c>
      <c r="AO113" s="49" t="str">
        <f aca="false">IF(OR(G113="",AJ113=""),"",AJ113-G113)</f>
        <v/>
      </c>
      <c r="AP113" s="50" t="str">
        <f aca="false">IF(AND(A113="",B113=""),"",IF(J113="","Status needed",IF(OR(J113="Applied",J113="Visit booked",J113="Withdrawn"),"OK",IF(G113="","Date assessed needed",IF(C113="","Date of birth needed",IF(COUNTA(L113,M113,P113,U113,V113,X113,AB113)&lt;7,"Band missing",IF(AND(OR(J113="Decision confirmed",J113="Family told",J113="Enrolled"),AG113=""),"Recommendation needed",IF(AND(OR(J113="Family told",J113="Enrolled"),AJ113=""),"Date family told needed","OK"))))))))</f>
        <v/>
      </c>
    </row>
    <row r="114" customFormat="false" ht="15" hidden="false" customHeight="false" outlineLevel="0" collapsed="false">
      <c r="A114" s="7"/>
      <c r="B114" s="7"/>
      <c r="C114" s="46"/>
      <c r="D114" s="7"/>
      <c r="E114" s="47"/>
      <c r="F114" s="46"/>
      <c r="G114" s="46"/>
      <c r="H114" s="7"/>
      <c r="I114" s="7"/>
      <c r="J114" s="47"/>
      <c r="K114" s="47"/>
      <c r="L114" s="47"/>
      <c r="M114" s="47"/>
      <c r="N114" s="10"/>
      <c r="O114" s="47"/>
      <c r="P114" s="47"/>
      <c r="Q114" s="47"/>
      <c r="R114" s="48" t="str">
        <f aca="false">IF(Q114="","",IF(Q114=0,"below 5:00",IF(Q114&gt;=66,"16:00 or above",INT((60+2*Q114)/12)&amp;":"&amp;TEXT(MOD(60+2*Q114,12),"00"))))</f>
        <v/>
      </c>
      <c r="S114" s="47"/>
      <c r="T114" s="47"/>
      <c r="U114" s="47"/>
      <c r="V114" s="47"/>
      <c r="W114" s="47"/>
      <c r="X114" s="47"/>
      <c r="Y114" s="47"/>
      <c r="Z114" s="47"/>
      <c r="AA114" s="47"/>
      <c r="AB114" s="47"/>
      <c r="AC114" s="47"/>
      <c r="AD114" s="47"/>
      <c r="AE114" s="47"/>
      <c r="AF114" s="47"/>
      <c r="AG114" s="47"/>
      <c r="AH114" s="47"/>
      <c r="AI114" s="46"/>
      <c r="AJ114" s="46"/>
      <c r="AK114" s="46"/>
      <c r="AL114" s="7"/>
      <c r="AM114" s="49" t="str">
        <f aca="false">IF(OR(C114="",G114=""),"",IFERROR(DATEDIF(C114,G114,"m"),""))</f>
        <v/>
      </c>
      <c r="AN114" s="49" t="str">
        <f aca="false">IF(OR(Q114="",AM114=""),"",60+2*Q114-AM114)</f>
        <v/>
      </c>
      <c r="AO114" s="49" t="str">
        <f aca="false">IF(OR(G114="",AJ114=""),"",AJ114-G114)</f>
        <v/>
      </c>
      <c r="AP114" s="50" t="str">
        <f aca="false">IF(AND(A114="",B114=""),"",IF(J114="","Status needed",IF(OR(J114="Applied",J114="Visit booked",J114="Withdrawn"),"OK",IF(G114="","Date assessed needed",IF(C114="","Date of birth needed",IF(COUNTA(L114,M114,P114,U114,V114,X114,AB114)&lt;7,"Band missing",IF(AND(OR(J114="Decision confirmed",J114="Family told",J114="Enrolled"),AG114=""),"Recommendation needed",IF(AND(OR(J114="Family told",J114="Enrolled"),AJ114=""),"Date family told needed","OK"))))))))</f>
        <v/>
      </c>
    </row>
    <row r="115" customFormat="false" ht="15" hidden="false" customHeight="false" outlineLevel="0" collapsed="false">
      <c r="A115" s="7"/>
      <c r="B115" s="7"/>
      <c r="C115" s="46"/>
      <c r="D115" s="7"/>
      <c r="E115" s="47"/>
      <c r="F115" s="46"/>
      <c r="G115" s="46"/>
      <c r="H115" s="7"/>
      <c r="I115" s="7"/>
      <c r="J115" s="47"/>
      <c r="K115" s="47"/>
      <c r="L115" s="47"/>
      <c r="M115" s="47"/>
      <c r="N115" s="10"/>
      <c r="O115" s="47"/>
      <c r="P115" s="47"/>
      <c r="Q115" s="47"/>
      <c r="R115" s="48" t="str">
        <f aca="false">IF(Q115="","",IF(Q115=0,"below 5:00",IF(Q115&gt;=66,"16:00 or above",INT((60+2*Q115)/12)&amp;":"&amp;TEXT(MOD(60+2*Q115,12),"00"))))</f>
        <v/>
      </c>
      <c r="S115" s="47"/>
      <c r="T115" s="47"/>
      <c r="U115" s="47"/>
      <c r="V115" s="47"/>
      <c r="W115" s="47"/>
      <c r="X115" s="47"/>
      <c r="Y115" s="47"/>
      <c r="Z115" s="47"/>
      <c r="AA115" s="47"/>
      <c r="AB115" s="47"/>
      <c r="AC115" s="47"/>
      <c r="AD115" s="47"/>
      <c r="AE115" s="47"/>
      <c r="AF115" s="47"/>
      <c r="AG115" s="47"/>
      <c r="AH115" s="47"/>
      <c r="AI115" s="46"/>
      <c r="AJ115" s="46"/>
      <c r="AK115" s="46"/>
      <c r="AL115" s="7"/>
      <c r="AM115" s="49" t="str">
        <f aca="false">IF(OR(C115="",G115=""),"",IFERROR(DATEDIF(C115,G115,"m"),""))</f>
        <v/>
      </c>
      <c r="AN115" s="49" t="str">
        <f aca="false">IF(OR(Q115="",AM115=""),"",60+2*Q115-AM115)</f>
        <v/>
      </c>
      <c r="AO115" s="49" t="str">
        <f aca="false">IF(OR(G115="",AJ115=""),"",AJ115-G115)</f>
        <v/>
      </c>
      <c r="AP115" s="50" t="str">
        <f aca="false">IF(AND(A115="",B115=""),"",IF(J115="","Status needed",IF(OR(J115="Applied",J115="Visit booked",J115="Withdrawn"),"OK",IF(G115="","Date assessed needed",IF(C115="","Date of birth needed",IF(COUNTA(L115,M115,P115,U115,V115,X115,AB115)&lt;7,"Band missing",IF(AND(OR(J115="Decision confirmed",J115="Family told",J115="Enrolled"),AG115=""),"Recommendation needed",IF(AND(OR(J115="Family told",J115="Enrolled"),AJ115=""),"Date family told needed","OK"))))))))</f>
        <v/>
      </c>
    </row>
    <row r="116" customFormat="false" ht="15" hidden="false" customHeight="false" outlineLevel="0" collapsed="false">
      <c r="A116" s="7"/>
      <c r="B116" s="7"/>
      <c r="C116" s="46"/>
      <c r="D116" s="7"/>
      <c r="E116" s="47"/>
      <c r="F116" s="46"/>
      <c r="G116" s="46"/>
      <c r="H116" s="7"/>
      <c r="I116" s="7"/>
      <c r="J116" s="47"/>
      <c r="K116" s="47"/>
      <c r="L116" s="47"/>
      <c r="M116" s="47"/>
      <c r="N116" s="10"/>
      <c r="O116" s="47"/>
      <c r="P116" s="47"/>
      <c r="Q116" s="47"/>
      <c r="R116" s="48" t="str">
        <f aca="false">IF(Q116="","",IF(Q116=0,"below 5:00",IF(Q116&gt;=66,"16:00 or above",INT((60+2*Q116)/12)&amp;":"&amp;TEXT(MOD(60+2*Q116,12),"00"))))</f>
        <v/>
      </c>
      <c r="S116" s="47"/>
      <c r="T116" s="47"/>
      <c r="U116" s="47"/>
      <c r="V116" s="47"/>
      <c r="W116" s="47"/>
      <c r="X116" s="47"/>
      <c r="Y116" s="47"/>
      <c r="Z116" s="47"/>
      <c r="AA116" s="47"/>
      <c r="AB116" s="47"/>
      <c r="AC116" s="47"/>
      <c r="AD116" s="47"/>
      <c r="AE116" s="47"/>
      <c r="AF116" s="47"/>
      <c r="AG116" s="47"/>
      <c r="AH116" s="47"/>
      <c r="AI116" s="46"/>
      <c r="AJ116" s="46"/>
      <c r="AK116" s="46"/>
      <c r="AL116" s="7"/>
      <c r="AM116" s="49" t="str">
        <f aca="false">IF(OR(C116="",G116=""),"",IFERROR(DATEDIF(C116,G116,"m"),""))</f>
        <v/>
      </c>
      <c r="AN116" s="49" t="str">
        <f aca="false">IF(OR(Q116="",AM116=""),"",60+2*Q116-AM116)</f>
        <v/>
      </c>
      <c r="AO116" s="49" t="str">
        <f aca="false">IF(OR(G116="",AJ116=""),"",AJ116-G116)</f>
        <v/>
      </c>
      <c r="AP116" s="50" t="str">
        <f aca="false">IF(AND(A116="",B116=""),"",IF(J116="","Status needed",IF(OR(J116="Applied",J116="Visit booked",J116="Withdrawn"),"OK",IF(G116="","Date assessed needed",IF(C116="","Date of birth needed",IF(COUNTA(L116,M116,P116,U116,V116,X116,AB116)&lt;7,"Band missing",IF(AND(OR(J116="Decision confirmed",J116="Family told",J116="Enrolled"),AG116=""),"Recommendation needed",IF(AND(OR(J116="Family told",J116="Enrolled"),AJ116=""),"Date family told needed","OK"))))))))</f>
        <v/>
      </c>
    </row>
    <row r="117" customFormat="false" ht="15" hidden="false" customHeight="false" outlineLevel="0" collapsed="false">
      <c r="A117" s="7"/>
      <c r="B117" s="7"/>
      <c r="C117" s="46"/>
      <c r="D117" s="7"/>
      <c r="E117" s="47"/>
      <c r="F117" s="46"/>
      <c r="G117" s="46"/>
      <c r="H117" s="7"/>
      <c r="I117" s="7"/>
      <c r="J117" s="47"/>
      <c r="K117" s="47"/>
      <c r="L117" s="47"/>
      <c r="M117" s="47"/>
      <c r="N117" s="10"/>
      <c r="O117" s="47"/>
      <c r="P117" s="47"/>
      <c r="Q117" s="47"/>
      <c r="R117" s="48" t="str">
        <f aca="false">IF(Q117="","",IF(Q117=0,"below 5:00",IF(Q117&gt;=66,"16:00 or above",INT((60+2*Q117)/12)&amp;":"&amp;TEXT(MOD(60+2*Q117,12),"00"))))</f>
        <v/>
      </c>
      <c r="S117" s="47"/>
      <c r="T117" s="47"/>
      <c r="U117" s="47"/>
      <c r="V117" s="47"/>
      <c r="W117" s="47"/>
      <c r="X117" s="47"/>
      <c r="Y117" s="47"/>
      <c r="Z117" s="47"/>
      <c r="AA117" s="47"/>
      <c r="AB117" s="47"/>
      <c r="AC117" s="47"/>
      <c r="AD117" s="47"/>
      <c r="AE117" s="47"/>
      <c r="AF117" s="47"/>
      <c r="AG117" s="47"/>
      <c r="AH117" s="47"/>
      <c r="AI117" s="46"/>
      <c r="AJ117" s="46"/>
      <c r="AK117" s="46"/>
      <c r="AL117" s="7"/>
      <c r="AM117" s="49" t="str">
        <f aca="false">IF(OR(C117="",G117=""),"",IFERROR(DATEDIF(C117,G117,"m"),""))</f>
        <v/>
      </c>
      <c r="AN117" s="49" t="str">
        <f aca="false">IF(OR(Q117="",AM117=""),"",60+2*Q117-AM117)</f>
        <v/>
      </c>
      <c r="AO117" s="49" t="str">
        <f aca="false">IF(OR(G117="",AJ117=""),"",AJ117-G117)</f>
        <v/>
      </c>
      <c r="AP117" s="50" t="str">
        <f aca="false">IF(AND(A117="",B117=""),"",IF(J117="","Status needed",IF(OR(J117="Applied",J117="Visit booked",J117="Withdrawn"),"OK",IF(G117="","Date assessed needed",IF(C117="","Date of birth needed",IF(COUNTA(L117,M117,P117,U117,V117,X117,AB117)&lt;7,"Band missing",IF(AND(OR(J117="Decision confirmed",J117="Family told",J117="Enrolled"),AG117=""),"Recommendation needed",IF(AND(OR(J117="Family told",J117="Enrolled"),AJ117=""),"Date family told needed","OK"))))))))</f>
        <v/>
      </c>
    </row>
    <row r="118" customFormat="false" ht="15" hidden="false" customHeight="false" outlineLevel="0" collapsed="false">
      <c r="A118" s="7"/>
      <c r="B118" s="7"/>
      <c r="C118" s="46"/>
      <c r="D118" s="7"/>
      <c r="E118" s="47"/>
      <c r="F118" s="46"/>
      <c r="G118" s="46"/>
      <c r="H118" s="7"/>
      <c r="I118" s="7"/>
      <c r="J118" s="47"/>
      <c r="K118" s="47"/>
      <c r="L118" s="47"/>
      <c r="M118" s="47"/>
      <c r="N118" s="10"/>
      <c r="O118" s="47"/>
      <c r="P118" s="47"/>
      <c r="Q118" s="47"/>
      <c r="R118" s="48" t="str">
        <f aca="false">IF(Q118="","",IF(Q118=0,"below 5:00",IF(Q118&gt;=66,"16:00 or above",INT((60+2*Q118)/12)&amp;":"&amp;TEXT(MOD(60+2*Q118,12),"00"))))</f>
        <v/>
      </c>
      <c r="S118" s="47"/>
      <c r="T118" s="47"/>
      <c r="U118" s="47"/>
      <c r="V118" s="47"/>
      <c r="W118" s="47"/>
      <c r="X118" s="47"/>
      <c r="Y118" s="47"/>
      <c r="Z118" s="47"/>
      <c r="AA118" s="47"/>
      <c r="AB118" s="47"/>
      <c r="AC118" s="47"/>
      <c r="AD118" s="47"/>
      <c r="AE118" s="47"/>
      <c r="AF118" s="47"/>
      <c r="AG118" s="47"/>
      <c r="AH118" s="47"/>
      <c r="AI118" s="46"/>
      <c r="AJ118" s="46"/>
      <c r="AK118" s="46"/>
      <c r="AL118" s="7"/>
      <c r="AM118" s="49" t="str">
        <f aca="false">IF(OR(C118="",G118=""),"",IFERROR(DATEDIF(C118,G118,"m"),""))</f>
        <v/>
      </c>
      <c r="AN118" s="49" t="str">
        <f aca="false">IF(OR(Q118="",AM118=""),"",60+2*Q118-AM118)</f>
        <v/>
      </c>
      <c r="AO118" s="49" t="str">
        <f aca="false">IF(OR(G118="",AJ118=""),"",AJ118-G118)</f>
        <v/>
      </c>
      <c r="AP118" s="50" t="str">
        <f aca="false">IF(AND(A118="",B118=""),"",IF(J118="","Status needed",IF(OR(J118="Applied",J118="Visit booked",J118="Withdrawn"),"OK",IF(G118="","Date assessed needed",IF(C118="","Date of birth needed",IF(COUNTA(L118,M118,P118,U118,V118,X118,AB118)&lt;7,"Band missing",IF(AND(OR(J118="Decision confirmed",J118="Family told",J118="Enrolled"),AG118=""),"Recommendation needed",IF(AND(OR(J118="Family told",J118="Enrolled"),AJ118=""),"Date family told needed","OK"))))))))</f>
        <v/>
      </c>
    </row>
    <row r="119" customFormat="false" ht="15" hidden="false" customHeight="false" outlineLevel="0" collapsed="false">
      <c r="A119" s="7"/>
      <c r="B119" s="7"/>
      <c r="C119" s="46"/>
      <c r="D119" s="7"/>
      <c r="E119" s="47"/>
      <c r="F119" s="46"/>
      <c r="G119" s="46"/>
      <c r="H119" s="7"/>
      <c r="I119" s="7"/>
      <c r="J119" s="47"/>
      <c r="K119" s="47"/>
      <c r="L119" s="47"/>
      <c r="M119" s="47"/>
      <c r="N119" s="10"/>
      <c r="O119" s="47"/>
      <c r="P119" s="47"/>
      <c r="Q119" s="47"/>
      <c r="R119" s="48" t="str">
        <f aca="false">IF(Q119="","",IF(Q119=0,"below 5:00",IF(Q119&gt;=66,"16:00 or above",INT((60+2*Q119)/12)&amp;":"&amp;TEXT(MOD(60+2*Q119,12),"00"))))</f>
        <v/>
      </c>
      <c r="S119" s="47"/>
      <c r="T119" s="47"/>
      <c r="U119" s="47"/>
      <c r="V119" s="47"/>
      <c r="W119" s="47"/>
      <c r="X119" s="47"/>
      <c r="Y119" s="47"/>
      <c r="Z119" s="47"/>
      <c r="AA119" s="47"/>
      <c r="AB119" s="47"/>
      <c r="AC119" s="47"/>
      <c r="AD119" s="47"/>
      <c r="AE119" s="47"/>
      <c r="AF119" s="47"/>
      <c r="AG119" s="47"/>
      <c r="AH119" s="47"/>
      <c r="AI119" s="46"/>
      <c r="AJ119" s="46"/>
      <c r="AK119" s="46"/>
      <c r="AL119" s="7"/>
      <c r="AM119" s="49" t="str">
        <f aca="false">IF(OR(C119="",G119=""),"",IFERROR(DATEDIF(C119,G119,"m"),""))</f>
        <v/>
      </c>
      <c r="AN119" s="49" t="str">
        <f aca="false">IF(OR(Q119="",AM119=""),"",60+2*Q119-AM119)</f>
        <v/>
      </c>
      <c r="AO119" s="49" t="str">
        <f aca="false">IF(OR(G119="",AJ119=""),"",AJ119-G119)</f>
        <v/>
      </c>
      <c r="AP119" s="50" t="str">
        <f aca="false">IF(AND(A119="",B119=""),"",IF(J119="","Status needed",IF(OR(J119="Applied",J119="Visit booked",J119="Withdrawn"),"OK",IF(G119="","Date assessed needed",IF(C119="","Date of birth needed",IF(COUNTA(L119,M119,P119,U119,V119,X119,AB119)&lt;7,"Band missing",IF(AND(OR(J119="Decision confirmed",J119="Family told",J119="Enrolled"),AG119=""),"Recommendation needed",IF(AND(OR(J119="Family told",J119="Enrolled"),AJ119=""),"Date family told needed","OK"))))))))</f>
        <v/>
      </c>
    </row>
    <row r="120" customFormat="false" ht="15" hidden="false" customHeight="false" outlineLevel="0" collapsed="false">
      <c r="A120" s="7"/>
      <c r="B120" s="7"/>
      <c r="C120" s="46"/>
      <c r="D120" s="7"/>
      <c r="E120" s="47"/>
      <c r="F120" s="46"/>
      <c r="G120" s="46"/>
      <c r="H120" s="7"/>
      <c r="I120" s="7"/>
      <c r="J120" s="47"/>
      <c r="K120" s="47"/>
      <c r="L120" s="47"/>
      <c r="M120" s="47"/>
      <c r="N120" s="10"/>
      <c r="O120" s="47"/>
      <c r="P120" s="47"/>
      <c r="Q120" s="47"/>
      <c r="R120" s="48" t="str">
        <f aca="false">IF(Q120="","",IF(Q120=0,"below 5:00",IF(Q120&gt;=66,"16:00 or above",INT((60+2*Q120)/12)&amp;":"&amp;TEXT(MOD(60+2*Q120,12),"00"))))</f>
        <v/>
      </c>
      <c r="S120" s="47"/>
      <c r="T120" s="47"/>
      <c r="U120" s="47"/>
      <c r="V120" s="47"/>
      <c r="W120" s="47"/>
      <c r="X120" s="47"/>
      <c r="Y120" s="47"/>
      <c r="Z120" s="47"/>
      <c r="AA120" s="47"/>
      <c r="AB120" s="47"/>
      <c r="AC120" s="47"/>
      <c r="AD120" s="47"/>
      <c r="AE120" s="47"/>
      <c r="AF120" s="47"/>
      <c r="AG120" s="47"/>
      <c r="AH120" s="47"/>
      <c r="AI120" s="46"/>
      <c r="AJ120" s="46"/>
      <c r="AK120" s="46"/>
      <c r="AL120" s="7"/>
      <c r="AM120" s="49" t="str">
        <f aca="false">IF(OR(C120="",G120=""),"",IFERROR(DATEDIF(C120,G120,"m"),""))</f>
        <v/>
      </c>
      <c r="AN120" s="49" t="str">
        <f aca="false">IF(OR(Q120="",AM120=""),"",60+2*Q120-AM120)</f>
        <v/>
      </c>
      <c r="AO120" s="49" t="str">
        <f aca="false">IF(OR(G120="",AJ120=""),"",AJ120-G120)</f>
        <v/>
      </c>
      <c r="AP120" s="50" t="str">
        <f aca="false">IF(AND(A120="",B120=""),"",IF(J120="","Status needed",IF(OR(J120="Applied",J120="Visit booked",J120="Withdrawn"),"OK",IF(G120="","Date assessed needed",IF(C120="","Date of birth needed",IF(COUNTA(L120,M120,P120,U120,V120,X120,AB120)&lt;7,"Band missing",IF(AND(OR(J120="Decision confirmed",J120="Family told",J120="Enrolled"),AG120=""),"Recommendation needed",IF(AND(OR(J120="Family told",J120="Enrolled"),AJ120=""),"Date family told needed","OK"))))))))</f>
        <v/>
      </c>
    </row>
    <row r="121" customFormat="false" ht="15" hidden="false" customHeight="false" outlineLevel="0" collapsed="false">
      <c r="A121" s="7"/>
      <c r="B121" s="7"/>
      <c r="C121" s="46"/>
      <c r="D121" s="7"/>
      <c r="E121" s="47"/>
      <c r="F121" s="46"/>
      <c r="G121" s="46"/>
      <c r="H121" s="7"/>
      <c r="I121" s="7"/>
      <c r="J121" s="47"/>
      <c r="K121" s="47"/>
      <c r="L121" s="47"/>
      <c r="M121" s="47"/>
      <c r="N121" s="10"/>
      <c r="O121" s="47"/>
      <c r="P121" s="47"/>
      <c r="Q121" s="47"/>
      <c r="R121" s="48" t="str">
        <f aca="false">IF(Q121="","",IF(Q121=0,"below 5:00",IF(Q121&gt;=66,"16:00 or above",INT((60+2*Q121)/12)&amp;":"&amp;TEXT(MOD(60+2*Q121,12),"00"))))</f>
        <v/>
      </c>
      <c r="S121" s="47"/>
      <c r="T121" s="47"/>
      <c r="U121" s="47"/>
      <c r="V121" s="47"/>
      <c r="W121" s="47"/>
      <c r="X121" s="47"/>
      <c r="Y121" s="47"/>
      <c r="Z121" s="47"/>
      <c r="AA121" s="47"/>
      <c r="AB121" s="47"/>
      <c r="AC121" s="47"/>
      <c r="AD121" s="47"/>
      <c r="AE121" s="47"/>
      <c r="AF121" s="47"/>
      <c r="AG121" s="47"/>
      <c r="AH121" s="47"/>
      <c r="AI121" s="46"/>
      <c r="AJ121" s="46"/>
      <c r="AK121" s="46"/>
      <c r="AL121" s="7"/>
      <c r="AM121" s="49" t="str">
        <f aca="false">IF(OR(C121="",G121=""),"",IFERROR(DATEDIF(C121,G121,"m"),""))</f>
        <v/>
      </c>
      <c r="AN121" s="49" t="str">
        <f aca="false">IF(OR(Q121="",AM121=""),"",60+2*Q121-AM121)</f>
        <v/>
      </c>
      <c r="AO121" s="49" t="str">
        <f aca="false">IF(OR(G121="",AJ121=""),"",AJ121-G121)</f>
        <v/>
      </c>
      <c r="AP121" s="50" t="str">
        <f aca="false">IF(AND(A121="",B121=""),"",IF(J121="","Status needed",IF(OR(J121="Applied",J121="Visit booked",J121="Withdrawn"),"OK",IF(G121="","Date assessed needed",IF(C121="","Date of birth needed",IF(COUNTA(L121,M121,P121,U121,V121,X121,AB121)&lt;7,"Band missing",IF(AND(OR(J121="Decision confirmed",J121="Family told",J121="Enrolled"),AG121=""),"Recommendation needed",IF(AND(OR(J121="Family told",J121="Enrolled"),AJ121=""),"Date family told needed","OK"))))))))</f>
        <v/>
      </c>
    </row>
    <row r="122" customFormat="false" ht="15" hidden="false" customHeight="false" outlineLevel="0" collapsed="false">
      <c r="A122" s="7"/>
      <c r="B122" s="7"/>
      <c r="C122" s="46"/>
      <c r="D122" s="7"/>
      <c r="E122" s="47"/>
      <c r="F122" s="46"/>
      <c r="G122" s="46"/>
      <c r="H122" s="7"/>
      <c r="I122" s="7"/>
      <c r="J122" s="47"/>
      <c r="K122" s="47"/>
      <c r="L122" s="47"/>
      <c r="M122" s="47"/>
      <c r="N122" s="10"/>
      <c r="O122" s="47"/>
      <c r="P122" s="47"/>
      <c r="Q122" s="47"/>
      <c r="R122" s="48" t="str">
        <f aca="false">IF(Q122="","",IF(Q122=0,"below 5:00",IF(Q122&gt;=66,"16:00 or above",INT((60+2*Q122)/12)&amp;":"&amp;TEXT(MOD(60+2*Q122,12),"00"))))</f>
        <v/>
      </c>
      <c r="S122" s="47"/>
      <c r="T122" s="47"/>
      <c r="U122" s="47"/>
      <c r="V122" s="47"/>
      <c r="W122" s="47"/>
      <c r="X122" s="47"/>
      <c r="Y122" s="47"/>
      <c r="Z122" s="47"/>
      <c r="AA122" s="47"/>
      <c r="AB122" s="47"/>
      <c r="AC122" s="47"/>
      <c r="AD122" s="47"/>
      <c r="AE122" s="47"/>
      <c r="AF122" s="47"/>
      <c r="AG122" s="47"/>
      <c r="AH122" s="47"/>
      <c r="AI122" s="46"/>
      <c r="AJ122" s="46"/>
      <c r="AK122" s="46"/>
      <c r="AL122" s="7"/>
      <c r="AM122" s="49" t="str">
        <f aca="false">IF(OR(C122="",G122=""),"",IFERROR(DATEDIF(C122,G122,"m"),""))</f>
        <v/>
      </c>
      <c r="AN122" s="49" t="str">
        <f aca="false">IF(OR(Q122="",AM122=""),"",60+2*Q122-AM122)</f>
        <v/>
      </c>
      <c r="AO122" s="49" t="str">
        <f aca="false">IF(OR(G122="",AJ122=""),"",AJ122-G122)</f>
        <v/>
      </c>
      <c r="AP122" s="50" t="str">
        <f aca="false">IF(AND(A122="",B122=""),"",IF(J122="","Status needed",IF(OR(J122="Applied",J122="Visit booked",J122="Withdrawn"),"OK",IF(G122="","Date assessed needed",IF(C122="","Date of birth needed",IF(COUNTA(L122,M122,P122,U122,V122,X122,AB122)&lt;7,"Band missing",IF(AND(OR(J122="Decision confirmed",J122="Family told",J122="Enrolled"),AG122=""),"Recommendation needed",IF(AND(OR(J122="Family told",J122="Enrolled"),AJ122=""),"Date family told needed","OK"))))))))</f>
        <v/>
      </c>
    </row>
    <row r="123" customFormat="false" ht="15" hidden="false" customHeight="false" outlineLevel="0" collapsed="false">
      <c r="A123" s="7"/>
      <c r="B123" s="7"/>
      <c r="C123" s="46"/>
      <c r="D123" s="7"/>
      <c r="E123" s="47"/>
      <c r="F123" s="46"/>
      <c r="G123" s="46"/>
      <c r="H123" s="7"/>
      <c r="I123" s="7"/>
      <c r="J123" s="47"/>
      <c r="K123" s="47"/>
      <c r="L123" s="47"/>
      <c r="M123" s="47"/>
      <c r="N123" s="10"/>
      <c r="O123" s="47"/>
      <c r="P123" s="47"/>
      <c r="Q123" s="47"/>
      <c r="R123" s="48" t="str">
        <f aca="false">IF(Q123="","",IF(Q123=0,"below 5:00",IF(Q123&gt;=66,"16:00 or above",INT((60+2*Q123)/12)&amp;":"&amp;TEXT(MOD(60+2*Q123,12),"00"))))</f>
        <v/>
      </c>
      <c r="S123" s="47"/>
      <c r="T123" s="47"/>
      <c r="U123" s="47"/>
      <c r="V123" s="47"/>
      <c r="W123" s="47"/>
      <c r="X123" s="47"/>
      <c r="Y123" s="47"/>
      <c r="Z123" s="47"/>
      <c r="AA123" s="47"/>
      <c r="AB123" s="47"/>
      <c r="AC123" s="47"/>
      <c r="AD123" s="47"/>
      <c r="AE123" s="47"/>
      <c r="AF123" s="47"/>
      <c r="AG123" s="47"/>
      <c r="AH123" s="47"/>
      <c r="AI123" s="46"/>
      <c r="AJ123" s="46"/>
      <c r="AK123" s="46"/>
      <c r="AL123" s="7"/>
      <c r="AM123" s="49" t="str">
        <f aca="false">IF(OR(C123="",G123=""),"",IFERROR(DATEDIF(C123,G123,"m"),""))</f>
        <v/>
      </c>
      <c r="AN123" s="49" t="str">
        <f aca="false">IF(OR(Q123="",AM123=""),"",60+2*Q123-AM123)</f>
        <v/>
      </c>
      <c r="AO123" s="49" t="str">
        <f aca="false">IF(OR(G123="",AJ123=""),"",AJ123-G123)</f>
        <v/>
      </c>
      <c r="AP123" s="50" t="str">
        <f aca="false">IF(AND(A123="",B123=""),"",IF(J123="","Status needed",IF(OR(J123="Applied",J123="Visit booked",J123="Withdrawn"),"OK",IF(G123="","Date assessed needed",IF(C123="","Date of birth needed",IF(COUNTA(L123,M123,P123,U123,V123,X123,AB123)&lt;7,"Band missing",IF(AND(OR(J123="Decision confirmed",J123="Family told",J123="Enrolled"),AG123=""),"Recommendation needed",IF(AND(OR(J123="Family told",J123="Enrolled"),AJ123=""),"Date family told needed","OK"))))))))</f>
        <v/>
      </c>
    </row>
    <row r="124" customFormat="false" ht="15" hidden="false" customHeight="false" outlineLevel="0" collapsed="false">
      <c r="A124" s="7"/>
      <c r="B124" s="7"/>
      <c r="C124" s="46"/>
      <c r="D124" s="7"/>
      <c r="E124" s="47"/>
      <c r="F124" s="46"/>
      <c r="G124" s="46"/>
      <c r="H124" s="7"/>
      <c r="I124" s="7"/>
      <c r="J124" s="47"/>
      <c r="K124" s="47"/>
      <c r="L124" s="47"/>
      <c r="M124" s="47"/>
      <c r="N124" s="10"/>
      <c r="O124" s="47"/>
      <c r="P124" s="47"/>
      <c r="Q124" s="47"/>
      <c r="R124" s="48" t="str">
        <f aca="false">IF(Q124="","",IF(Q124=0,"below 5:00",IF(Q124&gt;=66,"16:00 or above",INT((60+2*Q124)/12)&amp;":"&amp;TEXT(MOD(60+2*Q124,12),"00"))))</f>
        <v/>
      </c>
      <c r="S124" s="47"/>
      <c r="T124" s="47"/>
      <c r="U124" s="47"/>
      <c r="V124" s="47"/>
      <c r="W124" s="47"/>
      <c r="X124" s="47"/>
      <c r="Y124" s="47"/>
      <c r="Z124" s="47"/>
      <c r="AA124" s="47"/>
      <c r="AB124" s="47"/>
      <c r="AC124" s="47"/>
      <c r="AD124" s="47"/>
      <c r="AE124" s="47"/>
      <c r="AF124" s="47"/>
      <c r="AG124" s="47"/>
      <c r="AH124" s="47"/>
      <c r="AI124" s="46"/>
      <c r="AJ124" s="46"/>
      <c r="AK124" s="46"/>
      <c r="AL124" s="7"/>
      <c r="AM124" s="49" t="str">
        <f aca="false">IF(OR(C124="",G124=""),"",IFERROR(DATEDIF(C124,G124,"m"),""))</f>
        <v/>
      </c>
      <c r="AN124" s="49" t="str">
        <f aca="false">IF(OR(Q124="",AM124=""),"",60+2*Q124-AM124)</f>
        <v/>
      </c>
      <c r="AO124" s="49" t="str">
        <f aca="false">IF(OR(G124="",AJ124=""),"",AJ124-G124)</f>
        <v/>
      </c>
      <c r="AP124" s="50" t="str">
        <f aca="false">IF(AND(A124="",B124=""),"",IF(J124="","Status needed",IF(OR(J124="Applied",J124="Visit booked",J124="Withdrawn"),"OK",IF(G124="","Date assessed needed",IF(C124="","Date of birth needed",IF(COUNTA(L124,M124,P124,U124,V124,X124,AB124)&lt;7,"Band missing",IF(AND(OR(J124="Decision confirmed",J124="Family told",J124="Enrolled"),AG124=""),"Recommendation needed",IF(AND(OR(J124="Family told",J124="Enrolled"),AJ124=""),"Date family told needed","OK"))))))))</f>
        <v/>
      </c>
    </row>
    <row r="125" customFormat="false" ht="15" hidden="false" customHeight="false" outlineLevel="0" collapsed="false">
      <c r="A125" s="7"/>
      <c r="B125" s="7"/>
      <c r="C125" s="46"/>
      <c r="D125" s="7"/>
      <c r="E125" s="47"/>
      <c r="F125" s="46"/>
      <c r="G125" s="46"/>
      <c r="H125" s="7"/>
      <c r="I125" s="7"/>
      <c r="J125" s="47"/>
      <c r="K125" s="47"/>
      <c r="L125" s="47"/>
      <c r="M125" s="47"/>
      <c r="N125" s="10"/>
      <c r="O125" s="47"/>
      <c r="P125" s="47"/>
      <c r="Q125" s="47"/>
      <c r="R125" s="48" t="str">
        <f aca="false">IF(Q125="","",IF(Q125=0,"below 5:00",IF(Q125&gt;=66,"16:00 or above",INT((60+2*Q125)/12)&amp;":"&amp;TEXT(MOD(60+2*Q125,12),"00"))))</f>
        <v/>
      </c>
      <c r="S125" s="47"/>
      <c r="T125" s="47"/>
      <c r="U125" s="47"/>
      <c r="V125" s="47"/>
      <c r="W125" s="47"/>
      <c r="X125" s="47"/>
      <c r="Y125" s="47"/>
      <c r="Z125" s="47"/>
      <c r="AA125" s="47"/>
      <c r="AB125" s="47"/>
      <c r="AC125" s="47"/>
      <c r="AD125" s="47"/>
      <c r="AE125" s="47"/>
      <c r="AF125" s="47"/>
      <c r="AG125" s="47"/>
      <c r="AH125" s="47"/>
      <c r="AI125" s="46"/>
      <c r="AJ125" s="46"/>
      <c r="AK125" s="46"/>
      <c r="AL125" s="7"/>
      <c r="AM125" s="49" t="str">
        <f aca="false">IF(OR(C125="",G125=""),"",IFERROR(DATEDIF(C125,G125,"m"),""))</f>
        <v/>
      </c>
      <c r="AN125" s="49" t="str">
        <f aca="false">IF(OR(Q125="",AM125=""),"",60+2*Q125-AM125)</f>
        <v/>
      </c>
      <c r="AO125" s="49" t="str">
        <f aca="false">IF(OR(G125="",AJ125=""),"",AJ125-G125)</f>
        <v/>
      </c>
      <c r="AP125" s="50" t="str">
        <f aca="false">IF(AND(A125="",B125=""),"",IF(J125="","Status needed",IF(OR(J125="Applied",J125="Visit booked",J125="Withdrawn"),"OK",IF(G125="","Date assessed needed",IF(C125="","Date of birth needed",IF(COUNTA(L125,M125,P125,U125,V125,X125,AB125)&lt;7,"Band missing",IF(AND(OR(J125="Decision confirmed",J125="Family told",J125="Enrolled"),AG125=""),"Recommendation needed",IF(AND(OR(J125="Family told",J125="Enrolled"),AJ125=""),"Date family told needed","OK"))))))))</f>
        <v/>
      </c>
    </row>
    <row r="126" customFormat="false" ht="15" hidden="false" customHeight="false" outlineLevel="0" collapsed="false">
      <c r="A126" s="7"/>
      <c r="B126" s="7"/>
      <c r="C126" s="46"/>
      <c r="D126" s="7"/>
      <c r="E126" s="47"/>
      <c r="F126" s="46"/>
      <c r="G126" s="46"/>
      <c r="H126" s="7"/>
      <c r="I126" s="7"/>
      <c r="J126" s="47"/>
      <c r="K126" s="47"/>
      <c r="L126" s="47"/>
      <c r="M126" s="47"/>
      <c r="N126" s="10"/>
      <c r="O126" s="47"/>
      <c r="P126" s="47"/>
      <c r="Q126" s="47"/>
      <c r="R126" s="48" t="str">
        <f aca="false">IF(Q126="","",IF(Q126=0,"below 5:00",IF(Q126&gt;=66,"16:00 or above",INT((60+2*Q126)/12)&amp;":"&amp;TEXT(MOD(60+2*Q126,12),"00"))))</f>
        <v/>
      </c>
      <c r="S126" s="47"/>
      <c r="T126" s="47"/>
      <c r="U126" s="47"/>
      <c r="V126" s="47"/>
      <c r="W126" s="47"/>
      <c r="X126" s="47"/>
      <c r="Y126" s="47"/>
      <c r="Z126" s="47"/>
      <c r="AA126" s="47"/>
      <c r="AB126" s="47"/>
      <c r="AC126" s="47"/>
      <c r="AD126" s="47"/>
      <c r="AE126" s="47"/>
      <c r="AF126" s="47"/>
      <c r="AG126" s="47"/>
      <c r="AH126" s="47"/>
      <c r="AI126" s="46"/>
      <c r="AJ126" s="46"/>
      <c r="AK126" s="46"/>
      <c r="AL126" s="7"/>
      <c r="AM126" s="49" t="str">
        <f aca="false">IF(OR(C126="",G126=""),"",IFERROR(DATEDIF(C126,G126,"m"),""))</f>
        <v/>
      </c>
      <c r="AN126" s="49" t="str">
        <f aca="false">IF(OR(Q126="",AM126=""),"",60+2*Q126-AM126)</f>
        <v/>
      </c>
      <c r="AO126" s="49" t="str">
        <f aca="false">IF(OR(G126="",AJ126=""),"",AJ126-G126)</f>
        <v/>
      </c>
      <c r="AP126" s="50" t="str">
        <f aca="false">IF(AND(A126="",B126=""),"",IF(J126="","Status needed",IF(OR(J126="Applied",J126="Visit booked",J126="Withdrawn"),"OK",IF(G126="","Date assessed needed",IF(C126="","Date of birth needed",IF(COUNTA(L126,M126,P126,U126,V126,X126,AB126)&lt;7,"Band missing",IF(AND(OR(J126="Decision confirmed",J126="Family told",J126="Enrolled"),AG126=""),"Recommendation needed",IF(AND(OR(J126="Family told",J126="Enrolled"),AJ126=""),"Date family told needed","OK"))))))))</f>
        <v/>
      </c>
    </row>
    <row r="127" customFormat="false" ht="15" hidden="false" customHeight="false" outlineLevel="0" collapsed="false">
      <c r="A127" s="7"/>
      <c r="B127" s="7"/>
      <c r="C127" s="46"/>
      <c r="D127" s="7"/>
      <c r="E127" s="47"/>
      <c r="F127" s="46"/>
      <c r="G127" s="46"/>
      <c r="H127" s="7"/>
      <c r="I127" s="7"/>
      <c r="J127" s="47"/>
      <c r="K127" s="47"/>
      <c r="L127" s="47"/>
      <c r="M127" s="47"/>
      <c r="N127" s="10"/>
      <c r="O127" s="47"/>
      <c r="P127" s="47"/>
      <c r="Q127" s="47"/>
      <c r="R127" s="48" t="str">
        <f aca="false">IF(Q127="","",IF(Q127=0,"below 5:00",IF(Q127&gt;=66,"16:00 or above",INT((60+2*Q127)/12)&amp;":"&amp;TEXT(MOD(60+2*Q127,12),"00"))))</f>
        <v/>
      </c>
      <c r="S127" s="47"/>
      <c r="T127" s="47"/>
      <c r="U127" s="47"/>
      <c r="V127" s="47"/>
      <c r="W127" s="47"/>
      <c r="X127" s="47"/>
      <c r="Y127" s="47"/>
      <c r="Z127" s="47"/>
      <c r="AA127" s="47"/>
      <c r="AB127" s="47"/>
      <c r="AC127" s="47"/>
      <c r="AD127" s="47"/>
      <c r="AE127" s="47"/>
      <c r="AF127" s="47"/>
      <c r="AG127" s="47"/>
      <c r="AH127" s="47"/>
      <c r="AI127" s="46"/>
      <c r="AJ127" s="46"/>
      <c r="AK127" s="46"/>
      <c r="AL127" s="7"/>
      <c r="AM127" s="49" t="str">
        <f aca="false">IF(OR(C127="",G127=""),"",IFERROR(DATEDIF(C127,G127,"m"),""))</f>
        <v/>
      </c>
      <c r="AN127" s="49" t="str">
        <f aca="false">IF(OR(Q127="",AM127=""),"",60+2*Q127-AM127)</f>
        <v/>
      </c>
      <c r="AO127" s="49" t="str">
        <f aca="false">IF(OR(G127="",AJ127=""),"",AJ127-G127)</f>
        <v/>
      </c>
      <c r="AP127" s="50" t="str">
        <f aca="false">IF(AND(A127="",B127=""),"",IF(J127="","Status needed",IF(OR(J127="Applied",J127="Visit booked",J127="Withdrawn"),"OK",IF(G127="","Date assessed needed",IF(C127="","Date of birth needed",IF(COUNTA(L127,M127,P127,U127,V127,X127,AB127)&lt;7,"Band missing",IF(AND(OR(J127="Decision confirmed",J127="Family told",J127="Enrolled"),AG127=""),"Recommendation needed",IF(AND(OR(J127="Family told",J127="Enrolled"),AJ127=""),"Date family told needed","OK"))))))))</f>
        <v/>
      </c>
    </row>
    <row r="128" customFormat="false" ht="15" hidden="false" customHeight="false" outlineLevel="0" collapsed="false">
      <c r="A128" s="7"/>
      <c r="B128" s="7"/>
      <c r="C128" s="46"/>
      <c r="D128" s="7"/>
      <c r="E128" s="47"/>
      <c r="F128" s="46"/>
      <c r="G128" s="46"/>
      <c r="H128" s="7"/>
      <c r="I128" s="7"/>
      <c r="J128" s="47"/>
      <c r="K128" s="47"/>
      <c r="L128" s="47"/>
      <c r="M128" s="47"/>
      <c r="N128" s="10"/>
      <c r="O128" s="47"/>
      <c r="P128" s="47"/>
      <c r="Q128" s="47"/>
      <c r="R128" s="48" t="str">
        <f aca="false">IF(Q128="","",IF(Q128=0,"below 5:00",IF(Q128&gt;=66,"16:00 or above",INT((60+2*Q128)/12)&amp;":"&amp;TEXT(MOD(60+2*Q128,12),"00"))))</f>
        <v/>
      </c>
      <c r="S128" s="47"/>
      <c r="T128" s="47"/>
      <c r="U128" s="47"/>
      <c r="V128" s="47"/>
      <c r="W128" s="47"/>
      <c r="X128" s="47"/>
      <c r="Y128" s="47"/>
      <c r="Z128" s="47"/>
      <c r="AA128" s="47"/>
      <c r="AB128" s="47"/>
      <c r="AC128" s="47"/>
      <c r="AD128" s="47"/>
      <c r="AE128" s="47"/>
      <c r="AF128" s="47"/>
      <c r="AG128" s="47"/>
      <c r="AH128" s="47"/>
      <c r="AI128" s="46"/>
      <c r="AJ128" s="46"/>
      <c r="AK128" s="46"/>
      <c r="AL128" s="7"/>
      <c r="AM128" s="49" t="str">
        <f aca="false">IF(OR(C128="",G128=""),"",IFERROR(DATEDIF(C128,G128,"m"),""))</f>
        <v/>
      </c>
      <c r="AN128" s="49" t="str">
        <f aca="false">IF(OR(Q128="",AM128=""),"",60+2*Q128-AM128)</f>
        <v/>
      </c>
      <c r="AO128" s="49" t="str">
        <f aca="false">IF(OR(G128="",AJ128=""),"",AJ128-G128)</f>
        <v/>
      </c>
      <c r="AP128" s="50" t="str">
        <f aca="false">IF(AND(A128="",B128=""),"",IF(J128="","Status needed",IF(OR(J128="Applied",J128="Visit booked",J128="Withdrawn"),"OK",IF(G128="","Date assessed needed",IF(C128="","Date of birth needed",IF(COUNTA(L128,M128,P128,U128,V128,X128,AB128)&lt;7,"Band missing",IF(AND(OR(J128="Decision confirmed",J128="Family told",J128="Enrolled"),AG128=""),"Recommendation needed",IF(AND(OR(J128="Family told",J128="Enrolled"),AJ128=""),"Date family told needed","OK"))))))))</f>
        <v/>
      </c>
    </row>
    <row r="129" customFormat="false" ht="15" hidden="false" customHeight="false" outlineLevel="0" collapsed="false">
      <c r="A129" s="7"/>
      <c r="B129" s="7"/>
      <c r="C129" s="46"/>
      <c r="D129" s="7"/>
      <c r="E129" s="47"/>
      <c r="F129" s="46"/>
      <c r="G129" s="46"/>
      <c r="H129" s="7"/>
      <c r="I129" s="7"/>
      <c r="J129" s="47"/>
      <c r="K129" s="47"/>
      <c r="L129" s="47"/>
      <c r="M129" s="47"/>
      <c r="N129" s="10"/>
      <c r="O129" s="47"/>
      <c r="P129" s="47"/>
      <c r="Q129" s="47"/>
      <c r="R129" s="48" t="str">
        <f aca="false">IF(Q129="","",IF(Q129=0,"below 5:00",IF(Q129&gt;=66,"16:00 or above",INT((60+2*Q129)/12)&amp;":"&amp;TEXT(MOD(60+2*Q129,12),"00"))))</f>
        <v/>
      </c>
      <c r="S129" s="47"/>
      <c r="T129" s="47"/>
      <c r="U129" s="47"/>
      <c r="V129" s="47"/>
      <c r="W129" s="47"/>
      <c r="X129" s="47"/>
      <c r="Y129" s="47"/>
      <c r="Z129" s="47"/>
      <c r="AA129" s="47"/>
      <c r="AB129" s="47"/>
      <c r="AC129" s="47"/>
      <c r="AD129" s="47"/>
      <c r="AE129" s="47"/>
      <c r="AF129" s="47"/>
      <c r="AG129" s="47"/>
      <c r="AH129" s="47"/>
      <c r="AI129" s="46"/>
      <c r="AJ129" s="46"/>
      <c r="AK129" s="46"/>
      <c r="AL129" s="7"/>
      <c r="AM129" s="49" t="str">
        <f aca="false">IF(OR(C129="",G129=""),"",IFERROR(DATEDIF(C129,G129,"m"),""))</f>
        <v/>
      </c>
      <c r="AN129" s="49" t="str">
        <f aca="false">IF(OR(Q129="",AM129=""),"",60+2*Q129-AM129)</f>
        <v/>
      </c>
      <c r="AO129" s="49" t="str">
        <f aca="false">IF(OR(G129="",AJ129=""),"",AJ129-G129)</f>
        <v/>
      </c>
      <c r="AP129" s="50" t="str">
        <f aca="false">IF(AND(A129="",B129=""),"",IF(J129="","Status needed",IF(OR(J129="Applied",J129="Visit booked",J129="Withdrawn"),"OK",IF(G129="","Date assessed needed",IF(C129="","Date of birth needed",IF(COUNTA(L129,M129,P129,U129,V129,X129,AB129)&lt;7,"Band missing",IF(AND(OR(J129="Decision confirmed",J129="Family told",J129="Enrolled"),AG129=""),"Recommendation needed",IF(AND(OR(J129="Family told",J129="Enrolled"),AJ129=""),"Date family told needed","OK"))))))))</f>
        <v/>
      </c>
    </row>
    <row r="130" customFormat="false" ht="15" hidden="false" customHeight="false" outlineLevel="0" collapsed="false">
      <c r="A130" s="7"/>
      <c r="B130" s="7"/>
      <c r="C130" s="46"/>
      <c r="D130" s="7"/>
      <c r="E130" s="47"/>
      <c r="F130" s="46"/>
      <c r="G130" s="46"/>
      <c r="H130" s="7"/>
      <c r="I130" s="7"/>
      <c r="J130" s="47"/>
      <c r="K130" s="47"/>
      <c r="L130" s="47"/>
      <c r="M130" s="47"/>
      <c r="N130" s="10"/>
      <c r="O130" s="47"/>
      <c r="P130" s="47"/>
      <c r="Q130" s="47"/>
      <c r="R130" s="48" t="str">
        <f aca="false">IF(Q130="","",IF(Q130=0,"below 5:00",IF(Q130&gt;=66,"16:00 or above",INT((60+2*Q130)/12)&amp;":"&amp;TEXT(MOD(60+2*Q130,12),"00"))))</f>
        <v/>
      </c>
      <c r="S130" s="47"/>
      <c r="T130" s="47"/>
      <c r="U130" s="47"/>
      <c r="V130" s="47"/>
      <c r="W130" s="47"/>
      <c r="X130" s="47"/>
      <c r="Y130" s="47"/>
      <c r="Z130" s="47"/>
      <c r="AA130" s="47"/>
      <c r="AB130" s="47"/>
      <c r="AC130" s="47"/>
      <c r="AD130" s="47"/>
      <c r="AE130" s="47"/>
      <c r="AF130" s="47"/>
      <c r="AG130" s="47"/>
      <c r="AH130" s="47"/>
      <c r="AI130" s="46"/>
      <c r="AJ130" s="46"/>
      <c r="AK130" s="46"/>
      <c r="AL130" s="7"/>
      <c r="AM130" s="49" t="str">
        <f aca="false">IF(OR(C130="",G130=""),"",IFERROR(DATEDIF(C130,G130,"m"),""))</f>
        <v/>
      </c>
      <c r="AN130" s="49" t="str">
        <f aca="false">IF(OR(Q130="",AM130=""),"",60+2*Q130-AM130)</f>
        <v/>
      </c>
      <c r="AO130" s="49" t="str">
        <f aca="false">IF(OR(G130="",AJ130=""),"",AJ130-G130)</f>
        <v/>
      </c>
      <c r="AP130" s="50" t="str">
        <f aca="false">IF(AND(A130="",B130=""),"",IF(J130="","Status needed",IF(OR(J130="Applied",J130="Visit booked",J130="Withdrawn"),"OK",IF(G130="","Date assessed needed",IF(C130="","Date of birth needed",IF(COUNTA(L130,M130,P130,U130,V130,X130,AB130)&lt;7,"Band missing",IF(AND(OR(J130="Decision confirmed",J130="Family told",J130="Enrolled"),AG130=""),"Recommendation needed",IF(AND(OR(J130="Family told",J130="Enrolled"),AJ130=""),"Date family told needed","OK"))))))))</f>
        <v/>
      </c>
    </row>
    <row r="131" customFormat="false" ht="15" hidden="false" customHeight="false" outlineLevel="0" collapsed="false">
      <c r="A131" s="7"/>
      <c r="B131" s="7"/>
      <c r="C131" s="46"/>
      <c r="D131" s="7"/>
      <c r="E131" s="47"/>
      <c r="F131" s="46"/>
      <c r="G131" s="46"/>
      <c r="H131" s="7"/>
      <c r="I131" s="7"/>
      <c r="J131" s="47"/>
      <c r="K131" s="47"/>
      <c r="L131" s="47"/>
      <c r="M131" s="47"/>
      <c r="N131" s="10"/>
      <c r="O131" s="47"/>
      <c r="P131" s="47"/>
      <c r="Q131" s="47"/>
      <c r="R131" s="48" t="str">
        <f aca="false">IF(Q131="","",IF(Q131=0,"below 5:00",IF(Q131&gt;=66,"16:00 or above",INT((60+2*Q131)/12)&amp;":"&amp;TEXT(MOD(60+2*Q131,12),"00"))))</f>
        <v/>
      </c>
      <c r="S131" s="47"/>
      <c r="T131" s="47"/>
      <c r="U131" s="47"/>
      <c r="V131" s="47"/>
      <c r="W131" s="47"/>
      <c r="X131" s="47"/>
      <c r="Y131" s="47"/>
      <c r="Z131" s="47"/>
      <c r="AA131" s="47"/>
      <c r="AB131" s="47"/>
      <c r="AC131" s="47"/>
      <c r="AD131" s="47"/>
      <c r="AE131" s="47"/>
      <c r="AF131" s="47"/>
      <c r="AG131" s="47"/>
      <c r="AH131" s="47"/>
      <c r="AI131" s="46"/>
      <c r="AJ131" s="46"/>
      <c r="AK131" s="46"/>
      <c r="AL131" s="7"/>
      <c r="AM131" s="49" t="str">
        <f aca="false">IF(OR(C131="",G131=""),"",IFERROR(DATEDIF(C131,G131,"m"),""))</f>
        <v/>
      </c>
      <c r="AN131" s="49" t="str">
        <f aca="false">IF(OR(Q131="",AM131=""),"",60+2*Q131-AM131)</f>
        <v/>
      </c>
      <c r="AO131" s="49" t="str">
        <f aca="false">IF(OR(G131="",AJ131=""),"",AJ131-G131)</f>
        <v/>
      </c>
      <c r="AP131" s="50" t="str">
        <f aca="false">IF(AND(A131="",B131=""),"",IF(J131="","Status needed",IF(OR(J131="Applied",J131="Visit booked",J131="Withdrawn"),"OK",IF(G131="","Date assessed needed",IF(C131="","Date of birth needed",IF(COUNTA(L131,M131,P131,U131,V131,X131,AB131)&lt;7,"Band missing",IF(AND(OR(J131="Decision confirmed",J131="Family told",J131="Enrolled"),AG131=""),"Recommendation needed",IF(AND(OR(J131="Family told",J131="Enrolled"),AJ131=""),"Date family told needed","OK"))))))))</f>
        <v/>
      </c>
    </row>
    <row r="132" customFormat="false" ht="15" hidden="false" customHeight="false" outlineLevel="0" collapsed="false">
      <c r="A132" s="7"/>
      <c r="B132" s="7"/>
      <c r="C132" s="46"/>
      <c r="D132" s="7"/>
      <c r="E132" s="47"/>
      <c r="F132" s="46"/>
      <c r="G132" s="46"/>
      <c r="H132" s="7"/>
      <c r="I132" s="7"/>
      <c r="J132" s="47"/>
      <c r="K132" s="47"/>
      <c r="L132" s="47"/>
      <c r="M132" s="47"/>
      <c r="N132" s="10"/>
      <c r="O132" s="47"/>
      <c r="P132" s="47"/>
      <c r="Q132" s="47"/>
      <c r="R132" s="48" t="str">
        <f aca="false">IF(Q132="","",IF(Q132=0,"below 5:00",IF(Q132&gt;=66,"16:00 or above",INT((60+2*Q132)/12)&amp;":"&amp;TEXT(MOD(60+2*Q132,12),"00"))))</f>
        <v/>
      </c>
      <c r="S132" s="47"/>
      <c r="T132" s="47"/>
      <c r="U132" s="47"/>
      <c r="V132" s="47"/>
      <c r="W132" s="47"/>
      <c r="X132" s="47"/>
      <c r="Y132" s="47"/>
      <c r="Z132" s="47"/>
      <c r="AA132" s="47"/>
      <c r="AB132" s="47"/>
      <c r="AC132" s="47"/>
      <c r="AD132" s="47"/>
      <c r="AE132" s="47"/>
      <c r="AF132" s="47"/>
      <c r="AG132" s="47"/>
      <c r="AH132" s="47"/>
      <c r="AI132" s="46"/>
      <c r="AJ132" s="46"/>
      <c r="AK132" s="46"/>
      <c r="AL132" s="7"/>
      <c r="AM132" s="49" t="str">
        <f aca="false">IF(OR(C132="",G132=""),"",IFERROR(DATEDIF(C132,G132,"m"),""))</f>
        <v/>
      </c>
      <c r="AN132" s="49" t="str">
        <f aca="false">IF(OR(Q132="",AM132=""),"",60+2*Q132-AM132)</f>
        <v/>
      </c>
      <c r="AO132" s="49" t="str">
        <f aca="false">IF(OR(G132="",AJ132=""),"",AJ132-G132)</f>
        <v/>
      </c>
      <c r="AP132" s="50" t="str">
        <f aca="false">IF(AND(A132="",B132=""),"",IF(J132="","Status needed",IF(OR(J132="Applied",J132="Visit booked",J132="Withdrawn"),"OK",IF(G132="","Date assessed needed",IF(C132="","Date of birth needed",IF(COUNTA(L132,M132,P132,U132,V132,X132,AB132)&lt;7,"Band missing",IF(AND(OR(J132="Decision confirmed",J132="Family told",J132="Enrolled"),AG132=""),"Recommendation needed",IF(AND(OR(J132="Family told",J132="Enrolled"),AJ132=""),"Date family told needed","OK"))))))))</f>
        <v/>
      </c>
    </row>
    <row r="133" customFormat="false" ht="15" hidden="false" customHeight="false" outlineLevel="0" collapsed="false">
      <c r="A133" s="7"/>
      <c r="B133" s="7"/>
      <c r="C133" s="46"/>
      <c r="D133" s="7"/>
      <c r="E133" s="47"/>
      <c r="F133" s="46"/>
      <c r="G133" s="46"/>
      <c r="H133" s="7"/>
      <c r="I133" s="7"/>
      <c r="J133" s="47"/>
      <c r="K133" s="47"/>
      <c r="L133" s="47"/>
      <c r="M133" s="47"/>
      <c r="N133" s="10"/>
      <c r="O133" s="47"/>
      <c r="P133" s="47"/>
      <c r="Q133" s="47"/>
      <c r="R133" s="48" t="str">
        <f aca="false">IF(Q133="","",IF(Q133=0,"below 5:00",IF(Q133&gt;=66,"16:00 or above",INT((60+2*Q133)/12)&amp;":"&amp;TEXT(MOD(60+2*Q133,12),"00"))))</f>
        <v/>
      </c>
      <c r="S133" s="47"/>
      <c r="T133" s="47"/>
      <c r="U133" s="47"/>
      <c r="V133" s="47"/>
      <c r="W133" s="47"/>
      <c r="X133" s="47"/>
      <c r="Y133" s="47"/>
      <c r="Z133" s="47"/>
      <c r="AA133" s="47"/>
      <c r="AB133" s="47"/>
      <c r="AC133" s="47"/>
      <c r="AD133" s="47"/>
      <c r="AE133" s="47"/>
      <c r="AF133" s="47"/>
      <c r="AG133" s="47"/>
      <c r="AH133" s="47"/>
      <c r="AI133" s="46"/>
      <c r="AJ133" s="46"/>
      <c r="AK133" s="46"/>
      <c r="AL133" s="7"/>
      <c r="AM133" s="49" t="str">
        <f aca="false">IF(OR(C133="",G133=""),"",IFERROR(DATEDIF(C133,G133,"m"),""))</f>
        <v/>
      </c>
      <c r="AN133" s="49" t="str">
        <f aca="false">IF(OR(Q133="",AM133=""),"",60+2*Q133-AM133)</f>
        <v/>
      </c>
      <c r="AO133" s="49" t="str">
        <f aca="false">IF(OR(G133="",AJ133=""),"",AJ133-G133)</f>
        <v/>
      </c>
      <c r="AP133" s="50" t="str">
        <f aca="false">IF(AND(A133="",B133=""),"",IF(J133="","Status needed",IF(OR(J133="Applied",J133="Visit booked",J133="Withdrawn"),"OK",IF(G133="","Date assessed needed",IF(C133="","Date of birth needed",IF(COUNTA(L133,M133,P133,U133,V133,X133,AB133)&lt;7,"Band missing",IF(AND(OR(J133="Decision confirmed",J133="Family told",J133="Enrolled"),AG133=""),"Recommendation needed",IF(AND(OR(J133="Family told",J133="Enrolled"),AJ133=""),"Date family told needed","OK"))))))))</f>
        <v/>
      </c>
    </row>
    <row r="134" customFormat="false" ht="15" hidden="false" customHeight="false" outlineLevel="0" collapsed="false">
      <c r="A134" s="7"/>
      <c r="B134" s="7"/>
      <c r="C134" s="46"/>
      <c r="D134" s="7"/>
      <c r="E134" s="47"/>
      <c r="F134" s="46"/>
      <c r="G134" s="46"/>
      <c r="H134" s="7"/>
      <c r="I134" s="7"/>
      <c r="J134" s="47"/>
      <c r="K134" s="47"/>
      <c r="L134" s="47"/>
      <c r="M134" s="47"/>
      <c r="N134" s="10"/>
      <c r="O134" s="47"/>
      <c r="P134" s="47"/>
      <c r="Q134" s="47"/>
      <c r="R134" s="48" t="str">
        <f aca="false">IF(Q134="","",IF(Q134=0,"below 5:00",IF(Q134&gt;=66,"16:00 or above",INT((60+2*Q134)/12)&amp;":"&amp;TEXT(MOD(60+2*Q134,12),"00"))))</f>
        <v/>
      </c>
      <c r="S134" s="47"/>
      <c r="T134" s="47"/>
      <c r="U134" s="47"/>
      <c r="V134" s="47"/>
      <c r="W134" s="47"/>
      <c r="X134" s="47"/>
      <c r="Y134" s="47"/>
      <c r="Z134" s="47"/>
      <c r="AA134" s="47"/>
      <c r="AB134" s="47"/>
      <c r="AC134" s="47"/>
      <c r="AD134" s="47"/>
      <c r="AE134" s="47"/>
      <c r="AF134" s="47"/>
      <c r="AG134" s="47"/>
      <c r="AH134" s="47"/>
      <c r="AI134" s="46"/>
      <c r="AJ134" s="46"/>
      <c r="AK134" s="46"/>
      <c r="AL134" s="7"/>
      <c r="AM134" s="49" t="str">
        <f aca="false">IF(OR(C134="",G134=""),"",IFERROR(DATEDIF(C134,G134,"m"),""))</f>
        <v/>
      </c>
      <c r="AN134" s="49" t="str">
        <f aca="false">IF(OR(Q134="",AM134=""),"",60+2*Q134-AM134)</f>
        <v/>
      </c>
      <c r="AO134" s="49" t="str">
        <f aca="false">IF(OR(G134="",AJ134=""),"",AJ134-G134)</f>
        <v/>
      </c>
      <c r="AP134" s="50" t="str">
        <f aca="false">IF(AND(A134="",B134=""),"",IF(J134="","Status needed",IF(OR(J134="Applied",J134="Visit booked",J134="Withdrawn"),"OK",IF(G134="","Date assessed needed",IF(C134="","Date of birth needed",IF(COUNTA(L134,M134,P134,U134,V134,X134,AB134)&lt;7,"Band missing",IF(AND(OR(J134="Decision confirmed",J134="Family told",J134="Enrolled"),AG134=""),"Recommendation needed",IF(AND(OR(J134="Family told",J134="Enrolled"),AJ134=""),"Date family told needed","OK"))))))))</f>
        <v/>
      </c>
    </row>
    <row r="135" customFormat="false" ht="15" hidden="false" customHeight="false" outlineLevel="0" collapsed="false">
      <c r="A135" s="7"/>
      <c r="B135" s="7"/>
      <c r="C135" s="46"/>
      <c r="D135" s="7"/>
      <c r="E135" s="47"/>
      <c r="F135" s="46"/>
      <c r="G135" s="46"/>
      <c r="H135" s="7"/>
      <c r="I135" s="7"/>
      <c r="J135" s="47"/>
      <c r="K135" s="47"/>
      <c r="L135" s="47"/>
      <c r="M135" s="47"/>
      <c r="N135" s="10"/>
      <c r="O135" s="47"/>
      <c r="P135" s="47"/>
      <c r="Q135" s="47"/>
      <c r="R135" s="48" t="str">
        <f aca="false">IF(Q135="","",IF(Q135=0,"below 5:00",IF(Q135&gt;=66,"16:00 or above",INT((60+2*Q135)/12)&amp;":"&amp;TEXT(MOD(60+2*Q135,12),"00"))))</f>
        <v/>
      </c>
      <c r="S135" s="47"/>
      <c r="T135" s="47"/>
      <c r="U135" s="47"/>
      <c r="V135" s="47"/>
      <c r="W135" s="47"/>
      <c r="X135" s="47"/>
      <c r="Y135" s="47"/>
      <c r="Z135" s="47"/>
      <c r="AA135" s="47"/>
      <c r="AB135" s="47"/>
      <c r="AC135" s="47"/>
      <c r="AD135" s="47"/>
      <c r="AE135" s="47"/>
      <c r="AF135" s="47"/>
      <c r="AG135" s="47"/>
      <c r="AH135" s="47"/>
      <c r="AI135" s="46"/>
      <c r="AJ135" s="46"/>
      <c r="AK135" s="46"/>
      <c r="AL135" s="7"/>
      <c r="AM135" s="49" t="str">
        <f aca="false">IF(OR(C135="",G135=""),"",IFERROR(DATEDIF(C135,G135,"m"),""))</f>
        <v/>
      </c>
      <c r="AN135" s="49" t="str">
        <f aca="false">IF(OR(Q135="",AM135=""),"",60+2*Q135-AM135)</f>
        <v/>
      </c>
      <c r="AO135" s="49" t="str">
        <f aca="false">IF(OR(G135="",AJ135=""),"",AJ135-G135)</f>
        <v/>
      </c>
      <c r="AP135" s="50" t="str">
        <f aca="false">IF(AND(A135="",B135=""),"",IF(J135="","Status needed",IF(OR(J135="Applied",J135="Visit booked",J135="Withdrawn"),"OK",IF(G135="","Date assessed needed",IF(C135="","Date of birth needed",IF(COUNTA(L135,M135,P135,U135,V135,X135,AB135)&lt;7,"Band missing",IF(AND(OR(J135="Decision confirmed",J135="Family told",J135="Enrolled"),AG135=""),"Recommendation needed",IF(AND(OR(J135="Family told",J135="Enrolled"),AJ135=""),"Date family told needed","OK"))))))))</f>
        <v/>
      </c>
    </row>
    <row r="136" customFormat="false" ht="15" hidden="false" customHeight="false" outlineLevel="0" collapsed="false">
      <c r="A136" s="7"/>
      <c r="B136" s="7"/>
      <c r="C136" s="46"/>
      <c r="D136" s="7"/>
      <c r="E136" s="47"/>
      <c r="F136" s="46"/>
      <c r="G136" s="46"/>
      <c r="H136" s="7"/>
      <c r="I136" s="7"/>
      <c r="J136" s="47"/>
      <c r="K136" s="47"/>
      <c r="L136" s="47"/>
      <c r="M136" s="47"/>
      <c r="N136" s="10"/>
      <c r="O136" s="47"/>
      <c r="P136" s="47"/>
      <c r="Q136" s="47"/>
      <c r="R136" s="48" t="str">
        <f aca="false">IF(Q136="","",IF(Q136=0,"below 5:00",IF(Q136&gt;=66,"16:00 or above",INT((60+2*Q136)/12)&amp;":"&amp;TEXT(MOD(60+2*Q136,12),"00"))))</f>
        <v/>
      </c>
      <c r="S136" s="47"/>
      <c r="T136" s="47"/>
      <c r="U136" s="47"/>
      <c r="V136" s="47"/>
      <c r="W136" s="47"/>
      <c r="X136" s="47"/>
      <c r="Y136" s="47"/>
      <c r="Z136" s="47"/>
      <c r="AA136" s="47"/>
      <c r="AB136" s="47"/>
      <c r="AC136" s="47"/>
      <c r="AD136" s="47"/>
      <c r="AE136" s="47"/>
      <c r="AF136" s="47"/>
      <c r="AG136" s="47"/>
      <c r="AH136" s="47"/>
      <c r="AI136" s="46"/>
      <c r="AJ136" s="46"/>
      <c r="AK136" s="46"/>
      <c r="AL136" s="7"/>
      <c r="AM136" s="49" t="str">
        <f aca="false">IF(OR(C136="",G136=""),"",IFERROR(DATEDIF(C136,G136,"m"),""))</f>
        <v/>
      </c>
      <c r="AN136" s="49" t="str">
        <f aca="false">IF(OR(Q136="",AM136=""),"",60+2*Q136-AM136)</f>
        <v/>
      </c>
      <c r="AO136" s="49" t="str">
        <f aca="false">IF(OR(G136="",AJ136=""),"",AJ136-G136)</f>
        <v/>
      </c>
      <c r="AP136" s="50" t="str">
        <f aca="false">IF(AND(A136="",B136=""),"",IF(J136="","Status needed",IF(OR(J136="Applied",J136="Visit booked",J136="Withdrawn"),"OK",IF(G136="","Date assessed needed",IF(C136="","Date of birth needed",IF(COUNTA(L136,M136,P136,U136,V136,X136,AB136)&lt;7,"Band missing",IF(AND(OR(J136="Decision confirmed",J136="Family told",J136="Enrolled"),AG136=""),"Recommendation needed",IF(AND(OR(J136="Family told",J136="Enrolled"),AJ136=""),"Date family told needed","OK"))))))))</f>
        <v/>
      </c>
    </row>
    <row r="137" customFormat="false" ht="15" hidden="false" customHeight="false" outlineLevel="0" collapsed="false">
      <c r="A137" s="7"/>
      <c r="B137" s="7"/>
      <c r="C137" s="46"/>
      <c r="D137" s="7"/>
      <c r="E137" s="47"/>
      <c r="F137" s="46"/>
      <c r="G137" s="46"/>
      <c r="H137" s="7"/>
      <c r="I137" s="7"/>
      <c r="J137" s="47"/>
      <c r="K137" s="47"/>
      <c r="L137" s="47"/>
      <c r="M137" s="47"/>
      <c r="N137" s="10"/>
      <c r="O137" s="47"/>
      <c r="P137" s="47"/>
      <c r="Q137" s="47"/>
      <c r="R137" s="48" t="str">
        <f aca="false">IF(Q137="","",IF(Q137=0,"below 5:00",IF(Q137&gt;=66,"16:00 or above",INT((60+2*Q137)/12)&amp;":"&amp;TEXT(MOD(60+2*Q137,12),"00"))))</f>
        <v/>
      </c>
      <c r="S137" s="47"/>
      <c r="T137" s="47"/>
      <c r="U137" s="47"/>
      <c r="V137" s="47"/>
      <c r="W137" s="47"/>
      <c r="X137" s="47"/>
      <c r="Y137" s="47"/>
      <c r="Z137" s="47"/>
      <c r="AA137" s="47"/>
      <c r="AB137" s="47"/>
      <c r="AC137" s="47"/>
      <c r="AD137" s="47"/>
      <c r="AE137" s="47"/>
      <c r="AF137" s="47"/>
      <c r="AG137" s="47"/>
      <c r="AH137" s="47"/>
      <c r="AI137" s="46"/>
      <c r="AJ137" s="46"/>
      <c r="AK137" s="46"/>
      <c r="AL137" s="7"/>
      <c r="AM137" s="49" t="str">
        <f aca="false">IF(OR(C137="",G137=""),"",IFERROR(DATEDIF(C137,G137,"m"),""))</f>
        <v/>
      </c>
      <c r="AN137" s="49" t="str">
        <f aca="false">IF(OR(Q137="",AM137=""),"",60+2*Q137-AM137)</f>
        <v/>
      </c>
      <c r="AO137" s="49" t="str">
        <f aca="false">IF(OR(G137="",AJ137=""),"",AJ137-G137)</f>
        <v/>
      </c>
      <c r="AP137" s="50" t="str">
        <f aca="false">IF(AND(A137="",B137=""),"",IF(J137="","Status needed",IF(OR(J137="Applied",J137="Visit booked",J137="Withdrawn"),"OK",IF(G137="","Date assessed needed",IF(C137="","Date of birth needed",IF(COUNTA(L137,M137,P137,U137,V137,X137,AB137)&lt;7,"Band missing",IF(AND(OR(J137="Decision confirmed",J137="Family told",J137="Enrolled"),AG137=""),"Recommendation needed",IF(AND(OR(J137="Family told",J137="Enrolled"),AJ137=""),"Date family told needed","OK"))))))))</f>
        <v/>
      </c>
    </row>
    <row r="138" customFormat="false" ht="15" hidden="false" customHeight="false" outlineLevel="0" collapsed="false">
      <c r="A138" s="7"/>
      <c r="B138" s="7"/>
      <c r="C138" s="46"/>
      <c r="D138" s="7"/>
      <c r="E138" s="47"/>
      <c r="F138" s="46"/>
      <c r="G138" s="46"/>
      <c r="H138" s="7"/>
      <c r="I138" s="7"/>
      <c r="J138" s="47"/>
      <c r="K138" s="47"/>
      <c r="L138" s="47"/>
      <c r="M138" s="47"/>
      <c r="N138" s="10"/>
      <c r="O138" s="47"/>
      <c r="P138" s="47"/>
      <c r="Q138" s="47"/>
      <c r="R138" s="48" t="str">
        <f aca="false">IF(Q138="","",IF(Q138=0,"below 5:00",IF(Q138&gt;=66,"16:00 or above",INT((60+2*Q138)/12)&amp;":"&amp;TEXT(MOD(60+2*Q138,12),"00"))))</f>
        <v/>
      </c>
      <c r="S138" s="47"/>
      <c r="T138" s="47"/>
      <c r="U138" s="47"/>
      <c r="V138" s="47"/>
      <c r="W138" s="47"/>
      <c r="X138" s="47"/>
      <c r="Y138" s="47"/>
      <c r="Z138" s="47"/>
      <c r="AA138" s="47"/>
      <c r="AB138" s="47"/>
      <c r="AC138" s="47"/>
      <c r="AD138" s="47"/>
      <c r="AE138" s="47"/>
      <c r="AF138" s="47"/>
      <c r="AG138" s="47"/>
      <c r="AH138" s="47"/>
      <c r="AI138" s="46"/>
      <c r="AJ138" s="46"/>
      <c r="AK138" s="46"/>
      <c r="AL138" s="7"/>
      <c r="AM138" s="49" t="str">
        <f aca="false">IF(OR(C138="",G138=""),"",IFERROR(DATEDIF(C138,G138,"m"),""))</f>
        <v/>
      </c>
      <c r="AN138" s="49" t="str">
        <f aca="false">IF(OR(Q138="",AM138=""),"",60+2*Q138-AM138)</f>
        <v/>
      </c>
      <c r="AO138" s="49" t="str">
        <f aca="false">IF(OR(G138="",AJ138=""),"",AJ138-G138)</f>
        <v/>
      </c>
      <c r="AP138" s="50" t="str">
        <f aca="false">IF(AND(A138="",B138=""),"",IF(J138="","Status needed",IF(OR(J138="Applied",J138="Visit booked",J138="Withdrawn"),"OK",IF(G138="","Date assessed needed",IF(C138="","Date of birth needed",IF(COUNTA(L138,M138,P138,U138,V138,X138,AB138)&lt;7,"Band missing",IF(AND(OR(J138="Decision confirmed",J138="Family told",J138="Enrolled"),AG138=""),"Recommendation needed",IF(AND(OR(J138="Family told",J138="Enrolled"),AJ138=""),"Date family told needed","OK"))))))))</f>
        <v/>
      </c>
    </row>
    <row r="139" customFormat="false" ht="15" hidden="false" customHeight="false" outlineLevel="0" collapsed="false">
      <c r="A139" s="7"/>
      <c r="B139" s="7"/>
      <c r="C139" s="46"/>
      <c r="D139" s="7"/>
      <c r="E139" s="47"/>
      <c r="F139" s="46"/>
      <c r="G139" s="46"/>
      <c r="H139" s="7"/>
      <c r="I139" s="7"/>
      <c r="J139" s="47"/>
      <c r="K139" s="47"/>
      <c r="L139" s="47"/>
      <c r="M139" s="47"/>
      <c r="N139" s="10"/>
      <c r="O139" s="47"/>
      <c r="P139" s="47"/>
      <c r="Q139" s="47"/>
      <c r="R139" s="48" t="str">
        <f aca="false">IF(Q139="","",IF(Q139=0,"below 5:00",IF(Q139&gt;=66,"16:00 or above",INT((60+2*Q139)/12)&amp;":"&amp;TEXT(MOD(60+2*Q139,12),"00"))))</f>
        <v/>
      </c>
      <c r="S139" s="47"/>
      <c r="T139" s="47"/>
      <c r="U139" s="47"/>
      <c r="V139" s="47"/>
      <c r="W139" s="47"/>
      <c r="X139" s="47"/>
      <c r="Y139" s="47"/>
      <c r="Z139" s="47"/>
      <c r="AA139" s="47"/>
      <c r="AB139" s="47"/>
      <c r="AC139" s="47"/>
      <c r="AD139" s="47"/>
      <c r="AE139" s="47"/>
      <c r="AF139" s="47"/>
      <c r="AG139" s="47"/>
      <c r="AH139" s="47"/>
      <c r="AI139" s="46"/>
      <c r="AJ139" s="46"/>
      <c r="AK139" s="46"/>
      <c r="AL139" s="7"/>
      <c r="AM139" s="49" t="str">
        <f aca="false">IF(OR(C139="",G139=""),"",IFERROR(DATEDIF(C139,G139,"m"),""))</f>
        <v/>
      </c>
      <c r="AN139" s="49" t="str">
        <f aca="false">IF(OR(Q139="",AM139=""),"",60+2*Q139-AM139)</f>
        <v/>
      </c>
      <c r="AO139" s="49" t="str">
        <f aca="false">IF(OR(G139="",AJ139=""),"",AJ139-G139)</f>
        <v/>
      </c>
      <c r="AP139" s="50" t="str">
        <f aca="false">IF(AND(A139="",B139=""),"",IF(J139="","Status needed",IF(OR(J139="Applied",J139="Visit booked",J139="Withdrawn"),"OK",IF(G139="","Date assessed needed",IF(C139="","Date of birth needed",IF(COUNTA(L139,M139,P139,U139,V139,X139,AB139)&lt;7,"Band missing",IF(AND(OR(J139="Decision confirmed",J139="Family told",J139="Enrolled"),AG139=""),"Recommendation needed",IF(AND(OR(J139="Family told",J139="Enrolled"),AJ139=""),"Date family told needed","OK"))))))))</f>
        <v/>
      </c>
    </row>
    <row r="140" customFormat="false" ht="15" hidden="false" customHeight="false" outlineLevel="0" collapsed="false">
      <c r="A140" s="7"/>
      <c r="B140" s="7"/>
      <c r="C140" s="46"/>
      <c r="D140" s="7"/>
      <c r="E140" s="47"/>
      <c r="F140" s="46"/>
      <c r="G140" s="46"/>
      <c r="H140" s="7"/>
      <c r="I140" s="7"/>
      <c r="J140" s="47"/>
      <c r="K140" s="47"/>
      <c r="L140" s="47"/>
      <c r="M140" s="47"/>
      <c r="N140" s="10"/>
      <c r="O140" s="47"/>
      <c r="P140" s="47"/>
      <c r="Q140" s="47"/>
      <c r="R140" s="48" t="str">
        <f aca="false">IF(Q140="","",IF(Q140=0,"below 5:00",IF(Q140&gt;=66,"16:00 or above",INT((60+2*Q140)/12)&amp;":"&amp;TEXT(MOD(60+2*Q140,12),"00"))))</f>
        <v/>
      </c>
      <c r="S140" s="47"/>
      <c r="T140" s="47"/>
      <c r="U140" s="47"/>
      <c r="V140" s="47"/>
      <c r="W140" s="47"/>
      <c r="X140" s="47"/>
      <c r="Y140" s="47"/>
      <c r="Z140" s="47"/>
      <c r="AA140" s="47"/>
      <c r="AB140" s="47"/>
      <c r="AC140" s="47"/>
      <c r="AD140" s="47"/>
      <c r="AE140" s="47"/>
      <c r="AF140" s="47"/>
      <c r="AG140" s="47"/>
      <c r="AH140" s="47"/>
      <c r="AI140" s="46"/>
      <c r="AJ140" s="46"/>
      <c r="AK140" s="46"/>
      <c r="AL140" s="7"/>
      <c r="AM140" s="49" t="str">
        <f aca="false">IF(OR(C140="",G140=""),"",IFERROR(DATEDIF(C140,G140,"m"),""))</f>
        <v/>
      </c>
      <c r="AN140" s="49" t="str">
        <f aca="false">IF(OR(Q140="",AM140=""),"",60+2*Q140-AM140)</f>
        <v/>
      </c>
      <c r="AO140" s="49" t="str">
        <f aca="false">IF(OR(G140="",AJ140=""),"",AJ140-G140)</f>
        <v/>
      </c>
      <c r="AP140" s="50" t="str">
        <f aca="false">IF(AND(A140="",B140=""),"",IF(J140="","Status needed",IF(OR(J140="Applied",J140="Visit booked",J140="Withdrawn"),"OK",IF(G140="","Date assessed needed",IF(C140="","Date of birth needed",IF(COUNTA(L140,M140,P140,U140,V140,X140,AB140)&lt;7,"Band missing",IF(AND(OR(J140="Decision confirmed",J140="Family told",J140="Enrolled"),AG140=""),"Recommendation needed",IF(AND(OR(J140="Family told",J140="Enrolled"),AJ140=""),"Date family told needed","OK"))))))))</f>
        <v/>
      </c>
    </row>
    <row r="141" customFormat="false" ht="15" hidden="false" customHeight="false" outlineLevel="0" collapsed="false">
      <c r="A141" s="7"/>
      <c r="B141" s="7"/>
      <c r="C141" s="46"/>
      <c r="D141" s="7"/>
      <c r="E141" s="47"/>
      <c r="F141" s="46"/>
      <c r="G141" s="46"/>
      <c r="H141" s="7"/>
      <c r="I141" s="7"/>
      <c r="J141" s="47"/>
      <c r="K141" s="47"/>
      <c r="L141" s="47"/>
      <c r="M141" s="47"/>
      <c r="N141" s="10"/>
      <c r="O141" s="47"/>
      <c r="P141" s="47"/>
      <c r="Q141" s="47"/>
      <c r="R141" s="48" t="str">
        <f aca="false">IF(Q141="","",IF(Q141=0,"below 5:00",IF(Q141&gt;=66,"16:00 or above",INT((60+2*Q141)/12)&amp;":"&amp;TEXT(MOD(60+2*Q141,12),"00"))))</f>
        <v/>
      </c>
      <c r="S141" s="47"/>
      <c r="T141" s="47"/>
      <c r="U141" s="47"/>
      <c r="V141" s="47"/>
      <c r="W141" s="47"/>
      <c r="X141" s="47"/>
      <c r="Y141" s="47"/>
      <c r="Z141" s="47"/>
      <c r="AA141" s="47"/>
      <c r="AB141" s="47"/>
      <c r="AC141" s="47"/>
      <c r="AD141" s="47"/>
      <c r="AE141" s="47"/>
      <c r="AF141" s="47"/>
      <c r="AG141" s="47"/>
      <c r="AH141" s="47"/>
      <c r="AI141" s="46"/>
      <c r="AJ141" s="46"/>
      <c r="AK141" s="46"/>
      <c r="AL141" s="7"/>
      <c r="AM141" s="49" t="str">
        <f aca="false">IF(OR(C141="",G141=""),"",IFERROR(DATEDIF(C141,G141,"m"),""))</f>
        <v/>
      </c>
      <c r="AN141" s="49" t="str">
        <f aca="false">IF(OR(Q141="",AM141=""),"",60+2*Q141-AM141)</f>
        <v/>
      </c>
      <c r="AO141" s="49" t="str">
        <f aca="false">IF(OR(G141="",AJ141=""),"",AJ141-G141)</f>
        <v/>
      </c>
      <c r="AP141" s="50" t="str">
        <f aca="false">IF(AND(A141="",B141=""),"",IF(J141="","Status needed",IF(OR(J141="Applied",J141="Visit booked",J141="Withdrawn"),"OK",IF(G141="","Date assessed needed",IF(C141="","Date of birth needed",IF(COUNTA(L141,M141,P141,U141,V141,X141,AB141)&lt;7,"Band missing",IF(AND(OR(J141="Decision confirmed",J141="Family told",J141="Enrolled"),AG141=""),"Recommendation needed",IF(AND(OR(J141="Family told",J141="Enrolled"),AJ141=""),"Date family told needed","OK"))))))))</f>
        <v/>
      </c>
    </row>
    <row r="142" customFormat="false" ht="15" hidden="false" customHeight="false" outlineLevel="0" collapsed="false">
      <c r="A142" s="7"/>
      <c r="B142" s="7"/>
      <c r="C142" s="46"/>
      <c r="D142" s="7"/>
      <c r="E142" s="47"/>
      <c r="F142" s="46"/>
      <c r="G142" s="46"/>
      <c r="H142" s="7"/>
      <c r="I142" s="7"/>
      <c r="J142" s="47"/>
      <c r="K142" s="47"/>
      <c r="L142" s="47"/>
      <c r="M142" s="47"/>
      <c r="N142" s="10"/>
      <c r="O142" s="47"/>
      <c r="P142" s="47"/>
      <c r="Q142" s="47"/>
      <c r="R142" s="48" t="str">
        <f aca="false">IF(Q142="","",IF(Q142=0,"below 5:00",IF(Q142&gt;=66,"16:00 or above",INT((60+2*Q142)/12)&amp;":"&amp;TEXT(MOD(60+2*Q142,12),"00"))))</f>
        <v/>
      </c>
      <c r="S142" s="47"/>
      <c r="T142" s="47"/>
      <c r="U142" s="47"/>
      <c r="V142" s="47"/>
      <c r="W142" s="47"/>
      <c r="X142" s="47"/>
      <c r="Y142" s="47"/>
      <c r="Z142" s="47"/>
      <c r="AA142" s="47"/>
      <c r="AB142" s="47"/>
      <c r="AC142" s="47"/>
      <c r="AD142" s="47"/>
      <c r="AE142" s="47"/>
      <c r="AF142" s="47"/>
      <c r="AG142" s="47"/>
      <c r="AH142" s="47"/>
      <c r="AI142" s="46"/>
      <c r="AJ142" s="46"/>
      <c r="AK142" s="46"/>
      <c r="AL142" s="7"/>
      <c r="AM142" s="49" t="str">
        <f aca="false">IF(OR(C142="",G142=""),"",IFERROR(DATEDIF(C142,G142,"m"),""))</f>
        <v/>
      </c>
      <c r="AN142" s="49" t="str">
        <f aca="false">IF(OR(Q142="",AM142=""),"",60+2*Q142-AM142)</f>
        <v/>
      </c>
      <c r="AO142" s="49" t="str">
        <f aca="false">IF(OR(G142="",AJ142=""),"",AJ142-G142)</f>
        <v/>
      </c>
      <c r="AP142" s="50" t="str">
        <f aca="false">IF(AND(A142="",B142=""),"",IF(J142="","Status needed",IF(OR(J142="Applied",J142="Visit booked",J142="Withdrawn"),"OK",IF(G142="","Date assessed needed",IF(C142="","Date of birth needed",IF(COUNTA(L142,M142,P142,U142,V142,X142,AB142)&lt;7,"Band missing",IF(AND(OR(J142="Decision confirmed",J142="Family told",J142="Enrolled"),AG142=""),"Recommendation needed",IF(AND(OR(J142="Family told",J142="Enrolled"),AJ142=""),"Date family told needed","OK"))))))))</f>
        <v/>
      </c>
    </row>
    <row r="143" customFormat="false" ht="15" hidden="false" customHeight="false" outlineLevel="0" collapsed="false">
      <c r="A143" s="7"/>
      <c r="B143" s="7"/>
      <c r="C143" s="46"/>
      <c r="D143" s="7"/>
      <c r="E143" s="47"/>
      <c r="F143" s="46"/>
      <c r="G143" s="46"/>
      <c r="H143" s="7"/>
      <c r="I143" s="7"/>
      <c r="J143" s="47"/>
      <c r="K143" s="47"/>
      <c r="L143" s="47"/>
      <c r="M143" s="47"/>
      <c r="N143" s="10"/>
      <c r="O143" s="47"/>
      <c r="P143" s="47"/>
      <c r="Q143" s="47"/>
      <c r="R143" s="48" t="str">
        <f aca="false">IF(Q143="","",IF(Q143=0,"below 5:00",IF(Q143&gt;=66,"16:00 or above",INT((60+2*Q143)/12)&amp;":"&amp;TEXT(MOD(60+2*Q143,12),"00"))))</f>
        <v/>
      </c>
      <c r="S143" s="47"/>
      <c r="T143" s="47"/>
      <c r="U143" s="47"/>
      <c r="V143" s="47"/>
      <c r="W143" s="47"/>
      <c r="X143" s="47"/>
      <c r="Y143" s="47"/>
      <c r="Z143" s="47"/>
      <c r="AA143" s="47"/>
      <c r="AB143" s="47"/>
      <c r="AC143" s="47"/>
      <c r="AD143" s="47"/>
      <c r="AE143" s="47"/>
      <c r="AF143" s="47"/>
      <c r="AG143" s="47"/>
      <c r="AH143" s="47"/>
      <c r="AI143" s="46"/>
      <c r="AJ143" s="46"/>
      <c r="AK143" s="46"/>
      <c r="AL143" s="7"/>
      <c r="AM143" s="49" t="str">
        <f aca="false">IF(OR(C143="",G143=""),"",IFERROR(DATEDIF(C143,G143,"m"),""))</f>
        <v/>
      </c>
      <c r="AN143" s="49" t="str">
        <f aca="false">IF(OR(Q143="",AM143=""),"",60+2*Q143-AM143)</f>
        <v/>
      </c>
      <c r="AO143" s="49" t="str">
        <f aca="false">IF(OR(G143="",AJ143=""),"",AJ143-G143)</f>
        <v/>
      </c>
      <c r="AP143" s="50" t="str">
        <f aca="false">IF(AND(A143="",B143=""),"",IF(J143="","Status needed",IF(OR(J143="Applied",J143="Visit booked",J143="Withdrawn"),"OK",IF(G143="","Date assessed needed",IF(C143="","Date of birth needed",IF(COUNTA(L143,M143,P143,U143,V143,X143,AB143)&lt;7,"Band missing",IF(AND(OR(J143="Decision confirmed",J143="Family told",J143="Enrolled"),AG143=""),"Recommendation needed",IF(AND(OR(J143="Family told",J143="Enrolled"),AJ143=""),"Date family told needed","OK"))))))))</f>
        <v/>
      </c>
    </row>
    <row r="144" customFormat="false" ht="15" hidden="false" customHeight="false" outlineLevel="0" collapsed="false">
      <c r="A144" s="7"/>
      <c r="B144" s="7"/>
      <c r="C144" s="46"/>
      <c r="D144" s="7"/>
      <c r="E144" s="47"/>
      <c r="F144" s="46"/>
      <c r="G144" s="46"/>
      <c r="H144" s="7"/>
      <c r="I144" s="7"/>
      <c r="J144" s="47"/>
      <c r="K144" s="47"/>
      <c r="L144" s="47"/>
      <c r="M144" s="47"/>
      <c r="N144" s="10"/>
      <c r="O144" s="47"/>
      <c r="P144" s="47"/>
      <c r="Q144" s="47"/>
      <c r="R144" s="48" t="str">
        <f aca="false">IF(Q144="","",IF(Q144=0,"below 5:00",IF(Q144&gt;=66,"16:00 or above",INT((60+2*Q144)/12)&amp;":"&amp;TEXT(MOD(60+2*Q144,12),"00"))))</f>
        <v/>
      </c>
      <c r="S144" s="47"/>
      <c r="T144" s="47"/>
      <c r="U144" s="47"/>
      <c r="V144" s="47"/>
      <c r="W144" s="47"/>
      <c r="X144" s="47"/>
      <c r="Y144" s="47"/>
      <c r="Z144" s="47"/>
      <c r="AA144" s="47"/>
      <c r="AB144" s="47"/>
      <c r="AC144" s="47"/>
      <c r="AD144" s="47"/>
      <c r="AE144" s="47"/>
      <c r="AF144" s="47"/>
      <c r="AG144" s="47"/>
      <c r="AH144" s="47"/>
      <c r="AI144" s="46"/>
      <c r="AJ144" s="46"/>
      <c r="AK144" s="46"/>
      <c r="AL144" s="7"/>
      <c r="AM144" s="49" t="str">
        <f aca="false">IF(OR(C144="",G144=""),"",IFERROR(DATEDIF(C144,G144,"m"),""))</f>
        <v/>
      </c>
      <c r="AN144" s="49" t="str">
        <f aca="false">IF(OR(Q144="",AM144=""),"",60+2*Q144-AM144)</f>
        <v/>
      </c>
      <c r="AO144" s="49" t="str">
        <f aca="false">IF(OR(G144="",AJ144=""),"",AJ144-G144)</f>
        <v/>
      </c>
      <c r="AP144" s="50" t="str">
        <f aca="false">IF(AND(A144="",B144=""),"",IF(J144="","Status needed",IF(OR(J144="Applied",J144="Visit booked",J144="Withdrawn"),"OK",IF(G144="","Date assessed needed",IF(C144="","Date of birth needed",IF(COUNTA(L144,M144,P144,U144,V144,X144,AB144)&lt;7,"Band missing",IF(AND(OR(J144="Decision confirmed",J144="Family told",J144="Enrolled"),AG144=""),"Recommendation needed",IF(AND(OR(J144="Family told",J144="Enrolled"),AJ144=""),"Date family told needed","OK"))))))))</f>
        <v/>
      </c>
    </row>
    <row r="145" customFormat="false" ht="15" hidden="false" customHeight="false" outlineLevel="0" collapsed="false">
      <c r="A145" s="7"/>
      <c r="B145" s="7"/>
      <c r="C145" s="46"/>
      <c r="D145" s="7"/>
      <c r="E145" s="47"/>
      <c r="F145" s="46"/>
      <c r="G145" s="46"/>
      <c r="H145" s="7"/>
      <c r="I145" s="7"/>
      <c r="J145" s="47"/>
      <c r="K145" s="47"/>
      <c r="L145" s="47"/>
      <c r="M145" s="47"/>
      <c r="N145" s="10"/>
      <c r="O145" s="47"/>
      <c r="P145" s="47"/>
      <c r="Q145" s="47"/>
      <c r="R145" s="48" t="str">
        <f aca="false">IF(Q145="","",IF(Q145=0,"below 5:00",IF(Q145&gt;=66,"16:00 or above",INT((60+2*Q145)/12)&amp;":"&amp;TEXT(MOD(60+2*Q145,12),"00"))))</f>
        <v/>
      </c>
      <c r="S145" s="47"/>
      <c r="T145" s="47"/>
      <c r="U145" s="47"/>
      <c r="V145" s="47"/>
      <c r="W145" s="47"/>
      <c r="X145" s="47"/>
      <c r="Y145" s="47"/>
      <c r="Z145" s="47"/>
      <c r="AA145" s="47"/>
      <c r="AB145" s="47"/>
      <c r="AC145" s="47"/>
      <c r="AD145" s="47"/>
      <c r="AE145" s="47"/>
      <c r="AF145" s="47"/>
      <c r="AG145" s="47"/>
      <c r="AH145" s="47"/>
      <c r="AI145" s="46"/>
      <c r="AJ145" s="46"/>
      <c r="AK145" s="46"/>
      <c r="AL145" s="7"/>
      <c r="AM145" s="49" t="str">
        <f aca="false">IF(OR(C145="",G145=""),"",IFERROR(DATEDIF(C145,G145,"m"),""))</f>
        <v/>
      </c>
      <c r="AN145" s="49" t="str">
        <f aca="false">IF(OR(Q145="",AM145=""),"",60+2*Q145-AM145)</f>
        <v/>
      </c>
      <c r="AO145" s="49" t="str">
        <f aca="false">IF(OR(G145="",AJ145=""),"",AJ145-G145)</f>
        <v/>
      </c>
      <c r="AP145" s="50" t="str">
        <f aca="false">IF(AND(A145="",B145=""),"",IF(J145="","Status needed",IF(OR(J145="Applied",J145="Visit booked",J145="Withdrawn"),"OK",IF(G145="","Date assessed needed",IF(C145="","Date of birth needed",IF(COUNTA(L145,M145,P145,U145,V145,X145,AB145)&lt;7,"Band missing",IF(AND(OR(J145="Decision confirmed",J145="Family told",J145="Enrolled"),AG145=""),"Recommendation needed",IF(AND(OR(J145="Family told",J145="Enrolled"),AJ145=""),"Date family told needed","OK"))))))))</f>
        <v/>
      </c>
    </row>
    <row r="146" customFormat="false" ht="15" hidden="false" customHeight="false" outlineLevel="0" collapsed="false">
      <c r="A146" s="7"/>
      <c r="B146" s="7"/>
      <c r="C146" s="46"/>
      <c r="D146" s="7"/>
      <c r="E146" s="47"/>
      <c r="F146" s="46"/>
      <c r="G146" s="46"/>
      <c r="H146" s="7"/>
      <c r="I146" s="7"/>
      <c r="J146" s="47"/>
      <c r="K146" s="47"/>
      <c r="L146" s="47"/>
      <c r="M146" s="47"/>
      <c r="N146" s="10"/>
      <c r="O146" s="47"/>
      <c r="P146" s="47"/>
      <c r="Q146" s="47"/>
      <c r="R146" s="48" t="str">
        <f aca="false">IF(Q146="","",IF(Q146=0,"below 5:00",IF(Q146&gt;=66,"16:00 or above",INT((60+2*Q146)/12)&amp;":"&amp;TEXT(MOD(60+2*Q146,12),"00"))))</f>
        <v/>
      </c>
      <c r="S146" s="47"/>
      <c r="T146" s="47"/>
      <c r="U146" s="47"/>
      <c r="V146" s="47"/>
      <c r="W146" s="47"/>
      <c r="X146" s="47"/>
      <c r="Y146" s="47"/>
      <c r="Z146" s="47"/>
      <c r="AA146" s="47"/>
      <c r="AB146" s="47"/>
      <c r="AC146" s="47"/>
      <c r="AD146" s="47"/>
      <c r="AE146" s="47"/>
      <c r="AF146" s="47"/>
      <c r="AG146" s="47"/>
      <c r="AH146" s="47"/>
      <c r="AI146" s="46"/>
      <c r="AJ146" s="46"/>
      <c r="AK146" s="46"/>
      <c r="AL146" s="7"/>
      <c r="AM146" s="49" t="str">
        <f aca="false">IF(OR(C146="",G146=""),"",IFERROR(DATEDIF(C146,G146,"m"),""))</f>
        <v/>
      </c>
      <c r="AN146" s="49" t="str">
        <f aca="false">IF(OR(Q146="",AM146=""),"",60+2*Q146-AM146)</f>
        <v/>
      </c>
      <c r="AO146" s="49" t="str">
        <f aca="false">IF(OR(G146="",AJ146=""),"",AJ146-G146)</f>
        <v/>
      </c>
      <c r="AP146" s="50" t="str">
        <f aca="false">IF(AND(A146="",B146=""),"",IF(J146="","Status needed",IF(OR(J146="Applied",J146="Visit booked",J146="Withdrawn"),"OK",IF(G146="","Date assessed needed",IF(C146="","Date of birth needed",IF(COUNTA(L146,M146,P146,U146,V146,X146,AB146)&lt;7,"Band missing",IF(AND(OR(J146="Decision confirmed",J146="Family told",J146="Enrolled"),AG146=""),"Recommendation needed",IF(AND(OR(J146="Family told",J146="Enrolled"),AJ146=""),"Date family told needed","OK"))))))))</f>
        <v/>
      </c>
    </row>
    <row r="147" customFormat="false" ht="15" hidden="false" customHeight="false" outlineLevel="0" collapsed="false">
      <c r="A147" s="7"/>
      <c r="B147" s="7"/>
      <c r="C147" s="46"/>
      <c r="D147" s="7"/>
      <c r="E147" s="47"/>
      <c r="F147" s="46"/>
      <c r="G147" s="46"/>
      <c r="H147" s="7"/>
      <c r="I147" s="7"/>
      <c r="J147" s="47"/>
      <c r="K147" s="47"/>
      <c r="L147" s="47"/>
      <c r="M147" s="47"/>
      <c r="N147" s="10"/>
      <c r="O147" s="47"/>
      <c r="P147" s="47"/>
      <c r="Q147" s="47"/>
      <c r="R147" s="48" t="str">
        <f aca="false">IF(Q147="","",IF(Q147=0,"below 5:00",IF(Q147&gt;=66,"16:00 or above",INT((60+2*Q147)/12)&amp;":"&amp;TEXT(MOD(60+2*Q147,12),"00"))))</f>
        <v/>
      </c>
      <c r="S147" s="47"/>
      <c r="T147" s="47"/>
      <c r="U147" s="47"/>
      <c r="V147" s="47"/>
      <c r="W147" s="47"/>
      <c r="X147" s="47"/>
      <c r="Y147" s="47"/>
      <c r="Z147" s="47"/>
      <c r="AA147" s="47"/>
      <c r="AB147" s="47"/>
      <c r="AC147" s="47"/>
      <c r="AD147" s="47"/>
      <c r="AE147" s="47"/>
      <c r="AF147" s="47"/>
      <c r="AG147" s="47"/>
      <c r="AH147" s="47"/>
      <c r="AI147" s="46"/>
      <c r="AJ147" s="46"/>
      <c r="AK147" s="46"/>
      <c r="AL147" s="7"/>
      <c r="AM147" s="49" t="str">
        <f aca="false">IF(OR(C147="",G147=""),"",IFERROR(DATEDIF(C147,G147,"m"),""))</f>
        <v/>
      </c>
      <c r="AN147" s="49" t="str">
        <f aca="false">IF(OR(Q147="",AM147=""),"",60+2*Q147-AM147)</f>
        <v/>
      </c>
      <c r="AO147" s="49" t="str">
        <f aca="false">IF(OR(G147="",AJ147=""),"",AJ147-G147)</f>
        <v/>
      </c>
      <c r="AP147" s="50" t="str">
        <f aca="false">IF(AND(A147="",B147=""),"",IF(J147="","Status needed",IF(OR(J147="Applied",J147="Visit booked",J147="Withdrawn"),"OK",IF(G147="","Date assessed needed",IF(C147="","Date of birth needed",IF(COUNTA(L147,M147,P147,U147,V147,X147,AB147)&lt;7,"Band missing",IF(AND(OR(J147="Decision confirmed",J147="Family told",J147="Enrolled"),AG147=""),"Recommendation needed",IF(AND(OR(J147="Family told",J147="Enrolled"),AJ147=""),"Date family told needed","OK"))))))))</f>
        <v/>
      </c>
    </row>
    <row r="148" customFormat="false" ht="15" hidden="false" customHeight="false" outlineLevel="0" collapsed="false">
      <c r="A148" s="7"/>
      <c r="B148" s="7"/>
      <c r="C148" s="46"/>
      <c r="D148" s="7"/>
      <c r="E148" s="47"/>
      <c r="F148" s="46"/>
      <c r="G148" s="46"/>
      <c r="H148" s="7"/>
      <c r="I148" s="7"/>
      <c r="J148" s="47"/>
      <c r="K148" s="47"/>
      <c r="L148" s="47"/>
      <c r="M148" s="47"/>
      <c r="N148" s="10"/>
      <c r="O148" s="47"/>
      <c r="P148" s="47"/>
      <c r="Q148" s="47"/>
      <c r="R148" s="48" t="str">
        <f aca="false">IF(Q148="","",IF(Q148=0,"below 5:00",IF(Q148&gt;=66,"16:00 or above",INT((60+2*Q148)/12)&amp;":"&amp;TEXT(MOD(60+2*Q148,12),"00"))))</f>
        <v/>
      </c>
      <c r="S148" s="47"/>
      <c r="T148" s="47"/>
      <c r="U148" s="47"/>
      <c r="V148" s="47"/>
      <c r="W148" s="47"/>
      <c r="X148" s="47"/>
      <c r="Y148" s="47"/>
      <c r="Z148" s="47"/>
      <c r="AA148" s="47"/>
      <c r="AB148" s="47"/>
      <c r="AC148" s="47"/>
      <c r="AD148" s="47"/>
      <c r="AE148" s="47"/>
      <c r="AF148" s="47"/>
      <c r="AG148" s="47"/>
      <c r="AH148" s="47"/>
      <c r="AI148" s="46"/>
      <c r="AJ148" s="46"/>
      <c r="AK148" s="46"/>
      <c r="AL148" s="7"/>
      <c r="AM148" s="49" t="str">
        <f aca="false">IF(OR(C148="",G148=""),"",IFERROR(DATEDIF(C148,G148,"m"),""))</f>
        <v/>
      </c>
      <c r="AN148" s="49" t="str">
        <f aca="false">IF(OR(Q148="",AM148=""),"",60+2*Q148-AM148)</f>
        <v/>
      </c>
      <c r="AO148" s="49" t="str">
        <f aca="false">IF(OR(G148="",AJ148=""),"",AJ148-G148)</f>
        <v/>
      </c>
      <c r="AP148" s="50" t="str">
        <f aca="false">IF(AND(A148="",B148=""),"",IF(J148="","Status needed",IF(OR(J148="Applied",J148="Visit booked",J148="Withdrawn"),"OK",IF(G148="","Date assessed needed",IF(C148="","Date of birth needed",IF(COUNTA(L148,M148,P148,U148,V148,X148,AB148)&lt;7,"Band missing",IF(AND(OR(J148="Decision confirmed",J148="Family told",J148="Enrolled"),AG148=""),"Recommendation needed",IF(AND(OR(J148="Family told",J148="Enrolled"),AJ148=""),"Date family told needed","OK"))))))))</f>
        <v/>
      </c>
    </row>
    <row r="149" customFormat="false" ht="15" hidden="false" customHeight="false" outlineLevel="0" collapsed="false">
      <c r="A149" s="7"/>
      <c r="B149" s="7"/>
      <c r="C149" s="46"/>
      <c r="D149" s="7"/>
      <c r="E149" s="47"/>
      <c r="F149" s="46"/>
      <c r="G149" s="46"/>
      <c r="H149" s="7"/>
      <c r="I149" s="7"/>
      <c r="J149" s="47"/>
      <c r="K149" s="47"/>
      <c r="L149" s="47"/>
      <c r="M149" s="47"/>
      <c r="N149" s="10"/>
      <c r="O149" s="47"/>
      <c r="P149" s="47"/>
      <c r="Q149" s="47"/>
      <c r="R149" s="48" t="str">
        <f aca="false">IF(Q149="","",IF(Q149=0,"below 5:00",IF(Q149&gt;=66,"16:00 or above",INT((60+2*Q149)/12)&amp;":"&amp;TEXT(MOD(60+2*Q149,12),"00"))))</f>
        <v/>
      </c>
      <c r="S149" s="47"/>
      <c r="T149" s="47"/>
      <c r="U149" s="47"/>
      <c r="V149" s="47"/>
      <c r="W149" s="47"/>
      <c r="X149" s="47"/>
      <c r="Y149" s="47"/>
      <c r="Z149" s="47"/>
      <c r="AA149" s="47"/>
      <c r="AB149" s="47"/>
      <c r="AC149" s="47"/>
      <c r="AD149" s="47"/>
      <c r="AE149" s="47"/>
      <c r="AF149" s="47"/>
      <c r="AG149" s="47"/>
      <c r="AH149" s="47"/>
      <c r="AI149" s="46"/>
      <c r="AJ149" s="46"/>
      <c r="AK149" s="46"/>
      <c r="AL149" s="7"/>
      <c r="AM149" s="49" t="str">
        <f aca="false">IF(OR(C149="",G149=""),"",IFERROR(DATEDIF(C149,G149,"m"),""))</f>
        <v/>
      </c>
      <c r="AN149" s="49" t="str">
        <f aca="false">IF(OR(Q149="",AM149=""),"",60+2*Q149-AM149)</f>
        <v/>
      </c>
      <c r="AO149" s="49" t="str">
        <f aca="false">IF(OR(G149="",AJ149=""),"",AJ149-G149)</f>
        <v/>
      </c>
      <c r="AP149" s="50" t="str">
        <f aca="false">IF(AND(A149="",B149=""),"",IF(J149="","Status needed",IF(OR(J149="Applied",J149="Visit booked",J149="Withdrawn"),"OK",IF(G149="","Date assessed needed",IF(C149="","Date of birth needed",IF(COUNTA(L149,M149,P149,U149,V149,X149,AB149)&lt;7,"Band missing",IF(AND(OR(J149="Decision confirmed",J149="Family told",J149="Enrolled"),AG149=""),"Recommendation needed",IF(AND(OR(J149="Family told",J149="Enrolled"),AJ149=""),"Date family told needed","OK"))))))))</f>
        <v/>
      </c>
    </row>
    <row r="150" customFormat="false" ht="15" hidden="false" customHeight="false" outlineLevel="0" collapsed="false">
      <c r="A150" s="7"/>
      <c r="B150" s="7"/>
      <c r="C150" s="46"/>
      <c r="D150" s="7"/>
      <c r="E150" s="47"/>
      <c r="F150" s="46"/>
      <c r="G150" s="46"/>
      <c r="H150" s="7"/>
      <c r="I150" s="7"/>
      <c r="J150" s="47"/>
      <c r="K150" s="47"/>
      <c r="L150" s="47"/>
      <c r="M150" s="47"/>
      <c r="N150" s="10"/>
      <c r="O150" s="47"/>
      <c r="P150" s="47"/>
      <c r="Q150" s="47"/>
      <c r="R150" s="48" t="str">
        <f aca="false">IF(Q150="","",IF(Q150=0,"below 5:00",IF(Q150&gt;=66,"16:00 or above",INT((60+2*Q150)/12)&amp;":"&amp;TEXT(MOD(60+2*Q150,12),"00"))))</f>
        <v/>
      </c>
      <c r="S150" s="47"/>
      <c r="T150" s="47"/>
      <c r="U150" s="47"/>
      <c r="V150" s="47"/>
      <c r="W150" s="47"/>
      <c r="X150" s="47"/>
      <c r="Y150" s="47"/>
      <c r="Z150" s="47"/>
      <c r="AA150" s="47"/>
      <c r="AB150" s="47"/>
      <c r="AC150" s="47"/>
      <c r="AD150" s="47"/>
      <c r="AE150" s="47"/>
      <c r="AF150" s="47"/>
      <c r="AG150" s="47"/>
      <c r="AH150" s="47"/>
      <c r="AI150" s="46"/>
      <c r="AJ150" s="46"/>
      <c r="AK150" s="46"/>
      <c r="AL150" s="7"/>
      <c r="AM150" s="49" t="str">
        <f aca="false">IF(OR(C150="",G150=""),"",IFERROR(DATEDIF(C150,G150,"m"),""))</f>
        <v/>
      </c>
      <c r="AN150" s="49" t="str">
        <f aca="false">IF(OR(Q150="",AM150=""),"",60+2*Q150-AM150)</f>
        <v/>
      </c>
      <c r="AO150" s="49" t="str">
        <f aca="false">IF(OR(G150="",AJ150=""),"",AJ150-G150)</f>
        <v/>
      </c>
      <c r="AP150" s="50" t="str">
        <f aca="false">IF(AND(A150="",B150=""),"",IF(J150="","Status needed",IF(OR(J150="Applied",J150="Visit booked",J150="Withdrawn"),"OK",IF(G150="","Date assessed needed",IF(C150="","Date of birth needed",IF(COUNTA(L150,M150,P150,U150,V150,X150,AB150)&lt;7,"Band missing",IF(AND(OR(J150="Decision confirmed",J150="Family told",J150="Enrolled"),AG150=""),"Recommendation needed",IF(AND(OR(J150="Family told",J150="Enrolled"),AJ150=""),"Date family told needed","OK"))))))))</f>
        <v/>
      </c>
    </row>
    <row r="151" customFormat="false" ht="15" hidden="false" customHeight="false" outlineLevel="0" collapsed="false">
      <c r="A151" s="7"/>
      <c r="B151" s="7"/>
      <c r="C151" s="46"/>
      <c r="D151" s="7"/>
      <c r="E151" s="47"/>
      <c r="F151" s="46"/>
      <c r="G151" s="46"/>
      <c r="H151" s="7"/>
      <c r="I151" s="7"/>
      <c r="J151" s="47"/>
      <c r="K151" s="47"/>
      <c r="L151" s="47"/>
      <c r="M151" s="47"/>
      <c r="N151" s="10"/>
      <c r="O151" s="47"/>
      <c r="P151" s="47"/>
      <c r="Q151" s="47"/>
      <c r="R151" s="48" t="str">
        <f aca="false">IF(Q151="","",IF(Q151=0,"below 5:00",IF(Q151&gt;=66,"16:00 or above",INT((60+2*Q151)/12)&amp;":"&amp;TEXT(MOD(60+2*Q151,12),"00"))))</f>
        <v/>
      </c>
      <c r="S151" s="47"/>
      <c r="T151" s="47"/>
      <c r="U151" s="47"/>
      <c r="V151" s="47"/>
      <c r="W151" s="47"/>
      <c r="X151" s="47"/>
      <c r="Y151" s="47"/>
      <c r="Z151" s="47"/>
      <c r="AA151" s="47"/>
      <c r="AB151" s="47"/>
      <c r="AC151" s="47"/>
      <c r="AD151" s="47"/>
      <c r="AE151" s="47"/>
      <c r="AF151" s="47"/>
      <c r="AG151" s="47"/>
      <c r="AH151" s="47"/>
      <c r="AI151" s="46"/>
      <c r="AJ151" s="46"/>
      <c r="AK151" s="46"/>
      <c r="AL151" s="7"/>
      <c r="AM151" s="49" t="str">
        <f aca="false">IF(OR(C151="",G151=""),"",IFERROR(DATEDIF(C151,G151,"m"),""))</f>
        <v/>
      </c>
      <c r="AN151" s="49" t="str">
        <f aca="false">IF(OR(Q151="",AM151=""),"",60+2*Q151-AM151)</f>
        <v/>
      </c>
      <c r="AO151" s="49" t="str">
        <f aca="false">IF(OR(G151="",AJ151=""),"",AJ151-G151)</f>
        <v/>
      </c>
      <c r="AP151" s="50" t="str">
        <f aca="false">IF(AND(A151="",B151=""),"",IF(J151="","Status needed",IF(OR(J151="Applied",J151="Visit booked",J151="Withdrawn"),"OK",IF(G151="","Date assessed needed",IF(C151="","Date of birth needed",IF(COUNTA(L151,M151,P151,U151,V151,X151,AB151)&lt;7,"Band missing",IF(AND(OR(J151="Decision confirmed",J151="Family told",J151="Enrolled"),AG151=""),"Recommendation needed",IF(AND(OR(J151="Family told",J151="Enrolled"),AJ151=""),"Date family told needed","OK"))))))))</f>
        <v/>
      </c>
    </row>
    <row r="152" customFormat="false" ht="15" hidden="false" customHeight="false" outlineLevel="0" collapsed="false">
      <c r="A152" s="7"/>
      <c r="B152" s="7"/>
      <c r="C152" s="46"/>
      <c r="D152" s="7"/>
      <c r="E152" s="47"/>
      <c r="F152" s="46"/>
      <c r="G152" s="46"/>
      <c r="H152" s="7"/>
      <c r="I152" s="7"/>
      <c r="J152" s="47"/>
      <c r="K152" s="47"/>
      <c r="L152" s="47"/>
      <c r="M152" s="47"/>
      <c r="N152" s="10"/>
      <c r="O152" s="47"/>
      <c r="P152" s="47"/>
      <c r="Q152" s="47"/>
      <c r="R152" s="48" t="str">
        <f aca="false">IF(Q152="","",IF(Q152=0,"below 5:00",IF(Q152&gt;=66,"16:00 or above",INT((60+2*Q152)/12)&amp;":"&amp;TEXT(MOD(60+2*Q152,12),"00"))))</f>
        <v/>
      </c>
      <c r="S152" s="47"/>
      <c r="T152" s="47"/>
      <c r="U152" s="47"/>
      <c r="V152" s="47"/>
      <c r="W152" s="47"/>
      <c r="X152" s="47"/>
      <c r="Y152" s="47"/>
      <c r="Z152" s="47"/>
      <c r="AA152" s="47"/>
      <c r="AB152" s="47"/>
      <c r="AC152" s="47"/>
      <c r="AD152" s="47"/>
      <c r="AE152" s="47"/>
      <c r="AF152" s="47"/>
      <c r="AG152" s="47"/>
      <c r="AH152" s="47"/>
      <c r="AI152" s="46"/>
      <c r="AJ152" s="46"/>
      <c r="AK152" s="46"/>
      <c r="AL152" s="7"/>
      <c r="AM152" s="49" t="str">
        <f aca="false">IF(OR(C152="",G152=""),"",IFERROR(DATEDIF(C152,G152,"m"),""))</f>
        <v/>
      </c>
      <c r="AN152" s="49" t="str">
        <f aca="false">IF(OR(Q152="",AM152=""),"",60+2*Q152-AM152)</f>
        <v/>
      </c>
      <c r="AO152" s="49" t="str">
        <f aca="false">IF(OR(G152="",AJ152=""),"",AJ152-G152)</f>
        <v/>
      </c>
      <c r="AP152" s="50" t="str">
        <f aca="false">IF(AND(A152="",B152=""),"",IF(J152="","Status needed",IF(OR(J152="Applied",J152="Visit booked",J152="Withdrawn"),"OK",IF(G152="","Date assessed needed",IF(C152="","Date of birth needed",IF(COUNTA(L152,M152,P152,U152,V152,X152,AB152)&lt;7,"Band missing",IF(AND(OR(J152="Decision confirmed",J152="Family told",J152="Enrolled"),AG152=""),"Recommendation needed",IF(AND(OR(J152="Family told",J152="Enrolled"),AJ152=""),"Date family told needed","OK"))))))))</f>
        <v/>
      </c>
    </row>
    <row r="153" customFormat="false" ht="15" hidden="false" customHeight="false" outlineLevel="0" collapsed="false">
      <c r="A153" s="7"/>
      <c r="B153" s="7"/>
      <c r="C153" s="46"/>
      <c r="D153" s="7"/>
      <c r="E153" s="47"/>
      <c r="F153" s="46"/>
      <c r="G153" s="46"/>
      <c r="H153" s="7"/>
      <c r="I153" s="7"/>
      <c r="J153" s="47"/>
      <c r="K153" s="47"/>
      <c r="L153" s="47"/>
      <c r="M153" s="47"/>
      <c r="N153" s="10"/>
      <c r="O153" s="47"/>
      <c r="P153" s="47"/>
      <c r="Q153" s="47"/>
      <c r="R153" s="48" t="str">
        <f aca="false">IF(Q153="","",IF(Q153=0,"below 5:00",IF(Q153&gt;=66,"16:00 or above",INT((60+2*Q153)/12)&amp;":"&amp;TEXT(MOD(60+2*Q153,12),"00"))))</f>
        <v/>
      </c>
      <c r="S153" s="47"/>
      <c r="T153" s="47"/>
      <c r="U153" s="47"/>
      <c r="V153" s="47"/>
      <c r="W153" s="47"/>
      <c r="X153" s="47"/>
      <c r="Y153" s="47"/>
      <c r="Z153" s="47"/>
      <c r="AA153" s="47"/>
      <c r="AB153" s="47"/>
      <c r="AC153" s="47"/>
      <c r="AD153" s="47"/>
      <c r="AE153" s="47"/>
      <c r="AF153" s="47"/>
      <c r="AG153" s="47"/>
      <c r="AH153" s="47"/>
      <c r="AI153" s="46"/>
      <c r="AJ153" s="46"/>
      <c r="AK153" s="46"/>
      <c r="AL153" s="7"/>
      <c r="AM153" s="49" t="str">
        <f aca="false">IF(OR(C153="",G153=""),"",IFERROR(DATEDIF(C153,G153,"m"),""))</f>
        <v/>
      </c>
      <c r="AN153" s="49" t="str">
        <f aca="false">IF(OR(Q153="",AM153=""),"",60+2*Q153-AM153)</f>
        <v/>
      </c>
      <c r="AO153" s="49" t="str">
        <f aca="false">IF(OR(G153="",AJ153=""),"",AJ153-G153)</f>
        <v/>
      </c>
      <c r="AP153" s="50" t="str">
        <f aca="false">IF(AND(A153="",B153=""),"",IF(J153="","Status needed",IF(OR(J153="Applied",J153="Visit booked",J153="Withdrawn"),"OK",IF(G153="","Date assessed needed",IF(C153="","Date of birth needed",IF(COUNTA(L153,M153,P153,U153,V153,X153,AB153)&lt;7,"Band missing",IF(AND(OR(J153="Decision confirmed",J153="Family told",J153="Enrolled"),AG153=""),"Recommendation needed",IF(AND(OR(J153="Family told",J153="Enrolled"),AJ153=""),"Date family told needed","OK"))))))))</f>
        <v/>
      </c>
    </row>
    <row r="154" customFormat="false" ht="15" hidden="false" customHeight="false" outlineLevel="0" collapsed="false">
      <c r="A154" s="7"/>
      <c r="B154" s="7"/>
      <c r="C154" s="46"/>
      <c r="D154" s="7"/>
      <c r="E154" s="47"/>
      <c r="F154" s="46"/>
      <c r="G154" s="46"/>
      <c r="H154" s="7"/>
      <c r="I154" s="7"/>
      <c r="J154" s="47"/>
      <c r="K154" s="47"/>
      <c r="L154" s="47"/>
      <c r="M154" s="47"/>
      <c r="N154" s="10"/>
      <c r="O154" s="47"/>
      <c r="P154" s="47"/>
      <c r="Q154" s="47"/>
      <c r="R154" s="48" t="str">
        <f aca="false">IF(Q154="","",IF(Q154=0,"below 5:00",IF(Q154&gt;=66,"16:00 or above",INT((60+2*Q154)/12)&amp;":"&amp;TEXT(MOD(60+2*Q154,12),"00"))))</f>
        <v/>
      </c>
      <c r="S154" s="47"/>
      <c r="T154" s="47"/>
      <c r="U154" s="47"/>
      <c r="V154" s="47"/>
      <c r="W154" s="47"/>
      <c r="X154" s="47"/>
      <c r="Y154" s="47"/>
      <c r="Z154" s="47"/>
      <c r="AA154" s="47"/>
      <c r="AB154" s="47"/>
      <c r="AC154" s="47"/>
      <c r="AD154" s="47"/>
      <c r="AE154" s="47"/>
      <c r="AF154" s="47"/>
      <c r="AG154" s="47"/>
      <c r="AH154" s="47"/>
      <c r="AI154" s="46"/>
      <c r="AJ154" s="46"/>
      <c r="AK154" s="46"/>
      <c r="AL154" s="7"/>
      <c r="AM154" s="49" t="str">
        <f aca="false">IF(OR(C154="",G154=""),"",IFERROR(DATEDIF(C154,G154,"m"),""))</f>
        <v/>
      </c>
      <c r="AN154" s="49" t="str">
        <f aca="false">IF(OR(Q154="",AM154=""),"",60+2*Q154-AM154)</f>
        <v/>
      </c>
      <c r="AO154" s="49" t="str">
        <f aca="false">IF(OR(G154="",AJ154=""),"",AJ154-G154)</f>
        <v/>
      </c>
      <c r="AP154" s="50" t="str">
        <f aca="false">IF(AND(A154="",B154=""),"",IF(J154="","Status needed",IF(OR(J154="Applied",J154="Visit booked",J154="Withdrawn"),"OK",IF(G154="","Date assessed needed",IF(C154="","Date of birth needed",IF(COUNTA(L154,M154,P154,U154,V154,X154,AB154)&lt;7,"Band missing",IF(AND(OR(J154="Decision confirmed",J154="Family told",J154="Enrolled"),AG154=""),"Recommendation needed",IF(AND(OR(J154="Family told",J154="Enrolled"),AJ154=""),"Date family told needed","OK"))))))))</f>
        <v/>
      </c>
    </row>
    <row r="155" customFormat="false" ht="15" hidden="false" customHeight="false" outlineLevel="0" collapsed="false">
      <c r="A155" s="7"/>
      <c r="B155" s="7"/>
      <c r="C155" s="46"/>
      <c r="D155" s="7"/>
      <c r="E155" s="47"/>
      <c r="F155" s="46"/>
      <c r="G155" s="46"/>
      <c r="H155" s="7"/>
      <c r="I155" s="7"/>
      <c r="J155" s="47"/>
      <c r="K155" s="47"/>
      <c r="L155" s="47"/>
      <c r="M155" s="47"/>
      <c r="N155" s="10"/>
      <c r="O155" s="47"/>
      <c r="P155" s="47"/>
      <c r="Q155" s="47"/>
      <c r="R155" s="48" t="str">
        <f aca="false">IF(Q155="","",IF(Q155=0,"below 5:00",IF(Q155&gt;=66,"16:00 or above",INT((60+2*Q155)/12)&amp;":"&amp;TEXT(MOD(60+2*Q155,12),"00"))))</f>
        <v/>
      </c>
      <c r="S155" s="47"/>
      <c r="T155" s="47"/>
      <c r="U155" s="47"/>
      <c r="V155" s="47"/>
      <c r="W155" s="47"/>
      <c r="X155" s="47"/>
      <c r="Y155" s="47"/>
      <c r="Z155" s="47"/>
      <c r="AA155" s="47"/>
      <c r="AB155" s="47"/>
      <c r="AC155" s="47"/>
      <c r="AD155" s="47"/>
      <c r="AE155" s="47"/>
      <c r="AF155" s="47"/>
      <c r="AG155" s="47"/>
      <c r="AH155" s="47"/>
      <c r="AI155" s="46"/>
      <c r="AJ155" s="46"/>
      <c r="AK155" s="46"/>
      <c r="AL155" s="7"/>
      <c r="AM155" s="49" t="str">
        <f aca="false">IF(OR(C155="",G155=""),"",IFERROR(DATEDIF(C155,G155,"m"),""))</f>
        <v/>
      </c>
      <c r="AN155" s="49" t="str">
        <f aca="false">IF(OR(Q155="",AM155=""),"",60+2*Q155-AM155)</f>
        <v/>
      </c>
      <c r="AO155" s="49" t="str">
        <f aca="false">IF(OR(G155="",AJ155=""),"",AJ155-G155)</f>
        <v/>
      </c>
      <c r="AP155" s="50" t="str">
        <f aca="false">IF(AND(A155="",B155=""),"",IF(J155="","Status needed",IF(OR(J155="Applied",J155="Visit booked",J155="Withdrawn"),"OK",IF(G155="","Date assessed needed",IF(C155="","Date of birth needed",IF(COUNTA(L155,M155,P155,U155,V155,X155,AB155)&lt;7,"Band missing",IF(AND(OR(J155="Decision confirmed",J155="Family told",J155="Enrolled"),AG155=""),"Recommendation needed",IF(AND(OR(J155="Family told",J155="Enrolled"),AJ155=""),"Date family told needed","OK"))))))))</f>
        <v/>
      </c>
    </row>
    <row r="156" customFormat="false" ht="15" hidden="false" customHeight="false" outlineLevel="0" collapsed="false">
      <c r="A156" s="7"/>
      <c r="B156" s="7"/>
      <c r="C156" s="46"/>
      <c r="D156" s="7"/>
      <c r="E156" s="47"/>
      <c r="F156" s="46"/>
      <c r="G156" s="46"/>
      <c r="H156" s="7"/>
      <c r="I156" s="7"/>
      <c r="J156" s="47"/>
      <c r="K156" s="47"/>
      <c r="L156" s="47"/>
      <c r="M156" s="47"/>
      <c r="N156" s="10"/>
      <c r="O156" s="47"/>
      <c r="P156" s="47"/>
      <c r="Q156" s="47"/>
      <c r="R156" s="48" t="str">
        <f aca="false">IF(Q156="","",IF(Q156=0,"below 5:00",IF(Q156&gt;=66,"16:00 or above",INT((60+2*Q156)/12)&amp;":"&amp;TEXT(MOD(60+2*Q156,12),"00"))))</f>
        <v/>
      </c>
      <c r="S156" s="47"/>
      <c r="T156" s="47"/>
      <c r="U156" s="47"/>
      <c r="V156" s="47"/>
      <c r="W156" s="47"/>
      <c r="X156" s="47"/>
      <c r="Y156" s="47"/>
      <c r="Z156" s="47"/>
      <c r="AA156" s="47"/>
      <c r="AB156" s="47"/>
      <c r="AC156" s="47"/>
      <c r="AD156" s="47"/>
      <c r="AE156" s="47"/>
      <c r="AF156" s="47"/>
      <c r="AG156" s="47"/>
      <c r="AH156" s="47"/>
      <c r="AI156" s="46"/>
      <c r="AJ156" s="46"/>
      <c r="AK156" s="46"/>
      <c r="AL156" s="7"/>
      <c r="AM156" s="49" t="str">
        <f aca="false">IF(OR(C156="",G156=""),"",IFERROR(DATEDIF(C156,G156,"m"),""))</f>
        <v/>
      </c>
      <c r="AN156" s="49" t="str">
        <f aca="false">IF(OR(Q156="",AM156=""),"",60+2*Q156-AM156)</f>
        <v/>
      </c>
      <c r="AO156" s="49" t="str">
        <f aca="false">IF(OR(G156="",AJ156=""),"",AJ156-G156)</f>
        <v/>
      </c>
      <c r="AP156" s="50" t="str">
        <f aca="false">IF(AND(A156="",B156=""),"",IF(J156="","Status needed",IF(OR(J156="Applied",J156="Visit booked",J156="Withdrawn"),"OK",IF(G156="","Date assessed needed",IF(C156="","Date of birth needed",IF(COUNTA(L156,M156,P156,U156,V156,X156,AB156)&lt;7,"Band missing",IF(AND(OR(J156="Decision confirmed",J156="Family told",J156="Enrolled"),AG156=""),"Recommendation needed",IF(AND(OR(J156="Family told",J156="Enrolled"),AJ156=""),"Date family told needed","OK"))))))))</f>
        <v/>
      </c>
    </row>
    <row r="157" customFormat="false" ht="15" hidden="false" customHeight="false" outlineLevel="0" collapsed="false">
      <c r="A157" s="7"/>
      <c r="B157" s="7"/>
      <c r="C157" s="46"/>
      <c r="D157" s="7"/>
      <c r="E157" s="47"/>
      <c r="F157" s="46"/>
      <c r="G157" s="46"/>
      <c r="H157" s="7"/>
      <c r="I157" s="7"/>
      <c r="J157" s="47"/>
      <c r="K157" s="47"/>
      <c r="L157" s="47"/>
      <c r="M157" s="47"/>
      <c r="N157" s="10"/>
      <c r="O157" s="47"/>
      <c r="P157" s="47"/>
      <c r="Q157" s="47"/>
      <c r="R157" s="48" t="str">
        <f aca="false">IF(Q157="","",IF(Q157=0,"below 5:00",IF(Q157&gt;=66,"16:00 or above",INT((60+2*Q157)/12)&amp;":"&amp;TEXT(MOD(60+2*Q157,12),"00"))))</f>
        <v/>
      </c>
      <c r="S157" s="47"/>
      <c r="T157" s="47"/>
      <c r="U157" s="47"/>
      <c r="V157" s="47"/>
      <c r="W157" s="47"/>
      <c r="X157" s="47"/>
      <c r="Y157" s="47"/>
      <c r="Z157" s="47"/>
      <c r="AA157" s="47"/>
      <c r="AB157" s="47"/>
      <c r="AC157" s="47"/>
      <c r="AD157" s="47"/>
      <c r="AE157" s="47"/>
      <c r="AF157" s="47"/>
      <c r="AG157" s="47"/>
      <c r="AH157" s="47"/>
      <c r="AI157" s="46"/>
      <c r="AJ157" s="46"/>
      <c r="AK157" s="46"/>
      <c r="AL157" s="7"/>
      <c r="AM157" s="49" t="str">
        <f aca="false">IF(OR(C157="",G157=""),"",IFERROR(DATEDIF(C157,G157,"m"),""))</f>
        <v/>
      </c>
      <c r="AN157" s="49" t="str">
        <f aca="false">IF(OR(Q157="",AM157=""),"",60+2*Q157-AM157)</f>
        <v/>
      </c>
      <c r="AO157" s="49" t="str">
        <f aca="false">IF(OR(G157="",AJ157=""),"",AJ157-G157)</f>
        <v/>
      </c>
      <c r="AP157" s="50" t="str">
        <f aca="false">IF(AND(A157="",B157=""),"",IF(J157="","Status needed",IF(OR(J157="Applied",J157="Visit booked",J157="Withdrawn"),"OK",IF(G157="","Date assessed needed",IF(C157="","Date of birth needed",IF(COUNTA(L157,M157,P157,U157,V157,X157,AB157)&lt;7,"Band missing",IF(AND(OR(J157="Decision confirmed",J157="Family told",J157="Enrolled"),AG157=""),"Recommendation needed",IF(AND(OR(J157="Family told",J157="Enrolled"),AJ157=""),"Date family told needed","OK"))))))))</f>
        <v/>
      </c>
    </row>
    <row r="158" customFormat="false" ht="15" hidden="false" customHeight="false" outlineLevel="0" collapsed="false">
      <c r="A158" s="7"/>
      <c r="B158" s="7"/>
      <c r="C158" s="46"/>
      <c r="D158" s="7"/>
      <c r="E158" s="47"/>
      <c r="F158" s="46"/>
      <c r="G158" s="46"/>
      <c r="H158" s="7"/>
      <c r="I158" s="7"/>
      <c r="J158" s="47"/>
      <c r="K158" s="47"/>
      <c r="L158" s="47"/>
      <c r="M158" s="47"/>
      <c r="N158" s="10"/>
      <c r="O158" s="47"/>
      <c r="P158" s="47"/>
      <c r="Q158" s="47"/>
      <c r="R158" s="48" t="str">
        <f aca="false">IF(Q158="","",IF(Q158=0,"below 5:00",IF(Q158&gt;=66,"16:00 or above",INT((60+2*Q158)/12)&amp;":"&amp;TEXT(MOD(60+2*Q158,12),"00"))))</f>
        <v/>
      </c>
      <c r="S158" s="47"/>
      <c r="T158" s="47"/>
      <c r="U158" s="47"/>
      <c r="V158" s="47"/>
      <c r="W158" s="47"/>
      <c r="X158" s="47"/>
      <c r="Y158" s="47"/>
      <c r="Z158" s="47"/>
      <c r="AA158" s="47"/>
      <c r="AB158" s="47"/>
      <c r="AC158" s="47"/>
      <c r="AD158" s="47"/>
      <c r="AE158" s="47"/>
      <c r="AF158" s="47"/>
      <c r="AG158" s="47"/>
      <c r="AH158" s="47"/>
      <c r="AI158" s="46"/>
      <c r="AJ158" s="46"/>
      <c r="AK158" s="46"/>
      <c r="AL158" s="7"/>
      <c r="AM158" s="49" t="str">
        <f aca="false">IF(OR(C158="",G158=""),"",IFERROR(DATEDIF(C158,G158,"m"),""))</f>
        <v/>
      </c>
      <c r="AN158" s="49" t="str">
        <f aca="false">IF(OR(Q158="",AM158=""),"",60+2*Q158-AM158)</f>
        <v/>
      </c>
      <c r="AO158" s="49" t="str">
        <f aca="false">IF(OR(G158="",AJ158=""),"",AJ158-G158)</f>
        <v/>
      </c>
      <c r="AP158" s="50" t="str">
        <f aca="false">IF(AND(A158="",B158=""),"",IF(J158="","Status needed",IF(OR(J158="Applied",J158="Visit booked",J158="Withdrawn"),"OK",IF(G158="","Date assessed needed",IF(C158="","Date of birth needed",IF(COUNTA(L158,M158,P158,U158,V158,X158,AB158)&lt;7,"Band missing",IF(AND(OR(J158="Decision confirmed",J158="Family told",J158="Enrolled"),AG158=""),"Recommendation needed",IF(AND(OR(J158="Family told",J158="Enrolled"),AJ158=""),"Date family told needed","OK"))))))))</f>
        <v/>
      </c>
    </row>
    <row r="159" customFormat="false" ht="15" hidden="false" customHeight="false" outlineLevel="0" collapsed="false">
      <c r="A159" s="7"/>
      <c r="B159" s="7"/>
      <c r="C159" s="46"/>
      <c r="D159" s="7"/>
      <c r="E159" s="47"/>
      <c r="F159" s="46"/>
      <c r="G159" s="46"/>
      <c r="H159" s="7"/>
      <c r="I159" s="7"/>
      <c r="J159" s="47"/>
      <c r="K159" s="47"/>
      <c r="L159" s="47"/>
      <c r="M159" s="47"/>
      <c r="N159" s="10"/>
      <c r="O159" s="47"/>
      <c r="P159" s="47"/>
      <c r="Q159" s="47"/>
      <c r="R159" s="48" t="str">
        <f aca="false">IF(Q159="","",IF(Q159=0,"below 5:00",IF(Q159&gt;=66,"16:00 or above",INT((60+2*Q159)/12)&amp;":"&amp;TEXT(MOD(60+2*Q159,12),"00"))))</f>
        <v/>
      </c>
      <c r="S159" s="47"/>
      <c r="T159" s="47"/>
      <c r="U159" s="47"/>
      <c r="V159" s="47"/>
      <c r="W159" s="47"/>
      <c r="X159" s="47"/>
      <c r="Y159" s="47"/>
      <c r="Z159" s="47"/>
      <c r="AA159" s="47"/>
      <c r="AB159" s="47"/>
      <c r="AC159" s="47"/>
      <c r="AD159" s="47"/>
      <c r="AE159" s="47"/>
      <c r="AF159" s="47"/>
      <c r="AG159" s="47"/>
      <c r="AH159" s="47"/>
      <c r="AI159" s="46"/>
      <c r="AJ159" s="46"/>
      <c r="AK159" s="46"/>
      <c r="AL159" s="7"/>
      <c r="AM159" s="49" t="str">
        <f aca="false">IF(OR(C159="",G159=""),"",IFERROR(DATEDIF(C159,G159,"m"),""))</f>
        <v/>
      </c>
      <c r="AN159" s="49" t="str">
        <f aca="false">IF(OR(Q159="",AM159=""),"",60+2*Q159-AM159)</f>
        <v/>
      </c>
      <c r="AO159" s="49" t="str">
        <f aca="false">IF(OR(G159="",AJ159=""),"",AJ159-G159)</f>
        <v/>
      </c>
      <c r="AP159" s="50" t="str">
        <f aca="false">IF(AND(A159="",B159=""),"",IF(J159="","Status needed",IF(OR(J159="Applied",J159="Visit booked",J159="Withdrawn"),"OK",IF(G159="","Date assessed needed",IF(C159="","Date of birth needed",IF(COUNTA(L159,M159,P159,U159,V159,X159,AB159)&lt;7,"Band missing",IF(AND(OR(J159="Decision confirmed",J159="Family told",J159="Enrolled"),AG159=""),"Recommendation needed",IF(AND(OR(J159="Family told",J159="Enrolled"),AJ159=""),"Date family told needed","OK"))))))))</f>
        <v/>
      </c>
    </row>
    <row r="160" customFormat="false" ht="15" hidden="false" customHeight="false" outlineLevel="0" collapsed="false">
      <c r="A160" s="7"/>
      <c r="B160" s="7"/>
      <c r="C160" s="46"/>
      <c r="D160" s="7"/>
      <c r="E160" s="47"/>
      <c r="F160" s="46"/>
      <c r="G160" s="46"/>
      <c r="H160" s="7"/>
      <c r="I160" s="7"/>
      <c r="J160" s="47"/>
      <c r="K160" s="47"/>
      <c r="L160" s="47"/>
      <c r="M160" s="47"/>
      <c r="N160" s="10"/>
      <c r="O160" s="47"/>
      <c r="P160" s="47"/>
      <c r="Q160" s="47"/>
      <c r="R160" s="48" t="str">
        <f aca="false">IF(Q160="","",IF(Q160=0,"below 5:00",IF(Q160&gt;=66,"16:00 or above",INT((60+2*Q160)/12)&amp;":"&amp;TEXT(MOD(60+2*Q160,12),"00"))))</f>
        <v/>
      </c>
      <c r="S160" s="47"/>
      <c r="T160" s="47"/>
      <c r="U160" s="47"/>
      <c r="V160" s="47"/>
      <c r="W160" s="47"/>
      <c r="X160" s="47"/>
      <c r="Y160" s="47"/>
      <c r="Z160" s="47"/>
      <c r="AA160" s="47"/>
      <c r="AB160" s="47"/>
      <c r="AC160" s="47"/>
      <c r="AD160" s="47"/>
      <c r="AE160" s="47"/>
      <c r="AF160" s="47"/>
      <c r="AG160" s="47"/>
      <c r="AH160" s="47"/>
      <c r="AI160" s="46"/>
      <c r="AJ160" s="46"/>
      <c r="AK160" s="46"/>
      <c r="AL160" s="7"/>
      <c r="AM160" s="49" t="str">
        <f aca="false">IF(OR(C160="",G160=""),"",IFERROR(DATEDIF(C160,G160,"m"),""))</f>
        <v/>
      </c>
      <c r="AN160" s="49" t="str">
        <f aca="false">IF(OR(Q160="",AM160=""),"",60+2*Q160-AM160)</f>
        <v/>
      </c>
      <c r="AO160" s="49" t="str">
        <f aca="false">IF(OR(G160="",AJ160=""),"",AJ160-G160)</f>
        <v/>
      </c>
      <c r="AP160" s="50" t="str">
        <f aca="false">IF(AND(A160="",B160=""),"",IF(J160="","Status needed",IF(OR(J160="Applied",J160="Visit booked",J160="Withdrawn"),"OK",IF(G160="","Date assessed needed",IF(C160="","Date of birth needed",IF(COUNTA(L160,M160,P160,U160,V160,X160,AB160)&lt;7,"Band missing",IF(AND(OR(J160="Decision confirmed",J160="Family told",J160="Enrolled"),AG160=""),"Recommendation needed",IF(AND(OR(J160="Family told",J160="Enrolled"),AJ160=""),"Date family told needed","OK"))))))))</f>
        <v/>
      </c>
    </row>
    <row r="161" customFormat="false" ht="15" hidden="false" customHeight="false" outlineLevel="0" collapsed="false">
      <c r="A161" s="7"/>
      <c r="B161" s="7"/>
      <c r="C161" s="46"/>
      <c r="D161" s="7"/>
      <c r="E161" s="47"/>
      <c r="F161" s="46"/>
      <c r="G161" s="46"/>
      <c r="H161" s="7"/>
      <c r="I161" s="7"/>
      <c r="J161" s="47"/>
      <c r="K161" s="47"/>
      <c r="L161" s="47"/>
      <c r="M161" s="47"/>
      <c r="N161" s="10"/>
      <c r="O161" s="47"/>
      <c r="P161" s="47"/>
      <c r="Q161" s="47"/>
      <c r="R161" s="48" t="str">
        <f aca="false">IF(Q161="","",IF(Q161=0,"below 5:00",IF(Q161&gt;=66,"16:00 or above",INT((60+2*Q161)/12)&amp;":"&amp;TEXT(MOD(60+2*Q161,12),"00"))))</f>
        <v/>
      </c>
      <c r="S161" s="47"/>
      <c r="T161" s="47"/>
      <c r="U161" s="47"/>
      <c r="V161" s="47"/>
      <c r="W161" s="47"/>
      <c r="X161" s="47"/>
      <c r="Y161" s="47"/>
      <c r="Z161" s="47"/>
      <c r="AA161" s="47"/>
      <c r="AB161" s="47"/>
      <c r="AC161" s="47"/>
      <c r="AD161" s="47"/>
      <c r="AE161" s="47"/>
      <c r="AF161" s="47"/>
      <c r="AG161" s="47"/>
      <c r="AH161" s="47"/>
      <c r="AI161" s="46"/>
      <c r="AJ161" s="46"/>
      <c r="AK161" s="46"/>
      <c r="AL161" s="7"/>
      <c r="AM161" s="49" t="str">
        <f aca="false">IF(OR(C161="",G161=""),"",IFERROR(DATEDIF(C161,G161,"m"),""))</f>
        <v/>
      </c>
      <c r="AN161" s="49" t="str">
        <f aca="false">IF(OR(Q161="",AM161=""),"",60+2*Q161-AM161)</f>
        <v/>
      </c>
      <c r="AO161" s="49" t="str">
        <f aca="false">IF(OR(G161="",AJ161=""),"",AJ161-G161)</f>
        <v/>
      </c>
      <c r="AP161" s="50" t="str">
        <f aca="false">IF(AND(A161="",B161=""),"",IF(J161="","Status needed",IF(OR(J161="Applied",J161="Visit booked",J161="Withdrawn"),"OK",IF(G161="","Date assessed needed",IF(C161="","Date of birth needed",IF(COUNTA(L161,M161,P161,U161,V161,X161,AB161)&lt;7,"Band missing",IF(AND(OR(J161="Decision confirmed",J161="Family told",J161="Enrolled"),AG161=""),"Recommendation needed",IF(AND(OR(J161="Family told",J161="Enrolled"),AJ161=""),"Date family told needed","OK"))))))))</f>
        <v/>
      </c>
    </row>
    <row r="162" customFormat="false" ht="15" hidden="false" customHeight="false" outlineLevel="0" collapsed="false">
      <c r="A162" s="7"/>
      <c r="B162" s="7"/>
      <c r="C162" s="46"/>
      <c r="D162" s="7"/>
      <c r="E162" s="47"/>
      <c r="F162" s="46"/>
      <c r="G162" s="46"/>
      <c r="H162" s="7"/>
      <c r="I162" s="7"/>
      <c r="J162" s="47"/>
      <c r="K162" s="47"/>
      <c r="L162" s="47"/>
      <c r="M162" s="47"/>
      <c r="N162" s="10"/>
      <c r="O162" s="47"/>
      <c r="P162" s="47"/>
      <c r="Q162" s="47"/>
      <c r="R162" s="48" t="str">
        <f aca="false">IF(Q162="","",IF(Q162=0,"below 5:00",IF(Q162&gt;=66,"16:00 or above",INT((60+2*Q162)/12)&amp;":"&amp;TEXT(MOD(60+2*Q162,12),"00"))))</f>
        <v/>
      </c>
      <c r="S162" s="47"/>
      <c r="T162" s="47"/>
      <c r="U162" s="47"/>
      <c r="V162" s="47"/>
      <c r="W162" s="47"/>
      <c r="X162" s="47"/>
      <c r="Y162" s="47"/>
      <c r="Z162" s="47"/>
      <c r="AA162" s="47"/>
      <c r="AB162" s="47"/>
      <c r="AC162" s="47"/>
      <c r="AD162" s="47"/>
      <c r="AE162" s="47"/>
      <c r="AF162" s="47"/>
      <c r="AG162" s="47"/>
      <c r="AH162" s="47"/>
      <c r="AI162" s="46"/>
      <c r="AJ162" s="46"/>
      <c r="AK162" s="46"/>
      <c r="AL162" s="7"/>
      <c r="AM162" s="49" t="str">
        <f aca="false">IF(OR(C162="",G162=""),"",IFERROR(DATEDIF(C162,G162,"m"),""))</f>
        <v/>
      </c>
      <c r="AN162" s="49" t="str">
        <f aca="false">IF(OR(Q162="",AM162=""),"",60+2*Q162-AM162)</f>
        <v/>
      </c>
      <c r="AO162" s="49" t="str">
        <f aca="false">IF(OR(G162="",AJ162=""),"",AJ162-G162)</f>
        <v/>
      </c>
      <c r="AP162" s="50" t="str">
        <f aca="false">IF(AND(A162="",B162=""),"",IF(J162="","Status needed",IF(OR(J162="Applied",J162="Visit booked",J162="Withdrawn"),"OK",IF(G162="","Date assessed needed",IF(C162="","Date of birth needed",IF(COUNTA(L162,M162,P162,U162,V162,X162,AB162)&lt;7,"Band missing",IF(AND(OR(J162="Decision confirmed",J162="Family told",J162="Enrolled"),AG162=""),"Recommendation needed",IF(AND(OR(J162="Family told",J162="Enrolled"),AJ162=""),"Date family told needed","OK"))))))))</f>
        <v/>
      </c>
    </row>
    <row r="163" customFormat="false" ht="15" hidden="false" customHeight="false" outlineLevel="0" collapsed="false">
      <c r="A163" s="7"/>
      <c r="B163" s="7"/>
      <c r="C163" s="46"/>
      <c r="D163" s="7"/>
      <c r="E163" s="47"/>
      <c r="F163" s="46"/>
      <c r="G163" s="46"/>
      <c r="H163" s="7"/>
      <c r="I163" s="7"/>
      <c r="J163" s="47"/>
      <c r="K163" s="47"/>
      <c r="L163" s="47"/>
      <c r="M163" s="47"/>
      <c r="N163" s="10"/>
      <c r="O163" s="47"/>
      <c r="P163" s="47"/>
      <c r="Q163" s="47"/>
      <c r="R163" s="48" t="str">
        <f aca="false">IF(Q163="","",IF(Q163=0,"below 5:00",IF(Q163&gt;=66,"16:00 or above",INT((60+2*Q163)/12)&amp;":"&amp;TEXT(MOD(60+2*Q163,12),"00"))))</f>
        <v/>
      </c>
      <c r="S163" s="47"/>
      <c r="T163" s="47"/>
      <c r="U163" s="47"/>
      <c r="V163" s="47"/>
      <c r="W163" s="47"/>
      <c r="X163" s="47"/>
      <c r="Y163" s="47"/>
      <c r="Z163" s="47"/>
      <c r="AA163" s="47"/>
      <c r="AB163" s="47"/>
      <c r="AC163" s="47"/>
      <c r="AD163" s="47"/>
      <c r="AE163" s="47"/>
      <c r="AF163" s="47"/>
      <c r="AG163" s="47"/>
      <c r="AH163" s="47"/>
      <c r="AI163" s="46"/>
      <c r="AJ163" s="46"/>
      <c r="AK163" s="46"/>
      <c r="AL163" s="7"/>
      <c r="AM163" s="49" t="str">
        <f aca="false">IF(OR(C163="",G163=""),"",IFERROR(DATEDIF(C163,G163,"m"),""))</f>
        <v/>
      </c>
      <c r="AN163" s="49" t="str">
        <f aca="false">IF(OR(Q163="",AM163=""),"",60+2*Q163-AM163)</f>
        <v/>
      </c>
      <c r="AO163" s="49" t="str">
        <f aca="false">IF(OR(G163="",AJ163=""),"",AJ163-G163)</f>
        <v/>
      </c>
      <c r="AP163" s="50" t="str">
        <f aca="false">IF(AND(A163="",B163=""),"",IF(J163="","Status needed",IF(OR(J163="Applied",J163="Visit booked",J163="Withdrawn"),"OK",IF(G163="","Date assessed needed",IF(C163="","Date of birth needed",IF(COUNTA(L163,M163,P163,U163,V163,X163,AB163)&lt;7,"Band missing",IF(AND(OR(J163="Decision confirmed",J163="Family told",J163="Enrolled"),AG163=""),"Recommendation needed",IF(AND(OR(J163="Family told",J163="Enrolled"),AJ163=""),"Date family told needed","OK"))))))))</f>
        <v/>
      </c>
    </row>
    <row r="164" customFormat="false" ht="15" hidden="false" customHeight="false" outlineLevel="0" collapsed="false">
      <c r="A164" s="7"/>
      <c r="B164" s="7"/>
      <c r="C164" s="46"/>
      <c r="D164" s="7"/>
      <c r="E164" s="47"/>
      <c r="F164" s="46"/>
      <c r="G164" s="46"/>
      <c r="H164" s="7"/>
      <c r="I164" s="7"/>
      <c r="J164" s="47"/>
      <c r="K164" s="47"/>
      <c r="L164" s="47"/>
      <c r="M164" s="47"/>
      <c r="N164" s="10"/>
      <c r="O164" s="47"/>
      <c r="P164" s="47"/>
      <c r="Q164" s="47"/>
      <c r="R164" s="48" t="str">
        <f aca="false">IF(Q164="","",IF(Q164=0,"below 5:00",IF(Q164&gt;=66,"16:00 or above",INT((60+2*Q164)/12)&amp;":"&amp;TEXT(MOD(60+2*Q164,12),"00"))))</f>
        <v/>
      </c>
      <c r="S164" s="47"/>
      <c r="T164" s="47"/>
      <c r="U164" s="47"/>
      <c r="V164" s="47"/>
      <c r="W164" s="47"/>
      <c r="X164" s="47"/>
      <c r="Y164" s="47"/>
      <c r="Z164" s="47"/>
      <c r="AA164" s="47"/>
      <c r="AB164" s="47"/>
      <c r="AC164" s="47"/>
      <c r="AD164" s="47"/>
      <c r="AE164" s="47"/>
      <c r="AF164" s="47"/>
      <c r="AG164" s="47"/>
      <c r="AH164" s="47"/>
      <c r="AI164" s="46"/>
      <c r="AJ164" s="46"/>
      <c r="AK164" s="46"/>
      <c r="AL164" s="7"/>
      <c r="AM164" s="49" t="str">
        <f aca="false">IF(OR(C164="",G164=""),"",IFERROR(DATEDIF(C164,G164,"m"),""))</f>
        <v/>
      </c>
      <c r="AN164" s="49" t="str">
        <f aca="false">IF(OR(Q164="",AM164=""),"",60+2*Q164-AM164)</f>
        <v/>
      </c>
      <c r="AO164" s="49" t="str">
        <f aca="false">IF(OR(G164="",AJ164=""),"",AJ164-G164)</f>
        <v/>
      </c>
      <c r="AP164" s="50" t="str">
        <f aca="false">IF(AND(A164="",B164=""),"",IF(J164="","Status needed",IF(OR(J164="Applied",J164="Visit booked",J164="Withdrawn"),"OK",IF(G164="","Date assessed needed",IF(C164="","Date of birth needed",IF(COUNTA(L164,M164,P164,U164,V164,X164,AB164)&lt;7,"Band missing",IF(AND(OR(J164="Decision confirmed",J164="Family told",J164="Enrolled"),AG164=""),"Recommendation needed",IF(AND(OR(J164="Family told",J164="Enrolled"),AJ164=""),"Date family told needed","OK"))))))))</f>
        <v/>
      </c>
    </row>
    <row r="165" customFormat="false" ht="15" hidden="false" customHeight="false" outlineLevel="0" collapsed="false">
      <c r="A165" s="7"/>
      <c r="B165" s="7"/>
      <c r="C165" s="46"/>
      <c r="D165" s="7"/>
      <c r="E165" s="47"/>
      <c r="F165" s="46"/>
      <c r="G165" s="46"/>
      <c r="H165" s="7"/>
      <c r="I165" s="7"/>
      <c r="J165" s="47"/>
      <c r="K165" s="47"/>
      <c r="L165" s="47"/>
      <c r="M165" s="47"/>
      <c r="N165" s="10"/>
      <c r="O165" s="47"/>
      <c r="P165" s="47"/>
      <c r="Q165" s="47"/>
      <c r="R165" s="48" t="str">
        <f aca="false">IF(Q165="","",IF(Q165=0,"below 5:00",IF(Q165&gt;=66,"16:00 or above",INT((60+2*Q165)/12)&amp;":"&amp;TEXT(MOD(60+2*Q165,12),"00"))))</f>
        <v/>
      </c>
      <c r="S165" s="47"/>
      <c r="T165" s="47"/>
      <c r="U165" s="47"/>
      <c r="V165" s="47"/>
      <c r="W165" s="47"/>
      <c r="X165" s="47"/>
      <c r="Y165" s="47"/>
      <c r="Z165" s="47"/>
      <c r="AA165" s="47"/>
      <c r="AB165" s="47"/>
      <c r="AC165" s="47"/>
      <c r="AD165" s="47"/>
      <c r="AE165" s="47"/>
      <c r="AF165" s="47"/>
      <c r="AG165" s="47"/>
      <c r="AH165" s="47"/>
      <c r="AI165" s="46"/>
      <c r="AJ165" s="46"/>
      <c r="AK165" s="46"/>
      <c r="AL165" s="7"/>
      <c r="AM165" s="49" t="str">
        <f aca="false">IF(OR(C165="",G165=""),"",IFERROR(DATEDIF(C165,G165,"m"),""))</f>
        <v/>
      </c>
      <c r="AN165" s="49" t="str">
        <f aca="false">IF(OR(Q165="",AM165=""),"",60+2*Q165-AM165)</f>
        <v/>
      </c>
      <c r="AO165" s="49" t="str">
        <f aca="false">IF(OR(G165="",AJ165=""),"",AJ165-G165)</f>
        <v/>
      </c>
      <c r="AP165" s="50" t="str">
        <f aca="false">IF(AND(A165="",B165=""),"",IF(J165="","Status needed",IF(OR(J165="Applied",J165="Visit booked",J165="Withdrawn"),"OK",IF(G165="","Date assessed needed",IF(C165="","Date of birth needed",IF(COUNTA(L165,M165,P165,U165,V165,X165,AB165)&lt;7,"Band missing",IF(AND(OR(J165="Decision confirmed",J165="Family told",J165="Enrolled"),AG165=""),"Recommendation needed",IF(AND(OR(J165="Family told",J165="Enrolled"),AJ165=""),"Date family told needed","OK"))))))))</f>
        <v/>
      </c>
    </row>
    <row r="166" customFormat="false" ht="15" hidden="false" customHeight="false" outlineLevel="0" collapsed="false">
      <c r="A166" s="7"/>
      <c r="B166" s="7"/>
      <c r="C166" s="46"/>
      <c r="D166" s="7"/>
      <c r="E166" s="47"/>
      <c r="F166" s="46"/>
      <c r="G166" s="46"/>
      <c r="H166" s="7"/>
      <c r="I166" s="7"/>
      <c r="J166" s="47"/>
      <c r="K166" s="47"/>
      <c r="L166" s="47"/>
      <c r="M166" s="47"/>
      <c r="N166" s="10"/>
      <c r="O166" s="47"/>
      <c r="P166" s="47"/>
      <c r="Q166" s="47"/>
      <c r="R166" s="48" t="str">
        <f aca="false">IF(Q166="","",IF(Q166=0,"below 5:00",IF(Q166&gt;=66,"16:00 or above",INT((60+2*Q166)/12)&amp;":"&amp;TEXT(MOD(60+2*Q166,12),"00"))))</f>
        <v/>
      </c>
      <c r="S166" s="47"/>
      <c r="T166" s="47"/>
      <c r="U166" s="47"/>
      <c r="V166" s="47"/>
      <c r="W166" s="47"/>
      <c r="X166" s="47"/>
      <c r="Y166" s="47"/>
      <c r="Z166" s="47"/>
      <c r="AA166" s="47"/>
      <c r="AB166" s="47"/>
      <c r="AC166" s="47"/>
      <c r="AD166" s="47"/>
      <c r="AE166" s="47"/>
      <c r="AF166" s="47"/>
      <c r="AG166" s="47"/>
      <c r="AH166" s="47"/>
      <c r="AI166" s="46"/>
      <c r="AJ166" s="46"/>
      <c r="AK166" s="46"/>
      <c r="AL166" s="7"/>
      <c r="AM166" s="49" t="str">
        <f aca="false">IF(OR(C166="",G166=""),"",IFERROR(DATEDIF(C166,G166,"m"),""))</f>
        <v/>
      </c>
      <c r="AN166" s="49" t="str">
        <f aca="false">IF(OR(Q166="",AM166=""),"",60+2*Q166-AM166)</f>
        <v/>
      </c>
      <c r="AO166" s="49" t="str">
        <f aca="false">IF(OR(G166="",AJ166=""),"",AJ166-G166)</f>
        <v/>
      </c>
      <c r="AP166" s="50" t="str">
        <f aca="false">IF(AND(A166="",B166=""),"",IF(J166="","Status needed",IF(OR(J166="Applied",J166="Visit booked",J166="Withdrawn"),"OK",IF(G166="","Date assessed needed",IF(C166="","Date of birth needed",IF(COUNTA(L166,M166,P166,U166,V166,X166,AB166)&lt;7,"Band missing",IF(AND(OR(J166="Decision confirmed",J166="Family told",J166="Enrolled"),AG166=""),"Recommendation needed",IF(AND(OR(J166="Family told",J166="Enrolled"),AJ166=""),"Date family told needed","OK"))))))))</f>
        <v/>
      </c>
    </row>
    <row r="167" customFormat="false" ht="15" hidden="false" customHeight="false" outlineLevel="0" collapsed="false">
      <c r="A167" s="7"/>
      <c r="B167" s="7"/>
      <c r="C167" s="46"/>
      <c r="D167" s="7"/>
      <c r="E167" s="47"/>
      <c r="F167" s="46"/>
      <c r="G167" s="46"/>
      <c r="H167" s="7"/>
      <c r="I167" s="7"/>
      <c r="J167" s="47"/>
      <c r="K167" s="47"/>
      <c r="L167" s="47"/>
      <c r="M167" s="47"/>
      <c r="N167" s="10"/>
      <c r="O167" s="47"/>
      <c r="P167" s="47"/>
      <c r="Q167" s="47"/>
      <c r="R167" s="48" t="str">
        <f aca="false">IF(Q167="","",IF(Q167=0,"below 5:00",IF(Q167&gt;=66,"16:00 or above",INT((60+2*Q167)/12)&amp;":"&amp;TEXT(MOD(60+2*Q167,12),"00"))))</f>
        <v/>
      </c>
      <c r="S167" s="47"/>
      <c r="T167" s="47"/>
      <c r="U167" s="47"/>
      <c r="V167" s="47"/>
      <c r="W167" s="47"/>
      <c r="X167" s="47"/>
      <c r="Y167" s="47"/>
      <c r="Z167" s="47"/>
      <c r="AA167" s="47"/>
      <c r="AB167" s="47"/>
      <c r="AC167" s="47"/>
      <c r="AD167" s="47"/>
      <c r="AE167" s="47"/>
      <c r="AF167" s="47"/>
      <c r="AG167" s="47"/>
      <c r="AH167" s="47"/>
      <c r="AI167" s="46"/>
      <c r="AJ167" s="46"/>
      <c r="AK167" s="46"/>
      <c r="AL167" s="7"/>
      <c r="AM167" s="49" t="str">
        <f aca="false">IF(OR(C167="",G167=""),"",IFERROR(DATEDIF(C167,G167,"m"),""))</f>
        <v/>
      </c>
      <c r="AN167" s="49" t="str">
        <f aca="false">IF(OR(Q167="",AM167=""),"",60+2*Q167-AM167)</f>
        <v/>
      </c>
      <c r="AO167" s="49" t="str">
        <f aca="false">IF(OR(G167="",AJ167=""),"",AJ167-G167)</f>
        <v/>
      </c>
      <c r="AP167" s="50" t="str">
        <f aca="false">IF(AND(A167="",B167=""),"",IF(J167="","Status needed",IF(OR(J167="Applied",J167="Visit booked",J167="Withdrawn"),"OK",IF(G167="","Date assessed needed",IF(C167="","Date of birth needed",IF(COUNTA(L167,M167,P167,U167,V167,X167,AB167)&lt;7,"Band missing",IF(AND(OR(J167="Decision confirmed",J167="Family told",J167="Enrolled"),AG167=""),"Recommendation needed",IF(AND(OR(J167="Family told",J167="Enrolled"),AJ167=""),"Date family told needed","OK"))))))))</f>
        <v/>
      </c>
    </row>
    <row r="168" customFormat="false" ht="15" hidden="false" customHeight="false" outlineLevel="0" collapsed="false">
      <c r="A168" s="7"/>
      <c r="B168" s="7"/>
      <c r="C168" s="46"/>
      <c r="D168" s="7"/>
      <c r="E168" s="47"/>
      <c r="F168" s="46"/>
      <c r="G168" s="46"/>
      <c r="H168" s="7"/>
      <c r="I168" s="7"/>
      <c r="J168" s="47"/>
      <c r="K168" s="47"/>
      <c r="L168" s="47"/>
      <c r="M168" s="47"/>
      <c r="N168" s="10"/>
      <c r="O168" s="47"/>
      <c r="P168" s="47"/>
      <c r="Q168" s="47"/>
      <c r="R168" s="48" t="str">
        <f aca="false">IF(Q168="","",IF(Q168=0,"below 5:00",IF(Q168&gt;=66,"16:00 or above",INT((60+2*Q168)/12)&amp;":"&amp;TEXT(MOD(60+2*Q168,12),"00"))))</f>
        <v/>
      </c>
      <c r="S168" s="47"/>
      <c r="T168" s="47"/>
      <c r="U168" s="47"/>
      <c r="V168" s="47"/>
      <c r="W168" s="47"/>
      <c r="X168" s="47"/>
      <c r="Y168" s="47"/>
      <c r="Z168" s="47"/>
      <c r="AA168" s="47"/>
      <c r="AB168" s="47"/>
      <c r="AC168" s="47"/>
      <c r="AD168" s="47"/>
      <c r="AE168" s="47"/>
      <c r="AF168" s="47"/>
      <c r="AG168" s="47"/>
      <c r="AH168" s="47"/>
      <c r="AI168" s="46"/>
      <c r="AJ168" s="46"/>
      <c r="AK168" s="46"/>
      <c r="AL168" s="7"/>
      <c r="AM168" s="49" t="str">
        <f aca="false">IF(OR(C168="",G168=""),"",IFERROR(DATEDIF(C168,G168,"m"),""))</f>
        <v/>
      </c>
      <c r="AN168" s="49" t="str">
        <f aca="false">IF(OR(Q168="",AM168=""),"",60+2*Q168-AM168)</f>
        <v/>
      </c>
      <c r="AO168" s="49" t="str">
        <f aca="false">IF(OR(G168="",AJ168=""),"",AJ168-G168)</f>
        <v/>
      </c>
      <c r="AP168" s="50" t="str">
        <f aca="false">IF(AND(A168="",B168=""),"",IF(J168="","Status needed",IF(OR(J168="Applied",J168="Visit booked",J168="Withdrawn"),"OK",IF(G168="","Date assessed needed",IF(C168="","Date of birth needed",IF(COUNTA(L168,M168,P168,U168,V168,X168,AB168)&lt;7,"Band missing",IF(AND(OR(J168="Decision confirmed",J168="Family told",J168="Enrolled"),AG168=""),"Recommendation needed",IF(AND(OR(J168="Family told",J168="Enrolled"),AJ168=""),"Date family told needed","OK"))))))))</f>
        <v/>
      </c>
    </row>
    <row r="169" customFormat="false" ht="15" hidden="false" customHeight="false" outlineLevel="0" collapsed="false">
      <c r="A169" s="7"/>
      <c r="B169" s="7"/>
      <c r="C169" s="46"/>
      <c r="D169" s="7"/>
      <c r="E169" s="47"/>
      <c r="F169" s="46"/>
      <c r="G169" s="46"/>
      <c r="H169" s="7"/>
      <c r="I169" s="7"/>
      <c r="J169" s="47"/>
      <c r="K169" s="47"/>
      <c r="L169" s="47"/>
      <c r="M169" s="47"/>
      <c r="N169" s="10"/>
      <c r="O169" s="47"/>
      <c r="P169" s="47"/>
      <c r="Q169" s="47"/>
      <c r="R169" s="48" t="str">
        <f aca="false">IF(Q169="","",IF(Q169=0,"below 5:00",IF(Q169&gt;=66,"16:00 or above",INT((60+2*Q169)/12)&amp;":"&amp;TEXT(MOD(60+2*Q169,12),"00"))))</f>
        <v/>
      </c>
      <c r="S169" s="47"/>
      <c r="T169" s="47"/>
      <c r="U169" s="47"/>
      <c r="V169" s="47"/>
      <c r="W169" s="47"/>
      <c r="X169" s="47"/>
      <c r="Y169" s="47"/>
      <c r="Z169" s="47"/>
      <c r="AA169" s="47"/>
      <c r="AB169" s="47"/>
      <c r="AC169" s="47"/>
      <c r="AD169" s="47"/>
      <c r="AE169" s="47"/>
      <c r="AF169" s="47"/>
      <c r="AG169" s="47"/>
      <c r="AH169" s="47"/>
      <c r="AI169" s="46"/>
      <c r="AJ169" s="46"/>
      <c r="AK169" s="46"/>
      <c r="AL169" s="7"/>
      <c r="AM169" s="49" t="str">
        <f aca="false">IF(OR(C169="",G169=""),"",IFERROR(DATEDIF(C169,G169,"m"),""))</f>
        <v/>
      </c>
      <c r="AN169" s="49" t="str">
        <f aca="false">IF(OR(Q169="",AM169=""),"",60+2*Q169-AM169)</f>
        <v/>
      </c>
      <c r="AO169" s="49" t="str">
        <f aca="false">IF(OR(G169="",AJ169=""),"",AJ169-G169)</f>
        <v/>
      </c>
      <c r="AP169" s="50" t="str">
        <f aca="false">IF(AND(A169="",B169=""),"",IF(J169="","Status needed",IF(OR(J169="Applied",J169="Visit booked",J169="Withdrawn"),"OK",IF(G169="","Date assessed needed",IF(C169="","Date of birth needed",IF(COUNTA(L169,M169,P169,U169,V169,X169,AB169)&lt;7,"Band missing",IF(AND(OR(J169="Decision confirmed",J169="Family told",J169="Enrolled"),AG169=""),"Recommendation needed",IF(AND(OR(J169="Family told",J169="Enrolled"),AJ169=""),"Date family told needed","OK"))))))))</f>
        <v/>
      </c>
    </row>
    <row r="170" customFormat="false" ht="15" hidden="false" customHeight="false" outlineLevel="0" collapsed="false">
      <c r="A170" s="7"/>
      <c r="B170" s="7"/>
      <c r="C170" s="46"/>
      <c r="D170" s="7"/>
      <c r="E170" s="47"/>
      <c r="F170" s="46"/>
      <c r="G170" s="46"/>
      <c r="H170" s="7"/>
      <c r="I170" s="7"/>
      <c r="J170" s="47"/>
      <c r="K170" s="47"/>
      <c r="L170" s="47"/>
      <c r="M170" s="47"/>
      <c r="N170" s="10"/>
      <c r="O170" s="47"/>
      <c r="P170" s="47"/>
      <c r="Q170" s="47"/>
      <c r="R170" s="48" t="str">
        <f aca="false">IF(Q170="","",IF(Q170=0,"below 5:00",IF(Q170&gt;=66,"16:00 or above",INT((60+2*Q170)/12)&amp;":"&amp;TEXT(MOD(60+2*Q170,12),"00"))))</f>
        <v/>
      </c>
      <c r="S170" s="47"/>
      <c r="T170" s="47"/>
      <c r="U170" s="47"/>
      <c r="V170" s="47"/>
      <c r="W170" s="47"/>
      <c r="X170" s="47"/>
      <c r="Y170" s="47"/>
      <c r="Z170" s="47"/>
      <c r="AA170" s="47"/>
      <c r="AB170" s="47"/>
      <c r="AC170" s="47"/>
      <c r="AD170" s="47"/>
      <c r="AE170" s="47"/>
      <c r="AF170" s="47"/>
      <c r="AG170" s="47"/>
      <c r="AH170" s="47"/>
      <c r="AI170" s="46"/>
      <c r="AJ170" s="46"/>
      <c r="AK170" s="46"/>
      <c r="AL170" s="7"/>
      <c r="AM170" s="49" t="str">
        <f aca="false">IF(OR(C170="",G170=""),"",IFERROR(DATEDIF(C170,G170,"m"),""))</f>
        <v/>
      </c>
      <c r="AN170" s="49" t="str">
        <f aca="false">IF(OR(Q170="",AM170=""),"",60+2*Q170-AM170)</f>
        <v/>
      </c>
      <c r="AO170" s="49" t="str">
        <f aca="false">IF(OR(G170="",AJ170=""),"",AJ170-G170)</f>
        <v/>
      </c>
      <c r="AP170" s="50" t="str">
        <f aca="false">IF(AND(A170="",B170=""),"",IF(J170="","Status needed",IF(OR(J170="Applied",J170="Visit booked",J170="Withdrawn"),"OK",IF(G170="","Date assessed needed",IF(C170="","Date of birth needed",IF(COUNTA(L170,M170,P170,U170,V170,X170,AB170)&lt;7,"Band missing",IF(AND(OR(J170="Decision confirmed",J170="Family told",J170="Enrolled"),AG170=""),"Recommendation needed",IF(AND(OR(J170="Family told",J170="Enrolled"),AJ170=""),"Date family told needed","OK"))))))))</f>
        <v/>
      </c>
    </row>
    <row r="171" customFormat="false" ht="15" hidden="false" customHeight="false" outlineLevel="0" collapsed="false">
      <c r="A171" s="7"/>
      <c r="B171" s="7"/>
      <c r="C171" s="46"/>
      <c r="D171" s="7"/>
      <c r="E171" s="47"/>
      <c r="F171" s="46"/>
      <c r="G171" s="46"/>
      <c r="H171" s="7"/>
      <c r="I171" s="7"/>
      <c r="J171" s="47"/>
      <c r="K171" s="47"/>
      <c r="L171" s="47"/>
      <c r="M171" s="47"/>
      <c r="N171" s="10"/>
      <c r="O171" s="47"/>
      <c r="P171" s="47"/>
      <c r="Q171" s="47"/>
      <c r="R171" s="48" t="str">
        <f aca="false">IF(Q171="","",IF(Q171=0,"below 5:00",IF(Q171&gt;=66,"16:00 or above",INT((60+2*Q171)/12)&amp;":"&amp;TEXT(MOD(60+2*Q171,12),"00"))))</f>
        <v/>
      </c>
      <c r="S171" s="47"/>
      <c r="T171" s="47"/>
      <c r="U171" s="47"/>
      <c r="V171" s="47"/>
      <c r="W171" s="47"/>
      <c r="X171" s="47"/>
      <c r="Y171" s="47"/>
      <c r="Z171" s="47"/>
      <c r="AA171" s="47"/>
      <c r="AB171" s="47"/>
      <c r="AC171" s="47"/>
      <c r="AD171" s="47"/>
      <c r="AE171" s="47"/>
      <c r="AF171" s="47"/>
      <c r="AG171" s="47"/>
      <c r="AH171" s="47"/>
      <c r="AI171" s="46"/>
      <c r="AJ171" s="46"/>
      <c r="AK171" s="46"/>
      <c r="AL171" s="7"/>
      <c r="AM171" s="49" t="str">
        <f aca="false">IF(OR(C171="",G171=""),"",IFERROR(DATEDIF(C171,G171,"m"),""))</f>
        <v/>
      </c>
      <c r="AN171" s="49" t="str">
        <f aca="false">IF(OR(Q171="",AM171=""),"",60+2*Q171-AM171)</f>
        <v/>
      </c>
      <c r="AO171" s="49" t="str">
        <f aca="false">IF(OR(G171="",AJ171=""),"",AJ171-G171)</f>
        <v/>
      </c>
      <c r="AP171" s="50" t="str">
        <f aca="false">IF(AND(A171="",B171=""),"",IF(J171="","Status needed",IF(OR(J171="Applied",J171="Visit booked",J171="Withdrawn"),"OK",IF(G171="","Date assessed needed",IF(C171="","Date of birth needed",IF(COUNTA(L171,M171,P171,U171,V171,X171,AB171)&lt;7,"Band missing",IF(AND(OR(J171="Decision confirmed",J171="Family told",J171="Enrolled"),AG171=""),"Recommendation needed",IF(AND(OR(J171="Family told",J171="Enrolled"),AJ171=""),"Date family told needed","OK"))))))))</f>
        <v/>
      </c>
    </row>
    <row r="172" customFormat="false" ht="15" hidden="false" customHeight="false" outlineLevel="0" collapsed="false">
      <c r="A172" s="7"/>
      <c r="B172" s="7"/>
      <c r="C172" s="46"/>
      <c r="D172" s="7"/>
      <c r="E172" s="47"/>
      <c r="F172" s="46"/>
      <c r="G172" s="46"/>
      <c r="H172" s="7"/>
      <c r="I172" s="7"/>
      <c r="J172" s="47"/>
      <c r="K172" s="47"/>
      <c r="L172" s="47"/>
      <c r="M172" s="47"/>
      <c r="N172" s="10"/>
      <c r="O172" s="47"/>
      <c r="P172" s="47"/>
      <c r="Q172" s="47"/>
      <c r="R172" s="48" t="str">
        <f aca="false">IF(Q172="","",IF(Q172=0,"below 5:00",IF(Q172&gt;=66,"16:00 or above",INT((60+2*Q172)/12)&amp;":"&amp;TEXT(MOD(60+2*Q172,12),"00"))))</f>
        <v/>
      </c>
      <c r="S172" s="47"/>
      <c r="T172" s="47"/>
      <c r="U172" s="47"/>
      <c r="V172" s="47"/>
      <c r="W172" s="47"/>
      <c r="X172" s="47"/>
      <c r="Y172" s="47"/>
      <c r="Z172" s="47"/>
      <c r="AA172" s="47"/>
      <c r="AB172" s="47"/>
      <c r="AC172" s="47"/>
      <c r="AD172" s="47"/>
      <c r="AE172" s="47"/>
      <c r="AF172" s="47"/>
      <c r="AG172" s="47"/>
      <c r="AH172" s="47"/>
      <c r="AI172" s="46"/>
      <c r="AJ172" s="46"/>
      <c r="AK172" s="46"/>
      <c r="AL172" s="7"/>
      <c r="AM172" s="49" t="str">
        <f aca="false">IF(OR(C172="",G172=""),"",IFERROR(DATEDIF(C172,G172,"m"),""))</f>
        <v/>
      </c>
      <c r="AN172" s="49" t="str">
        <f aca="false">IF(OR(Q172="",AM172=""),"",60+2*Q172-AM172)</f>
        <v/>
      </c>
      <c r="AO172" s="49" t="str">
        <f aca="false">IF(OR(G172="",AJ172=""),"",AJ172-G172)</f>
        <v/>
      </c>
      <c r="AP172" s="50" t="str">
        <f aca="false">IF(AND(A172="",B172=""),"",IF(J172="","Status needed",IF(OR(J172="Applied",J172="Visit booked",J172="Withdrawn"),"OK",IF(G172="","Date assessed needed",IF(C172="","Date of birth needed",IF(COUNTA(L172,M172,P172,U172,V172,X172,AB172)&lt;7,"Band missing",IF(AND(OR(J172="Decision confirmed",J172="Family told",J172="Enrolled"),AG172=""),"Recommendation needed",IF(AND(OR(J172="Family told",J172="Enrolled"),AJ172=""),"Date family told needed","OK"))))))))</f>
        <v/>
      </c>
    </row>
    <row r="173" customFormat="false" ht="15" hidden="false" customHeight="false" outlineLevel="0" collapsed="false">
      <c r="A173" s="7"/>
      <c r="B173" s="7"/>
      <c r="C173" s="46"/>
      <c r="D173" s="7"/>
      <c r="E173" s="47"/>
      <c r="F173" s="46"/>
      <c r="G173" s="46"/>
      <c r="H173" s="7"/>
      <c r="I173" s="7"/>
      <c r="J173" s="47"/>
      <c r="K173" s="47"/>
      <c r="L173" s="47"/>
      <c r="M173" s="47"/>
      <c r="N173" s="10"/>
      <c r="O173" s="47"/>
      <c r="P173" s="47"/>
      <c r="Q173" s="47"/>
      <c r="R173" s="48" t="str">
        <f aca="false">IF(Q173="","",IF(Q173=0,"below 5:00",IF(Q173&gt;=66,"16:00 or above",INT((60+2*Q173)/12)&amp;":"&amp;TEXT(MOD(60+2*Q173,12),"00"))))</f>
        <v/>
      </c>
      <c r="S173" s="47"/>
      <c r="T173" s="47"/>
      <c r="U173" s="47"/>
      <c r="V173" s="47"/>
      <c r="W173" s="47"/>
      <c r="X173" s="47"/>
      <c r="Y173" s="47"/>
      <c r="Z173" s="47"/>
      <c r="AA173" s="47"/>
      <c r="AB173" s="47"/>
      <c r="AC173" s="47"/>
      <c r="AD173" s="47"/>
      <c r="AE173" s="47"/>
      <c r="AF173" s="47"/>
      <c r="AG173" s="47"/>
      <c r="AH173" s="47"/>
      <c r="AI173" s="46"/>
      <c r="AJ173" s="46"/>
      <c r="AK173" s="46"/>
      <c r="AL173" s="7"/>
      <c r="AM173" s="49" t="str">
        <f aca="false">IF(OR(C173="",G173=""),"",IFERROR(DATEDIF(C173,G173,"m"),""))</f>
        <v/>
      </c>
      <c r="AN173" s="49" t="str">
        <f aca="false">IF(OR(Q173="",AM173=""),"",60+2*Q173-AM173)</f>
        <v/>
      </c>
      <c r="AO173" s="49" t="str">
        <f aca="false">IF(OR(G173="",AJ173=""),"",AJ173-G173)</f>
        <v/>
      </c>
      <c r="AP173" s="50" t="str">
        <f aca="false">IF(AND(A173="",B173=""),"",IF(J173="","Status needed",IF(OR(J173="Applied",J173="Visit booked",J173="Withdrawn"),"OK",IF(G173="","Date assessed needed",IF(C173="","Date of birth needed",IF(COUNTA(L173,M173,P173,U173,V173,X173,AB173)&lt;7,"Band missing",IF(AND(OR(J173="Decision confirmed",J173="Family told",J173="Enrolled"),AG173=""),"Recommendation needed",IF(AND(OR(J173="Family told",J173="Enrolled"),AJ173=""),"Date family told needed","OK"))))))))</f>
        <v/>
      </c>
    </row>
    <row r="174" customFormat="false" ht="15" hidden="false" customHeight="false" outlineLevel="0" collapsed="false">
      <c r="A174" s="7"/>
      <c r="B174" s="7"/>
      <c r="C174" s="46"/>
      <c r="D174" s="7"/>
      <c r="E174" s="47"/>
      <c r="F174" s="46"/>
      <c r="G174" s="46"/>
      <c r="H174" s="7"/>
      <c r="I174" s="7"/>
      <c r="J174" s="47"/>
      <c r="K174" s="47"/>
      <c r="L174" s="47"/>
      <c r="M174" s="47"/>
      <c r="N174" s="10"/>
      <c r="O174" s="47"/>
      <c r="P174" s="47"/>
      <c r="Q174" s="47"/>
      <c r="R174" s="48" t="str">
        <f aca="false">IF(Q174="","",IF(Q174=0,"below 5:00",IF(Q174&gt;=66,"16:00 or above",INT((60+2*Q174)/12)&amp;":"&amp;TEXT(MOD(60+2*Q174,12),"00"))))</f>
        <v/>
      </c>
      <c r="S174" s="47"/>
      <c r="T174" s="47"/>
      <c r="U174" s="47"/>
      <c r="V174" s="47"/>
      <c r="W174" s="47"/>
      <c r="X174" s="47"/>
      <c r="Y174" s="47"/>
      <c r="Z174" s="47"/>
      <c r="AA174" s="47"/>
      <c r="AB174" s="47"/>
      <c r="AC174" s="47"/>
      <c r="AD174" s="47"/>
      <c r="AE174" s="47"/>
      <c r="AF174" s="47"/>
      <c r="AG174" s="47"/>
      <c r="AH174" s="47"/>
      <c r="AI174" s="46"/>
      <c r="AJ174" s="46"/>
      <c r="AK174" s="46"/>
      <c r="AL174" s="7"/>
      <c r="AM174" s="49" t="str">
        <f aca="false">IF(OR(C174="",G174=""),"",IFERROR(DATEDIF(C174,G174,"m"),""))</f>
        <v/>
      </c>
      <c r="AN174" s="49" t="str">
        <f aca="false">IF(OR(Q174="",AM174=""),"",60+2*Q174-AM174)</f>
        <v/>
      </c>
      <c r="AO174" s="49" t="str">
        <f aca="false">IF(OR(G174="",AJ174=""),"",AJ174-G174)</f>
        <v/>
      </c>
      <c r="AP174" s="50" t="str">
        <f aca="false">IF(AND(A174="",B174=""),"",IF(J174="","Status needed",IF(OR(J174="Applied",J174="Visit booked",J174="Withdrawn"),"OK",IF(G174="","Date assessed needed",IF(C174="","Date of birth needed",IF(COUNTA(L174,M174,P174,U174,V174,X174,AB174)&lt;7,"Band missing",IF(AND(OR(J174="Decision confirmed",J174="Family told",J174="Enrolled"),AG174=""),"Recommendation needed",IF(AND(OR(J174="Family told",J174="Enrolled"),AJ174=""),"Date family told needed","OK"))))))))</f>
        <v/>
      </c>
    </row>
    <row r="175" customFormat="false" ht="15" hidden="false" customHeight="false" outlineLevel="0" collapsed="false">
      <c r="A175" s="7"/>
      <c r="B175" s="7"/>
      <c r="C175" s="46"/>
      <c r="D175" s="7"/>
      <c r="E175" s="47"/>
      <c r="F175" s="46"/>
      <c r="G175" s="46"/>
      <c r="H175" s="7"/>
      <c r="I175" s="7"/>
      <c r="J175" s="47"/>
      <c r="K175" s="47"/>
      <c r="L175" s="47"/>
      <c r="M175" s="47"/>
      <c r="N175" s="10"/>
      <c r="O175" s="47"/>
      <c r="P175" s="47"/>
      <c r="Q175" s="47"/>
      <c r="R175" s="48" t="str">
        <f aca="false">IF(Q175="","",IF(Q175=0,"below 5:00",IF(Q175&gt;=66,"16:00 or above",INT((60+2*Q175)/12)&amp;":"&amp;TEXT(MOD(60+2*Q175,12),"00"))))</f>
        <v/>
      </c>
      <c r="S175" s="47"/>
      <c r="T175" s="47"/>
      <c r="U175" s="47"/>
      <c r="V175" s="47"/>
      <c r="W175" s="47"/>
      <c r="X175" s="47"/>
      <c r="Y175" s="47"/>
      <c r="Z175" s="47"/>
      <c r="AA175" s="47"/>
      <c r="AB175" s="47"/>
      <c r="AC175" s="47"/>
      <c r="AD175" s="47"/>
      <c r="AE175" s="47"/>
      <c r="AF175" s="47"/>
      <c r="AG175" s="47"/>
      <c r="AH175" s="47"/>
      <c r="AI175" s="46"/>
      <c r="AJ175" s="46"/>
      <c r="AK175" s="46"/>
      <c r="AL175" s="7"/>
      <c r="AM175" s="49" t="str">
        <f aca="false">IF(OR(C175="",G175=""),"",IFERROR(DATEDIF(C175,G175,"m"),""))</f>
        <v/>
      </c>
      <c r="AN175" s="49" t="str">
        <f aca="false">IF(OR(Q175="",AM175=""),"",60+2*Q175-AM175)</f>
        <v/>
      </c>
      <c r="AO175" s="49" t="str">
        <f aca="false">IF(OR(G175="",AJ175=""),"",AJ175-G175)</f>
        <v/>
      </c>
      <c r="AP175" s="50" t="str">
        <f aca="false">IF(AND(A175="",B175=""),"",IF(J175="","Status needed",IF(OR(J175="Applied",J175="Visit booked",J175="Withdrawn"),"OK",IF(G175="","Date assessed needed",IF(C175="","Date of birth needed",IF(COUNTA(L175,M175,P175,U175,V175,X175,AB175)&lt;7,"Band missing",IF(AND(OR(J175="Decision confirmed",J175="Family told",J175="Enrolled"),AG175=""),"Recommendation needed",IF(AND(OR(J175="Family told",J175="Enrolled"),AJ175=""),"Date family told needed","OK"))))))))</f>
        <v/>
      </c>
    </row>
    <row r="176" customFormat="false" ht="15" hidden="false" customHeight="false" outlineLevel="0" collapsed="false">
      <c r="A176" s="7"/>
      <c r="B176" s="7"/>
      <c r="C176" s="46"/>
      <c r="D176" s="7"/>
      <c r="E176" s="47"/>
      <c r="F176" s="46"/>
      <c r="G176" s="46"/>
      <c r="H176" s="7"/>
      <c r="I176" s="7"/>
      <c r="J176" s="47"/>
      <c r="K176" s="47"/>
      <c r="L176" s="47"/>
      <c r="M176" s="47"/>
      <c r="N176" s="10"/>
      <c r="O176" s="47"/>
      <c r="P176" s="47"/>
      <c r="Q176" s="47"/>
      <c r="R176" s="48" t="str">
        <f aca="false">IF(Q176="","",IF(Q176=0,"below 5:00",IF(Q176&gt;=66,"16:00 or above",INT((60+2*Q176)/12)&amp;":"&amp;TEXT(MOD(60+2*Q176,12),"00"))))</f>
        <v/>
      </c>
      <c r="S176" s="47"/>
      <c r="T176" s="47"/>
      <c r="U176" s="47"/>
      <c r="V176" s="47"/>
      <c r="W176" s="47"/>
      <c r="X176" s="47"/>
      <c r="Y176" s="47"/>
      <c r="Z176" s="47"/>
      <c r="AA176" s="47"/>
      <c r="AB176" s="47"/>
      <c r="AC176" s="47"/>
      <c r="AD176" s="47"/>
      <c r="AE176" s="47"/>
      <c r="AF176" s="47"/>
      <c r="AG176" s="47"/>
      <c r="AH176" s="47"/>
      <c r="AI176" s="46"/>
      <c r="AJ176" s="46"/>
      <c r="AK176" s="46"/>
      <c r="AL176" s="7"/>
      <c r="AM176" s="49" t="str">
        <f aca="false">IF(OR(C176="",G176=""),"",IFERROR(DATEDIF(C176,G176,"m"),""))</f>
        <v/>
      </c>
      <c r="AN176" s="49" t="str">
        <f aca="false">IF(OR(Q176="",AM176=""),"",60+2*Q176-AM176)</f>
        <v/>
      </c>
      <c r="AO176" s="49" t="str">
        <f aca="false">IF(OR(G176="",AJ176=""),"",AJ176-G176)</f>
        <v/>
      </c>
      <c r="AP176" s="50" t="str">
        <f aca="false">IF(AND(A176="",B176=""),"",IF(J176="","Status needed",IF(OR(J176="Applied",J176="Visit booked",J176="Withdrawn"),"OK",IF(G176="","Date assessed needed",IF(C176="","Date of birth needed",IF(COUNTA(L176,M176,P176,U176,V176,X176,AB176)&lt;7,"Band missing",IF(AND(OR(J176="Decision confirmed",J176="Family told",J176="Enrolled"),AG176=""),"Recommendation needed",IF(AND(OR(J176="Family told",J176="Enrolled"),AJ176=""),"Date family told needed","OK"))))))))</f>
        <v/>
      </c>
    </row>
    <row r="177" customFormat="false" ht="15" hidden="false" customHeight="false" outlineLevel="0" collapsed="false">
      <c r="A177" s="7"/>
      <c r="B177" s="7"/>
      <c r="C177" s="46"/>
      <c r="D177" s="7"/>
      <c r="E177" s="47"/>
      <c r="F177" s="46"/>
      <c r="G177" s="46"/>
      <c r="H177" s="7"/>
      <c r="I177" s="7"/>
      <c r="J177" s="47"/>
      <c r="K177" s="47"/>
      <c r="L177" s="47"/>
      <c r="M177" s="47"/>
      <c r="N177" s="10"/>
      <c r="O177" s="47"/>
      <c r="P177" s="47"/>
      <c r="Q177" s="47"/>
      <c r="R177" s="48" t="str">
        <f aca="false">IF(Q177="","",IF(Q177=0,"below 5:00",IF(Q177&gt;=66,"16:00 or above",INT((60+2*Q177)/12)&amp;":"&amp;TEXT(MOD(60+2*Q177,12),"00"))))</f>
        <v/>
      </c>
      <c r="S177" s="47"/>
      <c r="T177" s="47"/>
      <c r="U177" s="47"/>
      <c r="V177" s="47"/>
      <c r="W177" s="47"/>
      <c r="X177" s="47"/>
      <c r="Y177" s="47"/>
      <c r="Z177" s="47"/>
      <c r="AA177" s="47"/>
      <c r="AB177" s="47"/>
      <c r="AC177" s="47"/>
      <c r="AD177" s="47"/>
      <c r="AE177" s="47"/>
      <c r="AF177" s="47"/>
      <c r="AG177" s="47"/>
      <c r="AH177" s="47"/>
      <c r="AI177" s="46"/>
      <c r="AJ177" s="46"/>
      <c r="AK177" s="46"/>
      <c r="AL177" s="7"/>
      <c r="AM177" s="49" t="str">
        <f aca="false">IF(OR(C177="",G177=""),"",IFERROR(DATEDIF(C177,G177,"m"),""))</f>
        <v/>
      </c>
      <c r="AN177" s="49" t="str">
        <f aca="false">IF(OR(Q177="",AM177=""),"",60+2*Q177-AM177)</f>
        <v/>
      </c>
      <c r="AO177" s="49" t="str">
        <f aca="false">IF(OR(G177="",AJ177=""),"",AJ177-G177)</f>
        <v/>
      </c>
      <c r="AP177" s="50" t="str">
        <f aca="false">IF(AND(A177="",B177=""),"",IF(J177="","Status needed",IF(OR(J177="Applied",J177="Visit booked",J177="Withdrawn"),"OK",IF(G177="","Date assessed needed",IF(C177="","Date of birth needed",IF(COUNTA(L177,M177,P177,U177,V177,X177,AB177)&lt;7,"Band missing",IF(AND(OR(J177="Decision confirmed",J177="Family told",J177="Enrolled"),AG177=""),"Recommendation needed",IF(AND(OR(J177="Family told",J177="Enrolled"),AJ177=""),"Date family told needed","OK"))))))))</f>
        <v/>
      </c>
    </row>
    <row r="178" customFormat="false" ht="15" hidden="false" customHeight="false" outlineLevel="0" collapsed="false">
      <c r="A178" s="7"/>
      <c r="B178" s="7"/>
      <c r="C178" s="46"/>
      <c r="D178" s="7"/>
      <c r="E178" s="47"/>
      <c r="F178" s="46"/>
      <c r="G178" s="46"/>
      <c r="H178" s="7"/>
      <c r="I178" s="7"/>
      <c r="J178" s="47"/>
      <c r="K178" s="47"/>
      <c r="L178" s="47"/>
      <c r="M178" s="47"/>
      <c r="N178" s="10"/>
      <c r="O178" s="47"/>
      <c r="P178" s="47"/>
      <c r="Q178" s="47"/>
      <c r="R178" s="48" t="str">
        <f aca="false">IF(Q178="","",IF(Q178=0,"below 5:00",IF(Q178&gt;=66,"16:00 or above",INT((60+2*Q178)/12)&amp;":"&amp;TEXT(MOD(60+2*Q178,12),"00"))))</f>
        <v/>
      </c>
      <c r="S178" s="47"/>
      <c r="T178" s="47"/>
      <c r="U178" s="47"/>
      <c r="V178" s="47"/>
      <c r="W178" s="47"/>
      <c r="X178" s="47"/>
      <c r="Y178" s="47"/>
      <c r="Z178" s="47"/>
      <c r="AA178" s="47"/>
      <c r="AB178" s="47"/>
      <c r="AC178" s="47"/>
      <c r="AD178" s="47"/>
      <c r="AE178" s="47"/>
      <c r="AF178" s="47"/>
      <c r="AG178" s="47"/>
      <c r="AH178" s="47"/>
      <c r="AI178" s="46"/>
      <c r="AJ178" s="46"/>
      <c r="AK178" s="46"/>
      <c r="AL178" s="7"/>
      <c r="AM178" s="49" t="str">
        <f aca="false">IF(OR(C178="",G178=""),"",IFERROR(DATEDIF(C178,G178,"m"),""))</f>
        <v/>
      </c>
      <c r="AN178" s="49" t="str">
        <f aca="false">IF(OR(Q178="",AM178=""),"",60+2*Q178-AM178)</f>
        <v/>
      </c>
      <c r="AO178" s="49" t="str">
        <f aca="false">IF(OR(G178="",AJ178=""),"",AJ178-G178)</f>
        <v/>
      </c>
      <c r="AP178" s="50" t="str">
        <f aca="false">IF(AND(A178="",B178=""),"",IF(J178="","Status needed",IF(OR(J178="Applied",J178="Visit booked",J178="Withdrawn"),"OK",IF(G178="","Date assessed needed",IF(C178="","Date of birth needed",IF(COUNTA(L178,M178,P178,U178,V178,X178,AB178)&lt;7,"Band missing",IF(AND(OR(J178="Decision confirmed",J178="Family told",J178="Enrolled"),AG178=""),"Recommendation needed",IF(AND(OR(J178="Family told",J178="Enrolled"),AJ178=""),"Date family told needed","OK"))))))))</f>
        <v/>
      </c>
    </row>
    <row r="179" customFormat="false" ht="15" hidden="false" customHeight="false" outlineLevel="0" collapsed="false">
      <c r="A179" s="7"/>
      <c r="B179" s="7"/>
      <c r="C179" s="46"/>
      <c r="D179" s="7"/>
      <c r="E179" s="47"/>
      <c r="F179" s="46"/>
      <c r="G179" s="46"/>
      <c r="H179" s="7"/>
      <c r="I179" s="7"/>
      <c r="J179" s="47"/>
      <c r="K179" s="47"/>
      <c r="L179" s="47"/>
      <c r="M179" s="47"/>
      <c r="N179" s="10"/>
      <c r="O179" s="47"/>
      <c r="P179" s="47"/>
      <c r="Q179" s="47"/>
      <c r="R179" s="48" t="str">
        <f aca="false">IF(Q179="","",IF(Q179=0,"below 5:00",IF(Q179&gt;=66,"16:00 or above",INT((60+2*Q179)/12)&amp;":"&amp;TEXT(MOD(60+2*Q179,12),"00"))))</f>
        <v/>
      </c>
      <c r="S179" s="47"/>
      <c r="T179" s="47"/>
      <c r="U179" s="47"/>
      <c r="V179" s="47"/>
      <c r="W179" s="47"/>
      <c r="X179" s="47"/>
      <c r="Y179" s="47"/>
      <c r="Z179" s="47"/>
      <c r="AA179" s="47"/>
      <c r="AB179" s="47"/>
      <c r="AC179" s="47"/>
      <c r="AD179" s="47"/>
      <c r="AE179" s="47"/>
      <c r="AF179" s="47"/>
      <c r="AG179" s="47"/>
      <c r="AH179" s="47"/>
      <c r="AI179" s="46"/>
      <c r="AJ179" s="46"/>
      <c r="AK179" s="46"/>
      <c r="AL179" s="7"/>
      <c r="AM179" s="49" t="str">
        <f aca="false">IF(OR(C179="",G179=""),"",IFERROR(DATEDIF(C179,G179,"m"),""))</f>
        <v/>
      </c>
      <c r="AN179" s="49" t="str">
        <f aca="false">IF(OR(Q179="",AM179=""),"",60+2*Q179-AM179)</f>
        <v/>
      </c>
      <c r="AO179" s="49" t="str">
        <f aca="false">IF(OR(G179="",AJ179=""),"",AJ179-G179)</f>
        <v/>
      </c>
      <c r="AP179" s="50" t="str">
        <f aca="false">IF(AND(A179="",B179=""),"",IF(J179="","Status needed",IF(OR(J179="Applied",J179="Visit booked",J179="Withdrawn"),"OK",IF(G179="","Date assessed needed",IF(C179="","Date of birth needed",IF(COUNTA(L179,M179,P179,U179,V179,X179,AB179)&lt;7,"Band missing",IF(AND(OR(J179="Decision confirmed",J179="Family told",J179="Enrolled"),AG179=""),"Recommendation needed",IF(AND(OR(J179="Family told",J179="Enrolled"),AJ179=""),"Date family told needed","OK"))))))))</f>
        <v/>
      </c>
    </row>
    <row r="180" customFormat="false" ht="15" hidden="false" customHeight="false" outlineLevel="0" collapsed="false">
      <c r="A180" s="7"/>
      <c r="B180" s="7"/>
      <c r="C180" s="46"/>
      <c r="D180" s="7"/>
      <c r="E180" s="47"/>
      <c r="F180" s="46"/>
      <c r="G180" s="46"/>
      <c r="H180" s="7"/>
      <c r="I180" s="7"/>
      <c r="J180" s="47"/>
      <c r="K180" s="47"/>
      <c r="L180" s="47"/>
      <c r="M180" s="47"/>
      <c r="N180" s="10"/>
      <c r="O180" s="47"/>
      <c r="P180" s="47"/>
      <c r="Q180" s="47"/>
      <c r="R180" s="48" t="str">
        <f aca="false">IF(Q180="","",IF(Q180=0,"below 5:00",IF(Q180&gt;=66,"16:00 or above",INT((60+2*Q180)/12)&amp;":"&amp;TEXT(MOD(60+2*Q180,12),"00"))))</f>
        <v/>
      </c>
      <c r="S180" s="47"/>
      <c r="T180" s="47"/>
      <c r="U180" s="47"/>
      <c r="V180" s="47"/>
      <c r="W180" s="47"/>
      <c r="X180" s="47"/>
      <c r="Y180" s="47"/>
      <c r="Z180" s="47"/>
      <c r="AA180" s="47"/>
      <c r="AB180" s="47"/>
      <c r="AC180" s="47"/>
      <c r="AD180" s="47"/>
      <c r="AE180" s="47"/>
      <c r="AF180" s="47"/>
      <c r="AG180" s="47"/>
      <c r="AH180" s="47"/>
      <c r="AI180" s="46"/>
      <c r="AJ180" s="46"/>
      <c r="AK180" s="46"/>
      <c r="AL180" s="7"/>
      <c r="AM180" s="49" t="str">
        <f aca="false">IF(OR(C180="",G180=""),"",IFERROR(DATEDIF(C180,G180,"m"),""))</f>
        <v/>
      </c>
      <c r="AN180" s="49" t="str">
        <f aca="false">IF(OR(Q180="",AM180=""),"",60+2*Q180-AM180)</f>
        <v/>
      </c>
      <c r="AO180" s="49" t="str">
        <f aca="false">IF(OR(G180="",AJ180=""),"",AJ180-G180)</f>
        <v/>
      </c>
      <c r="AP180" s="50" t="str">
        <f aca="false">IF(AND(A180="",B180=""),"",IF(J180="","Status needed",IF(OR(J180="Applied",J180="Visit booked",J180="Withdrawn"),"OK",IF(G180="","Date assessed needed",IF(C180="","Date of birth needed",IF(COUNTA(L180,M180,P180,U180,V180,X180,AB180)&lt;7,"Band missing",IF(AND(OR(J180="Decision confirmed",J180="Family told",J180="Enrolled"),AG180=""),"Recommendation needed",IF(AND(OR(J180="Family told",J180="Enrolled"),AJ180=""),"Date family told needed","OK"))))))))</f>
        <v/>
      </c>
    </row>
    <row r="181" customFormat="false" ht="15" hidden="false" customHeight="false" outlineLevel="0" collapsed="false">
      <c r="A181" s="7"/>
      <c r="B181" s="7"/>
      <c r="C181" s="46"/>
      <c r="D181" s="7"/>
      <c r="E181" s="47"/>
      <c r="F181" s="46"/>
      <c r="G181" s="46"/>
      <c r="H181" s="7"/>
      <c r="I181" s="7"/>
      <c r="J181" s="47"/>
      <c r="K181" s="47"/>
      <c r="L181" s="47"/>
      <c r="M181" s="47"/>
      <c r="N181" s="10"/>
      <c r="O181" s="47"/>
      <c r="P181" s="47"/>
      <c r="Q181" s="47"/>
      <c r="R181" s="48" t="str">
        <f aca="false">IF(Q181="","",IF(Q181=0,"below 5:00",IF(Q181&gt;=66,"16:00 or above",INT((60+2*Q181)/12)&amp;":"&amp;TEXT(MOD(60+2*Q181,12),"00"))))</f>
        <v/>
      </c>
      <c r="S181" s="47"/>
      <c r="T181" s="47"/>
      <c r="U181" s="47"/>
      <c r="V181" s="47"/>
      <c r="W181" s="47"/>
      <c r="X181" s="47"/>
      <c r="Y181" s="47"/>
      <c r="Z181" s="47"/>
      <c r="AA181" s="47"/>
      <c r="AB181" s="47"/>
      <c r="AC181" s="47"/>
      <c r="AD181" s="47"/>
      <c r="AE181" s="47"/>
      <c r="AF181" s="47"/>
      <c r="AG181" s="47"/>
      <c r="AH181" s="47"/>
      <c r="AI181" s="46"/>
      <c r="AJ181" s="46"/>
      <c r="AK181" s="46"/>
      <c r="AL181" s="7"/>
      <c r="AM181" s="49" t="str">
        <f aca="false">IF(OR(C181="",G181=""),"",IFERROR(DATEDIF(C181,G181,"m"),""))</f>
        <v/>
      </c>
      <c r="AN181" s="49" t="str">
        <f aca="false">IF(OR(Q181="",AM181=""),"",60+2*Q181-AM181)</f>
        <v/>
      </c>
      <c r="AO181" s="49" t="str">
        <f aca="false">IF(OR(G181="",AJ181=""),"",AJ181-G181)</f>
        <v/>
      </c>
      <c r="AP181" s="50" t="str">
        <f aca="false">IF(AND(A181="",B181=""),"",IF(J181="","Status needed",IF(OR(J181="Applied",J181="Visit booked",J181="Withdrawn"),"OK",IF(G181="","Date assessed needed",IF(C181="","Date of birth needed",IF(COUNTA(L181,M181,P181,U181,V181,X181,AB181)&lt;7,"Band missing",IF(AND(OR(J181="Decision confirmed",J181="Family told",J181="Enrolled"),AG181=""),"Recommendation needed",IF(AND(OR(J181="Family told",J181="Enrolled"),AJ181=""),"Date family told needed","OK"))))))))</f>
        <v/>
      </c>
    </row>
    <row r="182" customFormat="false" ht="15" hidden="false" customHeight="false" outlineLevel="0" collapsed="false">
      <c r="A182" s="7"/>
      <c r="B182" s="7"/>
      <c r="C182" s="46"/>
      <c r="D182" s="7"/>
      <c r="E182" s="47"/>
      <c r="F182" s="46"/>
      <c r="G182" s="46"/>
      <c r="H182" s="7"/>
      <c r="I182" s="7"/>
      <c r="J182" s="47"/>
      <c r="K182" s="47"/>
      <c r="L182" s="47"/>
      <c r="M182" s="47"/>
      <c r="N182" s="10"/>
      <c r="O182" s="47"/>
      <c r="P182" s="47"/>
      <c r="Q182" s="47"/>
      <c r="R182" s="48" t="str">
        <f aca="false">IF(Q182="","",IF(Q182=0,"below 5:00",IF(Q182&gt;=66,"16:00 or above",INT((60+2*Q182)/12)&amp;":"&amp;TEXT(MOD(60+2*Q182,12),"00"))))</f>
        <v/>
      </c>
      <c r="S182" s="47"/>
      <c r="T182" s="47"/>
      <c r="U182" s="47"/>
      <c r="V182" s="47"/>
      <c r="W182" s="47"/>
      <c r="X182" s="47"/>
      <c r="Y182" s="47"/>
      <c r="Z182" s="47"/>
      <c r="AA182" s="47"/>
      <c r="AB182" s="47"/>
      <c r="AC182" s="47"/>
      <c r="AD182" s="47"/>
      <c r="AE182" s="47"/>
      <c r="AF182" s="47"/>
      <c r="AG182" s="47"/>
      <c r="AH182" s="47"/>
      <c r="AI182" s="46"/>
      <c r="AJ182" s="46"/>
      <c r="AK182" s="46"/>
      <c r="AL182" s="7"/>
      <c r="AM182" s="49" t="str">
        <f aca="false">IF(OR(C182="",G182=""),"",IFERROR(DATEDIF(C182,G182,"m"),""))</f>
        <v/>
      </c>
      <c r="AN182" s="49" t="str">
        <f aca="false">IF(OR(Q182="",AM182=""),"",60+2*Q182-AM182)</f>
        <v/>
      </c>
      <c r="AO182" s="49" t="str">
        <f aca="false">IF(OR(G182="",AJ182=""),"",AJ182-G182)</f>
        <v/>
      </c>
      <c r="AP182" s="50" t="str">
        <f aca="false">IF(AND(A182="",B182=""),"",IF(J182="","Status needed",IF(OR(J182="Applied",J182="Visit booked",J182="Withdrawn"),"OK",IF(G182="","Date assessed needed",IF(C182="","Date of birth needed",IF(COUNTA(L182,M182,P182,U182,V182,X182,AB182)&lt;7,"Band missing",IF(AND(OR(J182="Decision confirmed",J182="Family told",J182="Enrolled"),AG182=""),"Recommendation needed",IF(AND(OR(J182="Family told",J182="Enrolled"),AJ182=""),"Date family told needed","OK"))))))))</f>
        <v/>
      </c>
    </row>
    <row r="183" customFormat="false" ht="15" hidden="false" customHeight="false" outlineLevel="0" collapsed="false">
      <c r="A183" s="7"/>
      <c r="B183" s="7"/>
      <c r="C183" s="46"/>
      <c r="D183" s="7"/>
      <c r="E183" s="47"/>
      <c r="F183" s="46"/>
      <c r="G183" s="46"/>
      <c r="H183" s="7"/>
      <c r="I183" s="7"/>
      <c r="J183" s="47"/>
      <c r="K183" s="47"/>
      <c r="L183" s="47"/>
      <c r="M183" s="47"/>
      <c r="N183" s="10"/>
      <c r="O183" s="47"/>
      <c r="P183" s="47"/>
      <c r="Q183" s="47"/>
      <c r="R183" s="48" t="str">
        <f aca="false">IF(Q183="","",IF(Q183=0,"below 5:00",IF(Q183&gt;=66,"16:00 or above",INT((60+2*Q183)/12)&amp;":"&amp;TEXT(MOD(60+2*Q183,12),"00"))))</f>
        <v/>
      </c>
      <c r="S183" s="47"/>
      <c r="T183" s="47"/>
      <c r="U183" s="47"/>
      <c r="V183" s="47"/>
      <c r="W183" s="47"/>
      <c r="X183" s="47"/>
      <c r="Y183" s="47"/>
      <c r="Z183" s="47"/>
      <c r="AA183" s="47"/>
      <c r="AB183" s="47"/>
      <c r="AC183" s="47"/>
      <c r="AD183" s="47"/>
      <c r="AE183" s="47"/>
      <c r="AF183" s="47"/>
      <c r="AG183" s="47"/>
      <c r="AH183" s="47"/>
      <c r="AI183" s="46"/>
      <c r="AJ183" s="46"/>
      <c r="AK183" s="46"/>
      <c r="AL183" s="7"/>
      <c r="AM183" s="49" t="str">
        <f aca="false">IF(OR(C183="",G183=""),"",IFERROR(DATEDIF(C183,G183,"m"),""))</f>
        <v/>
      </c>
      <c r="AN183" s="49" t="str">
        <f aca="false">IF(OR(Q183="",AM183=""),"",60+2*Q183-AM183)</f>
        <v/>
      </c>
      <c r="AO183" s="49" t="str">
        <f aca="false">IF(OR(G183="",AJ183=""),"",AJ183-G183)</f>
        <v/>
      </c>
      <c r="AP183" s="50" t="str">
        <f aca="false">IF(AND(A183="",B183=""),"",IF(J183="","Status needed",IF(OR(J183="Applied",J183="Visit booked",J183="Withdrawn"),"OK",IF(G183="","Date assessed needed",IF(C183="","Date of birth needed",IF(COUNTA(L183,M183,P183,U183,V183,X183,AB183)&lt;7,"Band missing",IF(AND(OR(J183="Decision confirmed",J183="Family told",J183="Enrolled"),AG183=""),"Recommendation needed",IF(AND(OR(J183="Family told",J183="Enrolled"),AJ183=""),"Date family told needed","OK"))))))))</f>
        <v/>
      </c>
    </row>
    <row r="184" customFormat="false" ht="15" hidden="false" customHeight="false" outlineLevel="0" collapsed="false">
      <c r="A184" s="7"/>
      <c r="B184" s="7"/>
      <c r="C184" s="46"/>
      <c r="D184" s="7"/>
      <c r="E184" s="47"/>
      <c r="F184" s="46"/>
      <c r="G184" s="46"/>
      <c r="H184" s="7"/>
      <c r="I184" s="7"/>
      <c r="J184" s="47"/>
      <c r="K184" s="47"/>
      <c r="L184" s="47"/>
      <c r="M184" s="47"/>
      <c r="N184" s="10"/>
      <c r="O184" s="47"/>
      <c r="P184" s="47"/>
      <c r="Q184" s="47"/>
      <c r="R184" s="48" t="str">
        <f aca="false">IF(Q184="","",IF(Q184=0,"below 5:00",IF(Q184&gt;=66,"16:00 or above",INT((60+2*Q184)/12)&amp;":"&amp;TEXT(MOD(60+2*Q184,12),"00"))))</f>
        <v/>
      </c>
      <c r="S184" s="47"/>
      <c r="T184" s="47"/>
      <c r="U184" s="47"/>
      <c r="V184" s="47"/>
      <c r="W184" s="47"/>
      <c r="X184" s="47"/>
      <c r="Y184" s="47"/>
      <c r="Z184" s="47"/>
      <c r="AA184" s="47"/>
      <c r="AB184" s="47"/>
      <c r="AC184" s="47"/>
      <c r="AD184" s="47"/>
      <c r="AE184" s="47"/>
      <c r="AF184" s="47"/>
      <c r="AG184" s="47"/>
      <c r="AH184" s="47"/>
      <c r="AI184" s="46"/>
      <c r="AJ184" s="46"/>
      <c r="AK184" s="46"/>
      <c r="AL184" s="7"/>
      <c r="AM184" s="49" t="str">
        <f aca="false">IF(OR(C184="",G184=""),"",IFERROR(DATEDIF(C184,G184,"m"),""))</f>
        <v/>
      </c>
      <c r="AN184" s="49" t="str">
        <f aca="false">IF(OR(Q184="",AM184=""),"",60+2*Q184-AM184)</f>
        <v/>
      </c>
      <c r="AO184" s="49" t="str">
        <f aca="false">IF(OR(G184="",AJ184=""),"",AJ184-G184)</f>
        <v/>
      </c>
      <c r="AP184" s="50" t="str">
        <f aca="false">IF(AND(A184="",B184=""),"",IF(J184="","Status needed",IF(OR(J184="Applied",J184="Visit booked",J184="Withdrawn"),"OK",IF(G184="","Date assessed needed",IF(C184="","Date of birth needed",IF(COUNTA(L184,M184,P184,U184,V184,X184,AB184)&lt;7,"Band missing",IF(AND(OR(J184="Decision confirmed",J184="Family told",J184="Enrolled"),AG184=""),"Recommendation needed",IF(AND(OR(J184="Family told",J184="Enrolled"),AJ184=""),"Date family told needed","OK"))))))))</f>
        <v/>
      </c>
    </row>
    <row r="185" customFormat="false" ht="15" hidden="false" customHeight="false" outlineLevel="0" collapsed="false">
      <c r="A185" s="7"/>
      <c r="B185" s="7"/>
      <c r="C185" s="46"/>
      <c r="D185" s="7"/>
      <c r="E185" s="47"/>
      <c r="F185" s="46"/>
      <c r="G185" s="46"/>
      <c r="H185" s="7"/>
      <c r="I185" s="7"/>
      <c r="J185" s="47"/>
      <c r="K185" s="47"/>
      <c r="L185" s="47"/>
      <c r="M185" s="47"/>
      <c r="N185" s="10"/>
      <c r="O185" s="47"/>
      <c r="P185" s="47"/>
      <c r="Q185" s="47"/>
      <c r="R185" s="48" t="str">
        <f aca="false">IF(Q185="","",IF(Q185=0,"below 5:00",IF(Q185&gt;=66,"16:00 or above",INT((60+2*Q185)/12)&amp;":"&amp;TEXT(MOD(60+2*Q185,12),"00"))))</f>
        <v/>
      </c>
      <c r="S185" s="47"/>
      <c r="T185" s="47"/>
      <c r="U185" s="47"/>
      <c r="V185" s="47"/>
      <c r="W185" s="47"/>
      <c r="X185" s="47"/>
      <c r="Y185" s="47"/>
      <c r="Z185" s="47"/>
      <c r="AA185" s="47"/>
      <c r="AB185" s="47"/>
      <c r="AC185" s="47"/>
      <c r="AD185" s="47"/>
      <c r="AE185" s="47"/>
      <c r="AF185" s="47"/>
      <c r="AG185" s="47"/>
      <c r="AH185" s="47"/>
      <c r="AI185" s="46"/>
      <c r="AJ185" s="46"/>
      <c r="AK185" s="46"/>
      <c r="AL185" s="7"/>
      <c r="AM185" s="49" t="str">
        <f aca="false">IF(OR(C185="",G185=""),"",IFERROR(DATEDIF(C185,G185,"m"),""))</f>
        <v/>
      </c>
      <c r="AN185" s="49" t="str">
        <f aca="false">IF(OR(Q185="",AM185=""),"",60+2*Q185-AM185)</f>
        <v/>
      </c>
      <c r="AO185" s="49" t="str">
        <f aca="false">IF(OR(G185="",AJ185=""),"",AJ185-G185)</f>
        <v/>
      </c>
      <c r="AP185" s="50" t="str">
        <f aca="false">IF(AND(A185="",B185=""),"",IF(J185="","Status needed",IF(OR(J185="Applied",J185="Visit booked",J185="Withdrawn"),"OK",IF(G185="","Date assessed needed",IF(C185="","Date of birth needed",IF(COUNTA(L185,M185,P185,U185,V185,X185,AB185)&lt;7,"Band missing",IF(AND(OR(J185="Decision confirmed",J185="Family told",J185="Enrolled"),AG185=""),"Recommendation needed",IF(AND(OR(J185="Family told",J185="Enrolled"),AJ185=""),"Date family told needed","OK"))))))))</f>
        <v/>
      </c>
    </row>
    <row r="186" customFormat="false" ht="15" hidden="false" customHeight="false" outlineLevel="0" collapsed="false">
      <c r="A186" s="7"/>
      <c r="B186" s="7"/>
      <c r="C186" s="46"/>
      <c r="D186" s="7"/>
      <c r="E186" s="47"/>
      <c r="F186" s="46"/>
      <c r="G186" s="46"/>
      <c r="H186" s="7"/>
      <c r="I186" s="7"/>
      <c r="J186" s="47"/>
      <c r="K186" s="47"/>
      <c r="L186" s="47"/>
      <c r="M186" s="47"/>
      <c r="N186" s="10"/>
      <c r="O186" s="47"/>
      <c r="P186" s="47"/>
      <c r="Q186" s="47"/>
      <c r="R186" s="48" t="str">
        <f aca="false">IF(Q186="","",IF(Q186=0,"below 5:00",IF(Q186&gt;=66,"16:00 or above",INT((60+2*Q186)/12)&amp;":"&amp;TEXT(MOD(60+2*Q186,12),"00"))))</f>
        <v/>
      </c>
      <c r="S186" s="47"/>
      <c r="T186" s="47"/>
      <c r="U186" s="47"/>
      <c r="V186" s="47"/>
      <c r="W186" s="47"/>
      <c r="X186" s="47"/>
      <c r="Y186" s="47"/>
      <c r="Z186" s="47"/>
      <c r="AA186" s="47"/>
      <c r="AB186" s="47"/>
      <c r="AC186" s="47"/>
      <c r="AD186" s="47"/>
      <c r="AE186" s="47"/>
      <c r="AF186" s="47"/>
      <c r="AG186" s="47"/>
      <c r="AH186" s="47"/>
      <c r="AI186" s="46"/>
      <c r="AJ186" s="46"/>
      <c r="AK186" s="46"/>
      <c r="AL186" s="7"/>
      <c r="AM186" s="49" t="str">
        <f aca="false">IF(OR(C186="",G186=""),"",IFERROR(DATEDIF(C186,G186,"m"),""))</f>
        <v/>
      </c>
      <c r="AN186" s="49" t="str">
        <f aca="false">IF(OR(Q186="",AM186=""),"",60+2*Q186-AM186)</f>
        <v/>
      </c>
      <c r="AO186" s="49" t="str">
        <f aca="false">IF(OR(G186="",AJ186=""),"",AJ186-G186)</f>
        <v/>
      </c>
      <c r="AP186" s="50" t="str">
        <f aca="false">IF(AND(A186="",B186=""),"",IF(J186="","Status needed",IF(OR(J186="Applied",J186="Visit booked",J186="Withdrawn"),"OK",IF(G186="","Date assessed needed",IF(C186="","Date of birth needed",IF(COUNTA(L186,M186,P186,U186,V186,X186,AB186)&lt;7,"Band missing",IF(AND(OR(J186="Decision confirmed",J186="Family told",J186="Enrolled"),AG186=""),"Recommendation needed",IF(AND(OR(J186="Family told",J186="Enrolled"),AJ186=""),"Date family told needed","OK"))))))))</f>
        <v/>
      </c>
    </row>
    <row r="187" customFormat="false" ht="15" hidden="false" customHeight="false" outlineLevel="0" collapsed="false">
      <c r="A187" s="7"/>
      <c r="B187" s="7"/>
      <c r="C187" s="46"/>
      <c r="D187" s="7"/>
      <c r="E187" s="47"/>
      <c r="F187" s="46"/>
      <c r="G187" s="46"/>
      <c r="H187" s="7"/>
      <c r="I187" s="7"/>
      <c r="J187" s="47"/>
      <c r="K187" s="47"/>
      <c r="L187" s="47"/>
      <c r="M187" s="47"/>
      <c r="N187" s="10"/>
      <c r="O187" s="47"/>
      <c r="P187" s="47"/>
      <c r="Q187" s="47"/>
      <c r="R187" s="48" t="str">
        <f aca="false">IF(Q187="","",IF(Q187=0,"below 5:00",IF(Q187&gt;=66,"16:00 or above",INT((60+2*Q187)/12)&amp;":"&amp;TEXT(MOD(60+2*Q187,12),"00"))))</f>
        <v/>
      </c>
      <c r="S187" s="47"/>
      <c r="T187" s="47"/>
      <c r="U187" s="47"/>
      <c r="V187" s="47"/>
      <c r="W187" s="47"/>
      <c r="X187" s="47"/>
      <c r="Y187" s="47"/>
      <c r="Z187" s="47"/>
      <c r="AA187" s="47"/>
      <c r="AB187" s="47"/>
      <c r="AC187" s="47"/>
      <c r="AD187" s="47"/>
      <c r="AE187" s="47"/>
      <c r="AF187" s="47"/>
      <c r="AG187" s="47"/>
      <c r="AH187" s="47"/>
      <c r="AI187" s="46"/>
      <c r="AJ187" s="46"/>
      <c r="AK187" s="46"/>
      <c r="AL187" s="7"/>
      <c r="AM187" s="49" t="str">
        <f aca="false">IF(OR(C187="",G187=""),"",IFERROR(DATEDIF(C187,G187,"m"),""))</f>
        <v/>
      </c>
      <c r="AN187" s="49" t="str">
        <f aca="false">IF(OR(Q187="",AM187=""),"",60+2*Q187-AM187)</f>
        <v/>
      </c>
      <c r="AO187" s="49" t="str">
        <f aca="false">IF(OR(G187="",AJ187=""),"",AJ187-G187)</f>
        <v/>
      </c>
      <c r="AP187" s="50" t="str">
        <f aca="false">IF(AND(A187="",B187=""),"",IF(J187="","Status needed",IF(OR(J187="Applied",J187="Visit booked",J187="Withdrawn"),"OK",IF(G187="","Date assessed needed",IF(C187="","Date of birth needed",IF(COUNTA(L187,M187,P187,U187,V187,X187,AB187)&lt;7,"Band missing",IF(AND(OR(J187="Decision confirmed",J187="Family told",J187="Enrolled"),AG187=""),"Recommendation needed",IF(AND(OR(J187="Family told",J187="Enrolled"),AJ187=""),"Date family told needed","OK"))))))))</f>
        <v/>
      </c>
    </row>
    <row r="188" customFormat="false" ht="15" hidden="false" customHeight="false" outlineLevel="0" collapsed="false">
      <c r="A188" s="7"/>
      <c r="B188" s="7"/>
      <c r="C188" s="46"/>
      <c r="D188" s="7"/>
      <c r="E188" s="47"/>
      <c r="F188" s="46"/>
      <c r="G188" s="46"/>
      <c r="H188" s="7"/>
      <c r="I188" s="7"/>
      <c r="J188" s="47"/>
      <c r="K188" s="47"/>
      <c r="L188" s="47"/>
      <c r="M188" s="47"/>
      <c r="N188" s="10"/>
      <c r="O188" s="47"/>
      <c r="P188" s="47"/>
      <c r="Q188" s="47"/>
      <c r="R188" s="48" t="str">
        <f aca="false">IF(Q188="","",IF(Q188=0,"below 5:00",IF(Q188&gt;=66,"16:00 or above",INT((60+2*Q188)/12)&amp;":"&amp;TEXT(MOD(60+2*Q188,12),"00"))))</f>
        <v/>
      </c>
      <c r="S188" s="47"/>
      <c r="T188" s="47"/>
      <c r="U188" s="47"/>
      <c r="V188" s="47"/>
      <c r="W188" s="47"/>
      <c r="X188" s="47"/>
      <c r="Y188" s="47"/>
      <c r="Z188" s="47"/>
      <c r="AA188" s="47"/>
      <c r="AB188" s="47"/>
      <c r="AC188" s="47"/>
      <c r="AD188" s="47"/>
      <c r="AE188" s="47"/>
      <c r="AF188" s="47"/>
      <c r="AG188" s="47"/>
      <c r="AH188" s="47"/>
      <c r="AI188" s="46"/>
      <c r="AJ188" s="46"/>
      <c r="AK188" s="46"/>
      <c r="AL188" s="7"/>
      <c r="AM188" s="49" t="str">
        <f aca="false">IF(OR(C188="",G188=""),"",IFERROR(DATEDIF(C188,G188,"m"),""))</f>
        <v/>
      </c>
      <c r="AN188" s="49" t="str">
        <f aca="false">IF(OR(Q188="",AM188=""),"",60+2*Q188-AM188)</f>
        <v/>
      </c>
      <c r="AO188" s="49" t="str">
        <f aca="false">IF(OR(G188="",AJ188=""),"",AJ188-G188)</f>
        <v/>
      </c>
      <c r="AP188" s="50" t="str">
        <f aca="false">IF(AND(A188="",B188=""),"",IF(J188="","Status needed",IF(OR(J188="Applied",J188="Visit booked",J188="Withdrawn"),"OK",IF(G188="","Date assessed needed",IF(C188="","Date of birth needed",IF(COUNTA(L188,M188,P188,U188,V188,X188,AB188)&lt;7,"Band missing",IF(AND(OR(J188="Decision confirmed",J188="Family told",J188="Enrolled"),AG188=""),"Recommendation needed",IF(AND(OR(J188="Family told",J188="Enrolled"),AJ188=""),"Date family told needed","OK"))))))))</f>
        <v/>
      </c>
    </row>
    <row r="189" customFormat="false" ht="15" hidden="false" customHeight="false" outlineLevel="0" collapsed="false">
      <c r="A189" s="7"/>
      <c r="B189" s="7"/>
      <c r="C189" s="46"/>
      <c r="D189" s="7"/>
      <c r="E189" s="47"/>
      <c r="F189" s="46"/>
      <c r="G189" s="46"/>
      <c r="H189" s="7"/>
      <c r="I189" s="7"/>
      <c r="J189" s="47"/>
      <c r="K189" s="47"/>
      <c r="L189" s="47"/>
      <c r="M189" s="47"/>
      <c r="N189" s="10"/>
      <c r="O189" s="47"/>
      <c r="P189" s="47"/>
      <c r="Q189" s="47"/>
      <c r="R189" s="48" t="str">
        <f aca="false">IF(Q189="","",IF(Q189=0,"below 5:00",IF(Q189&gt;=66,"16:00 or above",INT((60+2*Q189)/12)&amp;":"&amp;TEXT(MOD(60+2*Q189,12),"00"))))</f>
        <v/>
      </c>
      <c r="S189" s="47"/>
      <c r="T189" s="47"/>
      <c r="U189" s="47"/>
      <c r="V189" s="47"/>
      <c r="W189" s="47"/>
      <c r="X189" s="47"/>
      <c r="Y189" s="47"/>
      <c r="Z189" s="47"/>
      <c r="AA189" s="47"/>
      <c r="AB189" s="47"/>
      <c r="AC189" s="47"/>
      <c r="AD189" s="47"/>
      <c r="AE189" s="47"/>
      <c r="AF189" s="47"/>
      <c r="AG189" s="47"/>
      <c r="AH189" s="47"/>
      <c r="AI189" s="46"/>
      <c r="AJ189" s="46"/>
      <c r="AK189" s="46"/>
      <c r="AL189" s="7"/>
      <c r="AM189" s="49" t="str">
        <f aca="false">IF(OR(C189="",G189=""),"",IFERROR(DATEDIF(C189,G189,"m"),""))</f>
        <v/>
      </c>
      <c r="AN189" s="49" t="str">
        <f aca="false">IF(OR(Q189="",AM189=""),"",60+2*Q189-AM189)</f>
        <v/>
      </c>
      <c r="AO189" s="49" t="str">
        <f aca="false">IF(OR(G189="",AJ189=""),"",AJ189-G189)</f>
        <v/>
      </c>
      <c r="AP189" s="50" t="str">
        <f aca="false">IF(AND(A189="",B189=""),"",IF(J189="","Status needed",IF(OR(J189="Applied",J189="Visit booked",J189="Withdrawn"),"OK",IF(G189="","Date assessed needed",IF(C189="","Date of birth needed",IF(COUNTA(L189,M189,P189,U189,V189,X189,AB189)&lt;7,"Band missing",IF(AND(OR(J189="Decision confirmed",J189="Family told",J189="Enrolled"),AG189=""),"Recommendation needed",IF(AND(OR(J189="Family told",J189="Enrolled"),AJ189=""),"Date family told needed","OK"))))))))</f>
        <v/>
      </c>
    </row>
    <row r="190" customFormat="false" ht="15" hidden="false" customHeight="false" outlineLevel="0" collapsed="false">
      <c r="A190" s="7"/>
      <c r="B190" s="7"/>
      <c r="C190" s="46"/>
      <c r="D190" s="7"/>
      <c r="E190" s="47"/>
      <c r="F190" s="46"/>
      <c r="G190" s="46"/>
      <c r="H190" s="7"/>
      <c r="I190" s="7"/>
      <c r="J190" s="47"/>
      <c r="K190" s="47"/>
      <c r="L190" s="47"/>
      <c r="M190" s="47"/>
      <c r="N190" s="10"/>
      <c r="O190" s="47"/>
      <c r="P190" s="47"/>
      <c r="Q190" s="47"/>
      <c r="R190" s="48" t="str">
        <f aca="false">IF(Q190="","",IF(Q190=0,"below 5:00",IF(Q190&gt;=66,"16:00 or above",INT((60+2*Q190)/12)&amp;":"&amp;TEXT(MOD(60+2*Q190,12),"00"))))</f>
        <v/>
      </c>
      <c r="S190" s="47"/>
      <c r="T190" s="47"/>
      <c r="U190" s="47"/>
      <c r="V190" s="47"/>
      <c r="W190" s="47"/>
      <c r="X190" s="47"/>
      <c r="Y190" s="47"/>
      <c r="Z190" s="47"/>
      <c r="AA190" s="47"/>
      <c r="AB190" s="47"/>
      <c r="AC190" s="47"/>
      <c r="AD190" s="47"/>
      <c r="AE190" s="47"/>
      <c r="AF190" s="47"/>
      <c r="AG190" s="47"/>
      <c r="AH190" s="47"/>
      <c r="AI190" s="46"/>
      <c r="AJ190" s="46"/>
      <c r="AK190" s="46"/>
      <c r="AL190" s="7"/>
      <c r="AM190" s="49" t="str">
        <f aca="false">IF(OR(C190="",G190=""),"",IFERROR(DATEDIF(C190,G190,"m"),""))</f>
        <v/>
      </c>
      <c r="AN190" s="49" t="str">
        <f aca="false">IF(OR(Q190="",AM190=""),"",60+2*Q190-AM190)</f>
        <v/>
      </c>
      <c r="AO190" s="49" t="str">
        <f aca="false">IF(OR(G190="",AJ190=""),"",AJ190-G190)</f>
        <v/>
      </c>
      <c r="AP190" s="50" t="str">
        <f aca="false">IF(AND(A190="",B190=""),"",IF(J190="","Status needed",IF(OR(J190="Applied",J190="Visit booked",J190="Withdrawn"),"OK",IF(G190="","Date assessed needed",IF(C190="","Date of birth needed",IF(COUNTA(L190,M190,P190,U190,V190,X190,AB190)&lt;7,"Band missing",IF(AND(OR(J190="Decision confirmed",J190="Family told",J190="Enrolled"),AG190=""),"Recommendation needed",IF(AND(OR(J190="Family told",J190="Enrolled"),AJ190=""),"Date family told needed","OK"))))))))</f>
        <v/>
      </c>
    </row>
    <row r="191" customFormat="false" ht="15" hidden="false" customHeight="false" outlineLevel="0" collapsed="false">
      <c r="A191" s="7"/>
      <c r="B191" s="7"/>
      <c r="C191" s="46"/>
      <c r="D191" s="7"/>
      <c r="E191" s="47"/>
      <c r="F191" s="46"/>
      <c r="G191" s="46"/>
      <c r="H191" s="7"/>
      <c r="I191" s="7"/>
      <c r="J191" s="47"/>
      <c r="K191" s="47"/>
      <c r="L191" s="47"/>
      <c r="M191" s="47"/>
      <c r="N191" s="10"/>
      <c r="O191" s="47"/>
      <c r="P191" s="47"/>
      <c r="Q191" s="47"/>
      <c r="R191" s="48" t="str">
        <f aca="false">IF(Q191="","",IF(Q191=0,"below 5:00",IF(Q191&gt;=66,"16:00 or above",INT((60+2*Q191)/12)&amp;":"&amp;TEXT(MOD(60+2*Q191,12),"00"))))</f>
        <v/>
      </c>
      <c r="S191" s="47"/>
      <c r="T191" s="47"/>
      <c r="U191" s="47"/>
      <c r="V191" s="47"/>
      <c r="W191" s="47"/>
      <c r="X191" s="47"/>
      <c r="Y191" s="47"/>
      <c r="Z191" s="47"/>
      <c r="AA191" s="47"/>
      <c r="AB191" s="47"/>
      <c r="AC191" s="47"/>
      <c r="AD191" s="47"/>
      <c r="AE191" s="47"/>
      <c r="AF191" s="47"/>
      <c r="AG191" s="47"/>
      <c r="AH191" s="47"/>
      <c r="AI191" s="46"/>
      <c r="AJ191" s="46"/>
      <c r="AK191" s="46"/>
      <c r="AL191" s="7"/>
      <c r="AM191" s="49" t="str">
        <f aca="false">IF(OR(C191="",G191=""),"",IFERROR(DATEDIF(C191,G191,"m"),""))</f>
        <v/>
      </c>
      <c r="AN191" s="49" t="str">
        <f aca="false">IF(OR(Q191="",AM191=""),"",60+2*Q191-AM191)</f>
        <v/>
      </c>
      <c r="AO191" s="49" t="str">
        <f aca="false">IF(OR(G191="",AJ191=""),"",AJ191-G191)</f>
        <v/>
      </c>
      <c r="AP191" s="50" t="str">
        <f aca="false">IF(AND(A191="",B191=""),"",IF(J191="","Status needed",IF(OR(J191="Applied",J191="Visit booked",J191="Withdrawn"),"OK",IF(G191="","Date assessed needed",IF(C191="","Date of birth needed",IF(COUNTA(L191,M191,P191,U191,V191,X191,AB191)&lt;7,"Band missing",IF(AND(OR(J191="Decision confirmed",J191="Family told",J191="Enrolled"),AG191=""),"Recommendation needed",IF(AND(OR(J191="Family told",J191="Enrolled"),AJ191=""),"Date family told needed","OK"))))))))</f>
        <v/>
      </c>
    </row>
    <row r="192" customFormat="false" ht="15" hidden="false" customHeight="false" outlineLevel="0" collapsed="false">
      <c r="A192" s="7"/>
      <c r="B192" s="7"/>
      <c r="C192" s="46"/>
      <c r="D192" s="7"/>
      <c r="E192" s="47"/>
      <c r="F192" s="46"/>
      <c r="G192" s="46"/>
      <c r="H192" s="7"/>
      <c r="I192" s="7"/>
      <c r="J192" s="47"/>
      <c r="K192" s="47"/>
      <c r="L192" s="47"/>
      <c r="M192" s="47"/>
      <c r="N192" s="10"/>
      <c r="O192" s="47"/>
      <c r="P192" s="47"/>
      <c r="Q192" s="47"/>
      <c r="R192" s="48" t="str">
        <f aca="false">IF(Q192="","",IF(Q192=0,"below 5:00",IF(Q192&gt;=66,"16:00 or above",INT((60+2*Q192)/12)&amp;":"&amp;TEXT(MOD(60+2*Q192,12),"00"))))</f>
        <v/>
      </c>
      <c r="S192" s="47"/>
      <c r="T192" s="47"/>
      <c r="U192" s="47"/>
      <c r="V192" s="47"/>
      <c r="W192" s="47"/>
      <c r="X192" s="47"/>
      <c r="Y192" s="47"/>
      <c r="Z192" s="47"/>
      <c r="AA192" s="47"/>
      <c r="AB192" s="47"/>
      <c r="AC192" s="47"/>
      <c r="AD192" s="47"/>
      <c r="AE192" s="47"/>
      <c r="AF192" s="47"/>
      <c r="AG192" s="47"/>
      <c r="AH192" s="47"/>
      <c r="AI192" s="46"/>
      <c r="AJ192" s="46"/>
      <c r="AK192" s="46"/>
      <c r="AL192" s="7"/>
      <c r="AM192" s="49" t="str">
        <f aca="false">IF(OR(C192="",G192=""),"",IFERROR(DATEDIF(C192,G192,"m"),""))</f>
        <v/>
      </c>
      <c r="AN192" s="49" t="str">
        <f aca="false">IF(OR(Q192="",AM192=""),"",60+2*Q192-AM192)</f>
        <v/>
      </c>
      <c r="AO192" s="49" t="str">
        <f aca="false">IF(OR(G192="",AJ192=""),"",AJ192-G192)</f>
        <v/>
      </c>
      <c r="AP192" s="50" t="str">
        <f aca="false">IF(AND(A192="",B192=""),"",IF(J192="","Status needed",IF(OR(J192="Applied",J192="Visit booked",J192="Withdrawn"),"OK",IF(G192="","Date assessed needed",IF(C192="","Date of birth needed",IF(COUNTA(L192,M192,P192,U192,V192,X192,AB192)&lt;7,"Band missing",IF(AND(OR(J192="Decision confirmed",J192="Family told",J192="Enrolled"),AG192=""),"Recommendation needed",IF(AND(OR(J192="Family told",J192="Enrolled"),AJ192=""),"Date family told needed","OK"))))))))</f>
        <v/>
      </c>
    </row>
    <row r="193" customFormat="false" ht="15" hidden="false" customHeight="false" outlineLevel="0" collapsed="false">
      <c r="A193" s="7"/>
      <c r="B193" s="7"/>
      <c r="C193" s="46"/>
      <c r="D193" s="7"/>
      <c r="E193" s="47"/>
      <c r="F193" s="46"/>
      <c r="G193" s="46"/>
      <c r="H193" s="7"/>
      <c r="I193" s="7"/>
      <c r="J193" s="47"/>
      <c r="K193" s="47"/>
      <c r="L193" s="47"/>
      <c r="M193" s="47"/>
      <c r="N193" s="10"/>
      <c r="O193" s="47"/>
      <c r="P193" s="47"/>
      <c r="Q193" s="47"/>
      <c r="R193" s="48" t="str">
        <f aca="false">IF(Q193="","",IF(Q193=0,"below 5:00",IF(Q193&gt;=66,"16:00 or above",INT((60+2*Q193)/12)&amp;":"&amp;TEXT(MOD(60+2*Q193,12),"00"))))</f>
        <v/>
      </c>
      <c r="S193" s="47"/>
      <c r="T193" s="47"/>
      <c r="U193" s="47"/>
      <c r="V193" s="47"/>
      <c r="W193" s="47"/>
      <c r="X193" s="47"/>
      <c r="Y193" s="47"/>
      <c r="Z193" s="47"/>
      <c r="AA193" s="47"/>
      <c r="AB193" s="47"/>
      <c r="AC193" s="47"/>
      <c r="AD193" s="47"/>
      <c r="AE193" s="47"/>
      <c r="AF193" s="47"/>
      <c r="AG193" s="47"/>
      <c r="AH193" s="47"/>
      <c r="AI193" s="46"/>
      <c r="AJ193" s="46"/>
      <c r="AK193" s="46"/>
      <c r="AL193" s="7"/>
      <c r="AM193" s="49" t="str">
        <f aca="false">IF(OR(C193="",G193=""),"",IFERROR(DATEDIF(C193,G193,"m"),""))</f>
        <v/>
      </c>
      <c r="AN193" s="49" t="str">
        <f aca="false">IF(OR(Q193="",AM193=""),"",60+2*Q193-AM193)</f>
        <v/>
      </c>
      <c r="AO193" s="49" t="str">
        <f aca="false">IF(OR(G193="",AJ193=""),"",AJ193-G193)</f>
        <v/>
      </c>
      <c r="AP193" s="50" t="str">
        <f aca="false">IF(AND(A193="",B193=""),"",IF(J193="","Status needed",IF(OR(J193="Applied",J193="Visit booked",J193="Withdrawn"),"OK",IF(G193="","Date assessed needed",IF(C193="","Date of birth needed",IF(COUNTA(L193,M193,P193,U193,V193,X193,AB193)&lt;7,"Band missing",IF(AND(OR(J193="Decision confirmed",J193="Family told",J193="Enrolled"),AG193=""),"Recommendation needed",IF(AND(OR(J193="Family told",J193="Enrolled"),AJ193=""),"Date family told needed","OK"))))))))</f>
        <v/>
      </c>
    </row>
    <row r="194" customFormat="false" ht="15" hidden="false" customHeight="false" outlineLevel="0" collapsed="false">
      <c r="A194" s="7"/>
      <c r="B194" s="7"/>
      <c r="C194" s="46"/>
      <c r="D194" s="7"/>
      <c r="E194" s="47"/>
      <c r="F194" s="46"/>
      <c r="G194" s="46"/>
      <c r="H194" s="7"/>
      <c r="I194" s="7"/>
      <c r="J194" s="47"/>
      <c r="K194" s="47"/>
      <c r="L194" s="47"/>
      <c r="M194" s="47"/>
      <c r="N194" s="10"/>
      <c r="O194" s="47"/>
      <c r="P194" s="47"/>
      <c r="Q194" s="47"/>
      <c r="R194" s="48" t="str">
        <f aca="false">IF(Q194="","",IF(Q194=0,"below 5:00",IF(Q194&gt;=66,"16:00 or above",INT((60+2*Q194)/12)&amp;":"&amp;TEXT(MOD(60+2*Q194,12),"00"))))</f>
        <v/>
      </c>
      <c r="S194" s="47"/>
      <c r="T194" s="47"/>
      <c r="U194" s="47"/>
      <c r="V194" s="47"/>
      <c r="W194" s="47"/>
      <c r="X194" s="47"/>
      <c r="Y194" s="47"/>
      <c r="Z194" s="47"/>
      <c r="AA194" s="47"/>
      <c r="AB194" s="47"/>
      <c r="AC194" s="47"/>
      <c r="AD194" s="47"/>
      <c r="AE194" s="47"/>
      <c r="AF194" s="47"/>
      <c r="AG194" s="47"/>
      <c r="AH194" s="47"/>
      <c r="AI194" s="46"/>
      <c r="AJ194" s="46"/>
      <c r="AK194" s="46"/>
      <c r="AL194" s="7"/>
      <c r="AM194" s="49" t="str">
        <f aca="false">IF(OR(C194="",G194=""),"",IFERROR(DATEDIF(C194,G194,"m"),""))</f>
        <v/>
      </c>
      <c r="AN194" s="49" t="str">
        <f aca="false">IF(OR(Q194="",AM194=""),"",60+2*Q194-AM194)</f>
        <v/>
      </c>
      <c r="AO194" s="49" t="str">
        <f aca="false">IF(OR(G194="",AJ194=""),"",AJ194-G194)</f>
        <v/>
      </c>
      <c r="AP194" s="50" t="str">
        <f aca="false">IF(AND(A194="",B194=""),"",IF(J194="","Status needed",IF(OR(J194="Applied",J194="Visit booked",J194="Withdrawn"),"OK",IF(G194="","Date assessed needed",IF(C194="","Date of birth needed",IF(COUNTA(L194,M194,P194,U194,V194,X194,AB194)&lt;7,"Band missing",IF(AND(OR(J194="Decision confirmed",J194="Family told",J194="Enrolled"),AG194=""),"Recommendation needed",IF(AND(OR(J194="Family told",J194="Enrolled"),AJ194=""),"Date family told needed","OK"))))))))</f>
        <v/>
      </c>
    </row>
    <row r="195" customFormat="false" ht="15" hidden="false" customHeight="false" outlineLevel="0" collapsed="false">
      <c r="A195" s="7"/>
      <c r="B195" s="7"/>
      <c r="C195" s="46"/>
      <c r="D195" s="7"/>
      <c r="E195" s="47"/>
      <c r="F195" s="46"/>
      <c r="G195" s="46"/>
      <c r="H195" s="7"/>
      <c r="I195" s="7"/>
      <c r="J195" s="47"/>
      <c r="K195" s="47"/>
      <c r="L195" s="47"/>
      <c r="M195" s="47"/>
      <c r="N195" s="10"/>
      <c r="O195" s="47"/>
      <c r="P195" s="47"/>
      <c r="Q195" s="47"/>
      <c r="R195" s="48" t="str">
        <f aca="false">IF(Q195="","",IF(Q195=0,"below 5:00",IF(Q195&gt;=66,"16:00 or above",INT((60+2*Q195)/12)&amp;":"&amp;TEXT(MOD(60+2*Q195,12),"00"))))</f>
        <v/>
      </c>
      <c r="S195" s="47"/>
      <c r="T195" s="47"/>
      <c r="U195" s="47"/>
      <c r="V195" s="47"/>
      <c r="W195" s="47"/>
      <c r="X195" s="47"/>
      <c r="Y195" s="47"/>
      <c r="Z195" s="47"/>
      <c r="AA195" s="47"/>
      <c r="AB195" s="47"/>
      <c r="AC195" s="47"/>
      <c r="AD195" s="47"/>
      <c r="AE195" s="47"/>
      <c r="AF195" s="47"/>
      <c r="AG195" s="47"/>
      <c r="AH195" s="47"/>
      <c r="AI195" s="46"/>
      <c r="AJ195" s="46"/>
      <c r="AK195" s="46"/>
      <c r="AL195" s="7"/>
      <c r="AM195" s="49" t="str">
        <f aca="false">IF(OR(C195="",G195=""),"",IFERROR(DATEDIF(C195,G195,"m"),""))</f>
        <v/>
      </c>
      <c r="AN195" s="49" t="str">
        <f aca="false">IF(OR(Q195="",AM195=""),"",60+2*Q195-AM195)</f>
        <v/>
      </c>
      <c r="AO195" s="49" t="str">
        <f aca="false">IF(OR(G195="",AJ195=""),"",AJ195-G195)</f>
        <v/>
      </c>
      <c r="AP195" s="50" t="str">
        <f aca="false">IF(AND(A195="",B195=""),"",IF(J195="","Status needed",IF(OR(J195="Applied",J195="Visit booked",J195="Withdrawn"),"OK",IF(G195="","Date assessed needed",IF(C195="","Date of birth needed",IF(COUNTA(L195,M195,P195,U195,V195,X195,AB195)&lt;7,"Band missing",IF(AND(OR(J195="Decision confirmed",J195="Family told",J195="Enrolled"),AG195=""),"Recommendation needed",IF(AND(OR(J195="Family told",J195="Enrolled"),AJ195=""),"Date family told needed","OK"))))))))</f>
        <v/>
      </c>
    </row>
    <row r="196" customFormat="false" ht="15" hidden="false" customHeight="false" outlineLevel="0" collapsed="false">
      <c r="A196" s="7"/>
      <c r="B196" s="7"/>
      <c r="C196" s="46"/>
      <c r="D196" s="7"/>
      <c r="E196" s="47"/>
      <c r="F196" s="46"/>
      <c r="G196" s="46"/>
      <c r="H196" s="7"/>
      <c r="I196" s="7"/>
      <c r="J196" s="47"/>
      <c r="K196" s="47"/>
      <c r="L196" s="47"/>
      <c r="M196" s="47"/>
      <c r="N196" s="10"/>
      <c r="O196" s="47"/>
      <c r="P196" s="47"/>
      <c r="Q196" s="47"/>
      <c r="R196" s="48" t="str">
        <f aca="false">IF(Q196="","",IF(Q196=0,"below 5:00",IF(Q196&gt;=66,"16:00 or above",INT((60+2*Q196)/12)&amp;":"&amp;TEXT(MOD(60+2*Q196,12),"00"))))</f>
        <v/>
      </c>
      <c r="S196" s="47"/>
      <c r="T196" s="47"/>
      <c r="U196" s="47"/>
      <c r="V196" s="47"/>
      <c r="W196" s="47"/>
      <c r="X196" s="47"/>
      <c r="Y196" s="47"/>
      <c r="Z196" s="47"/>
      <c r="AA196" s="47"/>
      <c r="AB196" s="47"/>
      <c r="AC196" s="47"/>
      <c r="AD196" s="47"/>
      <c r="AE196" s="47"/>
      <c r="AF196" s="47"/>
      <c r="AG196" s="47"/>
      <c r="AH196" s="47"/>
      <c r="AI196" s="46"/>
      <c r="AJ196" s="46"/>
      <c r="AK196" s="46"/>
      <c r="AL196" s="7"/>
      <c r="AM196" s="49" t="str">
        <f aca="false">IF(OR(C196="",G196=""),"",IFERROR(DATEDIF(C196,G196,"m"),""))</f>
        <v/>
      </c>
      <c r="AN196" s="49" t="str">
        <f aca="false">IF(OR(Q196="",AM196=""),"",60+2*Q196-AM196)</f>
        <v/>
      </c>
      <c r="AO196" s="49" t="str">
        <f aca="false">IF(OR(G196="",AJ196=""),"",AJ196-G196)</f>
        <v/>
      </c>
      <c r="AP196" s="50" t="str">
        <f aca="false">IF(AND(A196="",B196=""),"",IF(J196="","Status needed",IF(OR(J196="Applied",J196="Visit booked",J196="Withdrawn"),"OK",IF(G196="","Date assessed needed",IF(C196="","Date of birth needed",IF(COUNTA(L196,M196,P196,U196,V196,X196,AB196)&lt;7,"Band missing",IF(AND(OR(J196="Decision confirmed",J196="Family told",J196="Enrolled"),AG196=""),"Recommendation needed",IF(AND(OR(J196="Family told",J196="Enrolled"),AJ196=""),"Date family told needed","OK"))))))))</f>
        <v/>
      </c>
    </row>
    <row r="197" customFormat="false" ht="15" hidden="false" customHeight="false" outlineLevel="0" collapsed="false">
      <c r="A197" s="7"/>
      <c r="B197" s="7"/>
      <c r="C197" s="46"/>
      <c r="D197" s="7"/>
      <c r="E197" s="47"/>
      <c r="F197" s="46"/>
      <c r="G197" s="46"/>
      <c r="H197" s="7"/>
      <c r="I197" s="7"/>
      <c r="J197" s="47"/>
      <c r="K197" s="47"/>
      <c r="L197" s="47"/>
      <c r="M197" s="47"/>
      <c r="N197" s="10"/>
      <c r="O197" s="47"/>
      <c r="P197" s="47"/>
      <c r="Q197" s="47"/>
      <c r="R197" s="48" t="str">
        <f aca="false">IF(Q197="","",IF(Q197=0,"below 5:00",IF(Q197&gt;=66,"16:00 or above",INT((60+2*Q197)/12)&amp;":"&amp;TEXT(MOD(60+2*Q197,12),"00"))))</f>
        <v/>
      </c>
      <c r="S197" s="47"/>
      <c r="T197" s="47"/>
      <c r="U197" s="47"/>
      <c r="V197" s="47"/>
      <c r="W197" s="47"/>
      <c r="X197" s="47"/>
      <c r="Y197" s="47"/>
      <c r="Z197" s="47"/>
      <c r="AA197" s="47"/>
      <c r="AB197" s="47"/>
      <c r="AC197" s="47"/>
      <c r="AD197" s="47"/>
      <c r="AE197" s="47"/>
      <c r="AF197" s="47"/>
      <c r="AG197" s="47"/>
      <c r="AH197" s="47"/>
      <c r="AI197" s="46"/>
      <c r="AJ197" s="46"/>
      <c r="AK197" s="46"/>
      <c r="AL197" s="7"/>
      <c r="AM197" s="49" t="str">
        <f aca="false">IF(OR(C197="",G197=""),"",IFERROR(DATEDIF(C197,G197,"m"),""))</f>
        <v/>
      </c>
      <c r="AN197" s="49" t="str">
        <f aca="false">IF(OR(Q197="",AM197=""),"",60+2*Q197-AM197)</f>
        <v/>
      </c>
      <c r="AO197" s="49" t="str">
        <f aca="false">IF(OR(G197="",AJ197=""),"",AJ197-G197)</f>
        <v/>
      </c>
      <c r="AP197" s="50" t="str">
        <f aca="false">IF(AND(A197="",B197=""),"",IF(J197="","Status needed",IF(OR(J197="Applied",J197="Visit booked",J197="Withdrawn"),"OK",IF(G197="","Date assessed needed",IF(C197="","Date of birth needed",IF(COUNTA(L197,M197,P197,U197,V197,X197,AB197)&lt;7,"Band missing",IF(AND(OR(J197="Decision confirmed",J197="Family told",J197="Enrolled"),AG197=""),"Recommendation needed",IF(AND(OR(J197="Family told",J197="Enrolled"),AJ197=""),"Date family told needed","OK"))))))))</f>
        <v/>
      </c>
    </row>
    <row r="198" customFormat="false" ht="15" hidden="false" customHeight="false" outlineLevel="0" collapsed="false">
      <c r="A198" s="7"/>
      <c r="B198" s="7"/>
      <c r="C198" s="46"/>
      <c r="D198" s="7"/>
      <c r="E198" s="47"/>
      <c r="F198" s="46"/>
      <c r="G198" s="46"/>
      <c r="H198" s="7"/>
      <c r="I198" s="7"/>
      <c r="J198" s="47"/>
      <c r="K198" s="47"/>
      <c r="L198" s="47"/>
      <c r="M198" s="47"/>
      <c r="N198" s="10"/>
      <c r="O198" s="47"/>
      <c r="P198" s="47"/>
      <c r="Q198" s="47"/>
      <c r="R198" s="48" t="str">
        <f aca="false">IF(Q198="","",IF(Q198=0,"below 5:00",IF(Q198&gt;=66,"16:00 or above",INT((60+2*Q198)/12)&amp;":"&amp;TEXT(MOD(60+2*Q198,12),"00"))))</f>
        <v/>
      </c>
      <c r="S198" s="47"/>
      <c r="T198" s="47"/>
      <c r="U198" s="47"/>
      <c r="V198" s="47"/>
      <c r="W198" s="47"/>
      <c r="X198" s="47"/>
      <c r="Y198" s="47"/>
      <c r="Z198" s="47"/>
      <c r="AA198" s="47"/>
      <c r="AB198" s="47"/>
      <c r="AC198" s="47"/>
      <c r="AD198" s="47"/>
      <c r="AE198" s="47"/>
      <c r="AF198" s="47"/>
      <c r="AG198" s="47"/>
      <c r="AH198" s="47"/>
      <c r="AI198" s="46"/>
      <c r="AJ198" s="46"/>
      <c r="AK198" s="46"/>
      <c r="AL198" s="7"/>
      <c r="AM198" s="49" t="str">
        <f aca="false">IF(OR(C198="",G198=""),"",IFERROR(DATEDIF(C198,G198,"m"),""))</f>
        <v/>
      </c>
      <c r="AN198" s="49" t="str">
        <f aca="false">IF(OR(Q198="",AM198=""),"",60+2*Q198-AM198)</f>
        <v/>
      </c>
      <c r="AO198" s="49" t="str">
        <f aca="false">IF(OR(G198="",AJ198=""),"",AJ198-G198)</f>
        <v/>
      </c>
      <c r="AP198" s="50" t="str">
        <f aca="false">IF(AND(A198="",B198=""),"",IF(J198="","Status needed",IF(OR(J198="Applied",J198="Visit booked",J198="Withdrawn"),"OK",IF(G198="","Date assessed needed",IF(C198="","Date of birth needed",IF(COUNTA(L198,M198,P198,U198,V198,X198,AB198)&lt;7,"Band missing",IF(AND(OR(J198="Decision confirmed",J198="Family told",J198="Enrolled"),AG198=""),"Recommendation needed",IF(AND(OR(J198="Family told",J198="Enrolled"),AJ198=""),"Date family told needed","OK"))))))))</f>
        <v/>
      </c>
    </row>
    <row r="199" customFormat="false" ht="15" hidden="false" customHeight="false" outlineLevel="0" collapsed="false">
      <c r="A199" s="7"/>
      <c r="B199" s="7"/>
      <c r="C199" s="46"/>
      <c r="D199" s="7"/>
      <c r="E199" s="47"/>
      <c r="F199" s="46"/>
      <c r="G199" s="46"/>
      <c r="H199" s="7"/>
      <c r="I199" s="7"/>
      <c r="J199" s="47"/>
      <c r="K199" s="47"/>
      <c r="L199" s="47"/>
      <c r="M199" s="47"/>
      <c r="N199" s="10"/>
      <c r="O199" s="47"/>
      <c r="P199" s="47"/>
      <c r="Q199" s="47"/>
      <c r="R199" s="48" t="str">
        <f aca="false">IF(Q199="","",IF(Q199=0,"below 5:00",IF(Q199&gt;=66,"16:00 or above",INT((60+2*Q199)/12)&amp;":"&amp;TEXT(MOD(60+2*Q199,12),"00"))))</f>
        <v/>
      </c>
      <c r="S199" s="47"/>
      <c r="T199" s="47"/>
      <c r="U199" s="47"/>
      <c r="V199" s="47"/>
      <c r="W199" s="47"/>
      <c r="X199" s="47"/>
      <c r="Y199" s="47"/>
      <c r="Z199" s="47"/>
      <c r="AA199" s="47"/>
      <c r="AB199" s="47"/>
      <c r="AC199" s="47"/>
      <c r="AD199" s="47"/>
      <c r="AE199" s="47"/>
      <c r="AF199" s="47"/>
      <c r="AG199" s="47"/>
      <c r="AH199" s="47"/>
      <c r="AI199" s="46"/>
      <c r="AJ199" s="46"/>
      <c r="AK199" s="46"/>
      <c r="AL199" s="7"/>
      <c r="AM199" s="49" t="str">
        <f aca="false">IF(OR(C199="",G199=""),"",IFERROR(DATEDIF(C199,G199,"m"),""))</f>
        <v/>
      </c>
      <c r="AN199" s="49" t="str">
        <f aca="false">IF(OR(Q199="",AM199=""),"",60+2*Q199-AM199)</f>
        <v/>
      </c>
      <c r="AO199" s="49" t="str">
        <f aca="false">IF(OR(G199="",AJ199=""),"",AJ199-G199)</f>
        <v/>
      </c>
      <c r="AP199" s="50" t="str">
        <f aca="false">IF(AND(A199="",B199=""),"",IF(J199="","Status needed",IF(OR(J199="Applied",J199="Visit booked",J199="Withdrawn"),"OK",IF(G199="","Date assessed needed",IF(C199="","Date of birth needed",IF(COUNTA(L199,M199,P199,U199,V199,X199,AB199)&lt;7,"Band missing",IF(AND(OR(J199="Decision confirmed",J199="Family told",J199="Enrolled"),AG199=""),"Recommendation needed",IF(AND(OR(J199="Family told",J199="Enrolled"),AJ199=""),"Date family told needed","OK"))))))))</f>
        <v/>
      </c>
    </row>
    <row r="200" customFormat="false" ht="15" hidden="false" customHeight="false" outlineLevel="0" collapsed="false">
      <c r="A200" s="7"/>
      <c r="B200" s="7"/>
      <c r="C200" s="46"/>
      <c r="D200" s="7"/>
      <c r="E200" s="47"/>
      <c r="F200" s="46"/>
      <c r="G200" s="46"/>
      <c r="H200" s="7"/>
      <c r="I200" s="7"/>
      <c r="J200" s="47"/>
      <c r="K200" s="47"/>
      <c r="L200" s="47"/>
      <c r="M200" s="47"/>
      <c r="N200" s="10"/>
      <c r="O200" s="47"/>
      <c r="P200" s="47"/>
      <c r="Q200" s="47"/>
      <c r="R200" s="48" t="str">
        <f aca="false">IF(Q200="","",IF(Q200=0,"below 5:00",IF(Q200&gt;=66,"16:00 or above",INT((60+2*Q200)/12)&amp;":"&amp;TEXT(MOD(60+2*Q200,12),"00"))))</f>
        <v/>
      </c>
      <c r="S200" s="47"/>
      <c r="T200" s="47"/>
      <c r="U200" s="47"/>
      <c r="V200" s="47"/>
      <c r="W200" s="47"/>
      <c r="X200" s="47"/>
      <c r="Y200" s="47"/>
      <c r="Z200" s="47"/>
      <c r="AA200" s="47"/>
      <c r="AB200" s="47"/>
      <c r="AC200" s="47"/>
      <c r="AD200" s="47"/>
      <c r="AE200" s="47"/>
      <c r="AF200" s="47"/>
      <c r="AG200" s="47"/>
      <c r="AH200" s="47"/>
      <c r="AI200" s="46"/>
      <c r="AJ200" s="46"/>
      <c r="AK200" s="46"/>
      <c r="AL200" s="7"/>
      <c r="AM200" s="49" t="str">
        <f aca="false">IF(OR(C200="",G200=""),"",IFERROR(DATEDIF(C200,G200,"m"),""))</f>
        <v/>
      </c>
      <c r="AN200" s="49" t="str">
        <f aca="false">IF(OR(Q200="",AM200=""),"",60+2*Q200-AM200)</f>
        <v/>
      </c>
      <c r="AO200" s="49" t="str">
        <f aca="false">IF(OR(G200="",AJ200=""),"",AJ200-G200)</f>
        <v/>
      </c>
      <c r="AP200" s="50" t="str">
        <f aca="false">IF(AND(A200="",B200=""),"",IF(J200="","Status needed",IF(OR(J200="Applied",J200="Visit booked",J200="Withdrawn"),"OK",IF(G200="","Date assessed needed",IF(C200="","Date of birth needed",IF(COUNTA(L200,M200,P200,U200,V200,X200,AB200)&lt;7,"Band missing",IF(AND(OR(J200="Decision confirmed",J200="Family told",J200="Enrolled"),AG200=""),"Recommendation needed",IF(AND(OR(J200="Family told",J200="Enrolled"),AJ200=""),"Date family told needed","OK"))))))))</f>
        <v/>
      </c>
    </row>
    <row r="201" customFormat="false" ht="15" hidden="false" customHeight="false" outlineLevel="0" collapsed="false">
      <c r="A201" s="7"/>
      <c r="B201" s="7"/>
      <c r="C201" s="46"/>
      <c r="D201" s="7"/>
      <c r="E201" s="47"/>
      <c r="F201" s="46"/>
      <c r="G201" s="46"/>
      <c r="H201" s="7"/>
      <c r="I201" s="7"/>
      <c r="J201" s="47"/>
      <c r="K201" s="47"/>
      <c r="L201" s="47"/>
      <c r="M201" s="47"/>
      <c r="N201" s="10"/>
      <c r="O201" s="47"/>
      <c r="P201" s="47"/>
      <c r="Q201" s="47"/>
      <c r="R201" s="48" t="str">
        <f aca="false">IF(Q201="","",IF(Q201=0,"below 5:00",IF(Q201&gt;=66,"16:00 or above",INT((60+2*Q201)/12)&amp;":"&amp;TEXT(MOD(60+2*Q201,12),"00"))))</f>
        <v/>
      </c>
      <c r="S201" s="47"/>
      <c r="T201" s="47"/>
      <c r="U201" s="47"/>
      <c r="V201" s="47"/>
      <c r="W201" s="47"/>
      <c r="X201" s="47"/>
      <c r="Y201" s="47"/>
      <c r="Z201" s="47"/>
      <c r="AA201" s="47"/>
      <c r="AB201" s="47"/>
      <c r="AC201" s="47"/>
      <c r="AD201" s="47"/>
      <c r="AE201" s="47"/>
      <c r="AF201" s="47"/>
      <c r="AG201" s="47"/>
      <c r="AH201" s="47"/>
      <c r="AI201" s="46"/>
      <c r="AJ201" s="46"/>
      <c r="AK201" s="46"/>
      <c r="AL201" s="7"/>
      <c r="AM201" s="49" t="str">
        <f aca="false">IF(OR(C201="",G201=""),"",IFERROR(DATEDIF(C201,G201,"m"),""))</f>
        <v/>
      </c>
      <c r="AN201" s="49" t="str">
        <f aca="false">IF(OR(Q201="",AM201=""),"",60+2*Q201-AM201)</f>
        <v/>
      </c>
      <c r="AO201" s="49" t="str">
        <f aca="false">IF(OR(G201="",AJ201=""),"",AJ201-G201)</f>
        <v/>
      </c>
      <c r="AP201" s="50" t="str">
        <f aca="false">IF(AND(A201="",B201=""),"",IF(J201="","Status needed",IF(OR(J201="Applied",J201="Visit booked",J201="Withdrawn"),"OK",IF(G201="","Date assessed needed",IF(C201="","Date of birth needed",IF(COUNTA(L201,M201,P201,U201,V201,X201,AB201)&lt;7,"Band missing",IF(AND(OR(J201="Decision confirmed",J201="Family told",J201="Enrolled"),AG201=""),"Recommendation needed",IF(AND(OR(J201="Family told",J201="Enrolled"),AJ201=""),"Date family told needed","OK"))))))))</f>
        <v/>
      </c>
    </row>
    <row r="202" customFormat="false" ht="15" hidden="false" customHeight="false" outlineLevel="0" collapsed="false">
      <c r="A202" s="7"/>
      <c r="B202" s="7"/>
      <c r="C202" s="46"/>
      <c r="D202" s="7"/>
      <c r="E202" s="47"/>
      <c r="F202" s="46"/>
      <c r="G202" s="46"/>
      <c r="H202" s="7"/>
      <c r="I202" s="7"/>
      <c r="J202" s="47"/>
      <c r="K202" s="47"/>
      <c r="L202" s="47"/>
      <c r="M202" s="47"/>
      <c r="N202" s="10"/>
      <c r="O202" s="47"/>
      <c r="P202" s="47"/>
      <c r="Q202" s="47"/>
      <c r="R202" s="48" t="str">
        <f aca="false">IF(Q202="","",IF(Q202=0,"below 5:00",IF(Q202&gt;=66,"16:00 or above",INT((60+2*Q202)/12)&amp;":"&amp;TEXT(MOD(60+2*Q202,12),"00"))))</f>
        <v/>
      </c>
      <c r="S202" s="47"/>
      <c r="T202" s="47"/>
      <c r="U202" s="47"/>
      <c r="V202" s="47"/>
      <c r="W202" s="47"/>
      <c r="X202" s="47"/>
      <c r="Y202" s="47"/>
      <c r="Z202" s="47"/>
      <c r="AA202" s="47"/>
      <c r="AB202" s="47"/>
      <c r="AC202" s="47"/>
      <c r="AD202" s="47"/>
      <c r="AE202" s="47"/>
      <c r="AF202" s="47"/>
      <c r="AG202" s="47"/>
      <c r="AH202" s="47"/>
      <c r="AI202" s="46"/>
      <c r="AJ202" s="46"/>
      <c r="AK202" s="46"/>
      <c r="AL202" s="7"/>
      <c r="AM202" s="49" t="str">
        <f aca="false">IF(OR(C202="",G202=""),"",IFERROR(DATEDIF(C202,G202,"m"),""))</f>
        <v/>
      </c>
      <c r="AN202" s="49" t="str">
        <f aca="false">IF(OR(Q202="",AM202=""),"",60+2*Q202-AM202)</f>
        <v/>
      </c>
      <c r="AO202" s="49" t="str">
        <f aca="false">IF(OR(G202="",AJ202=""),"",AJ202-G202)</f>
        <v/>
      </c>
      <c r="AP202" s="50" t="str">
        <f aca="false">IF(AND(A202="",B202=""),"",IF(J202="","Status needed",IF(OR(J202="Applied",J202="Visit booked",J202="Withdrawn"),"OK",IF(G202="","Date assessed needed",IF(C202="","Date of birth needed",IF(COUNTA(L202,M202,P202,U202,V202,X202,AB202)&lt;7,"Band missing",IF(AND(OR(J202="Decision confirmed",J202="Family told",J202="Enrolled"),AG202=""),"Recommendation needed",IF(AND(OR(J202="Family told",J202="Enrolled"),AJ202=""),"Date family told needed","OK"))))))))</f>
        <v/>
      </c>
    </row>
    <row r="203" customFormat="false" ht="15" hidden="false" customHeight="false" outlineLevel="0" collapsed="false">
      <c r="A203" s="7"/>
      <c r="B203" s="7"/>
      <c r="C203" s="46"/>
      <c r="D203" s="7"/>
      <c r="E203" s="47"/>
      <c r="F203" s="46"/>
      <c r="G203" s="46"/>
      <c r="H203" s="7"/>
      <c r="I203" s="7"/>
      <c r="J203" s="47"/>
      <c r="K203" s="47"/>
      <c r="L203" s="47"/>
      <c r="M203" s="47"/>
      <c r="N203" s="10"/>
      <c r="O203" s="47"/>
      <c r="P203" s="47"/>
      <c r="Q203" s="47"/>
      <c r="R203" s="48" t="str">
        <f aca="false">IF(Q203="","",IF(Q203=0,"below 5:00",IF(Q203&gt;=66,"16:00 or above",INT((60+2*Q203)/12)&amp;":"&amp;TEXT(MOD(60+2*Q203,12),"00"))))</f>
        <v/>
      </c>
      <c r="S203" s="47"/>
      <c r="T203" s="47"/>
      <c r="U203" s="47"/>
      <c r="V203" s="47"/>
      <c r="W203" s="47"/>
      <c r="X203" s="47"/>
      <c r="Y203" s="47"/>
      <c r="Z203" s="47"/>
      <c r="AA203" s="47"/>
      <c r="AB203" s="47"/>
      <c r="AC203" s="47"/>
      <c r="AD203" s="47"/>
      <c r="AE203" s="47"/>
      <c r="AF203" s="47"/>
      <c r="AG203" s="47"/>
      <c r="AH203" s="47"/>
      <c r="AI203" s="46"/>
      <c r="AJ203" s="46"/>
      <c r="AK203" s="46"/>
      <c r="AL203" s="7"/>
      <c r="AM203" s="49" t="str">
        <f aca="false">IF(OR(C203="",G203=""),"",IFERROR(DATEDIF(C203,G203,"m"),""))</f>
        <v/>
      </c>
      <c r="AN203" s="49" t="str">
        <f aca="false">IF(OR(Q203="",AM203=""),"",60+2*Q203-AM203)</f>
        <v/>
      </c>
      <c r="AO203" s="49" t="str">
        <f aca="false">IF(OR(G203="",AJ203=""),"",AJ203-G203)</f>
        <v/>
      </c>
      <c r="AP203" s="50" t="str">
        <f aca="false">IF(AND(A203="",B203=""),"",IF(J203="","Status needed",IF(OR(J203="Applied",J203="Visit booked",J203="Withdrawn"),"OK",IF(G203="","Date assessed needed",IF(C203="","Date of birth needed",IF(COUNTA(L203,M203,P203,U203,V203,X203,AB203)&lt;7,"Band missing",IF(AND(OR(J203="Decision confirmed",J203="Family told",J203="Enrolled"),AG203=""),"Recommendation needed",IF(AND(OR(J203="Family told",J203="Enrolled"),AJ203=""),"Date family told needed","OK"))))))))</f>
        <v/>
      </c>
    </row>
    <row r="204" customFormat="false" ht="15" hidden="false" customHeight="false" outlineLevel="0" collapsed="false">
      <c r="A204" s="7"/>
      <c r="B204" s="7"/>
      <c r="C204" s="46"/>
      <c r="D204" s="7"/>
      <c r="E204" s="47"/>
      <c r="F204" s="46"/>
      <c r="G204" s="46"/>
      <c r="H204" s="7"/>
      <c r="I204" s="7"/>
      <c r="J204" s="47"/>
      <c r="K204" s="47"/>
      <c r="L204" s="47"/>
      <c r="M204" s="47"/>
      <c r="N204" s="10"/>
      <c r="O204" s="47"/>
      <c r="P204" s="47"/>
      <c r="Q204" s="47"/>
      <c r="R204" s="48" t="str">
        <f aca="false">IF(Q204="","",IF(Q204=0,"below 5:00",IF(Q204&gt;=66,"16:00 or above",INT((60+2*Q204)/12)&amp;":"&amp;TEXT(MOD(60+2*Q204,12),"00"))))</f>
        <v/>
      </c>
      <c r="S204" s="47"/>
      <c r="T204" s="47"/>
      <c r="U204" s="47"/>
      <c r="V204" s="47"/>
      <c r="W204" s="47"/>
      <c r="X204" s="47"/>
      <c r="Y204" s="47"/>
      <c r="Z204" s="47"/>
      <c r="AA204" s="47"/>
      <c r="AB204" s="47"/>
      <c r="AC204" s="47"/>
      <c r="AD204" s="47"/>
      <c r="AE204" s="47"/>
      <c r="AF204" s="47"/>
      <c r="AG204" s="47"/>
      <c r="AH204" s="47"/>
      <c r="AI204" s="46"/>
      <c r="AJ204" s="46"/>
      <c r="AK204" s="46"/>
      <c r="AL204" s="7"/>
      <c r="AM204" s="49" t="str">
        <f aca="false">IF(OR(C204="",G204=""),"",IFERROR(DATEDIF(C204,G204,"m"),""))</f>
        <v/>
      </c>
      <c r="AN204" s="49" t="str">
        <f aca="false">IF(OR(Q204="",AM204=""),"",60+2*Q204-AM204)</f>
        <v/>
      </c>
      <c r="AO204" s="49" t="str">
        <f aca="false">IF(OR(G204="",AJ204=""),"",AJ204-G204)</f>
        <v/>
      </c>
      <c r="AP204" s="50" t="str">
        <f aca="false">IF(AND(A204="",B204=""),"",IF(J204="","Status needed",IF(OR(J204="Applied",J204="Visit booked",J204="Withdrawn"),"OK",IF(G204="","Date assessed needed",IF(C204="","Date of birth needed",IF(COUNTA(L204,M204,P204,U204,V204,X204,AB204)&lt;7,"Band missing",IF(AND(OR(J204="Decision confirmed",J204="Family told",J204="Enrolled"),AG204=""),"Recommendation needed",IF(AND(OR(J204="Family told",J204="Enrolled"),AJ204=""),"Date family told needed","OK"))))))))</f>
        <v/>
      </c>
    </row>
    <row r="205" customFormat="false" ht="15" hidden="false" customHeight="false" outlineLevel="0" collapsed="false">
      <c r="A205" s="7"/>
      <c r="B205" s="7"/>
      <c r="C205" s="46"/>
      <c r="D205" s="7"/>
      <c r="E205" s="47"/>
      <c r="F205" s="46"/>
      <c r="G205" s="46"/>
      <c r="H205" s="7"/>
      <c r="I205" s="7"/>
      <c r="J205" s="47"/>
      <c r="K205" s="47"/>
      <c r="L205" s="47"/>
      <c r="M205" s="47"/>
      <c r="N205" s="10"/>
      <c r="O205" s="47"/>
      <c r="P205" s="47"/>
      <c r="Q205" s="47"/>
      <c r="R205" s="48" t="str">
        <f aca="false">IF(Q205="","",IF(Q205=0,"below 5:00",IF(Q205&gt;=66,"16:00 or above",INT((60+2*Q205)/12)&amp;":"&amp;TEXT(MOD(60+2*Q205,12),"00"))))</f>
        <v/>
      </c>
      <c r="S205" s="47"/>
      <c r="T205" s="47"/>
      <c r="U205" s="47"/>
      <c r="V205" s="47"/>
      <c r="W205" s="47"/>
      <c r="X205" s="47"/>
      <c r="Y205" s="47"/>
      <c r="Z205" s="47"/>
      <c r="AA205" s="47"/>
      <c r="AB205" s="47"/>
      <c r="AC205" s="47"/>
      <c r="AD205" s="47"/>
      <c r="AE205" s="47"/>
      <c r="AF205" s="47"/>
      <c r="AG205" s="47"/>
      <c r="AH205" s="47"/>
      <c r="AI205" s="46"/>
      <c r="AJ205" s="46"/>
      <c r="AK205" s="46"/>
      <c r="AL205" s="7"/>
      <c r="AM205" s="49" t="str">
        <f aca="false">IF(OR(C205="",G205=""),"",IFERROR(DATEDIF(C205,G205,"m"),""))</f>
        <v/>
      </c>
      <c r="AN205" s="49" t="str">
        <f aca="false">IF(OR(Q205="",AM205=""),"",60+2*Q205-AM205)</f>
        <v/>
      </c>
      <c r="AO205" s="49" t="str">
        <f aca="false">IF(OR(G205="",AJ205=""),"",AJ205-G205)</f>
        <v/>
      </c>
      <c r="AP205" s="50" t="str">
        <f aca="false">IF(AND(A205="",B205=""),"",IF(J205="","Status needed",IF(OR(J205="Applied",J205="Visit booked",J205="Withdrawn"),"OK",IF(G205="","Date assessed needed",IF(C205="","Date of birth needed",IF(COUNTA(L205,M205,P205,U205,V205,X205,AB205)&lt;7,"Band missing",IF(AND(OR(J205="Decision confirmed",J205="Family told",J205="Enrolled"),AG205=""),"Recommendation needed",IF(AND(OR(J205="Family told",J205="Enrolled"),AJ205=""),"Date family told needed","OK"))))))))</f>
        <v/>
      </c>
    </row>
    <row r="206" customFormat="false" ht="15" hidden="false" customHeight="false" outlineLevel="0" collapsed="false">
      <c r="A206" s="7"/>
      <c r="B206" s="7"/>
      <c r="C206" s="46"/>
      <c r="D206" s="7"/>
      <c r="E206" s="47"/>
      <c r="F206" s="46"/>
      <c r="G206" s="46"/>
      <c r="H206" s="7"/>
      <c r="I206" s="7"/>
      <c r="J206" s="47"/>
      <c r="K206" s="47"/>
      <c r="L206" s="47"/>
      <c r="M206" s="47"/>
      <c r="N206" s="10"/>
      <c r="O206" s="47"/>
      <c r="P206" s="47"/>
      <c r="Q206" s="47"/>
      <c r="R206" s="48" t="str">
        <f aca="false">IF(Q206="","",IF(Q206=0,"below 5:00",IF(Q206&gt;=66,"16:00 or above",INT((60+2*Q206)/12)&amp;":"&amp;TEXT(MOD(60+2*Q206,12),"00"))))</f>
        <v/>
      </c>
      <c r="S206" s="47"/>
      <c r="T206" s="47"/>
      <c r="U206" s="47"/>
      <c r="V206" s="47"/>
      <c r="W206" s="47"/>
      <c r="X206" s="47"/>
      <c r="Y206" s="47"/>
      <c r="Z206" s="47"/>
      <c r="AA206" s="47"/>
      <c r="AB206" s="47"/>
      <c r="AC206" s="47"/>
      <c r="AD206" s="47"/>
      <c r="AE206" s="47"/>
      <c r="AF206" s="47"/>
      <c r="AG206" s="47"/>
      <c r="AH206" s="47"/>
      <c r="AI206" s="46"/>
      <c r="AJ206" s="46"/>
      <c r="AK206" s="46"/>
      <c r="AL206" s="7"/>
      <c r="AM206" s="49" t="str">
        <f aca="false">IF(OR(C206="",G206=""),"",IFERROR(DATEDIF(C206,G206,"m"),""))</f>
        <v/>
      </c>
      <c r="AN206" s="49" t="str">
        <f aca="false">IF(OR(Q206="",AM206=""),"",60+2*Q206-AM206)</f>
        <v/>
      </c>
      <c r="AO206" s="49" t="str">
        <f aca="false">IF(OR(G206="",AJ206=""),"",AJ206-G206)</f>
        <v/>
      </c>
      <c r="AP206" s="50" t="str">
        <f aca="false">IF(AND(A206="",B206=""),"",IF(J206="","Status needed",IF(OR(J206="Applied",J206="Visit booked",J206="Withdrawn"),"OK",IF(G206="","Date assessed needed",IF(C206="","Date of birth needed",IF(COUNTA(L206,M206,P206,U206,V206,X206,AB206)&lt;7,"Band missing",IF(AND(OR(J206="Decision confirmed",J206="Family told",J206="Enrolled"),AG206=""),"Recommendation needed",IF(AND(OR(J206="Family told",J206="Enrolled"),AJ206=""),"Date family told needed","OK"))))))))</f>
        <v/>
      </c>
    </row>
    <row r="207" customFormat="false" ht="15" hidden="false" customHeight="false" outlineLevel="0" collapsed="false">
      <c r="A207" s="7"/>
      <c r="B207" s="7"/>
      <c r="C207" s="46"/>
      <c r="D207" s="7"/>
      <c r="E207" s="47"/>
      <c r="F207" s="46"/>
      <c r="G207" s="46"/>
      <c r="H207" s="7"/>
      <c r="I207" s="7"/>
      <c r="J207" s="47"/>
      <c r="K207" s="47"/>
      <c r="L207" s="47"/>
      <c r="M207" s="47"/>
      <c r="N207" s="10"/>
      <c r="O207" s="47"/>
      <c r="P207" s="47"/>
      <c r="Q207" s="47"/>
      <c r="R207" s="48" t="str">
        <f aca="false">IF(Q207="","",IF(Q207=0,"below 5:00",IF(Q207&gt;=66,"16:00 or above",INT((60+2*Q207)/12)&amp;":"&amp;TEXT(MOD(60+2*Q207,12),"00"))))</f>
        <v/>
      </c>
      <c r="S207" s="47"/>
      <c r="T207" s="47"/>
      <c r="U207" s="47"/>
      <c r="V207" s="47"/>
      <c r="W207" s="47"/>
      <c r="X207" s="47"/>
      <c r="Y207" s="47"/>
      <c r="Z207" s="47"/>
      <c r="AA207" s="47"/>
      <c r="AB207" s="47"/>
      <c r="AC207" s="47"/>
      <c r="AD207" s="47"/>
      <c r="AE207" s="47"/>
      <c r="AF207" s="47"/>
      <c r="AG207" s="47"/>
      <c r="AH207" s="47"/>
      <c r="AI207" s="46"/>
      <c r="AJ207" s="46"/>
      <c r="AK207" s="46"/>
      <c r="AL207" s="7"/>
      <c r="AM207" s="49" t="str">
        <f aca="false">IF(OR(C207="",G207=""),"",IFERROR(DATEDIF(C207,G207,"m"),""))</f>
        <v/>
      </c>
      <c r="AN207" s="49" t="str">
        <f aca="false">IF(OR(Q207="",AM207=""),"",60+2*Q207-AM207)</f>
        <v/>
      </c>
      <c r="AO207" s="49" t="str">
        <f aca="false">IF(OR(G207="",AJ207=""),"",AJ207-G207)</f>
        <v/>
      </c>
      <c r="AP207" s="50" t="str">
        <f aca="false">IF(AND(A207="",B207=""),"",IF(J207="","Status needed",IF(OR(J207="Applied",J207="Visit booked",J207="Withdrawn"),"OK",IF(G207="","Date assessed needed",IF(C207="","Date of birth needed",IF(COUNTA(L207,M207,P207,U207,V207,X207,AB207)&lt;7,"Band missing",IF(AND(OR(J207="Decision confirmed",J207="Family told",J207="Enrolled"),AG207=""),"Recommendation needed",IF(AND(OR(J207="Family told",J207="Enrolled"),AJ207=""),"Date family told needed","OK"))))))))</f>
        <v/>
      </c>
    </row>
    <row r="208" customFormat="false" ht="15" hidden="false" customHeight="false" outlineLevel="0" collapsed="false">
      <c r="A208" s="7"/>
      <c r="B208" s="7"/>
      <c r="C208" s="46"/>
      <c r="D208" s="7"/>
      <c r="E208" s="47"/>
      <c r="F208" s="46"/>
      <c r="G208" s="46"/>
      <c r="H208" s="7"/>
      <c r="I208" s="7"/>
      <c r="J208" s="47"/>
      <c r="K208" s="47"/>
      <c r="L208" s="47"/>
      <c r="M208" s="47"/>
      <c r="N208" s="10"/>
      <c r="O208" s="47"/>
      <c r="P208" s="47"/>
      <c r="Q208" s="47"/>
      <c r="R208" s="48" t="str">
        <f aca="false">IF(Q208="","",IF(Q208=0,"below 5:00",IF(Q208&gt;=66,"16:00 or above",INT((60+2*Q208)/12)&amp;":"&amp;TEXT(MOD(60+2*Q208,12),"00"))))</f>
        <v/>
      </c>
      <c r="S208" s="47"/>
      <c r="T208" s="47"/>
      <c r="U208" s="47"/>
      <c r="V208" s="47"/>
      <c r="W208" s="47"/>
      <c r="X208" s="47"/>
      <c r="Y208" s="47"/>
      <c r="Z208" s="47"/>
      <c r="AA208" s="47"/>
      <c r="AB208" s="47"/>
      <c r="AC208" s="47"/>
      <c r="AD208" s="47"/>
      <c r="AE208" s="47"/>
      <c r="AF208" s="47"/>
      <c r="AG208" s="47"/>
      <c r="AH208" s="47"/>
      <c r="AI208" s="46"/>
      <c r="AJ208" s="46"/>
      <c r="AK208" s="46"/>
      <c r="AL208" s="7"/>
      <c r="AM208" s="49" t="str">
        <f aca="false">IF(OR(C208="",G208=""),"",IFERROR(DATEDIF(C208,G208,"m"),""))</f>
        <v/>
      </c>
      <c r="AN208" s="49" t="str">
        <f aca="false">IF(OR(Q208="",AM208=""),"",60+2*Q208-AM208)</f>
        <v/>
      </c>
      <c r="AO208" s="49" t="str">
        <f aca="false">IF(OR(G208="",AJ208=""),"",AJ208-G208)</f>
        <v/>
      </c>
      <c r="AP208" s="50" t="str">
        <f aca="false">IF(AND(A208="",B208=""),"",IF(J208="","Status needed",IF(OR(J208="Applied",J208="Visit booked",J208="Withdrawn"),"OK",IF(G208="","Date assessed needed",IF(C208="","Date of birth needed",IF(COUNTA(L208,M208,P208,U208,V208,X208,AB208)&lt;7,"Band missing",IF(AND(OR(J208="Decision confirmed",J208="Family told",J208="Enrolled"),AG208=""),"Recommendation needed",IF(AND(OR(J208="Family told",J208="Enrolled"),AJ208=""),"Date family told needed","OK"))))))))</f>
        <v/>
      </c>
    </row>
    <row r="209" customFormat="false" ht="15" hidden="false" customHeight="false" outlineLevel="0" collapsed="false">
      <c r="A209" s="7"/>
      <c r="B209" s="7"/>
      <c r="C209" s="46"/>
      <c r="D209" s="7"/>
      <c r="E209" s="47"/>
      <c r="F209" s="46"/>
      <c r="G209" s="46"/>
      <c r="H209" s="7"/>
      <c r="I209" s="7"/>
      <c r="J209" s="47"/>
      <c r="K209" s="47"/>
      <c r="L209" s="47"/>
      <c r="M209" s="47"/>
      <c r="N209" s="10"/>
      <c r="O209" s="47"/>
      <c r="P209" s="47"/>
      <c r="Q209" s="47"/>
      <c r="R209" s="48" t="str">
        <f aca="false">IF(Q209="","",IF(Q209=0,"below 5:00",IF(Q209&gt;=66,"16:00 or above",INT((60+2*Q209)/12)&amp;":"&amp;TEXT(MOD(60+2*Q209,12),"00"))))</f>
        <v/>
      </c>
      <c r="S209" s="47"/>
      <c r="T209" s="47"/>
      <c r="U209" s="47"/>
      <c r="V209" s="47"/>
      <c r="W209" s="47"/>
      <c r="X209" s="47"/>
      <c r="Y209" s="47"/>
      <c r="Z209" s="47"/>
      <c r="AA209" s="47"/>
      <c r="AB209" s="47"/>
      <c r="AC209" s="47"/>
      <c r="AD209" s="47"/>
      <c r="AE209" s="47"/>
      <c r="AF209" s="47"/>
      <c r="AG209" s="47"/>
      <c r="AH209" s="47"/>
      <c r="AI209" s="46"/>
      <c r="AJ209" s="46"/>
      <c r="AK209" s="46"/>
      <c r="AL209" s="7"/>
      <c r="AM209" s="49" t="str">
        <f aca="false">IF(OR(C209="",G209=""),"",IFERROR(DATEDIF(C209,G209,"m"),""))</f>
        <v/>
      </c>
      <c r="AN209" s="49" t="str">
        <f aca="false">IF(OR(Q209="",AM209=""),"",60+2*Q209-AM209)</f>
        <v/>
      </c>
      <c r="AO209" s="49" t="str">
        <f aca="false">IF(OR(G209="",AJ209=""),"",AJ209-G209)</f>
        <v/>
      </c>
      <c r="AP209" s="50" t="str">
        <f aca="false">IF(AND(A209="",B209=""),"",IF(J209="","Status needed",IF(OR(J209="Applied",J209="Visit booked",J209="Withdrawn"),"OK",IF(G209="","Date assessed needed",IF(C209="","Date of birth needed",IF(COUNTA(L209,M209,P209,U209,V209,X209,AB209)&lt;7,"Band missing",IF(AND(OR(J209="Decision confirmed",J209="Family told",J209="Enrolled"),AG209=""),"Recommendation needed",IF(AND(OR(J209="Family told",J209="Enrolled"),AJ209=""),"Date family told needed","OK"))))))))</f>
        <v/>
      </c>
    </row>
    <row r="210" customFormat="false" ht="15" hidden="false" customHeight="false" outlineLevel="0" collapsed="false">
      <c r="A210" s="7"/>
      <c r="B210" s="7"/>
      <c r="C210" s="46"/>
      <c r="D210" s="7"/>
      <c r="E210" s="47"/>
      <c r="F210" s="46"/>
      <c r="G210" s="46"/>
      <c r="H210" s="7"/>
      <c r="I210" s="7"/>
      <c r="J210" s="47"/>
      <c r="K210" s="47"/>
      <c r="L210" s="47"/>
      <c r="M210" s="47"/>
      <c r="N210" s="10"/>
      <c r="O210" s="47"/>
      <c r="P210" s="47"/>
      <c r="Q210" s="47"/>
      <c r="R210" s="48" t="str">
        <f aca="false">IF(Q210="","",IF(Q210=0,"below 5:00",IF(Q210&gt;=66,"16:00 or above",INT((60+2*Q210)/12)&amp;":"&amp;TEXT(MOD(60+2*Q210,12),"00"))))</f>
        <v/>
      </c>
      <c r="S210" s="47"/>
      <c r="T210" s="47"/>
      <c r="U210" s="47"/>
      <c r="V210" s="47"/>
      <c r="W210" s="47"/>
      <c r="X210" s="47"/>
      <c r="Y210" s="47"/>
      <c r="Z210" s="47"/>
      <c r="AA210" s="47"/>
      <c r="AB210" s="47"/>
      <c r="AC210" s="47"/>
      <c r="AD210" s="47"/>
      <c r="AE210" s="47"/>
      <c r="AF210" s="47"/>
      <c r="AG210" s="47"/>
      <c r="AH210" s="47"/>
      <c r="AI210" s="46"/>
      <c r="AJ210" s="46"/>
      <c r="AK210" s="46"/>
      <c r="AL210" s="7"/>
      <c r="AM210" s="49" t="str">
        <f aca="false">IF(OR(C210="",G210=""),"",IFERROR(DATEDIF(C210,G210,"m"),""))</f>
        <v/>
      </c>
      <c r="AN210" s="49" t="str">
        <f aca="false">IF(OR(Q210="",AM210=""),"",60+2*Q210-AM210)</f>
        <v/>
      </c>
      <c r="AO210" s="49" t="str">
        <f aca="false">IF(OR(G210="",AJ210=""),"",AJ210-G210)</f>
        <v/>
      </c>
      <c r="AP210" s="50" t="str">
        <f aca="false">IF(AND(A210="",B210=""),"",IF(J210="","Status needed",IF(OR(J210="Applied",J210="Visit booked",J210="Withdrawn"),"OK",IF(G210="","Date assessed needed",IF(C210="","Date of birth needed",IF(COUNTA(L210,M210,P210,U210,V210,X210,AB210)&lt;7,"Band missing",IF(AND(OR(J210="Decision confirmed",J210="Family told",J210="Enrolled"),AG210=""),"Recommendation needed",IF(AND(OR(J210="Family told",J210="Enrolled"),AJ210=""),"Date family told needed","OK"))))))))</f>
        <v/>
      </c>
    </row>
    <row r="211" customFormat="false" ht="15" hidden="false" customHeight="false" outlineLevel="0" collapsed="false">
      <c r="A211" s="7"/>
      <c r="B211" s="7"/>
      <c r="C211" s="46"/>
      <c r="D211" s="7"/>
      <c r="E211" s="47"/>
      <c r="F211" s="46"/>
      <c r="G211" s="46"/>
      <c r="H211" s="7"/>
      <c r="I211" s="7"/>
      <c r="J211" s="47"/>
      <c r="K211" s="47"/>
      <c r="L211" s="47"/>
      <c r="M211" s="47"/>
      <c r="N211" s="10"/>
      <c r="O211" s="47"/>
      <c r="P211" s="47"/>
      <c r="Q211" s="47"/>
      <c r="R211" s="48" t="str">
        <f aca="false">IF(Q211="","",IF(Q211=0,"below 5:00",IF(Q211&gt;=66,"16:00 or above",INT((60+2*Q211)/12)&amp;":"&amp;TEXT(MOD(60+2*Q211,12),"00"))))</f>
        <v/>
      </c>
      <c r="S211" s="47"/>
      <c r="T211" s="47"/>
      <c r="U211" s="47"/>
      <c r="V211" s="47"/>
      <c r="W211" s="47"/>
      <c r="X211" s="47"/>
      <c r="Y211" s="47"/>
      <c r="Z211" s="47"/>
      <c r="AA211" s="47"/>
      <c r="AB211" s="47"/>
      <c r="AC211" s="47"/>
      <c r="AD211" s="47"/>
      <c r="AE211" s="47"/>
      <c r="AF211" s="47"/>
      <c r="AG211" s="47"/>
      <c r="AH211" s="47"/>
      <c r="AI211" s="46"/>
      <c r="AJ211" s="46"/>
      <c r="AK211" s="46"/>
      <c r="AL211" s="7"/>
      <c r="AM211" s="49" t="str">
        <f aca="false">IF(OR(C211="",G211=""),"",IFERROR(DATEDIF(C211,G211,"m"),""))</f>
        <v/>
      </c>
      <c r="AN211" s="49" t="str">
        <f aca="false">IF(OR(Q211="",AM211=""),"",60+2*Q211-AM211)</f>
        <v/>
      </c>
      <c r="AO211" s="49" t="str">
        <f aca="false">IF(OR(G211="",AJ211=""),"",AJ211-G211)</f>
        <v/>
      </c>
      <c r="AP211" s="50" t="str">
        <f aca="false">IF(AND(A211="",B211=""),"",IF(J211="","Status needed",IF(OR(J211="Applied",J211="Visit booked",J211="Withdrawn"),"OK",IF(G211="","Date assessed needed",IF(C211="","Date of birth needed",IF(COUNTA(L211,M211,P211,U211,V211,X211,AB211)&lt;7,"Band missing",IF(AND(OR(J211="Decision confirmed",J211="Family told",J211="Enrolled"),AG211=""),"Recommendation needed",IF(AND(OR(J211="Family told",J211="Enrolled"),AJ211=""),"Date family told needed","OK"))))))))</f>
        <v/>
      </c>
    </row>
    <row r="212" customFormat="false" ht="15" hidden="false" customHeight="false" outlineLevel="0" collapsed="false">
      <c r="A212" s="7"/>
      <c r="B212" s="7"/>
      <c r="C212" s="46"/>
      <c r="D212" s="7"/>
      <c r="E212" s="47"/>
      <c r="F212" s="46"/>
      <c r="G212" s="46"/>
      <c r="H212" s="7"/>
      <c r="I212" s="7"/>
      <c r="J212" s="47"/>
      <c r="K212" s="47"/>
      <c r="L212" s="47"/>
      <c r="M212" s="47"/>
      <c r="N212" s="10"/>
      <c r="O212" s="47"/>
      <c r="P212" s="47"/>
      <c r="Q212" s="47"/>
      <c r="R212" s="48" t="str">
        <f aca="false">IF(Q212="","",IF(Q212=0,"below 5:00",IF(Q212&gt;=66,"16:00 or above",INT((60+2*Q212)/12)&amp;":"&amp;TEXT(MOD(60+2*Q212,12),"00"))))</f>
        <v/>
      </c>
      <c r="S212" s="47"/>
      <c r="T212" s="47"/>
      <c r="U212" s="47"/>
      <c r="V212" s="47"/>
      <c r="W212" s="47"/>
      <c r="X212" s="47"/>
      <c r="Y212" s="47"/>
      <c r="Z212" s="47"/>
      <c r="AA212" s="47"/>
      <c r="AB212" s="47"/>
      <c r="AC212" s="47"/>
      <c r="AD212" s="47"/>
      <c r="AE212" s="47"/>
      <c r="AF212" s="47"/>
      <c r="AG212" s="47"/>
      <c r="AH212" s="47"/>
      <c r="AI212" s="46"/>
      <c r="AJ212" s="46"/>
      <c r="AK212" s="46"/>
      <c r="AL212" s="7"/>
      <c r="AM212" s="49" t="str">
        <f aca="false">IF(OR(C212="",G212=""),"",IFERROR(DATEDIF(C212,G212,"m"),""))</f>
        <v/>
      </c>
      <c r="AN212" s="49" t="str">
        <f aca="false">IF(OR(Q212="",AM212=""),"",60+2*Q212-AM212)</f>
        <v/>
      </c>
      <c r="AO212" s="49" t="str">
        <f aca="false">IF(OR(G212="",AJ212=""),"",AJ212-G212)</f>
        <v/>
      </c>
      <c r="AP212" s="50" t="str">
        <f aca="false">IF(AND(A212="",B212=""),"",IF(J212="","Status needed",IF(OR(J212="Applied",J212="Visit booked",J212="Withdrawn"),"OK",IF(G212="","Date assessed needed",IF(C212="","Date of birth needed",IF(COUNTA(L212,M212,P212,U212,V212,X212,AB212)&lt;7,"Band missing",IF(AND(OR(J212="Decision confirmed",J212="Family told",J212="Enrolled"),AG212=""),"Recommendation needed",IF(AND(OR(J212="Family told",J212="Enrolled"),AJ212=""),"Date family told needed","OK"))))))))</f>
        <v/>
      </c>
    </row>
    <row r="213" customFormat="false" ht="15" hidden="false" customHeight="false" outlineLevel="0" collapsed="false">
      <c r="A213" s="7"/>
      <c r="B213" s="7"/>
      <c r="C213" s="46"/>
      <c r="D213" s="7"/>
      <c r="E213" s="47"/>
      <c r="F213" s="46"/>
      <c r="G213" s="46"/>
      <c r="H213" s="7"/>
      <c r="I213" s="7"/>
      <c r="J213" s="47"/>
      <c r="K213" s="47"/>
      <c r="L213" s="47"/>
      <c r="M213" s="47"/>
      <c r="N213" s="10"/>
      <c r="O213" s="47"/>
      <c r="P213" s="47"/>
      <c r="Q213" s="47"/>
      <c r="R213" s="48" t="str">
        <f aca="false">IF(Q213="","",IF(Q213=0,"below 5:00",IF(Q213&gt;=66,"16:00 or above",INT((60+2*Q213)/12)&amp;":"&amp;TEXT(MOD(60+2*Q213,12),"00"))))</f>
        <v/>
      </c>
      <c r="S213" s="47"/>
      <c r="T213" s="47"/>
      <c r="U213" s="47"/>
      <c r="V213" s="47"/>
      <c r="W213" s="47"/>
      <c r="X213" s="47"/>
      <c r="Y213" s="47"/>
      <c r="Z213" s="47"/>
      <c r="AA213" s="47"/>
      <c r="AB213" s="47"/>
      <c r="AC213" s="47"/>
      <c r="AD213" s="47"/>
      <c r="AE213" s="47"/>
      <c r="AF213" s="47"/>
      <c r="AG213" s="47"/>
      <c r="AH213" s="47"/>
      <c r="AI213" s="46"/>
      <c r="AJ213" s="46"/>
      <c r="AK213" s="46"/>
      <c r="AL213" s="7"/>
      <c r="AM213" s="49" t="str">
        <f aca="false">IF(OR(C213="",G213=""),"",IFERROR(DATEDIF(C213,G213,"m"),""))</f>
        <v/>
      </c>
      <c r="AN213" s="49" t="str">
        <f aca="false">IF(OR(Q213="",AM213=""),"",60+2*Q213-AM213)</f>
        <v/>
      </c>
      <c r="AO213" s="49" t="str">
        <f aca="false">IF(OR(G213="",AJ213=""),"",AJ213-G213)</f>
        <v/>
      </c>
      <c r="AP213" s="50" t="str">
        <f aca="false">IF(AND(A213="",B213=""),"",IF(J213="","Status needed",IF(OR(J213="Applied",J213="Visit booked",J213="Withdrawn"),"OK",IF(G213="","Date assessed needed",IF(C213="","Date of birth needed",IF(COUNTA(L213,M213,P213,U213,V213,X213,AB213)&lt;7,"Band missing",IF(AND(OR(J213="Decision confirmed",J213="Family told",J213="Enrolled"),AG213=""),"Recommendation needed",IF(AND(OR(J213="Family told",J213="Enrolled"),AJ213=""),"Date family told needed","OK"))))))))</f>
        <v/>
      </c>
    </row>
    <row r="214" customFormat="false" ht="15" hidden="false" customHeight="false" outlineLevel="0" collapsed="false">
      <c r="A214" s="7"/>
      <c r="B214" s="7"/>
      <c r="C214" s="46"/>
      <c r="D214" s="7"/>
      <c r="E214" s="47"/>
      <c r="F214" s="46"/>
      <c r="G214" s="46"/>
      <c r="H214" s="7"/>
      <c r="I214" s="7"/>
      <c r="J214" s="47"/>
      <c r="K214" s="47"/>
      <c r="L214" s="47"/>
      <c r="M214" s="47"/>
      <c r="N214" s="10"/>
      <c r="O214" s="47"/>
      <c r="P214" s="47"/>
      <c r="Q214" s="47"/>
      <c r="R214" s="48" t="str">
        <f aca="false">IF(Q214="","",IF(Q214=0,"below 5:00",IF(Q214&gt;=66,"16:00 or above",INT((60+2*Q214)/12)&amp;":"&amp;TEXT(MOD(60+2*Q214,12),"00"))))</f>
        <v/>
      </c>
      <c r="S214" s="47"/>
      <c r="T214" s="47"/>
      <c r="U214" s="47"/>
      <c r="V214" s="47"/>
      <c r="W214" s="47"/>
      <c r="X214" s="47"/>
      <c r="Y214" s="47"/>
      <c r="Z214" s="47"/>
      <c r="AA214" s="47"/>
      <c r="AB214" s="47"/>
      <c r="AC214" s="47"/>
      <c r="AD214" s="47"/>
      <c r="AE214" s="47"/>
      <c r="AF214" s="47"/>
      <c r="AG214" s="47"/>
      <c r="AH214" s="47"/>
      <c r="AI214" s="46"/>
      <c r="AJ214" s="46"/>
      <c r="AK214" s="46"/>
      <c r="AL214" s="7"/>
      <c r="AM214" s="49" t="str">
        <f aca="false">IF(OR(C214="",G214=""),"",IFERROR(DATEDIF(C214,G214,"m"),""))</f>
        <v/>
      </c>
      <c r="AN214" s="49" t="str">
        <f aca="false">IF(OR(Q214="",AM214=""),"",60+2*Q214-AM214)</f>
        <v/>
      </c>
      <c r="AO214" s="49" t="str">
        <f aca="false">IF(OR(G214="",AJ214=""),"",AJ214-G214)</f>
        <v/>
      </c>
      <c r="AP214" s="50" t="str">
        <f aca="false">IF(AND(A214="",B214=""),"",IF(J214="","Status needed",IF(OR(J214="Applied",J214="Visit booked",J214="Withdrawn"),"OK",IF(G214="","Date assessed needed",IF(C214="","Date of birth needed",IF(COUNTA(L214,M214,P214,U214,V214,X214,AB214)&lt;7,"Band missing",IF(AND(OR(J214="Decision confirmed",J214="Family told",J214="Enrolled"),AG214=""),"Recommendation needed",IF(AND(OR(J214="Family told",J214="Enrolled"),AJ214=""),"Date family told needed","OK"))))))))</f>
        <v/>
      </c>
    </row>
    <row r="215" customFormat="false" ht="15" hidden="false" customHeight="false" outlineLevel="0" collapsed="false">
      <c r="A215" s="7"/>
      <c r="B215" s="7"/>
      <c r="C215" s="46"/>
      <c r="D215" s="7"/>
      <c r="E215" s="47"/>
      <c r="F215" s="46"/>
      <c r="G215" s="46"/>
      <c r="H215" s="7"/>
      <c r="I215" s="7"/>
      <c r="J215" s="47"/>
      <c r="K215" s="47"/>
      <c r="L215" s="47"/>
      <c r="M215" s="47"/>
      <c r="N215" s="10"/>
      <c r="O215" s="47"/>
      <c r="P215" s="47"/>
      <c r="Q215" s="47"/>
      <c r="R215" s="48" t="str">
        <f aca="false">IF(Q215="","",IF(Q215=0,"below 5:00",IF(Q215&gt;=66,"16:00 or above",INT((60+2*Q215)/12)&amp;":"&amp;TEXT(MOD(60+2*Q215,12),"00"))))</f>
        <v/>
      </c>
      <c r="S215" s="47"/>
      <c r="T215" s="47"/>
      <c r="U215" s="47"/>
      <c r="V215" s="47"/>
      <c r="W215" s="47"/>
      <c r="X215" s="47"/>
      <c r="Y215" s="47"/>
      <c r="Z215" s="47"/>
      <c r="AA215" s="47"/>
      <c r="AB215" s="47"/>
      <c r="AC215" s="47"/>
      <c r="AD215" s="47"/>
      <c r="AE215" s="47"/>
      <c r="AF215" s="47"/>
      <c r="AG215" s="47"/>
      <c r="AH215" s="47"/>
      <c r="AI215" s="46"/>
      <c r="AJ215" s="46"/>
      <c r="AK215" s="46"/>
      <c r="AL215" s="7"/>
      <c r="AM215" s="49" t="str">
        <f aca="false">IF(OR(C215="",G215=""),"",IFERROR(DATEDIF(C215,G215,"m"),""))</f>
        <v/>
      </c>
      <c r="AN215" s="49" t="str">
        <f aca="false">IF(OR(Q215="",AM215=""),"",60+2*Q215-AM215)</f>
        <v/>
      </c>
      <c r="AO215" s="49" t="str">
        <f aca="false">IF(OR(G215="",AJ215=""),"",AJ215-G215)</f>
        <v/>
      </c>
      <c r="AP215" s="50" t="str">
        <f aca="false">IF(AND(A215="",B215=""),"",IF(J215="","Status needed",IF(OR(J215="Applied",J215="Visit booked",J215="Withdrawn"),"OK",IF(G215="","Date assessed needed",IF(C215="","Date of birth needed",IF(COUNTA(L215,M215,P215,U215,V215,X215,AB215)&lt;7,"Band missing",IF(AND(OR(J215="Decision confirmed",J215="Family told",J215="Enrolled"),AG215=""),"Recommendation needed",IF(AND(OR(J215="Family told",J215="Enrolled"),AJ215=""),"Date family told needed","OK"))))))))</f>
        <v/>
      </c>
    </row>
    <row r="216" customFormat="false" ht="15" hidden="false" customHeight="false" outlineLevel="0" collapsed="false">
      <c r="A216" s="7"/>
      <c r="B216" s="7"/>
      <c r="C216" s="46"/>
      <c r="D216" s="7"/>
      <c r="E216" s="47"/>
      <c r="F216" s="46"/>
      <c r="G216" s="46"/>
      <c r="H216" s="7"/>
      <c r="I216" s="7"/>
      <c r="J216" s="47"/>
      <c r="K216" s="47"/>
      <c r="L216" s="47"/>
      <c r="M216" s="47"/>
      <c r="N216" s="10"/>
      <c r="O216" s="47"/>
      <c r="P216" s="47"/>
      <c r="Q216" s="47"/>
      <c r="R216" s="48" t="str">
        <f aca="false">IF(Q216="","",IF(Q216=0,"below 5:00",IF(Q216&gt;=66,"16:00 or above",INT((60+2*Q216)/12)&amp;":"&amp;TEXT(MOD(60+2*Q216,12),"00"))))</f>
        <v/>
      </c>
      <c r="S216" s="47"/>
      <c r="T216" s="47"/>
      <c r="U216" s="47"/>
      <c r="V216" s="47"/>
      <c r="W216" s="47"/>
      <c r="X216" s="47"/>
      <c r="Y216" s="47"/>
      <c r="Z216" s="47"/>
      <c r="AA216" s="47"/>
      <c r="AB216" s="47"/>
      <c r="AC216" s="47"/>
      <c r="AD216" s="47"/>
      <c r="AE216" s="47"/>
      <c r="AF216" s="47"/>
      <c r="AG216" s="47"/>
      <c r="AH216" s="47"/>
      <c r="AI216" s="46"/>
      <c r="AJ216" s="46"/>
      <c r="AK216" s="46"/>
      <c r="AL216" s="7"/>
      <c r="AM216" s="49" t="str">
        <f aca="false">IF(OR(C216="",G216=""),"",IFERROR(DATEDIF(C216,G216,"m"),""))</f>
        <v/>
      </c>
      <c r="AN216" s="49" t="str">
        <f aca="false">IF(OR(Q216="",AM216=""),"",60+2*Q216-AM216)</f>
        <v/>
      </c>
      <c r="AO216" s="49" t="str">
        <f aca="false">IF(OR(G216="",AJ216=""),"",AJ216-G216)</f>
        <v/>
      </c>
      <c r="AP216" s="50" t="str">
        <f aca="false">IF(AND(A216="",B216=""),"",IF(J216="","Status needed",IF(OR(J216="Applied",J216="Visit booked",J216="Withdrawn"),"OK",IF(G216="","Date assessed needed",IF(C216="","Date of birth needed",IF(COUNTA(L216,M216,P216,U216,V216,X216,AB216)&lt;7,"Band missing",IF(AND(OR(J216="Decision confirmed",J216="Family told",J216="Enrolled"),AG216=""),"Recommendation needed",IF(AND(OR(J216="Family told",J216="Enrolled"),AJ216=""),"Date family told needed","OK"))))))))</f>
        <v/>
      </c>
    </row>
    <row r="217" customFormat="false" ht="15" hidden="false" customHeight="false" outlineLevel="0" collapsed="false">
      <c r="A217" s="7"/>
      <c r="B217" s="7"/>
      <c r="C217" s="46"/>
      <c r="D217" s="7"/>
      <c r="E217" s="47"/>
      <c r="F217" s="46"/>
      <c r="G217" s="46"/>
      <c r="H217" s="7"/>
      <c r="I217" s="7"/>
      <c r="J217" s="47"/>
      <c r="K217" s="47"/>
      <c r="L217" s="47"/>
      <c r="M217" s="47"/>
      <c r="N217" s="10"/>
      <c r="O217" s="47"/>
      <c r="P217" s="47"/>
      <c r="Q217" s="47"/>
      <c r="R217" s="48" t="str">
        <f aca="false">IF(Q217="","",IF(Q217=0,"below 5:00",IF(Q217&gt;=66,"16:00 or above",INT((60+2*Q217)/12)&amp;":"&amp;TEXT(MOD(60+2*Q217,12),"00"))))</f>
        <v/>
      </c>
      <c r="S217" s="47"/>
      <c r="T217" s="47"/>
      <c r="U217" s="47"/>
      <c r="V217" s="47"/>
      <c r="W217" s="47"/>
      <c r="X217" s="47"/>
      <c r="Y217" s="47"/>
      <c r="Z217" s="47"/>
      <c r="AA217" s="47"/>
      <c r="AB217" s="47"/>
      <c r="AC217" s="47"/>
      <c r="AD217" s="47"/>
      <c r="AE217" s="47"/>
      <c r="AF217" s="47"/>
      <c r="AG217" s="47"/>
      <c r="AH217" s="47"/>
      <c r="AI217" s="46"/>
      <c r="AJ217" s="46"/>
      <c r="AK217" s="46"/>
      <c r="AL217" s="7"/>
      <c r="AM217" s="49" t="str">
        <f aca="false">IF(OR(C217="",G217=""),"",IFERROR(DATEDIF(C217,G217,"m"),""))</f>
        <v/>
      </c>
      <c r="AN217" s="49" t="str">
        <f aca="false">IF(OR(Q217="",AM217=""),"",60+2*Q217-AM217)</f>
        <v/>
      </c>
      <c r="AO217" s="49" t="str">
        <f aca="false">IF(OR(G217="",AJ217=""),"",AJ217-G217)</f>
        <v/>
      </c>
      <c r="AP217" s="50" t="str">
        <f aca="false">IF(AND(A217="",B217=""),"",IF(J217="","Status needed",IF(OR(J217="Applied",J217="Visit booked",J217="Withdrawn"),"OK",IF(G217="","Date assessed needed",IF(C217="","Date of birth needed",IF(COUNTA(L217,M217,P217,U217,V217,X217,AB217)&lt;7,"Band missing",IF(AND(OR(J217="Decision confirmed",J217="Family told",J217="Enrolled"),AG217=""),"Recommendation needed",IF(AND(OR(J217="Family told",J217="Enrolled"),AJ217=""),"Date family told needed","OK"))))))))</f>
        <v/>
      </c>
    </row>
    <row r="218" customFormat="false" ht="15" hidden="false" customHeight="false" outlineLevel="0" collapsed="false">
      <c r="A218" s="7"/>
      <c r="B218" s="7"/>
      <c r="C218" s="46"/>
      <c r="D218" s="7"/>
      <c r="E218" s="47"/>
      <c r="F218" s="46"/>
      <c r="G218" s="46"/>
      <c r="H218" s="7"/>
      <c r="I218" s="7"/>
      <c r="J218" s="47"/>
      <c r="K218" s="47"/>
      <c r="L218" s="47"/>
      <c r="M218" s="47"/>
      <c r="N218" s="10"/>
      <c r="O218" s="47"/>
      <c r="P218" s="47"/>
      <c r="Q218" s="47"/>
      <c r="R218" s="48" t="str">
        <f aca="false">IF(Q218="","",IF(Q218=0,"below 5:00",IF(Q218&gt;=66,"16:00 or above",INT((60+2*Q218)/12)&amp;":"&amp;TEXT(MOD(60+2*Q218,12),"00"))))</f>
        <v/>
      </c>
      <c r="S218" s="47"/>
      <c r="T218" s="47"/>
      <c r="U218" s="47"/>
      <c r="V218" s="47"/>
      <c r="W218" s="47"/>
      <c r="X218" s="47"/>
      <c r="Y218" s="47"/>
      <c r="Z218" s="47"/>
      <c r="AA218" s="47"/>
      <c r="AB218" s="47"/>
      <c r="AC218" s="47"/>
      <c r="AD218" s="47"/>
      <c r="AE218" s="47"/>
      <c r="AF218" s="47"/>
      <c r="AG218" s="47"/>
      <c r="AH218" s="47"/>
      <c r="AI218" s="46"/>
      <c r="AJ218" s="46"/>
      <c r="AK218" s="46"/>
      <c r="AL218" s="7"/>
      <c r="AM218" s="49" t="str">
        <f aca="false">IF(OR(C218="",G218=""),"",IFERROR(DATEDIF(C218,G218,"m"),""))</f>
        <v/>
      </c>
      <c r="AN218" s="49" t="str">
        <f aca="false">IF(OR(Q218="",AM218=""),"",60+2*Q218-AM218)</f>
        <v/>
      </c>
      <c r="AO218" s="49" t="str">
        <f aca="false">IF(OR(G218="",AJ218=""),"",AJ218-G218)</f>
        <v/>
      </c>
      <c r="AP218" s="50" t="str">
        <f aca="false">IF(AND(A218="",B218=""),"",IF(J218="","Status needed",IF(OR(J218="Applied",J218="Visit booked",J218="Withdrawn"),"OK",IF(G218="","Date assessed needed",IF(C218="","Date of birth needed",IF(COUNTA(L218,M218,P218,U218,V218,X218,AB218)&lt;7,"Band missing",IF(AND(OR(J218="Decision confirmed",J218="Family told",J218="Enrolled"),AG218=""),"Recommendation needed",IF(AND(OR(J218="Family told",J218="Enrolled"),AJ218=""),"Date family told needed","OK"))))))))</f>
        <v/>
      </c>
    </row>
    <row r="219" customFormat="false" ht="15" hidden="false" customHeight="false" outlineLevel="0" collapsed="false">
      <c r="A219" s="7"/>
      <c r="B219" s="7"/>
      <c r="C219" s="46"/>
      <c r="D219" s="7"/>
      <c r="E219" s="47"/>
      <c r="F219" s="46"/>
      <c r="G219" s="46"/>
      <c r="H219" s="7"/>
      <c r="I219" s="7"/>
      <c r="J219" s="47"/>
      <c r="K219" s="47"/>
      <c r="L219" s="47"/>
      <c r="M219" s="47"/>
      <c r="N219" s="10"/>
      <c r="O219" s="47"/>
      <c r="P219" s="47"/>
      <c r="Q219" s="47"/>
      <c r="R219" s="48" t="str">
        <f aca="false">IF(Q219="","",IF(Q219=0,"below 5:00",IF(Q219&gt;=66,"16:00 or above",INT((60+2*Q219)/12)&amp;":"&amp;TEXT(MOD(60+2*Q219,12),"00"))))</f>
        <v/>
      </c>
      <c r="S219" s="47"/>
      <c r="T219" s="47"/>
      <c r="U219" s="47"/>
      <c r="V219" s="47"/>
      <c r="W219" s="47"/>
      <c r="X219" s="47"/>
      <c r="Y219" s="47"/>
      <c r="Z219" s="47"/>
      <c r="AA219" s="47"/>
      <c r="AB219" s="47"/>
      <c r="AC219" s="47"/>
      <c r="AD219" s="47"/>
      <c r="AE219" s="47"/>
      <c r="AF219" s="47"/>
      <c r="AG219" s="47"/>
      <c r="AH219" s="47"/>
      <c r="AI219" s="46"/>
      <c r="AJ219" s="46"/>
      <c r="AK219" s="46"/>
      <c r="AL219" s="7"/>
      <c r="AM219" s="49" t="str">
        <f aca="false">IF(OR(C219="",G219=""),"",IFERROR(DATEDIF(C219,G219,"m"),""))</f>
        <v/>
      </c>
      <c r="AN219" s="49" t="str">
        <f aca="false">IF(OR(Q219="",AM219=""),"",60+2*Q219-AM219)</f>
        <v/>
      </c>
      <c r="AO219" s="49" t="str">
        <f aca="false">IF(OR(G219="",AJ219=""),"",AJ219-G219)</f>
        <v/>
      </c>
      <c r="AP219" s="50" t="str">
        <f aca="false">IF(AND(A219="",B219=""),"",IF(J219="","Status needed",IF(OR(J219="Applied",J219="Visit booked",J219="Withdrawn"),"OK",IF(G219="","Date assessed needed",IF(C219="","Date of birth needed",IF(COUNTA(L219,M219,P219,U219,V219,X219,AB219)&lt;7,"Band missing",IF(AND(OR(J219="Decision confirmed",J219="Family told",J219="Enrolled"),AG219=""),"Recommendation needed",IF(AND(OR(J219="Family told",J219="Enrolled"),AJ219=""),"Date family told needed","OK"))))))))</f>
        <v/>
      </c>
    </row>
    <row r="220" customFormat="false" ht="15" hidden="false" customHeight="false" outlineLevel="0" collapsed="false">
      <c r="A220" s="7"/>
      <c r="B220" s="7"/>
      <c r="C220" s="46"/>
      <c r="D220" s="7"/>
      <c r="E220" s="47"/>
      <c r="F220" s="46"/>
      <c r="G220" s="46"/>
      <c r="H220" s="7"/>
      <c r="I220" s="7"/>
      <c r="J220" s="47"/>
      <c r="K220" s="47"/>
      <c r="L220" s="47"/>
      <c r="M220" s="47"/>
      <c r="N220" s="10"/>
      <c r="O220" s="47"/>
      <c r="P220" s="47"/>
      <c r="Q220" s="47"/>
      <c r="R220" s="48" t="str">
        <f aca="false">IF(Q220="","",IF(Q220=0,"below 5:00",IF(Q220&gt;=66,"16:00 or above",INT((60+2*Q220)/12)&amp;":"&amp;TEXT(MOD(60+2*Q220,12),"00"))))</f>
        <v/>
      </c>
      <c r="S220" s="47"/>
      <c r="T220" s="47"/>
      <c r="U220" s="47"/>
      <c r="V220" s="47"/>
      <c r="W220" s="47"/>
      <c r="X220" s="47"/>
      <c r="Y220" s="47"/>
      <c r="Z220" s="47"/>
      <c r="AA220" s="47"/>
      <c r="AB220" s="47"/>
      <c r="AC220" s="47"/>
      <c r="AD220" s="47"/>
      <c r="AE220" s="47"/>
      <c r="AF220" s="47"/>
      <c r="AG220" s="47"/>
      <c r="AH220" s="47"/>
      <c r="AI220" s="46"/>
      <c r="AJ220" s="46"/>
      <c r="AK220" s="46"/>
      <c r="AL220" s="7"/>
      <c r="AM220" s="49" t="str">
        <f aca="false">IF(OR(C220="",G220=""),"",IFERROR(DATEDIF(C220,G220,"m"),""))</f>
        <v/>
      </c>
      <c r="AN220" s="49" t="str">
        <f aca="false">IF(OR(Q220="",AM220=""),"",60+2*Q220-AM220)</f>
        <v/>
      </c>
      <c r="AO220" s="49" t="str">
        <f aca="false">IF(OR(G220="",AJ220=""),"",AJ220-G220)</f>
        <v/>
      </c>
      <c r="AP220" s="50" t="str">
        <f aca="false">IF(AND(A220="",B220=""),"",IF(J220="","Status needed",IF(OR(J220="Applied",J220="Visit booked",J220="Withdrawn"),"OK",IF(G220="","Date assessed needed",IF(C220="","Date of birth needed",IF(COUNTA(L220,M220,P220,U220,V220,X220,AB220)&lt;7,"Band missing",IF(AND(OR(J220="Decision confirmed",J220="Family told",J220="Enrolled"),AG220=""),"Recommendation needed",IF(AND(OR(J220="Family told",J220="Enrolled"),AJ220=""),"Date family told needed","OK"))))))))</f>
        <v/>
      </c>
    </row>
    <row r="221" customFormat="false" ht="15" hidden="false" customHeight="false" outlineLevel="0" collapsed="false">
      <c r="A221" s="7"/>
      <c r="B221" s="7"/>
      <c r="C221" s="46"/>
      <c r="D221" s="7"/>
      <c r="E221" s="47"/>
      <c r="F221" s="46"/>
      <c r="G221" s="46"/>
      <c r="H221" s="7"/>
      <c r="I221" s="7"/>
      <c r="J221" s="47"/>
      <c r="K221" s="47"/>
      <c r="L221" s="47"/>
      <c r="M221" s="47"/>
      <c r="N221" s="10"/>
      <c r="O221" s="47"/>
      <c r="P221" s="47"/>
      <c r="Q221" s="47"/>
      <c r="R221" s="48" t="str">
        <f aca="false">IF(Q221="","",IF(Q221=0,"below 5:00",IF(Q221&gt;=66,"16:00 or above",INT((60+2*Q221)/12)&amp;":"&amp;TEXT(MOD(60+2*Q221,12),"00"))))</f>
        <v/>
      </c>
      <c r="S221" s="47"/>
      <c r="T221" s="47"/>
      <c r="U221" s="47"/>
      <c r="V221" s="47"/>
      <c r="W221" s="47"/>
      <c r="X221" s="47"/>
      <c r="Y221" s="47"/>
      <c r="Z221" s="47"/>
      <c r="AA221" s="47"/>
      <c r="AB221" s="47"/>
      <c r="AC221" s="47"/>
      <c r="AD221" s="47"/>
      <c r="AE221" s="47"/>
      <c r="AF221" s="47"/>
      <c r="AG221" s="47"/>
      <c r="AH221" s="47"/>
      <c r="AI221" s="46"/>
      <c r="AJ221" s="46"/>
      <c r="AK221" s="46"/>
      <c r="AL221" s="7"/>
      <c r="AM221" s="49" t="str">
        <f aca="false">IF(OR(C221="",G221=""),"",IFERROR(DATEDIF(C221,G221,"m"),""))</f>
        <v/>
      </c>
      <c r="AN221" s="49" t="str">
        <f aca="false">IF(OR(Q221="",AM221=""),"",60+2*Q221-AM221)</f>
        <v/>
      </c>
      <c r="AO221" s="49" t="str">
        <f aca="false">IF(OR(G221="",AJ221=""),"",AJ221-G221)</f>
        <v/>
      </c>
      <c r="AP221" s="50" t="str">
        <f aca="false">IF(AND(A221="",B221=""),"",IF(J221="","Status needed",IF(OR(J221="Applied",J221="Visit booked",J221="Withdrawn"),"OK",IF(G221="","Date assessed needed",IF(C221="","Date of birth needed",IF(COUNTA(L221,M221,P221,U221,V221,X221,AB221)&lt;7,"Band missing",IF(AND(OR(J221="Decision confirmed",J221="Family told",J221="Enrolled"),AG221=""),"Recommendation needed",IF(AND(OR(J221="Family told",J221="Enrolled"),AJ221=""),"Date family told needed","OK"))))))))</f>
        <v/>
      </c>
    </row>
    <row r="222" customFormat="false" ht="15" hidden="false" customHeight="false" outlineLevel="0" collapsed="false">
      <c r="A222" s="7"/>
      <c r="B222" s="7"/>
      <c r="C222" s="46"/>
      <c r="D222" s="7"/>
      <c r="E222" s="47"/>
      <c r="F222" s="46"/>
      <c r="G222" s="46"/>
      <c r="H222" s="7"/>
      <c r="I222" s="7"/>
      <c r="J222" s="47"/>
      <c r="K222" s="47"/>
      <c r="L222" s="47"/>
      <c r="M222" s="47"/>
      <c r="N222" s="10"/>
      <c r="O222" s="47"/>
      <c r="P222" s="47"/>
      <c r="Q222" s="47"/>
      <c r="R222" s="48" t="str">
        <f aca="false">IF(Q222="","",IF(Q222=0,"below 5:00",IF(Q222&gt;=66,"16:00 or above",INT((60+2*Q222)/12)&amp;":"&amp;TEXT(MOD(60+2*Q222,12),"00"))))</f>
        <v/>
      </c>
      <c r="S222" s="47"/>
      <c r="T222" s="47"/>
      <c r="U222" s="47"/>
      <c r="V222" s="47"/>
      <c r="W222" s="47"/>
      <c r="X222" s="47"/>
      <c r="Y222" s="47"/>
      <c r="Z222" s="47"/>
      <c r="AA222" s="47"/>
      <c r="AB222" s="47"/>
      <c r="AC222" s="47"/>
      <c r="AD222" s="47"/>
      <c r="AE222" s="47"/>
      <c r="AF222" s="47"/>
      <c r="AG222" s="47"/>
      <c r="AH222" s="47"/>
      <c r="AI222" s="46"/>
      <c r="AJ222" s="46"/>
      <c r="AK222" s="46"/>
      <c r="AL222" s="7"/>
      <c r="AM222" s="49" t="str">
        <f aca="false">IF(OR(C222="",G222=""),"",IFERROR(DATEDIF(C222,G222,"m"),""))</f>
        <v/>
      </c>
      <c r="AN222" s="49" t="str">
        <f aca="false">IF(OR(Q222="",AM222=""),"",60+2*Q222-AM222)</f>
        <v/>
      </c>
      <c r="AO222" s="49" t="str">
        <f aca="false">IF(OR(G222="",AJ222=""),"",AJ222-G222)</f>
        <v/>
      </c>
      <c r="AP222" s="50" t="str">
        <f aca="false">IF(AND(A222="",B222=""),"",IF(J222="","Status needed",IF(OR(J222="Applied",J222="Visit booked",J222="Withdrawn"),"OK",IF(G222="","Date assessed needed",IF(C222="","Date of birth needed",IF(COUNTA(L222,M222,P222,U222,V222,X222,AB222)&lt;7,"Band missing",IF(AND(OR(J222="Decision confirmed",J222="Family told",J222="Enrolled"),AG222=""),"Recommendation needed",IF(AND(OR(J222="Family told",J222="Enrolled"),AJ222=""),"Date family told needed","OK"))))))))</f>
        <v/>
      </c>
    </row>
    <row r="223" customFormat="false" ht="15" hidden="false" customHeight="false" outlineLevel="0" collapsed="false">
      <c r="A223" s="7"/>
      <c r="B223" s="7"/>
      <c r="C223" s="46"/>
      <c r="D223" s="7"/>
      <c r="E223" s="47"/>
      <c r="F223" s="46"/>
      <c r="G223" s="46"/>
      <c r="H223" s="7"/>
      <c r="I223" s="7"/>
      <c r="J223" s="47"/>
      <c r="K223" s="47"/>
      <c r="L223" s="47"/>
      <c r="M223" s="47"/>
      <c r="N223" s="10"/>
      <c r="O223" s="47"/>
      <c r="P223" s="47"/>
      <c r="Q223" s="47"/>
      <c r="R223" s="48" t="str">
        <f aca="false">IF(Q223="","",IF(Q223=0,"below 5:00",IF(Q223&gt;=66,"16:00 or above",INT((60+2*Q223)/12)&amp;":"&amp;TEXT(MOD(60+2*Q223,12),"00"))))</f>
        <v/>
      </c>
      <c r="S223" s="47"/>
      <c r="T223" s="47"/>
      <c r="U223" s="47"/>
      <c r="V223" s="47"/>
      <c r="W223" s="47"/>
      <c r="X223" s="47"/>
      <c r="Y223" s="47"/>
      <c r="Z223" s="47"/>
      <c r="AA223" s="47"/>
      <c r="AB223" s="47"/>
      <c r="AC223" s="47"/>
      <c r="AD223" s="47"/>
      <c r="AE223" s="47"/>
      <c r="AF223" s="47"/>
      <c r="AG223" s="47"/>
      <c r="AH223" s="47"/>
      <c r="AI223" s="46"/>
      <c r="AJ223" s="46"/>
      <c r="AK223" s="46"/>
      <c r="AL223" s="7"/>
      <c r="AM223" s="49" t="str">
        <f aca="false">IF(OR(C223="",G223=""),"",IFERROR(DATEDIF(C223,G223,"m"),""))</f>
        <v/>
      </c>
      <c r="AN223" s="49" t="str">
        <f aca="false">IF(OR(Q223="",AM223=""),"",60+2*Q223-AM223)</f>
        <v/>
      </c>
      <c r="AO223" s="49" t="str">
        <f aca="false">IF(OR(G223="",AJ223=""),"",AJ223-G223)</f>
        <v/>
      </c>
      <c r="AP223" s="50" t="str">
        <f aca="false">IF(AND(A223="",B223=""),"",IF(J223="","Status needed",IF(OR(J223="Applied",J223="Visit booked",J223="Withdrawn"),"OK",IF(G223="","Date assessed needed",IF(C223="","Date of birth needed",IF(COUNTA(L223,M223,P223,U223,V223,X223,AB223)&lt;7,"Band missing",IF(AND(OR(J223="Decision confirmed",J223="Family told",J223="Enrolled"),AG223=""),"Recommendation needed",IF(AND(OR(J223="Family told",J223="Enrolled"),AJ223=""),"Date family told needed","OK"))))))))</f>
        <v/>
      </c>
    </row>
    <row r="224" customFormat="false" ht="15" hidden="false" customHeight="false" outlineLevel="0" collapsed="false">
      <c r="A224" s="7"/>
      <c r="B224" s="7"/>
      <c r="C224" s="46"/>
      <c r="D224" s="7"/>
      <c r="E224" s="47"/>
      <c r="F224" s="46"/>
      <c r="G224" s="46"/>
      <c r="H224" s="7"/>
      <c r="I224" s="7"/>
      <c r="J224" s="47"/>
      <c r="K224" s="47"/>
      <c r="L224" s="47"/>
      <c r="M224" s="47"/>
      <c r="N224" s="10"/>
      <c r="O224" s="47"/>
      <c r="P224" s="47"/>
      <c r="Q224" s="47"/>
      <c r="R224" s="48" t="str">
        <f aca="false">IF(Q224="","",IF(Q224=0,"below 5:00",IF(Q224&gt;=66,"16:00 or above",INT((60+2*Q224)/12)&amp;":"&amp;TEXT(MOD(60+2*Q224,12),"00"))))</f>
        <v/>
      </c>
      <c r="S224" s="47"/>
      <c r="T224" s="47"/>
      <c r="U224" s="47"/>
      <c r="V224" s="47"/>
      <c r="W224" s="47"/>
      <c r="X224" s="47"/>
      <c r="Y224" s="47"/>
      <c r="Z224" s="47"/>
      <c r="AA224" s="47"/>
      <c r="AB224" s="47"/>
      <c r="AC224" s="47"/>
      <c r="AD224" s="47"/>
      <c r="AE224" s="47"/>
      <c r="AF224" s="47"/>
      <c r="AG224" s="47"/>
      <c r="AH224" s="47"/>
      <c r="AI224" s="46"/>
      <c r="AJ224" s="46"/>
      <c r="AK224" s="46"/>
      <c r="AL224" s="7"/>
      <c r="AM224" s="49" t="str">
        <f aca="false">IF(OR(C224="",G224=""),"",IFERROR(DATEDIF(C224,G224,"m"),""))</f>
        <v/>
      </c>
      <c r="AN224" s="49" t="str">
        <f aca="false">IF(OR(Q224="",AM224=""),"",60+2*Q224-AM224)</f>
        <v/>
      </c>
      <c r="AO224" s="49" t="str">
        <f aca="false">IF(OR(G224="",AJ224=""),"",AJ224-G224)</f>
        <v/>
      </c>
      <c r="AP224" s="50" t="str">
        <f aca="false">IF(AND(A224="",B224=""),"",IF(J224="","Status needed",IF(OR(J224="Applied",J224="Visit booked",J224="Withdrawn"),"OK",IF(G224="","Date assessed needed",IF(C224="","Date of birth needed",IF(COUNTA(L224,M224,P224,U224,V224,X224,AB224)&lt;7,"Band missing",IF(AND(OR(J224="Decision confirmed",J224="Family told",J224="Enrolled"),AG224=""),"Recommendation needed",IF(AND(OR(J224="Family told",J224="Enrolled"),AJ224=""),"Date family told needed","OK"))))))))</f>
        <v/>
      </c>
    </row>
    <row r="225" customFormat="false" ht="15" hidden="false" customHeight="false" outlineLevel="0" collapsed="false">
      <c r="A225" s="7"/>
      <c r="B225" s="7"/>
      <c r="C225" s="46"/>
      <c r="D225" s="7"/>
      <c r="E225" s="47"/>
      <c r="F225" s="46"/>
      <c r="G225" s="46"/>
      <c r="H225" s="7"/>
      <c r="I225" s="7"/>
      <c r="J225" s="47"/>
      <c r="K225" s="47"/>
      <c r="L225" s="47"/>
      <c r="M225" s="47"/>
      <c r="N225" s="10"/>
      <c r="O225" s="47"/>
      <c r="P225" s="47"/>
      <c r="Q225" s="47"/>
      <c r="R225" s="48" t="str">
        <f aca="false">IF(Q225="","",IF(Q225=0,"below 5:00",IF(Q225&gt;=66,"16:00 or above",INT((60+2*Q225)/12)&amp;":"&amp;TEXT(MOD(60+2*Q225,12),"00"))))</f>
        <v/>
      </c>
      <c r="S225" s="47"/>
      <c r="T225" s="47"/>
      <c r="U225" s="47"/>
      <c r="V225" s="47"/>
      <c r="W225" s="47"/>
      <c r="X225" s="47"/>
      <c r="Y225" s="47"/>
      <c r="Z225" s="47"/>
      <c r="AA225" s="47"/>
      <c r="AB225" s="47"/>
      <c r="AC225" s="47"/>
      <c r="AD225" s="47"/>
      <c r="AE225" s="47"/>
      <c r="AF225" s="47"/>
      <c r="AG225" s="47"/>
      <c r="AH225" s="47"/>
      <c r="AI225" s="46"/>
      <c r="AJ225" s="46"/>
      <c r="AK225" s="46"/>
      <c r="AL225" s="7"/>
      <c r="AM225" s="49" t="str">
        <f aca="false">IF(OR(C225="",G225=""),"",IFERROR(DATEDIF(C225,G225,"m"),""))</f>
        <v/>
      </c>
      <c r="AN225" s="49" t="str">
        <f aca="false">IF(OR(Q225="",AM225=""),"",60+2*Q225-AM225)</f>
        <v/>
      </c>
      <c r="AO225" s="49" t="str">
        <f aca="false">IF(OR(G225="",AJ225=""),"",AJ225-G225)</f>
        <v/>
      </c>
      <c r="AP225" s="50" t="str">
        <f aca="false">IF(AND(A225="",B225=""),"",IF(J225="","Status needed",IF(OR(J225="Applied",J225="Visit booked",J225="Withdrawn"),"OK",IF(G225="","Date assessed needed",IF(C225="","Date of birth needed",IF(COUNTA(L225,M225,P225,U225,V225,X225,AB225)&lt;7,"Band missing",IF(AND(OR(J225="Decision confirmed",J225="Family told",J225="Enrolled"),AG225=""),"Recommendation needed",IF(AND(OR(J225="Family told",J225="Enrolled"),AJ225=""),"Date family told needed","OK"))))))))</f>
        <v/>
      </c>
    </row>
    <row r="226" customFormat="false" ht="15" hidden="false" customHeight="false" outlineLevel="0" collapsed="false">
      <c r="A226" s="7"/>
      <c r="B226" s="7"/>
      <c r="C226" s="46"/>
      <c r="D226" s="7"/>
      <c r="E226" s="47"/>
      <c r="F226" s="46"/>
      <c r="G226" s="46"/>
      <c r="H226" s="7"/>
      <c r="I226" s="7"/>
      <c r="J226" s="47"/>
      <c r="K226" s="47"/>
      <c r="L226" s="47"/>
      <c r="M226" s="47"/>
      <c r="N226" s="10"/>
      <c r="O226" s="47"/>
      <c r="P226" s="47"/>
      <c r="Q226" s="47"/>
      <c r="R226" s="48" t="str">
        <f aca="false">IF(Q226="","",IF(Q226=0,"below 5:00",IF(Q226&gt;=66,"16:00 or above",INT((60+2*Q226)/12)&amp;":"&amp;TEXT(MOD(60+2*Q226,12),"00"))))</f>
        <v/>
      </c>
      <c r="S226" s="47"/>
      <c r="T226" s="47"/>
      <c r="U226" s="47"/>
      <c r="V226" s="47"/>
      <c r="W226" s="47"/>
      <c r="X226" s="47"/>
      <c r="Y226" s="47"/>
      <c r="Z226" s="47"/>
      <c r="AA226" s="47"/>
      <c r="AB226" s="47"/>
      <c r="AC226" s="47"/>
      <c r="AD226" s="47"/>
      <c r="AE226" s="47"/>
      <c r="AF226" s="47"/>
      <c r="AG226" s="47"/>
      <c r="AH226" s="47"/>
      <c r="AI226" s="46"/>
      <c r="AJ226" s="46"/>
      <c r="AK226" s="46"/>
      <c r="AL226" s="7"/>
      <c r="AM226" s="49" t="str">
        <f aca="false">IF(OR(C226="",G226=""),"",IFERROR(DATEDIF(C226,G226,"m"),""))</f>
        <v/>
      </c>
      <c r="AN226" s="49" t="str">
        <f aca="false">IF(OR(Q226="",AM226=""),"",60+2*Q226-AM226)</f>
        <v/>
      </c>
      <c r="AO226" s="49" t="str">
        <f aca="false">IF(OR(G226="",AJ226=""),"",AJ226-G226)</f>
        <v/>
      </c>
      <c r="AP226" s="50" t="str">
        <f aca="false">IF(AND(A226="",B226=""),"",IF(J226="","Status needed",IF(OR(J226="Applied",J226="Visit booked",J226="Withdrawn"),"OK",IF(G226="","Date assessed needed",IF(C226="","Date of birth needed",IF(COUNTA(L226,M226,P226,U226,V226,X226,AB226)&lt;7,"Band missing",IF(AND(OR(J226="Decision confirmed",J226="Family told",J226="Enrolled"),AG226=""),"Recommendation needed",IF(AND(OR(J226="Family told",J226="Enrolled"),AJ226=""),"Date family told needed","OK"))))))))</f>
        <v/>
      </c>
    </row>
    <row r="227" customFormat="false" ht="15" hidden="false" customHeight="false" outlineLevel="0" collapsed="false">
      <c r="A227" s="7"/>
      <c r="B227" s="7"/>
      <c r="C227" s="46"/>
      <c r="D227" s="7"/>
      <c r="E227" s="47"/>
      <c r="F227" s="46"/>
      <c r="G227" s="46"/>
      <c r="H227" s="7"/>
      <c r="I227" s="7"/>
      <c r="J227" s="47"/>
      <c r="K227" s="47"/>
      <c r="L227" s="47"/>
      <c r="M227" s="47"/>
      <c r="N227" s="10"/>
      <c r="O227" s="47"/>
      <c r="P227" s="47"/>
      <c r="Q227" s="47"/>
      <c r="R227" s="48" t="str">
        <f aca="false">IF(Q227="","",IF(Q227=0,"below 5:00",IF(Q227&gt;=66,"16:00 or above",INT((60+2*Q227)/12)&amp;":"&amp;TEXT(MOD(60+2*Q227,12),"00"))))</f>
        <v/>
      </c>
      <c r="S227" s="47"/>
      <c r="T227" s="47"/>
      <c r="U227" s="47"/>
      <c r="V227" s="47"/>
      <c r="W227" s="47"/>
      <c r="X227" s="47"/>
      <c r="Y227" s="47"/>
      <c r="Z227" s="47"/>
      <c r="AA227" s="47"/>
      <c r="AB227" s="47"/>
      <c r="AC227" s="47"/>
      <c r="AD227" s="47"/>
      <c r="AE227" s="47"/>
      <c r="AF227" s="47"/>
      <c r="AG227" s="47"/>
      <c r="AH227" s="47"/>
      <c r="AI227" s="46"/>
      <c r="AJ227" s="46"/>
      <c r="AK227" s="46"/>
      <c r="AL227" s="7"/>
      <c r="AM227" s="49" t="str">
        <f aca="false">IF(OR(C227="",G227=""),"",IFERROR(DATEDIF(C227,G227,"m"),""))</f>
        <v/>
      </c>
      <c r="AN227" s="49" t="str">
        <f aca="false">IF(OR(Q227="",AM227=""),"",60+2*Q227-AM227)</f>
        <v/>
      </c>
      <c r="AO227" s="49" t="str">
        <f aca="false">IF(OR(G227="",AJ227=""),"",AJ227-G227)</f>
        <v/>
      </c>
      <c r="AP227" s="50" t="str">
        <f aca="false">IF(AND(A227="",B227=""),"",IF(J227="","Status needed",IF(OR(J227="Applied",J227="Visit booked",J227="Withdrawn"),"OK",IF(G227="","Date assessed needed",IF(C227="","Date of birth needed",IF(COUNTA(L227,M227,P227,U227,V227,X227,AB227)&lt;7,"Band missing",IF(AND(OR(J227="Decision confirmed",J227="Family told",J227="Enrolled"),AG227=""),"Recommendation needed",IF(AND(OR(J227="Family told",J227="Enrolled"),AJ227=""),"Date family told needed","OK"))))))))</f>
        <v/>
      </c>
    </row>
    <row r="228" customFormat="false" ht="15" hidden="false" customHeight="false" outlineLevel="0" collapsed="false">
      <c r="A228" s="7"/>
      <c r="B228" s="7"/>
      <c r="C228" s="46"/>
      <c r="D228" s="7"/>
      <c r="E228" s="47"/>
      <c r="F228" s="46"/>
      <c r="G228" s="46"/>
      <c r="H228" s="7"/>
      <c r="I228" s="7"/>
      <c r="J228" s="47"/>
      <c r="K228" s="47"/>
      <c r="L228" s="47"/>
      <c r="M228" s="47"/>
      <c r="N228" s="10"/>
      <c r="O228" s="47"/>
      <c r="P228" s="47"/>
      <c r="Q228" s="47"/>
      <c r="R228" s="48" t="str">
        <f aca="false">IF(Q228="","",IF(Q228=0,"below 5:00",IF(Q228&gt;=66,"16:00 or above",INT((60+2*Q228)/12)&amp;":"&amp;TEXT(MOD(60+2*Q228,12),"00"))))</f>
        <v/>
      </c>
      <c r="S228" s="47"/>
      <c r="T228" s="47"/>
      <c r="U228" s="47"/>
      <c r="V228" s="47"/>
      <c r="W228" s="47"/>
      <c r="X228" s="47"/>
      <c r="Y228" s="47"/>
      <c r="Z228" s="47"/>
      <c r="AA228" s="47"/>
      <c r="AB228" s="47"/>
      <c r="AC228" s="47"/>
      <c r="AD228" s="47"/>
      <c r="AE228" s="47"/>
      <c r="AF228" s="47"/>
      <c r="AG228" s="47"/>
      <c r="AH228" s="47"/>
      <c r="AI228" s="46"/>
      <c r="AJ228" s="46"/>
      <c r="AK228" s="46"/>
      <c r="AL228" s="7"/>
      <c r="AM228" s="49" t="str">
        <f aca="false">IF(OR(C228="",G228=""),"",IFERROR(DATEDIF(C228,G228,"m"),""))</f>
        <v/>
      </c>
      <c r="AN228" s="49" t="str">
        <f aca="false">IF(OR(Q228="",AM228=""),"",60+2*Q228-AM228)</f>
        <v/>
      </c>
      <c r="AO228" s="49" t="str">
        <f aca="false">IF(OR(G228="",AJ228=""),"",AJ228-G228)</f>
        <v/>
      </c>
      <c r="AP228" s="50" t="str">
        <f aca="false">IF(AND(A228="",B228=""),"",IF(J228="","Status needed",IF(OR(J228="Applied",J228="Visit booked",J228="Withdrawn"),"OK",IF(G228="","Date assessed needed",IF(C228="","Date of birth needed",IF(COUNTA(L228,M228,P228,U228,V228,X228,AB228)&lt;7,"Band missing",IF(AND(OR(J228="Decision confirmed",J228="Family told",J228="Enrolled"),AG228=""),"Recommendation needed",IF(AND(OR(J228="Family told",J228="Enrolled"),AJ228=""),"Date family told needed","OK"))))))))</f>
        <v/>
      </c>
    </row>
    <row r="229" customFormat="false" ht="15" hidden="false" customHeight="false" outlineLevel="0" collapsed="false">
      <c r="A229" s="7"/>
      <c r="B229" s="7"/>
      <c r="C229" s="46"/>
      <c r="D229" s="7"/>
      <c r="E229" s="47"/>
      <c r="F229" s="46"/>
      <c r="G229" s="46"/>
      <c r="H229" s="7"/>
      <c r="I229" s="7"/>
      <c r="J229" s="47"/>
      <c r="K229" s="47"/>
      <c r="L229" s="47"/>
      <c r="M229" s="47"/>
      <c r="N229" s="10"/>
      <c r="O229" s="47"/>
      <c r="P229" s="47"/>
      <c r="Q229" s="47"/>
      <c r="R229" s="48" t="str">
        <f aca="false">IF(Q229="","",IF(Q229=0,"below 5:00",IF(Q229&gt;=66,"16:00 or above",INT((60+2*Q229)/12)&amp;":"&amp;TEXT(MOD(60+2*Q229,12),"00"))))</f>
        <v/>
      </c>
      <c r="S229" s="47"/>
      <c r="T229" s="47"/>
      <c r="U229" s="47"/>
      <c r="V229" s="47"/>
      <c r="W229" s="47"/>
      <c r="X229" s="47"/>
      <c r="Y229" s="47"/>
      <c r="Z229" s="47"/>
      <c r="AA229" s="47"/>
      <c r="AB229" s="47"/>
      <c r="AC229" s="47"/>
      <c r="AD229" s="47"/>
      <c r="AE229" s="47"/>
      <c r="AF229" s="47"/>
      <c r="AG229" s="47"/>
      <c r="AH229" s="47"/>
      <c r="AI229" s="46"/>
      <c r="AJ229" s="46"/>
      <c r="AK229" s="46"/>
      <c r="AL229" s="7"/>
      <c r="AM229" s="49" t="str">
        <f aca="false">IF(OR(C229="",G229=""),"",IFERROR(DATEDIF(C229,G229,"m"),""))</f>
        <v/>
      </c>
      <c r="AN229" s="49" t="str">
        <f aca="false">IF(OR(Q229="",AM229=""),"",60+2*Q229-AM229)</f>
        <v/>
      </c>
      <c r="AO229" s="49" t="str">
        <f aca="false">IF(OR(G229="",AJ229=""),"",AJ229-G229)</f>
        <v/>
      </c>
      <c r="AP229" s="50" t="str">
        <f aca="false">IF(AND(A229="",B229=""),"",IF(J229="","Status needed",IF(OR(J229="Applied",J229="Visit booked",J229="Withdrawn"),"OK",IF(G229="","Date assessed needed",IF(C229="","Date of birth needed",IF(COUNTA(L229,M229,P229,U229,V229,X229,AB229)&lt;7,"Band missing",IF(AND(OR(J229="Decision confirmed",J229="Family told",J229="Enrolled"),AG229=""),"Recommendation needed",IF(AND(OR(J229="Family told",J229="Enrolled"),AJ229=""),"Date family told needed","OK"))))))))</f>
        <v/>
      </c>
    </row>
    <row r="230" customFormat="false" ht="15" hidden="false" customHeight="false" outlineLevel="0" collapsed="false">
      <c r="A230" s="7"/>
      <c r="B230" s="7"/>
      <c r="C230" s="46"/>
      <c r="D230" s="7"/>
      <c r="E230" s="47"/>
      <c r="F230" s="46"/>
      <c r="G230" s="46"/>
      <c r="H230" s="7"/>
      <c r="I230" s="7"/>
      <c r="J230" s="47"/>
      <c r="K230" s="47"/>
      <c r="L230" s="47"/>
      <c r="M230" s="47"/>
      <c r="N230" s="10"/>
      <c r="O230" s="47"/>
      <c r="P230" s="47"/>
      <c r="Q230" s="47"/>
      <c r="R230" s="48" t="str">
        <f aca="false">IF(Q230="","",IF(Q230=0,"below 5:00",IF(Q230&gt;=66,"16:00 or above",INT((60+2*Q230)/12)&amp;":"&amp;TEXT(MOD(60+2*Q230,12),"00"))))</f>
        <v/>
      </c>
      <c r="S230" s="47"/>
      <c r="T230" s="47"/>
      <c r="U230" s="47"/>
      <c r="V230" s="47"/>
      <c r="W230" s="47"/>
      <c r="X230" s="47"/>
      <c r="Y230" s="47"/>
      <c r="Z230" s="47"/>
      <c r="AA230" s="47"/>
      <c r="AB230" s="47"/>
      <c r="AC230" s="47"/>
      <c r="AD230" s="47"/>
      <c r="AE230" s="47"/>
      <c r="AF230" s="47"/>
      <c r="AG230" s="47"/>
      <c r="AH230" s="47"/>
      <c r="AI230" s="46"/>
      <c r="AJ230" s="46"/>
      <c r="AK230" s="46"/>
      <c r="AL230" s="7"/>
      <c r="AM230" s="49" t="str">
        <f aca="false">IF(OR(C230="",G230=""),"",IFERROR(DATEDIF(C230,G230,"m"),""))</f>
        <v/>
      </c>
      <c r="AN230" s="49" t="str">
        <f aca="false">IF(OR(Q230="",AM230=""),"",60+2*Q230-AM230)</f>
        <v/>
      </c>
      <c r="AO230" s="49" t="str">
        <f aca="false">IF(OR(G230="",AJ230=""),"",AJ230-G230)</f>
        <v/>
      </c>
      <c r="AP230" s="50" t="str">
        <f aca="false">IF(AND(A230="",B230=""),"",IF(J230="","Status needed",IF(OR(J230="Applied",J230="Visit booked",J230="Withdrawn"),"OK",IF(G230="","Date assessed needed",IF(C230="","Date of birth needed",IF(COUNTA(L230,M230,P230,U230,V230,X230,AB230)&lt;7,"Band missing",IF(AND(OR(J230="Decision confirmed",J230="Family told",J230="Enrolled"),AG230=""),"Recommendation needed",IF(AND(OR(J230="Family told",J230="Enrolled"),AJ230=""),"Date family told needed","OK"))))))))</f>
        <v/>
      </c>
    </row>
    <row r="231" customFormat="false" ht="15" hidden="false" customHeight="false" outlineLevel="0" collapsed="false">
      <c r="A231" s="7"/>
      <c r="B231" s="7"/>
      <c r="C231" s="46"/>
      <c r="D231" s="7"/>
      <c r="E231" s="47"/>
      <c r="F231" s="46"/>
      <c r="G231" s="46"/>
      <c r="H231" s="7"/>
      <c r="I231" s="7"/>
      <c r="J231" s="47"/>
      <c r="K231" s="47"/>
      <c r="L231" s="47"/>
      <c r="M231" s="47"/>
      <c r="N231" s="10"/>
      <c r="O231" s="47"/>
      <c r="P231" s="47"/>
      <c r="Q231" s="47"/>
      <c r="R231" s="48" t="str">
        <f aca="false">IF(Q231="","",IF(Q231=0,"below 5:00",IF(Q231&gt;=66,"16:00 or above",INT((60+2*Q231)/12)&amp;":"&amp;TEXT(MOD(60+2*Q231,12),"00"))))</f>
        <v/>
      </c>
      <c r="S231" s="47"/>
      <c r="T231" s="47"/>
      <c r="U231" s="47"/>
      <c r="V231" s="47"/>
      <c r="W231" s="47"/>
      <c r="X231" s="47"/>
      <c r="Y231" s="47"/>
      <c r="Z231" s="47"/>
      <c r="AA231" s="47"/>
      <c r="AB231" s="47"/>
      <c r="AC231" s="47"/>
      <c r="AD231" s="47"/>
      <c r="AE231" s="47"/>
      <c r="AF231" s="47"/>
      <c r="AG231" s="47"/>
      <c r="AH231" s="47"/>
      <c r="AI231" s="46"/>
      <c r="AJ231" s="46"/>
      <c r="AK231" s="46"/>
      <c r="AL231" s="7"/>
      <c r="AM231" s="49" t="str">
        <f aca="false">IF(OR(C231="",G231=""),"",IFERROR(DATEDIF(C231,G231,"m"),""))</f>
        <v/>
      </c>
      <c r="AN231" s="49" t="str">
        <f aca="false">IF(OR(Q231="",AM231=""),"",60+2*Q231-AM231)</f>
        <v/>
      </c>
      <c r="AO231" s="49" t="str">
        <f aca="false">IF(OR(G231="",AJ231=""),"",AJ231-G231)</f>
        <v/>
      </c>
      <c r="AP231" s="50" t="str">
        <f aca="false">IF(AND(A231="",B231=""),"",IF(J231="","Status needed",IF(OR(J231="Applied",J231="Visit booked",J231="Withdrawn"),"OK",IF(G231="","Date assessed needed",IF(C231="","Date of birth needed",IF(COUNTA(L231,M231,P231,U231,V231,X231,AB231)&lt;7,"Band missing",IF(AND(OR(J231="Decision confirmed",J231="Family told",J231="Enrolled"),AG231=""),"Recommendation needed",IF(AND(OR(J231="Family told",J231="Enrolled"),AJ231=""),"Date family told needed","OK"))))))))</f>
        <v/>
      </c>
    </row>
    <row r="232" customFormat="false" ht="15" hidden="false" customHeight="false" outlineLevel="0" collapsed="false">
      <c r="A232" s="7"/>
      <c r="B232" s="7"/>
      <c r="C232" s="46"/>
      <c r="D232" s="7"/>
      <c r="E232" s="47"/>
      <c r="F232" s="46"/>
      <c r="G232" s="46"/>
      <c r="H232" s="7"/>
      <c r="I232" s="7"/>
      <c r="J232" s="47"/>
      <c r="K232" s="47"/>
      <c r="L232" s="47"/>
      <c r="M232" s="47"/>
      <c r="N232" s="10"/>
      <c r="O232" s="47"/>
      <c r="P232" s="47"/>
      <c r="Q232" s="47"/>
      <c r="R232" s="48" t="str">
        <f aca="false">IF(Q232="","",IF(Q232=0,"below 5:00",IF(Q232&gt;=66,"16:00 or above",INT((60+2*Q232)/12)&amp;":"&amp;TEXT(MOD(60+2*Q232,12),"00"))))</f>
        <v/>
      </c>
      <c r="S232" s="47"/>
      <c r="T232" s="47"/>
      <c r="U232" s="47"/>
      <c r="V232" s="47"/>
      <c r="W232" s="47"/>
      <c r="X232" s="47"/>
      <c r="Y232" s="47"/>
      <c r="Z232" s="47"/>
      <c r="AA232" s="47"/>
      <c r="AB232" s="47"/>
      <c r="AC232" s="47"/>
      <c r="AD232" s="47"/>
      <c r="AE232" s="47"/>
      <c r="AF232" s="47"/>
      <c r="AG232" s="47"/>
      <c r="AH232" s="47"/>
      <c r="AI232" s="46"/>
      <c r="AJ232" s="46"/>
      <c r="AK232" s="46"/>
      <c r="AL232" s="7"/>
      <c r="AM232" s="49" t="str">
        <f aca="false">IF(OR(C232="",G232=""),"",IFERROR(DATEDIF(C232,G232,"m"),""))</f>
        <v/>
      </c>
      <c r="AN232" s="49" t="str">
        <f aca="false">IF(OR(Q232="",AM232=""),"",60+2*Q232-AM232)</f>
        <v/>
      </c>
      <c r="AO232" s="49" t="str">
        <f aca="false">IF(OR(G232="",AJ232=""),"",AJ232-G232)</f>
        <v/>
      </c>
      <c r="AP232" s="50" t="str">
        <f aca="false">IF(AND(A232="",B232=""),"",IF(J232="","Status needed",IF(OR(J232="Applied",J232="Visit booked",J232="Withdrawn"),"OK",IF(G232="","Date assessed needed",IF(C232="","Date of birth needed",IF(COUNTA(L232,M232,P232,U232,V232,X232,AB232)&lt;7,"Band missing",IF(AND(OR(J232="Decision confirmed",J232="Family told",J232="Enrolled"),AG232=""),"Recommendation needed",IF(AND(OR(J232="Family told",J232="Enrolled"),AJ232=""),"Date family told needed","OK"))))))))</f>
        <v/>
      </c>
    </row>
    <row r="233" customFormat="false" ht="15" hidden="false" customHeight="false" outlineLevel="0" collapsed="false">
      <c r="A233" s="7"/>
      <c r="B233" s="7"/>
      <c r="C233" s="46"/>
      <c r="D233" s="7"/>
      <c r="E233" s="47"/>
      <c r="F233" s="46"/>
      <c r="G233" s="46"/>
      <c r="H233" s="7"/>
      <c r="I233" s="7"/>
      <c r="J233" s="47"/>
      <c r="K233" s="47"/>
      <c r="L233" s="47"/>
      <c r="M233" s="47"/>
      <c r="N233" s="10"/>
      <c r="O233" s="47"/>
      <c r="P233" s="47"/>
      <c r="Q233" s="47"/>
      <c r="R233" s="48" t="str">
        <f aca="false">IF(Q233="","",IF(Q233=0,"below 5:00",IF(Q233&gt;=66,"16:00 or above",INT((60+2*Q233)/12)&amp;":"&amp;TEXT(MOD(60+2*Q233,12),"00"))))</f>
        <v/>
      </c>
      <c r="S233" s="47"/>
      <c r="T233" s="47"/>
      <c r="U233" s="47"/>
      <c r="V233" s="47"/>
      <c r="W233" s="47"/>
      <c r="X233" s="47"/>
      <c r="Y233" s="47"/>
      <c r="Z233" s="47"/>
      <c r="AA233" s="47"/>
      <c r="AB233" s="47"/>
      <c r="AC233" s="47"/>
      <c r="AD233" s="47"/>
      <c r="AE233" s="47"/>
      <c r="AF233" s="47"/>
      <c r="AG233" s="47"/>
      <c r="AH233" s="47"/>
      <c r="AI233" s="46"/>
      <c r="AJ233" s="46"/>
      <c r="AK233" s="46"/>
      <c r="AL233" s="7"/>
      <c r="AM233" s="49" t="str">
        <f aca="false">IF(OR(C233="",G233=""),"",IFERROR(DATEDIF(C233,G233,"m"),""))</f>
        <v/>
      </c>
      <c r="AN233" s="49" t="str">
        <f aca="false">IF(OR(Q233="",AM233=""),"",60+2*Q233-AM233)</f>
        <v/>
      </c>
      <c r="AO233" s="49" t="str">
        <f aca="false">IF(OR(G233="",AJ233=""),"",AJ233-G233)</f>
        <v/>
      </c>
      <c r="AP233" s="50" t="str">
        <f aca="false">IF(AND(A233="",B233=""),"",IF(J233="","Status needed",IF(OR(J233="Applied",J233="Visit booked",J233="Withdrawn"),"OK",IF(G233="","Date assessed needed",IF(C233="","Date of birth needed",IF(COUNTA(L233,M233,P233,U233,V233,X233,AB233)&lt;7,"Band missing",IF(AND(OR(J233="Decision confirmed",J233="Family told",J233="Enrolled"),AG233=""),"Recommendation needed",IF(AND(OR(J233="Family told",J233="Enrolled"),AJ233=""),"Date family told needed","OK"))))))))</f>
        <v/>
      </c>
    </row>
    <row r="234" customFormat="false" ht="15" hidden="false" customHeight="false" outlineLevel="0" collapsed="false">
      <c r="A234" s="7"/>
      <c r="B234" s="7"/>
      <c r="C234" s="46"/>
      <c r="D234" s="7"/>
      <c r="E234" s="47"/>
      <c r="F234" s="46"/>
      <c r="G234" s="46"/>
      <c r="H234" s="7"/>
      <c r="I234" s="7"/>
      <c r="J234" s="47"/>
      <c r="K234" s="47"/>
      <c r="L234" s="47"/>
      <c r="M234" s="47"/>
      <c r="N234" s="10"/>
      <c r="O234" s="47"/>
      <c r="P234" s="47"/>
      <c r="Q234" s="47"/>
      <c r="R234" s="48" t="str">
        <f aca="false">IF(Q234="","",IF(Q234=0,"below 5:00",IF(Q234&gt;=66,"16:00 or above",INT((60+2*Q234)/12)&amp;":"&amp;TEXT(MOD(60+2*Q234,12),"00"))))</f>
        <v/>
      </c>
      <c r="S234" s="47"/>
      <c r="T234" s="47"/>
      <c r="U234" s="47"/>
      <c r="V234" s="47"/>
      <c r="W234" s="47"/>
      <c r="X234" s="47"/>
      <c r="Y234" s="47"/>
      <c r="Z234" s="47"/>
      <c r="AA234" s="47"/>
      <c r="AB234" s="47"/>
      <c r="AC234" s="47"/>
      <c r="AD234" s="47"/>
      <c r="AE234" s="47"/>
      <c r="AF234" s="47"/>
      <c r="AG234" s="47"/>
      <c r="AH234" s="47"/>
      <c r="AI234" s="46"/>
      <c r="AJ234" s="46"/>
      <c r="AK234" s="46"/>
      <c r="AL234" s="7"/>
      <c r="AM234" s="49" t="str">
        <f aca="false">IF(OR(C234="",G234=""),"",IFERROR(DATEDIF(C234,G234,"m"),""))</f>
        <v/>
      </c>
      <c r="AN234" s="49" t="str">
        <f aca="false">IF(OR(Q234="",AM234=""),"",60+2*Q234-AM234)</f>
        <v/>
      </c>
      <c r="AO234" s="49" t="str">
        <f aca="false">IF(OR(G234="",AJ234=""),"",AJ234-G234)</f>
        <v/>
      </c>
      <c r="AP234" s="50" t="str">
        <f aca="false">IF(AND(A234="",B234=""),"",IF(J234="","Status needed",IF(OR(J234="Applied",J234="Visit booked",J234="Withdrawn"),"OK",IF(G234="","Date assessed needed",IF(C234="","Date of birth needed",IF(COUNTA(L234,M234,P234,U234,V234,X234,AB234)&lt;7,"Band missing",IF(AND(OR(J234="Decision confirmed",J234="Family told",J234="Enrolled"),AG234=""),"Recommendation needed",IF(AND(OR(J234="Family told",J234="Enrolled"),AJ234=""),"Date family told needed","OK"))))))))</f>
        <v/>
      </c>
    </row>
    <row r="235" customFormat="false" ht="15" hidden="false" customHeight="false" outlineLevel="0" collapsed="false">
      <c r="A235" s="7"/>
      <c r="B235" s="7"/>
      <c r="C235" s="46"/>
      <c r="D235" s="7"/>
      <c r="E235" s="47"/>
      <c r="F235" s="46"/>
      <c r="G235" s="46"/>
      <c r="H235" s="7"/>
      <c r="I235" s="7"/>
      <c r="J235" s="47"/>
      <c r="K235" s="47"/>
      <c r="L235" s="47"/>
      <c r="M235" s="47"/>
      <c r="N235" s="10"/>
      <c r="O235" s="47"/>
      <c r="P235" s="47"/>
      <c r="Q235" s="47"/>
      <c r="R235" s="48" t="str">
        <f aca="false">IF(Q235="","",IF(Q235=0,"below 5:00",IF(Q235&gt;=66,"16:00 or above",INT((60+2*Q235)/12)&amp;":"&amp;TEXT(MOD(60+2*Q235,12),"00"))))</f>
        <v/>
      </c>
      <c r="S235" s="47"/>
      <c r="T235" s="47"/>
      <c r="U235" s="47"/>
      <c r="V235" s="47"/>
      <c r="W235" s="47"/>
      <c r="X235" s="47"/>
      <c r="Y235" s="47"/>
      <c r="Z235" s="47"/>
      <c r="AA235" s="47"/>
      <c r="AB235" s="47"/>
      <c r="AC235" s="47"/>
      <c r="AD235" s="47"/>
      <c r="AE235" s="47"/>
      <c r="AF235" s="47"/>
      <c r="AG235" s="47"/>
      <c r="AH235" s="47"/>
      <c r="AI235" s="46"/>
      <c r="AJ235" s="46"/>
      <c r="AK235" s="46"/>
      <c r="AL235" s="7"/>
      <c r="AM235" s="49" t="str">
        <f aca="false">IF(OR(C235="",G235=""),"",IFERROR(DATEDIF(C235,G235,"m"),""))</f>
        <v/>
      </c>
      <c r="AN235" s="49" t="str">
        <f aca="false">IF(OR(Q235="",AM235=""),"",60+2*Q235-AM235)</f>
        <v/>
      </c>
      <c r="AO235" s="49" t="str">
        <f aca="false">IF(OR(G235="",AJ235=""),"",AJ235-G235)</f>
        <v/>
      </c>
      <c r="AP235" s="50" t="str">
        <f aca="false">IF(AND(A235="",B235=""),"",IF(J235="","Status needed",IF(OR(J235="Applied",J235="Visit booked",J235="Withdrawn"),"OK",IF(G235="","Date assessed needed",IF(C235="","Date of birth needed",IF(COUNTA(L235,M235,P235,U235,V235,X235,AB235)&lt;7,"Band missing",IF(AND(OR(J235="Decision confirmed",J235="Family told",J235="Enrolled"),AG235=""),"Recommendation needed",IF(AND(OR(J235="Family told",J235="Enrolled"),AJ235=""),"Date family told needed","OK"))))))))</f>
        <v/>
      </c>
    </row>
    <row r="236" customFormat="false" ht="15" hidden="false" customHeight="false" outlineLevel="0" collapsed="false">
      <c r="A236" s="7"/>
      <c r="B236" s="7"/>
      <c r="C236" s="46"/>
      <c r="D236" s="7"/>
      <c r="E236" s="47"/>
      <c r="F236" s="46"/>
      <c r="G236" s="46"/>
      <c r="H236" s="7"/>
      <c r="I236" s="7"/>
      <c r="J236" s="47"/>
      <c r="K236" s="47"/>
      <c r="L236" s="47"/>
      <c r="M236" s="47"/>
      <c r="N236" s="10"/>
      <c r="O236" s="47"/>
      <c r="P236" s="47"/>
      <c r="Q236" s="47"/>
      <c r="R236" s="48" t="str">
        <f aca="false">IF(Q236="","",IF(Q236=0,"below 5:00",IF(Q236&gt;=66,"16:00 or above",INT((60+2*Q236)/12)&amp;":"&amp;TEXT(MOD(60+2*Q236,12),"00"))))</f>
        <v/>
      </c>
      <c r="S236" s="47"/>
      <c r="T236" s="47"/>
      <c r="U236" s="47"/>
      <c r="V236" s="47"/>
      <c r="W236" s="47"/>
      <c r="X236" s="47"/>
      <c r="Y236" s="47"/>
      <c r="Z236" s="47"/>
      <c r="AA236" s="47"/>
      <c r="AB236" s="47"/>
      <c r="AC236" s="47"/>
      <c r="AD236" s="47"/>
      <c r="AE236" s="47"/>
      <c r="AF236" s="47"/>
      <c r="AG236" s="47"/>
      <c r="AH236" s="47"/>
      <c r="AI236" s="46"/>
      <c r="AJ236" s="46"/>
      <c r="AK236" s="46"/>
      <c r="AL236" s="7"/>
      <c r="AM236" s="49" t="str">
        <f aca="false">IF(OR(C236="",G236=""),"",IFERROR(DATEDIF(C236,G236,"m"),""))</f>
        <v/>
      </c>
      <c r="AN236" s="49" t="str">
        <f aca="false">IF(OR(Q236="",AM236=""),"",60+2*Q236-AM236)</f>
        <v/>
      </c>
      <c r="AO236" s="49" t="str">
        <f aca="false">IF(OR(G236="",AJ236=""),"",AJ236-G236)</f>
        <v/>
      </c>
      <c r="AP236" s="50" t="str">
        <f aca="false">IF(AND(A236="",B236=""),"",IF(J236="","Status needed",IF(OR(J236="Applied",J236="Visit booked",J236="Withdrawn"),"OK",IF(G236="","Date assessed needed",IF(C236="","Date of birth needed",IF(COUNTA(L236,M236,P236,U236,V236,X236,AB236)&lt;7,"Band missing",IF(AND(OR(J236="Decision confirmed",J236="Family told",J236="Enrolled"),AG236=""),"Recommendation needed",IF(AND(OR(J236="Family told",J236="Enrolled"),AJ236=""),"Date family told needed","OK"))))))))</f>
        <v/>
      </c>
    </row>
    <row r="237" customFormat="false" ht="15" hidden="false" customHeight="false" outlineLevel="0" collapsed="false">
      <c r="A237" s="7"/>
      <c r="B237" s="7"/>
      <c r="C237" s="46"/>
      <c r="D237" s="7"/>
      <c r="E237" s="47"/>
      <c r="F237" s="46"/>
      <c r="G237" s="46"/>
      <c r="H237" s="7"/>
      <c r="I237" s="7"/>
      <c r="J237" s="47"/>
      <c r="K237" s="47"/>
      <c r="L237" s="47"/>
      <c r="M237" s="47"/>
      <c r="N237" s="10"/>
      <c r="O237" s="47"/>
      <c r="P237" s="47"/>
      <c r="Q237" s="47"/>
      <c r="R237" s="48" t="str">
        <f aca="false">IF(Q237="","",IF(Q237=0,"below 5:00",IF(Q237&gt;=66,"16:00 or above",INT((60+2*Q237)/12)&amp;":"&amp;TEXT(MOD(60+2*Q237,12),"00"))))</f>
        <v/>
      </c>
      <c r="S237" s="47"/>
      <c r="T237" s="47"/>
      <c r="U237" s="47"/>
      <c r="V237" s="47"/>
      <c r="W237" s="47"/>
      <c r="X237" s="47"/>
      <c r="Y237" s="47"/>
      <c r="Z237" s="47"/>
      <c r="AA237" s="47"/>
      <c r="AB237" s="47"/>
      <c r="AC237" s="47"/>
      <c r="AD237" s="47"/>
      <c r="AE237" s="47"/>
      <c r="AF237" s="47"/>
      <c r="AG237" s="47"/>
      <c r="AH237" s="47"/>
      <c r="AI237" s="46"/>
      <c r="AJ237" s="46"/>
      <c r="AK237" s="46"/>
      <c r="AL237" s="7"/>
      <c r="AM237" s="49" t="str">
        <f aca="false">IF(OR(C237="",G237=""),"",IFERROR(DATEDIF(C237,G237,"m"),""))</f>
        <v/>
      </c>
      <c r="AN237" s="49" t="str">
        <f aca="false">IF(OR(Q237="",AM237=""),"",60+2*Q237-AM237)</f>
        <v/>
      </c>
      <c r="AO237" s="49" t="str">
        <f aca="false">IF(OR(G237="",AJ237=""),"",AJ237-G237)</f>
        <v/>
      </c>
      <c r="AP237" s="50" t="str">
        <f aca="false">IF(AND(A237="",B237=""),"",IF(J237="","Status needed",IF(OR(J237="Applied",J237="Visit booked",J237="Withdrawn"),"OK",IF(G237="","Date assessed needed",IF(C237="","Date of birth needed",IF(COUNTA(L237,M237,P237,U237,V237,X237,AB237)&lt;7,"Band missing",IF(AND(OR(J237="Decision confirmed",J237="Family told",J237="Enrolled"),AG237=""),"Recommendation needed",IF(AND(OR(J237="Family told",J237="Enrolled"),AJ237=""),"Date family told needed","OK"))))))))</f>
        <v/>
      </c>
    </row>
    <row r="238" customFormat="false" ht="15" hidden="false" customHeight="false" outlineLevel="0" collapsed="false">
      <c r="A238" s="7"/>
      <c r="B238" s="7"/>
      <c r="C238" s="46"/>
      <c r="D238" s="7"/>
      <c r="E238" s="47"/>
      <c r="F238" s="46"/>
      <c r="G238" s="46"/>
      <c r="H238" s="7"/>
      <c r="I238" s="7"/>
      <c r="J238" s="47"/>
      <c r="K238" s="47"/>
      <c r="L238" s="47"/>
      <c r="M238" s="47"/>
      <c r="N238" s="10"/>
      <c r="O238" s="47"/>
      <c r="P238" s="47"/>
      <c r="Q238" s="47"/>
      <c r="R238" s="48" t="str">
        <f aca="false">IF(Q238="","",IF(Q238=0,"below 5:00",IF(Q238&gt;=66,"16:00 or above",INT((60+2*Q238)/12)&amp;":"&amp;TEXT(MOD(60+2*Q238,12),"00"))))</f>
        <v/>
      </c>
      <c r="S238" s="47"/>
      <c r="T238" s="47"/>
      <c r="U238" s="47"/>
      <c r="V238" s="47"/>
      <c r="W238" s="47"/>
      <c r="X238" s="47"/>
      <c r="Y238" s="47"/>
      <c r="Z238" s="47"/>
      <c r="AA238" s="47"/>
      <c r="AB238" s="47"/>
      <c r="AC238" s="47"/>
      <c r="AD238" s="47"/>
      <c r="AE238" s="47"/>
      <c r="AF238" s="47"/>
      <c r="AG238" s="47"/>
      <c r="AH238" s="47"/>
      <c r="AI238" s="46"/>
      <c r="AJ238" s="46"/>
      <c r="AK238" s="46"/>
      <c r="AL238" s="7"/>
      <c r="AM238" s="49" t="str">
        <f aca="false">IF(OR(C238="",G238=""),"",IFERROR(DATEDIF(C238,G238,"m"),""))</f>
        <v/>
      </c>
      <c r="AN238" s="49" t="str">
        <f aca="false">IF(OR(Q238="",AM238=""),"",60+2*Q238-AM238)</f>
        <v/>
      </c>
      <c r="AO238" s="49" t="str">
        <f aca="false">IF(OR(G238="",AJ238=""),"",AJ238-G238)</f>
        <v/>
      </c>
      <c r="AP238" s="50" t="str">
        <f aca="false">IF(AND(A238="",B238=""),"",IF(J238="","Status needed",IF(OR(J238="Applied",J238="Visit booked",J238="Withdrawn"),"OK",IF(G238="","Date assessed needed",IF(C238="","Date of birth needed",IF(COUNTA(L238,M238,P238,U238,V238,X238,AB238)&lt;7,"Band missing",IF(AND(OR(J238="Decision confirmed",J238="Family told",J238="Enrolled"),AG238=""),"Recommendation needed",IF(AND(OR(J238="Family told",J238="Enrolled"),AJ238=""),"Date family told needed","OK"))))))))</f>
        <v/>
      </c>
    </row>
    <row r="239" customFormat="false" ht="15" hidden="false" customHeight="false" outlineLevel="0" collapsed="false">
      <c r="A239" s="7"/>
      <c r="B239" s="7"/>
      <c r="C239" s="46"/>
      <c r="D239" s="7"/>
      <c r="E239" s="47"/>
      <c r="F239" s="46"/>
      <c r="G239" s="46"/>
      <c r="H239" s="7"/>
      <c r="I239" s="7"/>
      <c r="J239" s="47"/>
      <c r="K239" s="47"/>
      <c r="L239" s="47"/>
      <c r="M239" s="47"/>
      <c r="N239" s="10"/>
      <c r="O239" s="47"/>
      <c r="P239" s="47"/>
      <c r="Q239" s="47"/>
      <c r="R239" s="48" t="str">
        <f aca="false">IF(Q239="","",IF(Q239=0,"below 5:00",IF(Q239&gt;=66,"16:00 or above",INT((60+2*Q239)/12)&amp;":"&amp;TEXT(MOD(60+2*Q239,12),"00"))))</f>
        <v/>
      </c>
      <c r="S239" s="47"/>
      <c r="T239" s="47"/>
      <c r="U239" s="47"/>
      <c r="V239" s="47"/>
      <c r="W239" s="47"/>
      <c r="X239" s="47"/>
      <c r="Y239" s="47"/>
      <c r="Z239" s="47"/>
      <c r="AA239" s="47"/>
      <c r="AB239" s="47"/>
      <c r="AC239" s="47"/>
      <c r="AD239" s="47"/>
      <c r="AE239" s="47"/>
      <c r="AF239" s="47"/>
      <c r="AG239" s="47"/>
      <c r="AH239" s="47"/>
      <c r="AI239" s="46"/>
      <c r="AJ239" s="46"/>
      <c r="AK239" s="46"/>
      <c r="AL239" s="7"/>
      <c r="AM239" s="49" t="str">
        <f aca="false">IF(OR(C239="",G239=""),"",IFERROR(DATEDIF(C239,G239,"m"),""))</f>
        <v/>
      </c>
      <c r="AN239" s="49" t="str">
        <f aca="false">IF(OR(Q239="",AM239=""),"",60+2*Q239-AM239)</f>
        <v/>
      </c>
      <c r="AO239" s="49" t="str">
        <f aca="false">IF(OR(G239="",AJ239=""),"",AJ239-G239)</f>
        <v/>
      </c>
      <c r="AP239" s="50" t="str">
        <f aca="false">IF(AND(A239="",B239=""),"",IF(J239="","Status needed",IF(OR(J239="Applied",J239="Visit booked",J239="Withdrawn"),"OK",IF(G239="","Date assessed needed",IF(C239="","Date of birth needed",IF(COUNTA(L239,M239,P239,U239,V239,X239,AB239)&lt;7,"Band missing",IF(AND(OR(J239="Decision confirmed",J239="Family told",J239="Enrolled"),AG239=""),"Recommendation needed",IF(AND(OR(J239="Family told",J239="Enrolled"),AJ239=""),"Date family told needed","OK"))))))))</f>
        <v/>
      </c>
    </row>
    <row r="240" customFormat="false" ht="15" hidden="false" customHeight="false" outlineLevel="0" collapsed="false">
      <c r="A240" s="7"/>
      <c r="B240" s="7"/>
      <c r="C240" s="46"/>
      <c r="D240" s="7"/>
      <c r="E240" s="47"/>
      <c r="F240" s="46"/>
      <c r="G240" s="46"/>
      <c r="H240" s="7"/>
      <c r="I240" s="7"/>
      <c r="J240" s="47"/>
      <c r="K240" s="47"/>
      <c r="L240" s="47"/>
      <c r="M240" s="47"/>
      <c r="N240" s="10"/>
      <c r="O240" s="47"/>
      <c r="P240" s="47"/>
      <c r="Q240" s="47"/>
      <c r="R240" s="48" t="str">
        <f aca="false">IF(Q240="","",IF(Q240=0,"below 5:00",IF(Q240&gt;=66,"16:00 or above",INT((60+2*Q240)/12)&amp;":"&amp;TEXT(MOD(60+2*Q240,12),"00"))))</f>
        <v/>
      </c>
      <c r="S240" s="47"/>
      <c r="T240" s="47"/>
      <c r="U240" s="47"/>
      <c r="V240" s="47"/>
      <c r="W240" s="47"/>
      <c r="X240" s="47"/>
      <c r="Y240" s="47"/>
      <c r="Z240" s="47"/>
      <c r="AA240" s="47"/>
      <c r="AB240" s="47"/>
      <c r="AC240" s="47"/>
      <c r="AD240" s="47"/>
      <c r="AE240" s="47"/>
      <c r="AF240" s="47"/>
      <c r="AG240" s="47"/>
      <c r="AH240" s="47"/>
      <c r="AI240" s="46"/>
      <c r="AJ240" s="46"/>
      <c r="AK240" s="46"/>
      <c r="AL240" s="7"/>
      <c r="AM240" s="49" t="str">
        <f aca="false">IF(OR(C240="",G240=""),"",IFERROR(DATEDIF(C240,G240,"m"),""))</f>
        <v/>
      </c>
      <c r="AN240" s="49" t="str">
        <f aca="false">IF(OR(Q240="",AM240=""),"",60+2*Q240-AM240)</f>
        <v/>
      </c>
      <c r="AO240" s="49" t="str">
        <f aca="false">IF(OR(G240="",AJ240=""),"",AJ240-G240)</f>
        <v/>
      </c>
      <c r="AP240" s="50" t="str">
        <f aca="false">IF(AND(A240="",B240=""),"",IF(J240="","Status needed",IF(OR(J240="Applied",J240="Visit booked",J240="Withdrawn"),"OK",IF(G240="","Date assessed needed",IF(C240="","Date of birth needed",IF(COUNTA(L240,M240,P240,U240,V240,X240,AB240)&lt;7,"Band missing",IF(AND(OR(J240="Decision confirmed",J240="Family told",J240="Enrolled"),AG240=""),"Recommendation needed",IF(AND(OR(J240="Family told",J240="Enrolled"),AJ240=""),"Date family told needed","OK"))))))))</f>
        <v/>
      </c>
    </row>
    <row r="241" customFormat="false" ht="15" hidden="false" customHeight="false" outlineLevel="0" collapsed="false">
      <c r="A241" s="7"/>
      <c r="B241" s="7"/>
      <c r="C241" s="46"/>
      <c r="D241" s="7"/>
      <c r="E241" s="47"/>
      <c r="F241" s="46"/>
      <c r="G241" s="46"/>
      <c r="H241" s="7"/>
      <c r="I241" s="7"/>
      <c r="J241" s="47"/>
      <c r="K241" s="47"/>
      <c r="L241" s="47"/>
      <c r="M241" s="47"/>
      <c r="N241" s="10"/>
      <c r="O241" s="47"/>
      <c r="P241" s="47"/>
      <c r="Q241" s="47"/>
      <c r="R241" s="48" t="str">
        <f aca="false">IF(Q241="","",IF(Q241=0,"below 5:00",IF(Q241&gt;=66,"16:00 or above",INT((60+2*Q241)/12)&amp;":"&amp;TEXT(MOD(60+2*Q241,12),"00"))))</f>
        <v/>
      </c>
      <c r="S241" s="47"/>
      <c r="T241" s="47"/>
      <c r="U241" s="47"/>
      <c r="V241" s="47"/>
      <c r="W241" s="47"/>
      <c r="X241" s="47"/>
      <c r="Y241" s="47"/>
      <c r="Z241" s="47"/>
      <c r="AA241" s="47"/>
      <c r="AB241" s="47"/>
      <c r="AC241" s="47"/>
      <c r="AD241" s="47"/>
      <c r="AE241" s="47"/>
      <c r="AF241" s="47"/>
      <c r="AG241" s="47"/>
      <c r="AH241" s="47"/>
      <c r="AI241" s="46"/>
      <c r="AJ241" s="46"/>
      <c r="AK241" s="46"/>
      <c r="AL241" s="7"/>
      <c r="AM241" s="49" t="str">
        <f aca="false">IF(OR(C241="",G241=""),"",IFERROR(DATEDIF(C241,G241,"m"),""))</f>
        <v/>
      </c>
      <c r="AN241" s="49" t="str">
        <f aca="false">IF(OR(Q241="",AM241=""),"",60+2*Q241-AM241)</f>
        <v/>
      </c>
      <c r="AO241" s="49" t="str">
        <f aca="false">IF(OR(G241="",AJ241=""),"",AJ241-G241)</f>
        <v/>
      </c>
      <c r="AP241" s="50" t="str">
        <f aca="false">IF(AND(A241="",B241=""),"",IF(J241="","Status needed",IF(OR(J241="Applied",J241="Visit booked",J241="Withdrawn"),"OK",IF(G241="","Date assessed needed",IF(C241="","Date of birth needed",IF(COUNTA(L241,M241,P241,U241,V241,X241,AB241)&lt;7,"Band missing",IF(AND(OR(J241="Decision confirmed",J241="Family told",J241="Enrolled"),AG241=""),"Recommendation needed",IF(AND(OR(J241="Family told",J241="Enrolled"),AJ241=""),"Date family told needed","OK"))))))))</f>
        <v/>
      </c>
    </row>
    <row r="242" customFormat="false" ht="15" hidden="false" customHeight="false" outlineLevel="0" collapsed="false">
      <c r="A242" s="7"/>
      <c r="B242" s="7"/>
      <c r="C242" s="46"/>
      <c r="D242" s="7"/>
      <c r="E242" s="47"/>
      <c r="F242" s="46"/>
      <c r="G242" s="46"/>
      <c r="H242" s="7"/>
      <c r="I242" s="7"/>
      <c r="J242" s="47"/>
      <c r="K242" s="47"/>
      <c r="L242" s="47"/>
      <c r="M242" s="47"/>
      <c r="N242" s="10"/>
      <c r="O242" s="47"/>
      <c r="P242" s="47"/>
      <c r="Q242" s="47"/>
      <c r="R242" s="48" t="str">
        <f aca="false">IF(Q242="","",IF(Q242=0,"below 5:00",IF(Q242&gt;=66,"16:00 or above",INT((60+2*Q242)/12)&amp;":"&amp;TEXT(MOD(60+2*Q242,12),"00"))))</f>
        <v/>
      </c>
      <c r="S242" s="47"/>
      <c r="T242" s="47"/>
      <c r="U242" s="47"/>
      <c r="V242" s="47"/>
      <c r="W242" s="47"/>
      <c r="X242" s="47"/>
      <c r="Y242" s="47"/>
      <c r="Z242" s="47"/>
      <c r="AA242" s="47"/>
      <c r="AB242" s="47"/>
      <c r="AC242" s="47"/>
      <c r="AD242" s="47"/>
      <c r="AE242" s="47"/>
      <c r="AF242" s="47"/>
      <c r="AG242" s="47"/>
      <c r="AH242" s="47"/>
      <c r="AI242" s="46"/>
      <c r="AJ242" s="46"/>
      <c r="AK242" s="46"/>
      <c r="AL242" s="7"/>
      <c r="AM242" s="49" t="str">
        <f aca="false">IF(OR(C242="",G242=""),"",IFERROR(DATEDIF(C242,G242,"m"),""))</f>
        <v/>
      </c>
      <c r="AN242" s="49" t="str">
        <f aca="false">IF(OR(Q242="",AM242=""),"",60+2*Q242-AM242)</f>
        <v/>
      </c>
      <c r="AO242" s="49" t="str">
        <f aca="false">IF(OR(G242="",AJ242=""),"",AJ242-G242)</f>
        <v/>
      </c>
      <c r="AP242" s="50" t="str">
        <f aca="false">IF(AND(A242="",B242=""),"",IF(J242="","Status needed",IF(OR(J242="Applied",J242="Visit booked",J242="Withdrawn"),"OK",IF(G242="","Date assessed needed",IF(C242="","Date of birth needed",IF(COUNTA(L242,M242,P242,U242,V242,X242,AB242)&lt;7,"Band missing",IF(AND(OR(J242="Decision confirmed",J242="Family told",J242="Enrolled"),AG242=""),"Recommendation needed",IF(AND(OR(J242="Family told",J242="Enrolled"),AJ242=""),"Date family told needed","OK"))))))))</f>
        <v/>
      </c>
    </row>
    <row r="243" customFormat="false" ht="15" hidden="false" customHeight="false" outlineLevel="0" collapsed="false">
      <c r="A243" s="7"/>
      <c r="B243" s="7"/>
      <c r="C243" s="46"/>
      <c r="D243" s="7"/>
      <c r="E243" s="47"/>
      <c r="F243" s="46"/>
      <c r="G243" s="46"/>
      <c r="H243" s="7"/>
      <c r="I243" s="7"/>
      <c r="J243" s="47"/>
      <c r="K243" s="47"/>
      <c r="L243" s="47"/>
      <c r="M243" s="47"/>
      <c r="N243" s="10"/>
      <c r="O243" s="47"/>
      <c r="P243" s="47"/>
      <c r="Q243" s="47"/>
      <c r="R243" s="48" t="str">
        <f aca="false">IF(Q243="","",IF(Q243=0,"below 5:00",IF(Q243&gt;=66,"16:00 or above",INT((60+2*Q243)/12)&amp;":"&amp;TEXT(MOD(60+2*Q243,12),"00"))))</f>
        <v/>
      </c>
      <c r="S243" s="47"/>
      <c r="T243" s="47"/>
      <c r="U243" s="47"/>
      <c r="V243" s="47"/>
      <c r="W243" s="47"/>
      <c r="X243" s="47"/>
      <c r="Y243" s="47"/>
      <c r="Z243" s="47"/>
      <c r="AA243" s="47"/>
      <c r="AB243" s="47"/>
      <c r="AC243" s="47"/>
      <c r="AD243" s="47"/>
      <c r="AE243" s="47"/>
      <c r="AF243" s="47"/>
      <c r="AG243" s="47"/>
      <c r="AH243" s="47"/>
      <c r="AI243" s="46"/>
      <c r="AJ243" s="46"/>
      <c r="AK243" s="46"/>
      <c r="AL243" s="7"/>
      <c r="AM243" s="49" t="str">
        <f aca="false">IF(OR(C243="",G243=""),"",IFERROR(DATEDIF(C243,G243,"m"),""))</f>
        <v/>
      </c>
      <c r="AN243" s="49" t="str">
        <f aca="false">IF(OR(Q243="",AM243=""),"",60+2*Q243-AM243)</f>
        <v/>
      </c>
      <c r="AO243" s="49" t="str">
        <f aca="false">IF(OR(G243="",AJ243=""),"",AJ243-G243)</f>
        <v/>
      </c>
      <c r="AP243" s="50" t="str">
        <f aca="false">IF(AND(A243="",B243=""),"",IF(J243="","Status needed",IF(OR(J243="Applied",J243="Visit booked",J243="Withdrawn"),"OK",IF(G243="","Date assessed needed",IF(C243="","Date of birth needed",IF(COUNTA(L243,M243,P243,U243,V243,X243,AB243)&lt;7,"Band missing",IF(AND(OR(J243="Decision confirmed",J243="Family told",J243="Enrolled"),AG243=""),"Recommendation needed",IF(AND(OR(J243="Family told",J243="Enrolled"),AJ243=""),"Date family told needed","OK"))))))))</f>
        <v/>
      </c>
    </row>
    <row r="244" customFormat="false" ht="15" hidden="false" customHeight="false" outlineLevel="0" collapsed="false">
      <c r="A244" s="7"/>
      <c r="B244" s="7"/>
      <c r="C244" s="46"/>
      <c r="D244" s="7"/>
      <c r="E244" s="47"/>
      <c r="F244" s="46"/>
      <c r="G244" s="46"/>
      <c r="H244" s="7"/>
      <c r="I244" s="7"/>
      <c r="J244" s="47"/>
      <c r="K244" s="47"/>
      <c r="L244" s="47"/>
      <c r="M244" s="47"/>
      <c r="N244" s="10"/>
      <c r="O244" s="47"/>
      <c r="P244" s="47"/>
      <c r="Q244" s="47"/>
      <c r="R244" s="48" t="str">
        <f aca="false">IF(Q244="","",IF(Q244=0,"below 5:00",IF(Q244&gt;=66,"16:00 or above",INT((60+2*Q244)/12)&amp;":"&amp;TEXT(MOD(60+2*Q244,12),"00"))))</f>
        <v/>
      </c>
      <c r="S244" s="47"/>
      <c r="T244" s="47"/>
      <c r="U244" s="47"/>
      <c r="V244" s="47"/>
      <c r="W244" s="47"/>
      <c r="X244" s="47"/>
      <c r="Y244" s="47"/>
      <c r="Z244" s="47"/>
      <c r="AA244" s="47"/>
      <c r="AB244" s="47"/>
      <c r="AC244" s="47"/>
      <c r="AD244" s="47"/>
      <c r="AE244" s="47"/>
      <c r="AF244" s="47"/>
      <c r="AG244" s="47"/>
      <c r="AH244" s="47"/>
      <c r="AI244" s="46"/>
      <c r="AJ244" s="46"/>
      <c r="AK244" s="46"/>
      <c r="AL244" s="7"/>
      <c r="AM244" s="49" t="str">
        <f aca="false">IF(OR(C244="",G244=""),"",IFERROR(DATEDIF(C244,G244,"m"),""))</f>
        <v/>
      </c>
      <c r="AN244" s="49" t="str">
        <f aca="false">IF(OR(Q244="",AM244=""),"",60+2*Q244-AM244)</f>
        <v/>
      </c>
      <c r="AO244" s="49" t="str">
        <f aca="false">IF(OR(G244="",AJ244=""),"",AJ244-G244)</f>
        <v/>
      </c>
      <c r="AP244" s="50" t="str">
        <f aca="false">IF(AND(A244="",B244=""),"",IF(J244="","Status needed",IF(OR(J244="Applied",J244="Visit booked",J244="Withdrawn"),"OK",IF(G244="","Date assessed needed",IF(C244="","Date of birth needed",IF(COUNTA(L244,M244,P244,U244,V244,X244,AB244)&lt;7,"Band missing",IF(AND(OR(J244="Decision confirmed",J244="Family told",J244="Enrolled"),AG244=""),"Recommendation needed",IF(AND(OR(J244="Family told",J244="Enrolled"),AJ244=""),"Date family told needed","OK"))))))))</f>
        <v/>
      </c>
    </row>
    <row r="245" customFormat="false" ht="15" hidden="false" customHeight="false" outlineLevel="0" collapsed="false">
      <c r="A245" s="7"/>
      <c r="B245" s="7"/>
      <c r="C245" s="46"/>
      <c r="D245" s="7"/>
      <c r="E245" s="47"/>
      <c r="F245" s="46"/>
      <c r="G245" s="46"/>
      <c r="H245" s="7"/>
      <c r="I245" s="7"/>
      <c r="J245" s="47"/>
      <c r="K245" s="47"/>
      <c r="L245" s="47"/>
      <c r="M245" s="47"/>
      <c r="N245" s="10"/>
      <c r="O245" s="47"/>
      <c r="P245" s="47"/>
      <c r="Q245" s="47"/>
      <c r="R245" s="48" t="str">
        <f aca="false">IF(Q245="","",IF(Q245=0,"below 5:00",IF(Q245&gt;=66,"16:00 or above",INT((60+2*Q245)/12)&amp;":"&amp;TEXT(MOD(60+2*Q245,12),"00"))))</f>
        <v/>
      </c>
      <c r="S245" s="47"/>
      <c r="T245" s="47"/>
      <c r="U245" s="47"/>
      <c r="V245" s="47"/>
      <c r="W245" s="47"/>
      <c r="X245" s="47"/>
      <c r="Y245" s="47"/>
      <c r="Z245" s="47"/>
      <c r="AA245" s="47"/>
      <c r="AB245" s="47"/>
      <c r="AC245" s="47"/>
      <c r="AD245" s="47"/>
      <c r="AE245" s="47"/>
      <c r="AF245" s="47"/>
      <c r="AG245" s="47"/>
      <c r="AH245" s="47"/>
      <c r="AI245" s="46"/>
      <c r="AJ245" s="46"/>
      <c r="AK245" s="46"/>
      <c r="AL245" s="7"/>
      <c r="AM245" s="49" t="str">
        <f aca="false">IF(OR(C245="",G245=""),"",IFERROR(DATEDIF(C245,G245,"m"),""))</f>
        <v/>
      </c>
      <c r="AN245" s="49" t="str">
        <f aca="false">IF(OR(Q245="",AM245=""),"",60+2*Q245-AM245)</f>
        <v/>
      </c>
      <c r="AO245" s="49" t="str">
        <f aca="false">IF(OR(G245="",AJ245=""),"",AJ245-G245)</f>
        <v/>
      </c>
      <c r="AP245" s="50" t="str">
        <f aca="false">IF(AND(A245="",B245=""),"",IF(J245="","Status needed",IF(OR(J245="Applied",J245="Visit booked",J245="Withdrawn"),"OK",IF(G245="","Date assessed needed",IF(C245="","Date of birth needed",IF(COUNTA(L245,M245,P245,U245,V245,X245,AB245)&lt;7,"Band missing",IF(AND(OR(J245="Decision confirmed",J245="Family told",J245="Enrolled"),AG245=""),"Recommendation needed",IF(AND(OR(J245="Family told",J245="Enrolled"),AJ245=""),"Date family told needed","OK"))))))))</f>
        <v/>
      </c>
    </row>
    <row r="246" customFormat="false" ht="15" hidden="false" customHeight="false" outlineLevel="0" collapsed="false">
      <c r="A246" s="7"/>
      <c r="B246" s="7"/>
      <c r="C246" s="46"/>
      <c r="D246" s="7"/>
      <c r="E246" s="47"/>
      <c r="F246" s="46"/>
      <c r="G246" s="46"/>
      <c r="H246" s="7"/>
      <c r="I246" s="7"/>
      <c r="J246" s="47"/>
      <c r="K246" s="47"/>
      <c r="L246" s="47"/>
      <c r="M246" s="47"/>
      <c r="N246" s="10"/>
      <c r="O246" s="47"/>
      <c r="P246" s="47"/>
      <c r="Q246" s="47"/>
      <c r="R246" s="48" t="str">
        <f aca="false">IF(Q246="","",IF(Q246=0,"below 5:00",IF(Q246&gt;=66,"16:00 or above",INT((60+2*Q246)/12)&amp;":"&amp;TEXT(MOD(60+2*Q246,12),"00"))))</f>
        <v/>
      </c>
      <c r="S246" s="47"/>
      <c r="T246" s="47"/>
      <c r="U246" s="47"/>
      <c r="V246" s="47"/>
      <c r="W246" s="47"/>
      <c r="X246" s="47"/>
      <c r="Y246" s="47"/>
      <c r="Z246" s="47"/>
      <c r="AA246" s="47"/>
      <c r="AB246" s="47"/>
      <c r="AC246" s="47"/>
      <c r="AD246" s="47"/>
      <c r="AE246" s="47"/>
      <c r="AF246" s="47"/>
      <c r="AG246" s="47"/>
      <c r="AH246" s="47"/>
      <c r="AI246" s="46"/>
      <c r="AJ246" s="46"/>
      <c r="AK246" s="46"/>
      <c r="AL246" s="7"/>
      <c r="AM246" s="49" t="str">
        <f aca="false">IF(OR(C246="",G246=""),"",IFERROR(DATEDIF(C246,G246,"m"),""))</f>
        <v/>
      </c>
      <c r="AN246" s="49" t="str">
        <f aca="false">IF(OR(Q246="",AM246=""),"",60+2*Q246-AM246)</f>
        <v/>
      </c>
      <c r="AO246" s="49" t="str">
        <f aca="false">IF(OR(G246="",AJ246=""),"",AJ246-G246)</f>
        <v/>
      </c>
      <c r="AP246" s="50" t="str">
        <f aca="false">IF(AND(A246="",B246=""),"",IF(J246="","Status needed",IF(OR(J246="Applied",J246="Visit booked",J246="Withdrawn"),"OK",IF(G246="","Date assessed needed",IF(C246="","Date of birth needed",IF(COUNTA(L246,M246,P246,U246,V246,X246,AB246)&lt;7,"Band missing",IF(AND(OR(J246="Decision confirmed",J246="Family told",J246="Enrolled"),AG246=""),"Recommendation needed",IF(AND(OR(J246="Family told",J246="Enrolled"),AJ246=""),"Date family told needed","OK"))))))))</f>
        <v/>
      </c>
    </row>
    <row r="247" customFormat="false" ht="15" hidden="false" customHeight="false" outlineLevel="0" collapsed="false">
      <c r="A247" s="7"/>
      <c r="B247" s="7"/>
      <c r="C247" s="46"/>
      <c r="D247" s="7"/>
      <c r="E247" s="47"/>
      <c r="F247" s="46"/>
      <c r="G247" s="46"/>
      <c r="H247" s="7"/>
      <c r="I247" s="7"/>
      <c r="J247" s="47"/>
      <c r="K247" s="47"/>
      <c r="L247" s="47"/>
      <c r="M247" s="47"/>
      <c r="N247" s="10"/>
      <c r="O247" s="47"/>
      <c r="P247" s="47"/>
      <c r="Q247" s="47"/>
      <c r="R247" s="48" t="str">
        <f aca="false">IF(Q247="","",IF(Q247=0,"below 5:00",IF(Q247&gt;=66,"16:00 or above",INT((60+2*Q247)/12)&amp;":"&amp;TEXT(MOD(60+2*Q247,12),"00"))))</f>
        <v/>
      </c>
      <c r="S247" s="47"/>
      <c r="T247" s="47"/>
      <c r="U247" s="47"/>
      <c r="V247" s="47"/>
      <c r="W247" s="47"/>
      <c r="X247" s="47"/>
      <c r="Y247" s="47"/>
      <c r="Z247" s="47"/>
      <c r="AA247" s="47"/>
      <c r="AB247" s="47"/>
      <c r="AC247" s="47"/>
      <c r="AD247" s="47"/>
      <c r="AE247" s="47"/>
      <c r="AF247" s="47"/>
      <c r="AG247" s="47"/>
      <c r="AH247" s="47"/>
      <c r="AI247" s="46"/>
      <c r="AJ247" s="46"/>
      <c r="AK247" s="46"/>
      <c r="AL247" s="7"/>
      <c r="AM247" s="49" t="str">
        <f aca="false">IF(OR(C247="",G247=""),"",IFERROR(DATEDIF(C247,G247,"m"),""))</f>
        <v/>
      </c>
      <c r="AN247" s="49" t="str">
        <f aca="false">IF(OR(Q247="",AM247=""),"",60+2*Q247-AM247)</f>
        <v/>
      </c>
      <c r="AO247" s="49" t="str">
        <f aca="false">IF(OR(G247="",AJ247=""),"",AJ247-G247)</f>
        <v/>
      </c>
      <c r="AP247" s="50" t="str">
        <f aca="false">IF(AND(A247="",B247=""),"",IF(J247="","Status needed",IF(OR(J247="Applied",J247="Visit booked",J247="Withdrawn"),"OK",IF(G247="","Date assessed needed",IF(C247="","Date of birth needed",IF(COUNTA(L247,M247,P247,U247,V247,X247,AB247)&lt;7,"Band missing",IF(AND(OR(J247="Decision confirmed",J247="Family told",J247="Enrolled"),AG247=""),"Recommendation needed",IF(AND(OR(J247="Family told",J247="Enrolled"),AJ247=""),"Date family told needed","OK"))))))))</f>
        <v/>
      </c>
    </row>
    <row r="248" customFormat="false" ht="15" hidden="false" customHeight="false" outlineLevel="0" collapsed="false">
      <c r="A248" s="7"/>
      <c r="B248" s="7"/>
      <c r="C248" s="46"/>
      <c r="D248" s="7"/>
      <c r="E248" s="47"/>
      <c r="F248" s="46"/>
      <c r="G248" s="46"/>
      <c r="H248" s="7"/>
      <c r="I248" s="7"/>
      <c r="J248" s="47"/>
      <c r="K248" s="47"/>
      <c r="L248" s="47"/>
      <c r="M248" s="47"/>
      <c r="N248" s="10"/>
      <c r="O248" s="47"/>
      <c r="P248" s="47"/>
      <c r="Q248" s="47"/>
      <c r="R248" s="48" t="str">
        <f aca="false">IF(Q248="","",IF(Q248=0,"below 5:00",IF(Q248&gt;=66,"16:00 or above",INT((60+2*Q248)/12)&amp;":"&amp;TEXT(MOD(60+2*Q248,12),"00"))))</f>
        <v/>
      </c>
      <c r="S248" s="47"/>
      <c r="T248" s="47"/>
      <c r="U248" s="47"/>
      <c r="V248" s="47"/>
      <c r="W248" s="47"/>
      <c r="X248" s="47"/>
      <c r="Y248" s="47"/>
      <c r="Z248" s="47"/>
      <c r="AA248" s="47"/>
      <c r="AB248" s="47"/>
      <c r="AC248" s="47"/>
      <c r="AD248" s="47"/>
      <c r="AE248" s="47"/>
      <c r="AF248" s="47"/>
      <c r="AG248" s="47"/>
      <c r="AH248" s="47"/>
      <c r="AI248" s="46"/>
      <c r="AJ248" s="46"/>
      <c r="AK248" s="46"/>
      <c r="AL248" s="7"/>
      <c r="AM248" s="49" t="str">
        <f aca="false">IF(OR(C248="",G248=""),"",IFERROR(DATEDIF(C248,G248,"m"),""))</f>
        <v/>
      </c>
      <c r="AN248" s="49" t="str">
        <f aca="false">IF(OR(Q248="",AM248=""),"",60+2*Q248-AM248)</f>
        <v/>
      </c>
      <c r="AO248" s="49" t="str">
        <f aca="false">IF(OR(G248="",AJ248=""),"",AJ248-G248)</f>
        <v/>
      </c>
      <c r="AP248" s="50" t="str">
        <f aca="false">IF(AND(A248="",B248=""),"",IF(J248="","Status needed",IF(OR(J248="Applied",J248="Visit booked",J248="Withdrawn"),"OK",IF(G248="","Date assessed needed",IF(C248="","Date of birth needed",IF(COUNTA(L248,M248,P248,U248,V248,X248,AB248)&lt;7,"Band missing",IF(AND(OR(J248="Decision confirmed",J248="Family told",J248="Enrolled"),AG248=""),"Recommendation needed",IF(AND(OR(J248="Family told",J248="Enrolled"),AJ248=""),"Date family told needed","OK"))))))))</f>
        <v/>
      </c>
    </row>
    <row r="249" customFormat="false" ht="15" hidden="false" customHeight="false" outlineLevel="0" collapsed="false">
      <c r="A249" s="7"/>
      <c r="B249" s="7"/>
      <c r="C249" s="46"/>
      <c r="D249" s="7"/>
      <c r="E249" s="47"/>
      <c r="F249" s="46"/>
      <c r="G249" s="46"/>
      <c r="H249" s="7"/>
      <c r="I249" s="7"/>
      <c r="J249" s="47"/>
      <c r="K249" s="47"/>
      <c r="L249" s="47"/>
      <c r="M249" s="47"/>
      <c r="N249" s="10"/>
      <c r="O249" s="47"/>
      <c r="P249" s="47"/>
      <c r="Q249" s="47"/>
      <c r="R249" s="48" t="str">
        <f aca="false">IF(Q249="","",IF(Q249=0,"below 5:00",IF(Q249&gt;=66,"16:00 or above",INT((60+2*Q249)/12)&amp;":"&amp;TEXT(MOD(60+2*Q249,12),"00"))))</f>
        <v/>
      </c>
      <c r="S249" s="47"/>
      <c r="T249" s="47"/>
      <c r="U249" s="47"/>
      <c r="V249" s="47"/>
      <c r="W249" s="47"/>
      <c r="X249" s="47"/>
      <c r="Y249" s="47"/>
      <c r="Z249" s="47"/>
      <c r="AA249" s="47"/>
      <c r="AB249" s="47"/>
      <c r="AC249" s="47"/>
      <c r="AD249" s="47"/>
      <c r="AE249" s="47"/>
      <c r="AF249" s="47"/>
      <c r="AG249" s="47"/>
      <c r="AH249" s="47"/>
      <c r="AI249" s="46"/>
      <c r="AJ249" s="46"/>
      <c r="AK249" s="46"/>
      <c r="AL249" s="7"/>
      <c r="AM249" s="49" t="str">
        <f aca="false">IF(OR(C249="",G249=""),"",IFERROR(DATEDIF(C249,G249,"m"),""))</f>
        <v/>
      </c>
      <c r="AN249" s="49" t="str">
        <f aca="false">IF(OR(Q249="",AM249=""),"",60+2*Q249-AM249)</f>
        <v/>
      </c>
      <c r="AO249" s="49" t="str">
        <f aca="false">IF(OR(G249="",AJ249=""),"",AJ249-G249)</f>
        <v/>
      </c>
      <c r="AP249" s="50" t="str">
        <f aca="false">IF(AND(A249="",B249=""),"",IF(J249="","Status needed",IF(OR(J249="Applied",J249="Visit booked",J249="Withdrawn"),"OK",IF(G249="","Date assessed needed",IF(C249="","Date of birth needed",IF(COUNTA(L249,M249,P249,U249,V249,X249,AB249)&lt;7,"Band missing",IF(AND(OR(J249="Decision confirmed",J249="Family told",J249="Enrolled"),AG249=""),"Recommendation needed",IF(AND(OR(J249="Family told",J249="Enrolled"),AJ249=""),"Date family told needed","OK"))))))))</f>
        <v/>
      </c>
    </row>
    <row r="250" customFormat="false" ht="15" hidden="false" customHeight="false" outlineLevel="0" collapsed="false">
      <c r="A250" s="7"/>
      <c r="B250" s="7"/>
      <c r="C250" s="46"/>
      <c r="D250" s="7"/>
      <c r="E250" s="47"/>
      <c r="F250" s="46"/>
      <c r="G250" s="46"/>
      <c r="H250" s="7"/>
      <c r="I250" s="7"/>
      <c r="J250" s="47"/>
      <c r="K250" s="47"/>
      <c r="L250" s="47"/>
      <c r="M250" s="47"/>
      <c r="N250" s="10"/>
      <c r="O250" s="47"/>
      <c r="P250" s="47"/>
      <c r="Q250" s="47"/>
      <c r="R250" s="48" t="str">
        <f aca="false">IF(Q250="","",IF(Q250=0,"below 5:00",IF(Q250&gt;=66,"16:00 or above",INT((60+2*Q250)/12)&amp;":"&amp;TEXT(MOD(60+2*Q250,12),"00"))))</f>
        <v/>
      </c>
      <c r="S250" s="47"/>
      <c r="T250" s="47"/>
      <c r="U250" s="47"/>
      <c r="V250" s="47"/>
      <c r="W250" s="47"/>
      <c r="X250" s="47"/>
      <c r="Y250" s="47"/>
      <c r="Z250" s="47"/>
      <c r="AA250" s="47"/>
      <c r="AB250" s="47"/>
      <c r="AC250" s="47"/>
      <c r="AD250" s="47"/>
      <c r="AE250" s="47"/>
      <c r="AF250" s="47"/>
      <c r="AG250" s="47"/>
      <c r="AH250" s="47"/>
      <c r="AI250" s="46"/>
      <c r="AJ250" s="46"/>
      <c r="AK250" s="46"/>
      <c r="AL250" s="7"/>
      <c r="AM250" s="49" t="str">
        <f aca="false">IF(OR(C250="",G250=""),"",IFERROR(DATEDIF(C250,G250,"m"),""))</f>
        <v/>
      </c>
      <c r="AN250" s="49" t="str">
        <f aca="false">IF(OR(Q250="",AM250=""),"",60+2*Q250-AM250)</f>
        <v/>
      </c>
      <c r="AO250" s="49" t="str">
        <f aca="false">IF(OR(G250="",AJ250=""),"",AJ250-G250)</f>
        <v/>
      </c>
      <c r="AP250" s="50" t="str">
        <f aca="false">IF(AND(A250="",B250=""),"",IF(J250="","Status needed",IF(OR(J250="Applied",J250="Visit booked",J250="Withdrawn"),"OK",IF(G250="","Date assessed needed",IF(C250="","Date of birth needed",IF(COUNTA(L250,M250,P250,U250,V250,X250,AB250)&lt;7,"Band missing",IF(AND(OR(J250="Decision confirmed",J250="Family told",J250="Enrolled"),AG250=""),"Recommendation needed",IF(AND(OR(J250="Family told",J250="Enrolled"),AJ250=""),"Date family told needed","OK"))))))))</f>
        <v/>
      </c>
    </row>
    <row r="251" customFormat="false" ht="15" hidden="false" customHeight="false" outlineLevel="0" collapsed="false">
      <c r="A251" s="7"/>
      <c r="B251" s="7"/>
      <c r="C251" s="46"/>
      <c r="D251" s="7"/>
      <c r="E251" s="47"/>
      <c r="F251" s="46"/>
      <c r="G251" s="46"/>
      <c r="H251" s="7"/>
      <c r="I251" s="7"/>
      <c r="J251" s="47"/>
      <c r="K251" s="47"/>
      <c r="L251" s="47"/>
      <c r="M251" s="47"/>
      <c r="N251" s="10"/>
      <c r="O251" s="47"/>
      <c r="P251" s="47"/>
      <c r="Q251" s="47"/>
      <c r="R251" s="48" t="str">
        <f aca="false">IF(Q251="","",IF(Q251=0,"below 5:00",IF(Q251&gt;=66,"16:00 or above",INT((60+2*Q251)/12)&amp;":"&amp;TEXT(MOD(60+2*Q251,12),"00"))))</f>
        <v/>
      </c>
      <c r="S251" s="47"/>
      <c r="T251" s="47"/>
      <c r="U251" s="47"/>
      <c r="V251" s="47"/>
      <c r="W251" s="47"/>
      <c r="X251" s="47"/>
      <c r="Y251" s="47"/>
      <c r="Z251" s="47"/>
      <c r="AA251" s="47"/>
      <c r="AB251" s="47"/>
      <c r="AC251" s="47"/>
      <c r="AD251" s="47"/>
      <c r="AE251" s="47"/>
      <c r="AF251" s="47"/>
      <c r="AG251" s="47"/>
      <c r="AH251" s="47"/>
      <c r="AI251" s="46"/>
      <c r="AJ251" s="46"/>
      <c r="AK251" s="46"/>
      <c r="AL251" s="7"/>
      <c r="AM251" s="49" t="str">
        <f aca="false">IF(OR(C251="",G251=""),"",IFERROR(DATEDIF(C251,G251,"m"),""))</f>
        <v/>
      </c>
      <c r="AN251" s="49" t="str">
        <f aca="false">IF(OR(Q251="",AM251=""),"",60+2*Q251-AM251)</f>
        <v/>
      </c>
      <c r="AO251" s="49" t="str">
        <f aca="false">IF(OR(G251="",AJ251=""),"",AJ251-G251)</f>
        <v/>
      </c>
      <c r="AP251" s="50" t="str">
        <f aca="false">IF(AND(A251="",B251=""),"",IF(J251="","Status needed",IF(OR(J251="Applied",J251="Visit booked",J251="Withdrawn"),"OK",IF(G251="","Date assessed needed",IF(C251="","Date of birth needed",IF(COUNTA(L251,M251,P251,U251,V251,X251,AB251)&lt;7,"Band missing",IF(AND(OR(J251="Decision confirmed",J251="Family told",J251="Enrolled"),AG251=""),"Recommendation needed",IF(AND(OR(J251="Family told",J251="Enrolled"),AJ251=""),"Date family told needed","OK"))))))))</f>
        <v/>
      </c>
    </row>
    <row r="252" customFormat="false" ht="15" hidden="false" customHeight="false" outlineLevel="0" collapsed="false">
      <c r="A252" s="7"/>
      <c r="B252" s="7"/>
      <c r="C252" s="46"/>
      <c r="D252" s="7"/>
      <c r="E252" s="47"/>
      <c r="F252" s="46"/>
      <c r="G252" s="46"/>
      <c r="H252" s="7"/>
      <c r="I252" s="7"/>
      <c r="J252" s="47"/>
      <c r="K252" s="47"/>
      <c r="L252" s="47"/>
      <c r="M252" s="47"/>
      <c r="N252" s="10"/>
      <c r="O252" s="47"/>
      <c r="P252" s="47"/>
      <c r="Q252" s="47"/>
      <c r="R252" s="48" t="str">
        <f aca="false">IF(Q252="","",IF(Q252=0,"below 5:00",IF(Q252&gt;=66,"16:00 or above",INT((60+2*Q252)/12)&amp;":"&amp;TEXT(MOD(60+2*Q252,12),"00"))))</f>
        <v/>
      </c>
      <c r="S252" s="47"/>
      <c r="T252" s="47"/>
      <c r="U252" s="47"/>
      <c r="V252" s="47"/>
      <c r="W252" s="47"/>
      <c r="X252" s="47"/>
      <c r="Y252" s="47"/>
      <c r="Z252" s="47"/>
      <c r="AA252" s="47"/>
      <c r="AB252" s="47"/>
      <c r="AC252" s="47"/>
      <c r="AD252" s="47"/>
      <c r="AE252" s="47"/>
      <c r="AF252" s="47"/>
      <c r="AG252" s="47"/>
      <c r="AH252" s="47"/>
      <c r="AI252" s="46"/>
      <c r="AJ252" s="46"/>
      <c r="AK252" s="46"/>
      <c r="AL252" s="7"/>
      <c r="AM252" s="49" t="str">
        <f aca="false">IF(OR(C252="",G252=""),"",IFERROR(DATEDIF(C252,G252,"m"),""))</f>
        <v/>
      </c>
      <c r="AN252" s="49" t="str">
        <f aca="false">IF(OR(Q252="",AM252=""),"",60+2*Q252-AM252)</f>
        <v/>
      </c>
      <c r="AO252" s="49" t="str">
        <f aca="false">IF(OR(G252="",AJ252=""),"",AJ252-G252)</f>
        <v/>
      </c>
      <c r="AP252" s="50" t="str">
        <f aca="false">IF(AND(A252="",B252=""),"",IF(J252="","Status needed",IF(OR(J252="Applied",J252="Visit booked",J252="Withdrawn"),"OK",IF(G252="","Date assessed needed",IF(C252="","Date of birth needed",IF(COUNTA(L252,M252,P252,U252,V252,X252,AB252)&lt;7,"Band missing",IF(AND(OR(J252="Decision confirmed",J252="Family told",J252="Enrolled"),AG252=""),"Recommendation needed",IF(AND(OR(J252="Family told",J252="Enrolled"),AJ252=""),"Date family told needed","OK"))))))))</f>
        <v/>
      </c>
    </row>
    <row r="253" customFormat="false" ht="15" hidden="false" customHeight="false" outlineLevel="0" collapsed="false">
      <c r="A253" s="7"/>
      <c r="B253" s="7"/>
      <c r="C253" s="46"/>
      <c r="D253" s="7"/>
      <c r="E253" s="47"/>
      <c r="F253" s="46"/>
      <c r="G253" s="46"/>
      <c r="H253" s="7"/>
      <c r="I253" s="7"/>
      <c r="J253" s="47"/>
      <c r="K253" s="47"/>
      <c r="L253" s="47"/>
      <c r="M253" s="47"/>
      <c r="N253" s="10"/>
      <c r="O253" s="47"/>
      <c r="P253" s="47"/>
      <c r="Q253" s="47"/>
      <c r="R253" s="48" t="str">
        <f aca="false">IF(Q253="","",IF(Q253=0,"below 5:00",IF(Q253&gt;=66,"16:00 or above",INT((60+2*Q253)/12)&amp;":"&amp;TEXT(MOD(60+2*Q253,12),"00"))))</f>
        <v/>
      </c>
      <c r="S253" s="47"/>
      <c r="T253" s="47"/>
      <c r="U253" s="47"/>
      <c r="V253" s="47"/>
      <c r="W253" s="47"/>
      <c r="X253" s="47"/>
      <c r="Y253" s="47"/>
      <c r="Z253" s="47"/>
      <c r="AA253" s="47"/>
      <c r="AB253" s="47"/>
      <c r="AC253" s="47"/>
      <c r="AD253" s="47"/>
      <c r="AE253" s="47"/>
      <c r="AF253" s="47"/>
      <c r="AG253" s="47"/>
      <c r="AH253" s="47"/>
      <c r="AI253" s="46"/>
      <c r="AJ253" s="46"/>
      <c r="AK253" s="46"/>
      <c r="AL253" s="7"/>
      <c r="AM253" s="49" t="str">
        <f aca="false">IF(OR(C253="",G253=""),"",IFERROR(DATEDIF(C253,G253,"m"),""))</f>
        <v/>
      </c>
      <c r="AN253" s="49" t="str">
        <f aca="false">IF(OR(Q253="",AM253=""),"",60+2*Q253-AM253)</f>
        <v/>
      </c>
      <c r="AO253" s="49" t="str">
        <f aca="false">IF(OR(G253="",AJ253=""),"",AJ253-G253)</f>
        <v/>
      </c>
      <c r="AP253" s="50" t="str">
        <f aca="false">IF(AND(A253="",B253=""),"",IF(J253="","Status needed",IF(OR(J253="Applied",J253="Visit booked",J253="Withdrawn"),"OK",IF(G253="","Date assessed needed",IF(C253="","Date of birth needed",IF(COUNTA(L253,M253,P253,U253,V253,X253,AB253)&lt;7,"Band missing",IF(AND(OR(J253="Decision confirmed",J253="Family told",J253="Enrolled"),AG253=""),"Recommendation needed",IF(AND(OR(J253="Family told",J253="Enrolled"),AJ253=""),"Date family told needed","OK"))))))))</f>
        <v/>
      </c>
    </row>
    <row r="254" customFormat="false" ht="15" hidden="false" customHeight="false" outlineLevel="0" collapsed="false">
      <c r="A254" s="7"/>
      <c r="B254" s="7"/>
      <c r="C254" s="46"/>
      <c r="D254" s="7"/>
      <c r="E254" s="47"/>
      <c r="F254" s="46"/>
      <c r="G254" s="46"/>
      <c r="H254" s="7"/>
      <c r="I254" s="7"/>
      <c r="J254" s="47"/>
      <c r="K254" s="47"/>
      <c r="L254" s="47"/>
      <c r="M254" s="47"/>
      <c r="N254" s="10"/>
      <c r="O254" s="47"/>
      <c r="P254" s="47"/>
      <c r="Q254" s="47"/>
      <c r="R254" s="48" t="str">
        <f aca="false">IF(Q254="","",IF(Q254=0,"below 5:00",IF(Q254&gt;=66,"16:00 or above",INT((60+2*Q254)/12)&amp;":"&amp;TEXT(MOD(60+2*Q254,12),"00"))))</f>
        <v/>
      </c>
      <c r="S254" s="47"/>
      <c r="T254" s="47"/>
      <c r="U254" s="47"/>
      <c r="V254" s="47"/>
      <c r="W254" s="47"/>
      <c r="X254" s="47"/>
      <c r="Y254" s="47"/>
      <c r="Z254" s="47"/>
      <c r="AA254" s="47"/>
      <c r="AB254" s="47"/>
      <c r="AC254" s="47"/>
      <c r="AD254" s="47"/>
      <c r="AE254" s="47"/>
      <c r="AF254" s="47"/>
      <c r="AG254" s="47"/>
      <c r="AH254" s="47"/>
      <c r="AI254" s="46"/>
      <c r="AJ254" s="46"/>
      <c r="AK254" s="46"/>
      <c r="AL254" s="7"/>
      <c r="AM254" s="49" t="str">
        <f aca="false">IF(OR(C254="",G254=""),"",IFERROR(DATEDIF(C254,G254,"m"),""))</f>
        <v/>
      </c>
      <c r="AN254" s="49" t="str">
        <f aca="false">IF(OR(Q254="",AM254=""),"",60+2*Q254-AM254)</f>
        <v/>
      </c>
      <c r="AO254" s="49" t="str">
        <f aca="false">IF(OR(G254="",AJ254=""),"",AJ254-G254)</f>
        <v/>
      </c>
      <c r="AP254" s="50" t="str">
        <f aca="false">IF(AND(A254="",B254=""),"",IF(J254="","Status needed",IF(OR(J254="Applied",J254="Visit booked",J254="Withdrawn"),"OK",IF(G254="","Date assessed needed",IF(C254="","Date of birth needed",IF(COUNTA(L254,M254,P254,U254,V254,X254,AB254)&lt;7,"Band missing",IF(AND(OR(J254="Decision confirmed",J254="Family told",J254="Enrolled"),AG254=""),"Recommendation needed",IF(AND(OR(J254="Family told",J254="Enrolled"),AJ254=""),"Date family told needed","OK"))))))))</f>
        <v/>
      </c>
    </row>
    <row r="255" customFormat="false" ht="15" hidden="false" customHeight="false" outlineLevel="0" collapsed="false">
      <c r="A255" s="7"/>
      <c r="B255" s="7"/>
      <c r="C255" s="46"/>
      <c r="D255" s="7"/>
      <c r="E255" s="47"/>
      <c r="F255" s="46"/>
      <c r="G255" s="46"/>
      <c r="H255" s="7"/>
      <c r="I255" s="7"/>
      <c r="J255" s="47"/>
      <c r="K255" s="47"/>
      <c r="L255" s="47"/>
      <c r="M255" s="47"/>
      <c r="N255" s="10"/>
      <c r="O255" s="47"/>
      <c r="P255" s="47"/>
      <c r="Q255" s="47"/>
      <c r="R255" s="48" t="str">
        <f aca="false">IF(Q255="","",IF(Q255=0,"below 5:00",IF(Q255&gt;=66,"16:00 or above",INT((60+2*Q255)/12)&amp;":"&amp;TEXT(MOD(60+2*Q255,12),"00"))))</f>
        <v/>
      </c>
      <c r="S255" s="47"/>
      <c r="T255" s="47"/>
      <c r="U255" s="47"/>
      <c r="V255" s="47"/>
      <c r="W255" s="47"/>
      <c r="X255" s="47"/>
      <c r="Y255" s="47"/>
      <c r="Z255" s="47"/>
      <c r="AA255" s="47"/>
      <c r="AB255" s="47"/>
      <c r="AC255" s="47"/>
      <c r="AD255" s="47"/>
      <c r="AE255" s="47"/>
      <c r="AF255" s="47"/>
      <c r="AG255" s="47"/>
      <c r="AH255" s="47"/>
      <c r="AI255" s="46"/>
      <c r="AJ255" s="46"/>
      <c r="AK255" s="46"/>
      <c r="AL255" s="7"/>
      <c r="AM255" s="49" t="str">
        <f aca="false">IF(OR(C255="",G255=""),"",IFERROR(DATEDIF(C255,G255,"m"),""))</f>
        <v/>
      </c>
      <c r="AN255" s="49" t="str">
        <f aca="false">IF(OR(Q255="",AM255=""),"",60+2*Q255-AM255)</f>
        <v/>
      </c>
      <c r="AO255" s="49" t="str">
        <f aca="false">IF(OR(G255="",AJ255=""),"",AJ255-G255)</f>
        <v/>
      </c>
      <c r="AP255" s="50" t="str">
        <f aca="false">IF(AND(A255="",B255=""),"",IF(J255="","Status needed",IF(OR(J255="Applied",J255="Visit booked",J255="Withdrawn"),"OK",IF(G255="","Date assessed needed",IF(C255="","Date of birth needed",IF(COUNTA(L255,M255,P255,U255,V255,X255,AB255)&lt;7,"Band missing",IF(AND(OR(J255="Decision confirmed",J255="Family told",J255="Enrolled"),AG255=""),"Recommendation needed",IF(AND(OR(J255="Family told",J255="Enrolled"),AJ255=""),"Date family told needed","OK"))))))))</f>
        <v/>
      </c>
    </row>
    <row r="256" customFormat="false" ht="15" hidden="false" customHeight="false" outlineLevel="0" collapsed="false">
      <c r="A256" s="7"/>
      <c r="B256" s="7"/>
      <c r="C256" s="46"/>
      <c r="D256" s="7"/>
      <c r="E256" s="47"/>
      <c r="F256" s="46"/>
      <c r="G256" s="46"/>
      <c r="H256" s="7"/>
      <c r="I256" s="7"/>
      <c r="J256" s="47"/>
      <c r="K256" s="47"/>
      <c r="L256" s="47"/>
      <c r="M256" s="47"/>
      <c r="N256" s="10"/>
      <c r="O256" s="47"/>
      <c r="P256" s="47"/>
      <c r="Q256" s="47"/>
      <c r="R256" s="48" t="str">
        <f aca="false">IF(Q256="","",IF(Q256=0,"below 5:00",IF(Q256&gt;=66,"16:00 or above",INT((60+2*Q256)/12)&amp;":"&amp;TEXT(MOD(60+2*Q256,12),"00"))))</f>
        <v/>
      </c>
      <c r="S256" s="47"/>
      <c r="T256" s="47"/>
      <c r="U256" s="47"/>
      <c r="V256" s="47"/>
      <c r="W256" s="47"/>
      <c r="X256" s="47"/>
      <c r="Y256" s="47"/>
      <c r="Z256" s="47"/>
      <c r="AA256" s="47"/>
      <c r="AB256" s="47"/>
      <c r="AC256" s="47"/>
      <c r="AD256" s="47"/>
      <c r="AE256" s="47"/>
      <c r="AF256" s="47"/>
      <c r="AG256" s="47"/>
      <c r="AH256" s="47"/>
      <c r="AI256" s="46"/>
      <c r="AJ256" s="46"/>
      <c r="AK256" s="46"/>
      <c r="AL256" s="7"/>
      <c r="AM256" s="49" t="str">
        <f aca="false">IF(OR(C256="",G256=""),"",IFERROR(DATEDIF(C256,G256,"m"),""))</f>
        <v/>
      </c>
      <c r="AN256" s="49" t="str">
        <f aca="false">IF(OR(Q256="",AM256=""),"",60+2*Q256-AM256)</f>
        <v/>
      </c>
      <c r="AO256" s="49" t="str">
        <f aca="false">IF(OR(G256="",AJ256=""),"",AJ256-G256)</f>
        <v/>
      </c>
      <c r="AP256" s="50" t="str">
        <f aca="false">IF(AND(A256="",B256=""),"",IF(J256="","Status needed",IF(OR(J256="Applied",J256="Visit booked",J256="Withdrawn"),"OK",IF(G256="","Date assessed needed",IF(C256="","Date of birth needed",IF(COUNTA(L256,M256,P256,U256,V256,X256,AB256)&lt;7,"Band missing",IF(AND(OR(J256="Decision confirmed",J256="Family told",J256="Enrolled"),AG256=""),"Recommendation needed",IF(AND(OR(J256="Family told",J256="Enrolled"),AJ256=""),"Date family told needed","OK"))))))))</f>
        <v/>
      </c>
    </row>
    <row r="257" customFormat="false" ht="15" hidden="false" customHeight="false" outlineLevel="0" collapsed="false">
      <c r="A257" s="7"/>
      <c r="B257" s="7"/>
      <c r="C257" s="46"/>
      <c r="D257" s="7"/>
      <c r="E257" s="47"/>
      <c r="F257" s="46"/>
      <c r="G257" s="46"/>
      <c r="H257" s="7"/>
      <c r="I257" s="7"/>
      <c r="J257" s="47"/>
      <c r="K257" s="47"/>
      <c r="L257" s="47"/>
      <c r="M257" s="47"/>
      <c r="N257" s="10"/>
      <c r="O257" s="47"/>
      <c r="P257" s="47"/>
      <c r="Q257" s="47"/>
      <c r="R257" s="48" t="str">
        <f aca="false">IF(Q257="","",IF(Q257=0,"below 5:00",IF(Q257&gt;=66,"16:00 or above",INT((60+2*Q257)/12)&amp;":"&amp;TEXT(MOD(60+2*Q257,12),"00"))))</f>
        <v/>
      </c>
      <c r="S257" s="47"/>
      <c r="T257" s="47"/>
      <c r="U257" s="47"/>
      <c r="V257" s="47"/>
      <c r="W257" s="47"/>
      <c r="X257" s="47"/>
      <c r="Y257" s="47"/>
      <c r="Z257" s="47"/>
      <c r="AA257" s="47"/>
      <c r="AB257" s="47"/>
      <c r="AC257" s="47"/>
      <c r="AD257" s="47"/>
      <c r="AE257" s="47"/>
      <c r="AF257" s="47"/>
      <c r="AG257" s="47"/>
      <c r="AH257" s="47"/>
      <c r="AI257" s="46"/>
      <c r="AJ257" s="46"/>
      <c r="AK257" s="46"/>
      <c r="AL257" s="7"/>
      <c r="AM257" s="49" t="str">
        <f aca="false">IF(OR(C257="",G257=""),"",IFERROR(DATEDIF(C257,G257,"m"),""))</f>
        <v/>
      </c>
      <c r="AN257" s="49" t="str">
        <f aca="false">IF(OR(Q257="",AM257=""),"",60+2*Q257-AM257)</f>
        <v/>
      </c>
      <c r="AO257" s="49" t="str">
        <f aca="false">IF(OR(G257="",AJ257=""),"",AJ257-G257)</f>
        <v/>
      </c>
      <c r="AP257" s="50" t="str">
        <f aca="false">IF(AND(A257="",B257=""),"",IF(J257="","Status needed",IF(OR(J257="Applied",J257="Visit booked",J257="Withdrawn"),"OK",IF(G257="","Date assessed needed",IF(C257="","Date of birth needed",IF(COUNTA(L257,M257,P257,U257,V257,X257,AB257)&lt;7,"Band missing",IF(AND(OR(J257="Decision confirmed",J257="Family told",J257="Enrolled"),AG257=""),"Recommendation needed",IF(AND(OR(J257="Family told",J257="Enrolled"),AJ257=""),"Date family told needed","OK"))))))))</f>
        <v/>
      </c>
    </row>
    <row r="258" customFormat="false" ht="15" hidden="false" customHeight="false" outlineLevel="0" collapsed="false">
      <c r="A258" s="7"/>
      <c r="B258" s="7"/>
      <c r="C258" s="46"/>
      <c r="D258" s="7"/>
      <c r="E258" s="47"/>
      <c r="F258" s="46"/>
      <c r="G258" s="46"/>
      <c r="H258" s="7"/>
      <c r="I258" s="7"/>
      <c r="J258" s="47"/>
      <c r="K258" s="47"/>
      <c r="L258" s="47"/>
      <c r="M258" s="47"/>
      <c r="N258" s="10"/>
      <c r="O258" s="47"/>
      <c r="P258" s="47"/>
      <c r="Q258" s="47"/>
      <c r="R258" s="48" t="str">
        <f aca="false">IF(Q258="","",IF(Q258=0,"below 5:00",IF(Q258&gt;=66,"16:00 or above",INT((60+2*Q258)/12)&amp;":"&amp;TEXT(MOD(60+2*Q258,12),"00"))))</f>
        <v/>
      </c>
      <c r="S258" s="47"/>
      <c r="T258" s="47"/>
      <c r="U258" s="47"/>
      <c r="V258" s="47"/>
      <c r="W258" s="47"/>
      <c r="X258" s="47"/>
      <c r="Y258" s="47"/>
      <c r="Z258" s="47"/>
      <c r="AA258" s="47"/>
      <c r="AB258" s="47"/>
      <c r="AC258" s="47"/>
      <c r="AD258" s="47"/>
      <c r="AE258" s="47"/>
      <c r="AF258" s="47"/>
      <c r="AG258" s="47"/>
      <c r="AH258" s="47"/>
      <c r="AI258" s="46"/>
      <c r="AJ258" s="46"/>
      <c r="AK258" s="46"/>
      <c r="AL258" s="7"/>
      <c r="AM258" s="49" t="str">
        <f aca="false">IF(OR(C258="",G258=""),"",IFERROR(DATEDIF(C258,G258,"m"),""))</f>
        <v/>
      </c>
      <c r="AN258" s="49" t="str">
        <f aca="false">IF(OR(Q258="",AM258=""),"",60+2*Q258-AM258)</f>
        <v/>
      </c>
      <c r="AO258" s="49" t="str">
        <f aca="false">IF(OR(G258="",AJ258=""),"",AJ258-G258)</f>
        <v/>
      </c>
      <c r="AP258" s="50" t="str">
        <f aca="false">IF(AND(A258="",B258=""),"",IF(J258="","Status needed",IF(OR(J258="Applied",J258="Visit booked",J258="Withdrawn"),"OK",IF(G258="","Date assessed needed",IF(C258="","Date of birth needed",IF(COUNTA(L258,M258,P258,U258,V258,X258,AB258)&lt;7,"Band missing",IF(AND(OR(J258="Decision confirmed",J258="Family told",J258="Enrolled"),AG258=""),"Recommendation needed",IF(AND(OR(J258="Family told",J258="Enrolled"),AJ258=""),"Date family told needed","OK"))))))))</f>
        <v/>
      </c>
    </row>
    <row r="259" customFormat="false" ht="15" hidden="false" customHeight="false" outlineLevel="0" collapsed="false">
      <c r="A259" s="7"/>
      <c r="B259" s="7"/>
      <c r="C259" s="46"/>
      <c r="D259" s="7"/>
      <c r="E259" s="47"/>
      <c r="F259" s="46"/>
      <c r="G259" s="46"/>
      <c r="H259" s="7"/>
      <c r="I259" s="7"/>
      <c r="J259" s="47"/>
      <c r="K259" s="47"/>
      <c r="L259" s="47"/>
      <c r="M259" s="47"/>
      <c r="N259" s="10"/>
      <c r="O259" s="47"/>
      <c r="P259" s="47"/>
      <c r="Q259" s="47"/>
      <c r="R259" s="48" t="str">
        <f aca="false">IF(Q259="","",IF(Q259=0,"below 5:00",IF(Q259&gt;=66,"16:00 or above",INT((60+2*Q259)/12)&amp;":"&amp;TEXT(MOD(60+2*Q259,12),"00"))))</f>
        <v/>
      </c>
      <c r="S259" s="47"/>
      <c r="T259" s="47"/>
      <c r="U259" s="47"/>
      <c r="V259" s="47"/>
      <c r="W259" s="47"/>
      <c r="X259" s="47"/>
      <c r="Y259" s="47"/>
      <c r="Z259" s="47"/>
      <c r="AA259" s="47"/>
      <c r="AB259" s="47"/>
      <c r="AC259" s="47"/>
      <c r="AD259" s="47"/>
      <c r="AE259" s="47"/>
      <c r="AF259" s="47"/>
      <c r="AG259" s="47"/>
      <c r="AH259" s="47"/>
      <c r="AI259" s="46"/>
      <c r="AJ259" s="46"/>
      <c r="AK259" s="46"/>
      <c r="AL259" s="7"/>
      <c r="AM259" s="49" t="str">
        <f aca="false">IF(OR(C259="",G259=""),"",IFERROR(DATEDIF(C259,G259,"m"),""))</f>
        <v/>
      </c>
      <c r="AN259" s="49" t="str">
        <f aca="false">IF(OR(Q259="",AM259=""),"",60+2*Q259-AM259)</f>
        <v/>
      </c>
      <c r="AO259" s="49" t="str">
        <f aca="false">IF(OR(G259="",AJ259=""),"",AJ259-G259)</f>
        <v/>
      </c>
      <c r="AP259" s="50" t="str">
        <f aca="false">IF(AND(A259="",B259=""),"",IF(J259="","Status needed",IF(OR(J259="Applied",J259="Visit booked",J259="Withdrawn"),"OK",IF(G259="","Date assessed needed",IF(C259="","Date of birth needed",IF(COUNTA(L259,M259,P259,U259,V259,X259,AB259)&lt;7,"Band missing",IF(AND(OR(J259="Decision confirmed",J259="Family told",J259="Enrolled"),AG259=""),"Recommendation needed",IF(AND(OR(J259="Family told",J259="Enrolled"),AJ259=""),"Date family told needed","OK"))))))))</f>
        <v/>
      </c>
    </row>
    <row r="260" customFormat="false" ht="15" hidden="false" customHeight="false" outlineLevel="0" collapsed="false">
      <c r="A260" s="7"/>
      <c r="B260" s="7"/>
      <c r="C260" s="46"/>
      <c r="D260" s="7"/>
      <c r="E260" s="47"/>
      <c r="F260" s="46"/>
      <c r="G260" s="46"/>
      <c r="H260" s="7"/>
      <c r="I260" s="7"/>
      <c r="J260" s="47"/>
      <c r="K260" s="47"/>
      <c r="L260" s="47"/>
      <c r="M260" s="47"/>
      <c r="N260" s="10"/>
      <c r="O260" s="47"/>
      <c r="P260" s="47"/>
      <c r="Q260" s="47"/>
      <c r="R260" s="48" t="str">
        <f aca="false">IF(Q260="","",IF(Q260=0,"below 5:00",IF(Q260&gt;=66,"16:00 or above",INT((60+2*Q260)/12)&amp;":"&amp;TEXT(MOD(60+2*Q260,12),"00"))))</f>
        <v/>
      </c>
      <c r="S260" s="47"/>
      <c r="T260" s="47"/>
      <c r="U260" s="47"/>
      <c r="V260" s="47"/>
      <c r="W260" s="47"/>
      <c r="X260" s="47"/>
      <c r="Y260" s="47"/>
      <c r="Z260" s="47"/>
      <c r="AA260" s="47"/>
      <c r="AB260" s="47"/>
      <c r="AC260" s="47"/>
      <c r="AD260" s="47"/>
      <c r="AE260" s="47"/>
      <c r="AF260" s="47"/>
      <c r="AG260" s="47"/>
      <c r="AH260" s="47"/>
      <c r="AI260" s="46"/>
      <c r="AJ260" s="46"/>
      <c r="AK260" s="46"/>
      <c r="AL260" s="7"/>
      <c r="AM260" s="49" t="str">
        <f aca="false">IF(OR(C260="",G260=""),"",IFERROR(DATEDIF(C260,G260,"m"),""))</f>
        <v/>
      </c>
      <c r="AN260" s="49" t="str">
        <f aca="false">IF(OR(Q260="",AM260=""),"",60+2*Q260-AM260)</f>
        <v/>
      </c>
      <c r="AO260" s="49" t="str">
        <f aca="false">IF(OR(G260="",AJ260=""),"",AJ260-G260)</f>
        <v/>
      </c>
      <c r="AP260" s="50" t="str">
        <f aca="false">IF(AND(A260="",B260=""),"",IF(J260="","Status needed",IF(OR(J260="Applied",J260="Visit booked",J260="Withdrawn"),"OK",IF(G260="","Date assessed needed",IF(C260="","Date of birth needed",IF(COUNTA(L260,M260,P260,U260,V260,X260,AB260)&lt;7,"Band missing",IF(AND(OR(J260="Decision confirmed",J260="Family told",J260="Enrolled"),AG260=""),"Recommendation needed",IF(AND(OR(J260="Family told",J260="Enrolled"),AJ260=""),"Date family told needed","OK"))))))))</f>
        <v/>
      </c>
    </row>
    <row r="261" customFormat="false" ht="15" hidden="false" customHeight="false" outlineLevel="0" collapsed="false">
      <c r="A261" s="7"/>
      <c r="B261" s="7"/>
      <c r="C261" s="46"/>
      <c r="D261" s="7"/>
      <c r="E261" s="47"/>
      <c r="F261" s="46"/>
      <c r="G261" s="46"/>
      <c r="H261" s="7"/>
      <c r="I261" s="7"/>
      <c r="J261" s="47"/>
      <c r="K261" s="47"/>
      <c r="L261" s="47"/>
      <c r="M261" s="47"/>
      <c r="N261" s="10"/>
      <c r="O261" s="47"/>
      <c r="P261" s="47"/>
      <c r="Q261" s="47"/>
      <c r="R261" s="48" t="str">
        <f aca="false">IF(Q261="","",IF(Q261=0,"below 5:00",IF(Q261&gt;=66,"16:00 or above",INT((60+2*Q261)/12)&amp;":"&amp;TEXT(MOD(60+2*Q261,12),"00"))))</f>
        <v/>
      </c>
      <c r="S261" s="47"/>
      <c r="T261" s="47"/>
      <c r="U261" s="47"/>
      <c r="V261" s="47"/>
      <c r="W261" s="47"/>
      <c r="X261" s="47"/>
      <c r="Y261" s="47"/>
      <c r="Z261" s="47"/>
      <c r="AA261" s="47"/>
      <c r="AB261" s="47"/>
      <c r="AC261" s="47"/>
      <c r="AD261" s="47"/>
      <c r="AE261" s="47"/>
      <c r="AF261" s="47"/>
      <c r="AG261" s="47"/>
      <c r="AH261" s="47"/>
      <c r="AI261" s="46"/>
      <c r="AJ261" s="46"/>
      <c r="AK261" s="46"/>
      <c r="AL261" s="7"/>
      <c r="AM261" s="49" t="str">
        <f aca="false">IF(OR(C261="",G261=""),"",IFERROR(DATEDIF(C261,G261,"m"),""))</f>
        <v/>
      </c>
      <c r="AN261" s="49" t="str">
        <f aca="false">IF(OR(Q261="",AM261=""),"",60+2*Q261-AM261)</f>
        <v/>
      </c>
      <c r="AO261" s="49" t="str">
        <f aca="false">IF(OR(G261="",AJ261=""),"",AJ261-G261)</f>
        <v/>
      </c>
      <c r="AP261" s="50" t="str">
        <f aca="false">IF(AND(A261="",B261=""),"",IF(J261="","Status needed",IF(OR(J261="Applied",J261="Visit booked",J261="Withdrawn"),"OK",IF(G261="","Date assessed needed",IF(C261="","Date of birth needed",IF(COUNTA(L261,M261,P261,U261,V261,X261,AB261)&lt;7,"Band missing",IF(AND(OR(J261="Decision confirmed",J261="Family told",J261="Enrolled"),AG261=""),"Recommendation needed",IF(AND(OR(J261="Family told",J261="Enrolled"),AJ261=""),"Date family told needed","OK"))))))))</f>
        <v/>
      </c>
    </row>
    <row r="262" customFormat="false" ht="15" hidden="false" customHeight="false" outlineLevel="0" collapsed="false">
      <c r="A262" s="7"/>
      <c r="B262" s="7"/>
      <c r="C262" s="46"/>
      <c r="D262" s="7"/>
      <c r="E262" s="47"/>
      <c r="F262" s="46"/>
      <c r="G262" s="46"/>
      <c r="H262" s="7"/>
      <c r="I262" s="7"/>
      <c r="J262" s="47"/>
      <c r="K262" s="47"/>
      <c r="L262" s="47"/>
      <c r="M262" s="47"/>
      <c r="N262" s="10"/>
      <c r="O262" s="47"/>
      <c r="P262" s="47"/>
      <c r="Q262" s="47"/>
      <c r="R262" s="48" t="str">
        <f aca="false">IF(Q262="","",IF(Q262=0,"below 5:00",IF(Q262&gt;=66,"16:00 or above",INT((60+2*Q262)/12)&amp;":"&amp;TEXT(MOD(60+2*Q262,12),"00"))))</f>
        <v/>
      </c>
      <c r="S262" s="47"/>
      <c r="T262" s="47"/>
      <c r="U262" s="47"/>
      <c r="V262" s="47"/>
      <c r="W262" s="47"/>
      <c r="X262" s="47"/>
      <c r="Y262" s="47"/>
      <c r="Z262" s="47"/>
      <c r="AA262" s="47"/>
      <c r="AB262" s="47"/>
      <c r="AC262" s="47"/>
      <c r="AD262" s="47"/>
      <c r="AE262" s="47"/>
      <c r="AF262" s="47"/>
      <c r="AG262" s="47"/>
      <c r="AH262" s="47"/>
      <c r="AI262" s="46"/>
      <c r="AJ262" s="46"/>
      <c r="AK262" s="46"/>
      <c r="AL262" s="7"/>
      <c r="AM262" s="49" t="str">
        <f aca="false">IF(OR(C262="",G262=""),"",IFERROR(DATEDIF(C262,G262,"m"),""))</f>
        <v/>
      </c>
      <c r="AN262" s="49" t="str">
        <f aca="false">IF(OR(Q262="",AM262=""),"",60+2*Q262-AM262)</f>
        <v/>
      </c>
      <c r="AO262" s="49" t="str">
        <f aca="false">IF(OR(G262="",AJ262=""),"",AJ262-G262)</f>
        <v/>
      </c>
      <c r="AP262" s="50" t="str">
        <f aca="false">IF(AND(A262="",B262=""),"",IF(J262="","Status needed",IF(OR(J262="Applied",J262="Visit booked",J262="Withdrawn"),"OK",IF(G262="","Date assessed needed",IF(C262="","Date of birth needed",IF(COUNTA(L262,M262,P262,U262,V262,X262,AB262)&lt;7,"Band missing",IF(AND(OR(J262="Decision confirmed",J262="Family told",J262="Enrolled"),AG262=""),"Recommendation needed",IF(AND(OR(J262="Family told",J262="Enrolled"),AJ262=""),"Date family told needed","OK"))))))))</f>
        <v/>
      </c>
    </row>
    <row r="263" customFormat="false" ht="15" hidden="false" customHeight="false" outlineLevel="0" collapsed="false">
      <c r="A263" s="7"/>
      <c r="B263" s="7"/>
      <c r="C263" s="46"/>
      <c r="D263" s="7"/>
      <c r="E263" s="47"/>
      <c r="F263" s="46"/>
      <c r="G263" s="46"/>
      <c r="H263" s="7"/>
      <c r="I263" s="7"/>
      <c r="J263" s="47"/>
      <c r="K263" s="47"/>
      <c r="L263" s="47"/>
      <c r="M263" s="47"/>
      <c r="N263" s="10"/>
      <c r="O263" s="47"/>
      <c r="P263" s="47"/>
      <c r="Q263" s="47"/>
      <c r="R263" s="48" t="str">
        <f aca="false">IF(Q263="","",IF(Q263=0,"below 5:00",IF(Q263&gt;=66,"16:00 or above",INT((60+2*Q263)/12)&amp;":"&amp;TEXT(MOD(60+2*Q263,12),"00"))))</f>
        <v/>
      </c>
      <c r="S263" s="47"/>
      <c r="T263" s="47"/>
      <c r="U263" s="47"/>
      <c r="V263" s="47"/>
      <c r="W263" s="47"/>
      <c r="X263" s="47"/>
      <c r="Y263" s="47"/>
      <c r="Z263" s="47"/>
      <c r="AA263" s="47"/>
      <c r="AB263" s="47"/>
      <c r="AC263" s="47"/>
      <c r="AD263" s="47"/>
      <c r="AE263" s="47"/>
      <c r="AF263" s="47"/>
      <c r="AG263" s="47"/>
      <c r="AH263" s="47"/>
      <c r="AI263" s="46"/>
      <c r="AJ263" s="46"/>
      <c r="AK263" s="46"/>
      <c r="AL263" s="7"/>
      <c r="AM263" s="49" t="str">
        <f aca="false">IF(OR(C263="",G263=""),"",IFERROR(DATEDIF(C263,G263,"m"),""))</f>
        <v/>
      </c>
      <c r="AN263" s="49" t="str">
        <f aca="false">IF(OR(Q263="",AM263=""),"",60+2*Q263-AM263)</f>
        <v/>
      </c>
      <c r="AO263" s="49" t="str">
        <f aca="false">IF(OR(G263="",AJ263=""),"",AJ263-G263)</f>
        <v/>
      </c>
      <c r="AP263" s="50" t="str">
        <f aca="false">IF(AND(A263="",B263=""),"",IF(J263="","Status needed",IF(OR(J263="Applied",J263="Visit booked",J263="Withdrawn"),"OK",IF(G263="","Date assessed needed",IF(C263="","Date of birth needed",IF(COUNTA(L263,M263,P263,U263,V263,X263,AB263)&lt;7,"Band missing",IF(AND(OR(J263="Decision confirmed",J263="Family told",J263="Enrolled"),AG263=""),"Recommendation needed",IF(AND(OR(J263="Family told",J263="Enrolled"),AJ263=""),"Date family told needed","OK"))))))))</f>
        <v/>
      </c>
    </row>
    <row r="264" customFormat="false" ht="15" hidden="false" customHeight="false" outlineLevel="0" collapsed="false">
      <c r="A264" s="7"/>
      <c r="B264" s="7"/>
      <c r="C264" s="46"/>
      <c r="D264" s="7"/>
      <c r="E264" s="47"/>
      <c r="F264" s="46"/>
      <c r="G264" s="46"/>
      <c r="H264" s="7"/>
      <c r="I264" s="7"/>
      <c r="J264" s="47"/>
      <c r="K264" s="47"/>
      <c r="L264" s="47"/>
      <c r="M264" s="47"/>
      <c r="N264" s="10"/>
      <c r="O264" s="47"/>
      <c r="P264" s="47"/>
      <c r="Q264" s="47"/>
      <c r="R264" s="48" t="str">
        <f aca="false">IF(Q264="","",IF(Q264=0,"below 5:00",IF(Q264&gt;=66,"16:00 or above",INT((60+2*Q264)/12)&amp;":"&amp;TEXT(MOD(60+2*Q264,12),"00"))))</f>
        <v/>
      </c>
      <c r="S264" s="47"/>
      <c r="T264" s="47"/>
      <c r="U264" s="47"/>
      <c r="V264" s="47"/>
      <c r="W264" s="47"/>
      <c r="X264" s="47"/>
      <c r="Y264" s="47"/>
      <c r="Z264" s="47"/>
      <c r="AA264" s="47"/>
      <c r="AB264" s="47"/>
      <c r="AC264" s="47"/>
      <c r="AD264" s="47"/>
      <c r="AE264" s="47"/>
      <c r="AF264" s="47"/>
      <c r="AG264" s="47"/>
      <c r="AH264" s="47"/>
      <c r="AI264" s="46"/>
      <c r="AJ264" s="46"/>
      <c r="AK264" s="46"/>
      <c r="AL264" s="7"/>
      <c r="AM264" s="49" t="str">
        <f aca="false">IF(OR(C264="",G264=""),"",IFERROR(DATEDIF(C264,G264,"m"),""))</f>
        <v/>
      </c>
      <c r="AN264" s="49" t="str">
        <f aca="false">IF(OR(Q264="",AM264=""),"",60+2*Q264-AM264)</f>
        <v/>
      </c>
      <c r="AO264" s="49" t="str">
        <f aca="false">IF(OR(G264="",AJ264=""),"",AJ264-G264)</f>
        <v/>
      </c>
      <c r="AP264" s="50" t="str">
        <f aca="false">IF(AND(A264="",B264=""),"",IF(J264="","Status needed",IF(OR(J264="Applied",J264="Visit booked",J264="Withdrawn"),"OK",IF(G264="","Date assessed needed",IF(C264="","Date of birth needed",IF(COUNTA(L264,M264,P264,U264,V264,X264,AB264)&lt;7,"Band missing",IF(AND(OR(J264="Decision confirmed",J264="Family told",J264="Enrolled"),AG264=""),"Recommendation needed",IF(AND(OR(J264="Family told",J264="Enrolled"),AJ264=""),"Date family told needed","OK"))))))))</f>
        <v/>
      </c>
    </row>
    <row r="265" customFormat="false" ht="15" hidden="false" customHeight="false" outlineLevel="0" collapsed="false">
      <c r="A265" s="7"/>
      <c r="B265" s="7"/>
      <c r="C265" s="46"/>
      <c r="D265" s="7"/>
      <c r="E265" s="47"/>
      <c r="F265" s="46"/>
      <c r="G265" s="46"/>
      <c r="H265" s="7"/>
      <c r="I265" s="7"/>
      <c r="J265" s="47"/>
      <c r="K265" s="47"/>
      <c r="L265" s="47"/>
      <c r="M265" s="47"/>
      <c r="N265" s="10"/>
      <c r="O265" s="47"/>
      <c r="P265" s="47"/>
      <c r="Q265" s="47"/>
      <c r="R265" s="48" t="str">
        <f aca="false">IF(Q265="","",IF(Q265=0,"below 5:00",IF(Q265&gt;=66,"16:00 or above",INT((60+2*Q265)/12)&amp;":"&amp;TEXT(MOD(60+2*Q265,12),"00"))))</f>
        <v/>
      </c>
      <c r="S265" s="47"/>
      <c r="T265" s="47"/>
      <c r="U265" s="47"/>
      <c r="V265" s="47"/>
      <c r="W265" s="47"/>
      <c r="X265" s="47"/>
      <c r="Y265" s="47"/>
      <c r="Z265" s="47"/>
      <c r="AA265" s="47"/>
      <c r="AB265" s="47"/>
      <c r="AC265" s="47"/>
      <c r="AD265" s="47"/>
      <c r="AE265" s="47"/>
      <c r="AF265" s="47"/>
      <c r="AG265" s="47"/>
      <c r="AH265" s="47"/>
      <c r="AI265" s="46"/>
      <c r="AJ265" s="46"/>
      <c r="AK265" s="46"/>
      <c r="AL265" s="7"/>
      <c r="AM265" s="49" t="str">
        <f aca="false">IF(OR(C265="",G265=""),"",IFERROR(DATEDIF(C265,G265,"m"),""))</f>
        <v/>
      </c>
      <c r="AN265" s="49" t="str">
        <f aca="false">IF(OR(Q265="",AM265=""),"",60+2*Q265-AM265)</f>
        <v/>
      </c>
      <c r="AO265" s="49" t="str">
        <f aca="false">IF(OR(G265="",AJ265=""),"",AJ265-G265)</f>
        <v/>
      </c>
      <c r="AP265" s="50" t="str">
        <f aca="false">IF(AND(A265="",B265=""),"",IF(J265="","Status needed",IF(OR(J265="Applied",J265="Visit booked",J265="Withdrawn"),"OK",IF(G265="","Date assessed needed",IF(C265="","Date of birth needed",IF(COUNTA(L265,M265,P265,U265,V265,X265,AB265)&lt;7,"Band missing",IF(AND(OR(J265="Decision confirmed",J265="Family told",J265="Enrolled"),AG265=""),"Recommendation needed",IF(AND(OR(J265="Family told",J265="Enrolled"),AJ265=""),"Date family told needed","OK"))))))))</f>
        <v/>
      </c>
    </row>
    <row r="266" customFormat="false" ht="15" hidden="false" customHeight="false" outlineLevel="0" collapsed="false">
      <c r="A266" s="7"/>
      <c r="B266" s="7"/>
      <c r="C266" s="46"/>
      <c r="D266" s="7"/>
      <c r="E266" s="47"/>
      <c r="F266" s="46"/>
      <c r="G266" s="46"/>
      <c r="H266" s="7"/>
      <c r="I266" s="7"/>
      <c r="J266" s="47"/>
      <c r="K266" s="47"/>
      <c r="L266" s="47"/>
      <c r="M266" s="47"/>
      <c r="N266" s="10"/>
      <c r="O266" s="47"/>
      <c r="P266" s="47"/>
      <c r="Q266" s="47"/>
      <c r="R266" s="48" t="str">
        <f aca="false">IF(Q266="","",IF(Q266=0,"below 5:00",IF(Q266&gt;=66,"16:00 or above",INT((60+2*Q266)/12)&amp;":"&amp;TEXT(MOD(60+2*Q266,12),"00"))))</f>
        <v/>
      </c>
      <c r="S266" s="47"/>
      <c r="T266" s="47"/>
      <c r="U266" s="47"/>
      <c r="V266" s="47"/>
      <c r="W266" s="47"/>
      <c r="X266" s="47"/>
      <c r="Y266" s="47"/>
      <c r="Z266" s="47"/>
      <c r="AA266" s="47"/>
      <c r="AB266" s="47"/>
      <c r="AC266" s="47"/>
      <c r="AD266" s="47"/>
      <c r="AE266" s="47"/>
      <c r="AF266" s="47"/>
      <c r="AG266" s="47"/>
      <c r="AH266" s="47"/>
      <c r="AI266" s="46"/>
      <c r="AJ266" s="46"/>
      <c r="AK266" s="46"/>
      <c r="AL266" s="7"/>
      <c r="AM266" s="49" t="str">
        <f aca="false">IF(OR(C266="",G266=""),"",IFERROR(DATEDIF(C266,G266,"m"),""))</f>
        <v/>
      </c>
      <c r="AN266" s="49" t="str">
        <f aca="false">IF(OR(Q266="",AM266=""),"",60+2*Q266-AM266)</f>
        <v/>
      </c>
      <c r="AO266" s="49" t="str">
        <f aca="false">IF(OR(G266="",AJ266=""),"",AJ266-G266)</f>
        <v/>
      </c>
      <c r="AP266" s="50" t="str">
        <f aca="false">IF(AND(A266="",B266=""),"",IF(J266="","Status needed",IF(OR(J266="Applied",J266="Visit booked",J266="Withdrawn"),"OK",IF(G266="","Date assessed needed",IF(C266="","Date of birth needed",IF(COUNTA(L266,M266,P266,U266,V266,X266,AB266)&lt;7,"Band missing",IF(AND(OR(J266="Decision confirmed",J266="Family told",J266="Enrolled"),AG266=""),"Recommendation needed",IF(AND(OR(J266="Family told",J266="Enrolled"),AJ266=""),"Date family told needed","OK"))))))))</f>
        <v/>
      </c>
    </row>
    <row r="267" customFormat="false" ht="15" hidden="false" customHeight="false" outlineLevel="0" collapsed="false">
      <c r="A267" s="7"/>
      <c r="B267" s="7"/>
      <c r="C267" s="46"/>
      <c r="D267" s="7"/>
      <c r="E267" s="47"/>
      <c r="F267" s="46"/>
      <c r="G267" s="46"/>
      <c r="H267" s="7"/>
      <c r="I267" s="7"/>
      <c r="J267" s="47"/>
      <c r="K267" s="47"/>
      <c r="L267" s="47"/>
      <c r="M267" s="47"/>
      <c r="N267" s="10"/>
      <c r="O267" s="47"/>
      <c r="P267" s="47"/>
      <c r="Q267" s="47"/>
      <c r="R267" s="48" t="str">
        <f aca="false">IF(Q267="","",IF(Q267=0,"below 5:00",IF(Q267&gt;=66,"16:00 or above",INT((60+2*Q267)/12)&amp;":"&amp;TEXT(MOD(60+2*Q267,12),"00"))))</f>
        <v/>
      </c>
      <c r="S267" s="47"/>
      <c r="T267" s="47"/>
      <c r="U267" s="47"/>
      <c r="V267" s="47"/>
      <c r="W267" s="47"/>
      <c r="X267" s="47"/>
      <c r="Y267" s="47"/>
      <c r="Z267" s="47"/>
      <c r="AA267" s="47"/>
      <c r="AB267" s="47"/>
      <c r="AC267" s="47"/>
      <c r="AD267" s="47"/>
      <c r="AE267" s="47"/>
      <c r="AF267" s="47"/>
      <c r="AG267" s="47"/>
      <c r="AH267" s="47"/>
      <c r="AI267" s="46"/>
      <c r="AJ267" s="46"/>
      <c r="AK267" s="46"/>
      <c r="AL267" s="7"/>
      <c r="AM267" s="49" t="str">
        <f aca="false">IF(OR(C267="",G267=""),"",IFERROR(DATEDIF(C267,G267,"m"),""))</f>
        <v/>
      </c>
      <c r="AN267" s="49" t="str">
        <f aca="false">IF(OR(Q267="",AM267=""),"",60+2*Q267-AM267)</f>
        <v/>
      </c>
      <c r="AO267" s="49" t="str">
        <f aca="false">IF(OR(G267="",AJ267=""),"",AJ267-G267)</f>
        <v/>
      </c>
      <c r="AP267" s="50" t="str">
        <f aca="false">IF(AND(A267="",B267=""),"",IF(J267="","Status needed",IF(OR(J267="Applied",J267="Visit booked",J267="Withdrawn"),"OK",IF(G267="","Date assessed needed",IF(C267="","Date of birth needed",IF(COUNTA(L267,M267,P267,U267,V267,X267,AB267)&lt;7,"Band missing",IF(AND(OR(J267="Decision confirmed",J267="Family told",J267="Enrolled"),AG267=""),"Recommendation needed",IF(AND(OR(J267="Family told",J267="Enrolled"),AJ267=""),"Date family told needed","OK"))))))))</f>
        <v/>
      </c>
    </row>
    <row r="268" customFormat="false" ht="15" hidden="false" customHeight="false" outlineLevel="0" collapsed="false">
      <c r="A268" s="7"/>
      <c r="B268" s="7"/>
      <c r="C268" s="46"/>
      <c r="D268" s="7"/>
      <c r="E268" s="47"/>
      <c r="F268" s="46"/>
      <c r="G268" s="46"/>
      <c r="H268" s="7"/>
      <c r="I268" s="7"/>
      <c r="J268" s="47"/>
      <c r="K268" s="47"/>
      <c r="L268" s="47"/>
      <c r="M268" s="47"/>
      <c r="N268" s="10"/>
      <c r="O268" s="47"/>
      <c r="P268" s="47"/>
      <c r="Q268" s="47"/>
      <c r="R268" s="48" t="str">
        <f aca="false">IF(Q268="","",IF(Q268=0,"below 5:00",IF(Q268&gt;=66,"16:00 or above",INT((60+2*Q268)/12)&amp;":"&amp;TEXT(MOD(60+2*Q268,12),"00"))))</f>
        <v/>
      </c>
      <c r="S268" s="47"/>
      <c r="T268" s="47"/>
      <c r="U268" s="47"/>
      <c r="V268" s="47"/>
      <c r="W268" s="47"/>
      <c r="X268" s="47"/>
      <c r="Y268" s="47"/>
      <c r="Z268" s="47"/>
      <c r="AA268" s="47"/>
      <c r="AB268" s="47"/>
      <c r="AC268" s="47"/>
      <c r="AD268" s="47"/>
      <c r="AE268" s="47"/>
      <c r="AF268" s="47"/>
      <c r="AG268" s="47"/>
      <c r="AH268" s="47"/>
      <c r="AI268" s="46"/>
      <c r="AJ268" s="46"/>
      <c r="AK268" s="46"/>
      <c r="AL268" s="7"/>
      <c r="AM268" s="49" t="str">
        <f aca="false">IF(OR(C268="",G268=""),"",IFERROR(DATEDIF(C268,G268,"m"),""))</f>
        <v/>
      </c>
      <c r="AN268" s="49" t="str">
        <f aca="false">IF(OR(Q268="",AM268=""),"",60+2*Q268-AM268)</f>
        <v/>
      </c>
      <c r="AO268" s="49" t="str">
        <f aca="false">IF(OR(G268="",AJ268=""),"",AJ268-G268)</f>
        <v/>
      </c>
      <c r="AP268" s="50" t="str">
        <f aca="false">IF(AND(A268="",B268=""),"",IF(J268="","Status needed",IF(OR(J268="Applied",J268="Visit booked",J268="Withdrawn"),"OK",IF(G268="","Date assessed needed",IF(C268="","Date of birth needed",IF(COUNTA(L268,M268,P268,U268,V268,X268,AB268)&lt;7,"Band missing",IF(AND(OR(J268="Decision confirmed",J268="Family told",J268="Enrolled"),AG268=""),"Recommendation needed",IF(AND(OR(J268="Family told",J268="Enrolled"),AJ268=""),"Date family told needed","OK"))))))))</f>
        <v/>
      </c>
    </row>
    <row r="269" customFormat="false" ht="15" hidden="false" customHeight="false" outlineLevel="0" collapsed="false">
      <c r="A269" s="7"/>
      <c r="B269" s="7"/>
      <c r="C269" s="46"/>
      <c r="D269" s="7"/>
      <c r="E269" s="47"/>
      <c r="F269" s="46"/>
      <c r="G269" s="46"/>
      <c r="H269" s="7"/>
      <c r="I269" s="7"/>
      <c r="J269" s="47"/>
      <c r="K269" s="47"/>
      <c r="L269" s="47"/>
      <c r="M269" s="47"/>
      <c r="N269" s="10"/>
      <c r="O269" s="47"/>
      <c r="P269" s="47"/>
      <c r="Q269" s="47"/>
      <c r="R269" s="48" t="str">
        <f aca="false">IF(Q269="","",IF(Q269=0,"below 5:00",IF(Q269&gt;=66,"16:00 or above",INT((60+2*Q269)/12)&amp;":"&amp;TEXT(MOD(60+2*Q269,12),"00"))))</f>
        <v/>
      </c>
      <c r="S269" s="47"/>
      <c r="T269" s="47"/>
      <c r="U269" s="47"/>
      <c r="V269" s="47"/>
      <c r="W269" s="47"/>
      <c r="X269" s="47"/>
      <c r="Y269" s="47"/>
      <c r="Z269" s="47"/>
      <c r="AA269" s="47"/>
      <c r="AB269" s="47"/>
      <c r="AC269" s="47"/>
      <c r="AD269" s="47"/>
      <c r="AE269" s="47"/>
      <c r="AF269" s="47"/>
      <c r="AG269" s="47"/>
      <c r="AH269" s="47"/>
      <c r="AI269" s="46"/>
      <c r="AJ269" s="46"/>
      <c r="AK269" s="46"/>
      <c r="AL269" s="7"/>
      <c r="AM269" s="49" t="str">
        <f aca="false">IF(OR(C269="",G269=""),"",IFERROR(DATEDIF(C269,G269,"m"),""))</f>
        <v/>
      </c>
      <c r="AN269" s="49" t="str">
        <f aca="false">IF(OR(Q269="",AM269=""),"",60+2*Q269-AM269)</f>
        <v/>
      </c>
      <c r="AO269" s="49" t="str">
        <f aca="false">IF(OR(G269="",AJ269=""),"",AJ269-G269)</f>
        <v/>
      </c>
      <c r="AP269" s="50" t="str">
        <f aca="false">IF(AND(A269="",B269=""),"",IF(J269="","Status needed",IF(OR(J269="Applied",J269="Visit booked",J269="Withdrawn"),"OK",IF(G269="","Date assessed needed",IF(C269="","Date of birth needed",IF(COUNTA(L269,M269,P269,U269,V269,X269,AB269)&lt;7,"Band missing",IF(AND(OR(J269="Decision confirmed",J269="Family told",J269="Enrolled"),AG269=""),"Recommendation needed",IF(AND(OR(J269="Family told",J269="Enrolled"),AJ269=""),"Date family told needed","OK"))))))))</f>
        <v/>
      </c>
    </row>
    <row r="270" customFormat="false" ht="15" hidden="false" customHeight="false" outlineLevel="0" collapsed="false">
      <c r="A270" s="7"/>
      <c r="B270" s="7"/>
      <c r="C270" s="46"/>
      <c r="D270" s="7"/>
      <c r="E270" s="47"/>
      <c r="F270" s="46"/>
      <c r="G270" s="46"/>
      <c r="H270" s="7"/>
      <c r="I270" s="7"/>
      <c r="J270" s="47"/>
      <c r="K270" s="47"/>
      <c r="L270" s="47"/>
      <c r="M270" s="47"/>
      <c r="N270" s="10"/>
      <c r="O270" s="47"/>
      <c r="P270" s="47"/>
      <c r="Q270" s="47"/>
      <c r="R270" s="48" t="str">
        <f aca="false">IF(Q270="","",IF(Q270=0,"below 5:00",IF(Q270&gt;=66,"16:00 or above",INT((60+2*Q270)/12)&amp;":"&amp;TEXT(MOD(60+2*Q270,12),"00"))))</f>
        <v/>
      </c>
      <c r="S270" s="47"/>
      <c r="T270" s="47"/>
      <c r="U270" s="47"/>
      <c r="V270" s="47"/>
      <c r="W270" s="47"/>
      <c r="X270" s="47"/>
      <c r="Y270" s="47"/>
      <c r="Z270" s="47"/>
      <c r="AA270" s="47"/>
      <c r="AB270" s="47"/>
      <c r="AC270" s="47"/>
      <c r="AD270" s="47"/>
      <c r="AE270" s="47"/>
      <c r="AF270" s="47"/>
      <c r="AG270" s="47"/>
      <c r="AH270" s="47"/>
      <c r="AI270" s="46"/>
      <c r="AJ270" s="46"/>
      <c r="AK270" s="46"/>
      <c r="AL270" s="7"/>
      <c r="AM270" s="49" t="str">
        <f aca="false">IF(OR(C270="",G270=""),"",IFERROR(DATEDIF(C270,G270,"m"),""))</f>
        <v/>
      </c>
      <c r="AN270" s="49" t="str">
        <f aca="false">IF(OR(Q270="",AM270=""),"",60+2*Q270-AM270)</f>
        <v/>
      </c>
      <c r="AO270" s="49" t="str">
        <f aca="false">IF(OR(G270="",AJ270=""),"",AJ270-G270)</f>
        <v/>
      </c>
      <c r="AP270" s="50" t="str">
        <f aca="false">IF(AND(A270="",B270=""),"",IF(J270="","Status needed",IF(OR(J270="Applied",J270="Visit booked",J270="Withdrawn"),"OK",IF(G270="","Date assessed needed",IF(C270="","Date of birth needed",IF(COUNTA(L270,M270,P270,U270,V270,X270,AB270)&lt;7,"Band missing",IF(AND(OR(J270="Decision confirmed",J270="Family told",J270="Enrolled"),AG270=""),"Recommendation needed",IF(AND(OR(J270="Family told",J270="Enrolled"),AJ270=""),"Date family told needed","OK"))))))))</f>
        <v/>
      </c>
    </row>
    <row r="271" customFormat="false" ht="15" hidden="false" customHeight="false" outlineLevel="0" collapsed="false">
      <c r="A271" s="7"/>
      <c r="B271" s="7"/>
      <c r="C271" s="46"/>
      <c r="D271" s="7"/>
      <c r="E271" s="47"/>
      <c r="F271" s="46"/>
      <c r="G271" s="46"/>
      <c r="H271" s="7"/>
      <c r="I271" s="7"/>
      <c r="J271" s="47"/>
      <c r="K271" s="47"/>
      <c r="L271" s="47"/>
      <c r="M271" s="47"/>
      <c r="N271" s="10"/>
      <c r="O271" s="47"/>
      <c r="P271" s="47"/>
      <c r="Q271" s="47"/>
      <c r="R271" s="48" t="str">
        <f aca="false">IF(Q271="","",IF(Q271=0,"below 5:00",IF(Q271&gt;=66,"16:00 or above",INT((60+2*Q271)/12)&amp;":"&amp;TEXT(MOD(60+2*Q271,12),"00"))))</f>
        <v/>
      </c>
      <c r="S271" s="47"/>
      <c r="T271" s="47"/>
      <c r="U271" s="47"/>
      <c r="V271" s="47"/>
      <c r="W271" s="47"/>
      <c r="X271" s="47"/>
      <c r="Y271" s="47"/>
      <c r="Z271" s="47"/>
      <c r="AA271" s="47"/>
      <c r="AB271" s="47"/>
      <c r="AC271" s="47"/>
      <c r="AD271" s="47"/>
      <c r="AE271" s="47"/>
      <c r="AF271" s="47"/>
      <c r="AG271" s="47"/>
      <c r="AH271" s="47"/>
      <c r="AI271" s="46"/>
      <c r="AJ271" s="46"/>
      <c r="AK271" s="46"/>
      <c r="AL271" s="7"/>
      <c r="AM271" s="49" t="str">
        <f aca="false">IF(OR(C271="",G271=""),"",IFERROR(DATEDIF(C271,G271,"m"),""))</f>
        <v/>
      </c>
      <c r="AN271" s="49" t="str">
        <f aca="false">IF(OR(Q271="",AM271=""),"",60+2*Q271-AM271)</f>
        <v/>
      </c>
      <c r="AO271" s="49" t="str">
        <f aca="false">IF(OR(G271="",AJ271=""),"",AJ271-G271)</f>
        <v/>
      </c>
      <c r="AP271" s="50" t="str">
        <f aca="false">IF(AND(A271="",B271=""),"",IF(J271="","Status needed",IF(OR(J271="Applied",J271="Visit booked",J271="Withdrawn"),"OK",IF(G271="","Date assessed needed",IF(C271="","Date of birth needed",IF(COUNTA(L271,M271,P271,U271,V271,X271,AB271)&lt;7,"Band missing",IF(AND(OR(J271="Decision confirmed",J271="Family told",J271="Enrolled"),AG271=""),"Recommendation needed",IF(AND(OR(J271="Family told",J271="Enrolled"),AJ271=""),"Date family told needed","OK"))))))))</f>
        <v/>
      </c>
    </row>
    <row r="272" customFormat="false" ht="15" hidden="false" customHeight="false" outlineLevel="0" collapsed="false">
      <c r="A272" s="7"/>
      <c r="B272" s="7"/>
      <c r="C272" s="46"/>
      <c r="D272" s="7"/>
      <c r="E272" s="47"/>
      <c r="F272" s="46"/>
      <c r="G272" s="46"/>
      <c r="H272" s="7"/>
      <c r="I272" s="7"/>
      <c r="J272" s="47"/>
      <c r="K272" s="47"/>
      <c r="L272" s="47"/>
      <c r="M272" s="47"/>
      <c r="N272" s="10"/>
      <c r="O272" s="47"/>
      <c r="P272" s="47"/>
      <c r="Q272" s="47"/>
      <c r="R272" s="48" t="str">
        <f aca="false">IF(Q272="","",IF(Q272=0,"below 5:00",IF(Q272&gt;=66,"16:00 or above",INT((60+2*Q272)/12)&amp;":"&amp;TEXT(MOD(60+2*Q272,12),"00"))))</f>
        <v/>
      </c>
      <c r="S272" s="47"/>
      <c r="T272" s="47"/>
      <c r="U272" s="47"/>
      <c r="V272" s="47"/>
      <c r="W272" s="47"/>
      <c r="X272" s="47"/>
      <c r="Y272" s="47"/>
      <c r="Z272" s="47"/>
      <c r="AA272" s="47"/>
      <c r="AB272" s="47"/>
      <c r="AC272" s="47"/>
      <c r="AD272" s="47"/>
      <c r="AE272" s="47"/>
      <c r="AF272" s="47"/>
      <c r="AG272" s="47"/>
      <c r="AH272" s="47"/>
      <c r="AI272" s="46"/>
      <c r="AJ272" s="46"/>
      <c r="AK272" s="46"/>
      <c r="AL272" s="7"/>
      <c r="AM272" s="49" t="str">
        <f aca="false">IF(OR(C272="",G272=""),"",IFERROR(DATEDIF(C272,G272,"m"),""))</f>
        <v/>
      </c>
      <c r="AN272" s="49" t="str">
        <f aca="false">IF(OR(Q272="",AM272=""),"",60+2*Q272-AM272)</f>
        <v/>
      </c>
      <c r="AO272" s="49" t="str">
        <f aca="false">IF(OR(G272="",AJ272=""),"",AJ272-G272)</f>
        <v/>
      </c>
      <c r="AP272" s="50" t="str">
        <f aca="false">IF(AND(A272="",B272=""),"",IF(J272="","Status needed",IF(OR(J272="Applied",J272="Visit booked",J272="Withdrawn"),"OK",IF(G272="","Date assessed needed",IF(C272="","Date of birth needed",IF(COUNTA(L272,M272,P272,U272,V272,X272,AB272)&lt;7,"Band missing",IF(AND(OR(J272="Decision confirmed",J272="Family told",J272="Enrolled"),AG272=""),"Recommendation needed",IF(AND(OR(J272="Family told",J272="Enrolled"),AJ272=""),"Date family told needed","OK"))))))))</f>
        <v/>
      </c>
    </row>
    <row r="273" customFormat="false" ht="15" hidden="false" customHeight="false" outlineLevel="0" collapsed="false">
      <c r="A273" s="7"/>
      <c r="B273" s="7"/>
      <c r="C273" s="46"/>
      <c r="D273" s="7"/>
      <c r="E273" s="47"/>
      <c r="F273" s="46"/>
      <c r="G273" s="46"/>
      <c r="H273" s="7"/>
      <c r="I273" s="7"/>
      <c r="J273" s="47"/>
      <c r="K273" s="47"/>
      <c r="L273" s="47"/>
      <c r="M273" s="47"/>
      <c r="N273" s="10"/>
      <c r="O273" s="47"/>
      <c r="P273" s="47"/>
      <c r="Q273" s="47"/>
      <c r="R273" s="48" t="str">
        <f aca="false">IF(Q273="","",IF(Q273=0,"below 5:00",IF(Q273&gt;=66,"16:00 or above",INT((60+2*Q273)/12)&amp;":"&amp;TEXT(MOD(60+2*Q273,12),"00"))))</f>
        <v/>
      </c>
      <c r="S273" s="47"/>
      <c r="T273" s="47"/>
      <c r="U273" s="47"/>
      <c r="V273" s="47"/>
      <c r="W273" s="47"/>
      <c r="X273" s="47"/>
      <c r="Y273" s="47"/>
      <c r="Z273" s="47"/>
      <c r="AA273" s="47"/>
      <c r="AB273" s="47"/>
      <c r="AC273" s="47"/>
      <c r="AD273" s="47"/>
      <c r="AE273" s="47"/>
      <c r="AF273" s="47"/>
      <c r="AG273" s="47"/>
      <c r="AH273" s="47"/>
      <c r="AI273" s="46"/>
      <c r="AJ273" s="46"/>
      <c r="AK273" s="46"/>
      <c r="AL273" s="7"/>
      <c r="AM273" s="49" t="str">
        <f aca="false">IF(OR(C273="",G273=""),"",IFERROR(DATEDIF(C273,G273,"m"),""))</f>
        <v/>
      </c>
      <c r="AN273" s="49" t="str">
        <f aca="false">IF(OR(Q273="",AM273=""),"",60+2*Q273-AM273)</f>
        <v/>
      </c>
      <c r="AO273" s="49" t="str">
        <f aca="false">IF(OR(G273="",AJ273=""),"",AJ273-G273)</f>
        <v/>
      </c>
      <c r="AP273" s="50" t="str">
        <f aca="false">IF(AND(A273="",B273=""),"",IF(J273="","Status needed",IF(OR(J273="Applied",J273="Visit booked",J273="Withdrawn"),"OK",IF(G273="","Date assessed needed",IF(C273="","Date of birth needed",IF(COUNTA(L273,M273,P273,U273,V273,X273,AB273)&lt;7,"Band missing",IF(AND(OR(J273="Decision confirmed",J273="Family told",J273="Enrolled"),AG273=""),"Recommendation needed",IF(AND(OR(J273="Family told",J273="Enrolled"),AJ273=""),"Date family told needed","OK"))))))))</f>
        <v/>
      </c>
    </row>
    <row r="274" customFormat="false" ht="15" hidden="false" customHeight="false" outlineLevel="0" collapsed="false">
      <c r="A274" s="7"/>
      <c r="B274" s="7"/>
      <c r="C274" s="46"/>
      <c r="D274" s="7"/>
      <c r="E274" s="47"/>
      <c r="F274" s="46"/>
      <c r="G274" s="46"/>
      <c r="H274" s="7"/>
      <c r="I274" s="7"/>
      <c r="J274" s="47"/>
      <c r="K274" s="47"/>
      <c r="L274" s="47"/>
      <c r="M274" s="47"/>
      <c r="N274" s="10"/>
      <c r="O274" s="47"/>
      <c r="P274" s="47"/>
      <c r="Q274" s="47"/>
      <c r="R274" s="48" t="str">
        <f aca="false">IF(Q274="","",IF(Q274=0,"below 5:00",IF(Q274&gt;=66,"16:00 or above",INT((60+2*Q274)/12)&amp;":"&amp;TEXT(MOD(60+2*Q274,12),"00"))))</f>
        <v/>
      </c>
      <c r="S274" s="47"/>
      <c r="T274" s="47"/>
      <c r="U274" s="47"/>
      <c r="V274" s="47"/>
      <c r="W274" s="47"/>
      <c r="X274" s="47"/>
      <c r="Y274" s="47"/>
      <c r="Z274" s="47"/>
      <c r="AA274" s="47"/>
      <c r="AB274" s="47"/>
      <c r="AC274" s="47"/>
      <c r="AD274" s="47"/>
      <c r="AE274" s="47"/>
      <c r="AF274" s="47"/>
      <c r="AG274" s="47"/>
      <c r="AH274" s="47"/>
      <c r="AI274" s="46"/>
      <c r="AJ274" s="46"/>
      <c r="AK274" s="46"/>
      <c r="AL274" s="7"/>
      <c r="AM274" s="49" t="str">
        <f aca="false">IF(OR(C274="",G274=""),"",IFERROR(DATEDIF(C274,G274,"m"),""))</f>
        <v/>
      </c>
      <c r="AN274" s="49" t="str">
        <f aca="false">IF(OR(Q274="",AM274=""),"",60+2*Q274-AM274)</f>
        <v/>
      </c>
      <c r="AO274" s="49" t="str">
        <f aca="false">IF(OR(G274="",AJ274=""),"",AJ274-G274)</f>
        <v/>
      </c>
      <c r="AP274" s="50" t="str">
        <f aca="false">IF(AND(A274="",B274=""),"",IF(J274="","Status needed",IF(OR(J274="Applied",J274="Visit booked",J274="Withdrawn"),"OK",IF(G274="","Date assessed needed",IF(C274="","Date of birth needed",IF(COUNTA(L274,M274,P274,U274,V274,X274,AB274)&lt;7,"Band missing",IF(AND(OR(J274="Decision confirmed",J274="Family told",J274="Enrolled"),AG274=""),"Recommendation needed",IF(AND(OR(J274="Family told",J274="Enrolled"),AJ274=""),"Date family told needed","OK"))))))))</f>
        <v/>
      </c>
    </row>
    <row r="275" customFormat="false" ht="15" hidden="false" customHeight="false" outlineLevel="0" collapsed="false">
      <c r="A275" s="7"/>
      <c r="B275" s="7"/>
      <c r="C275" s="46"/>
      <c r="D275" s="7"/>
      <c r="E275" s="47"/>
      <c r="F275" s="46"/>
      <c r="G275" s="46"/>
      <c r="H275" s="7"/>
      <c r="I275" s="7"/>
      <c r="J275" s="47"/>
      <c r="K275" s="47"/>
      <c r="L275" s="47"/>
      <c r="M275" s="47"/>
      <c r="N275" s="10"/>
      <c r="O275" s="47"/>
      <c r="P275" s="47"/>
      <c r="Q275" s="47"/>
      <c r="R275" s="48" t="str">
        <f aca="false">IF(Q275="","",IF(Q275=0,"below 5:00",IF(Q275&gt;=66,"16:00 or above",INT((60+2*Q275)/12)&amp;":"&amp;TEXT(MOD(60+2*Q275,12),"00"))))</f>
        <v/>
      </c>
      <c r="S275" s="47"/>
      <c r="T275" s="47"/>
      <c r="U275" s="47"/>
      <c r="V275" s="47"/>
      <c r="W275" s="47"/>
      <c r="X275" s="47"/>
      <c r="Y275" s="47"/>
      <c r="Z275" s="47"/>
      <c r="AA275" s="47"/>
      <c r="AB275" s="47"/>
      <c r="AC275" s="47"/>
      <c r="AD275" s="47"/>
      <c r="AE275" s="47"/>
      <c r="AF275" s="47"/>
      <c r="AG275" s="47"/>
      <c r="AH275" s="47"/>
      <c r="AI275" s="46"/>
      <c r="AJ275" s="46"/>
      <c r="AK275" s="46"/>
      <c r="AL275" s="7"/>
      <c r="AM275" s="49" t="str">
        <f aca="false">IF(OR(C275="",G275=""),"",IFERROR(DATEDIF(C275,G275,"m"),""))</f>
        <v/>
      </c>
      <c r="AN275" s="49" t="str">
        <f aca="false">IF(OR(Q275="",AM275=""),"",60+2*Q275-AM275)</f>
        <v/>
      </c>
      <c r="AO275" s="49" t="str">
        <f aca="false">IF(OR(G275="",AJ275=""),"",AJ275-G275)</f>
        <v/>
      </c>
      <c r="AP275" s="50" t="str">
        <f aca="false">IF(AND(A275="",B275=""),"",IF(J275="","Status needed",IF(OR(J275="Applied",J275="Visit booked",J275="Withdrawn"),"OK",IF(G275="","Date assessed needed",IF(C275="","Date of birth needed",IF(COUNTA(L275,M275,P275,U275,V275,X275,AB275)&lt;7,"Band missing",IF(AND(OR(J275="Decision confirmed",J275="Family told",J275="Enrolled"),AG275=""),"Recommendation needed",IF(AND(OR(J275="Family told",J275="Enrolled"),AJ275=""),"Date family told needed","OK"))))))))</f>
        <v/>
      </c>
    </row>
    <row r="276" customFormat="false" ht="15" hidden="false" customHeight="false" outlineLevel="0" collapsed="false">
      <c r="A276" s="7"/>
      <c r="B276" s="7"/>
      <c r="C276" s="46"/>
      <c r="D276" s="7"/>
      <c r="E276" s="47"/>
      <c r="F276" s="46"/>
      <c r="G276" s="46"/>
      <c r="H276" s="7"/>
      <c r="I276" s="7"/>
      <c r="J276" s="47"/>
      <c r="K276" s="47"/>
      <c r="L276" s="47"/>
      <c r="M276" s="47"/>
      <c r="N276" s="10"/>
      <c r="O276" s="47"/>
      <c r="P276" s="47"/>
      <c r="Q276" s="47"/>
      <c r="R276" s="48" t="str">
        <f aca="false">IF(Q276="","",IF(Q276=0,"below 5:00",IF(Q276&gt;=66,"16:00 or above",INT((60+2*Q276)/12)&amp;":"&amp;TEXT(MOD(60+2*Q276,12),"00"))))</f>
        <v/>
      </c>
      <c r="S276" s="47"/>
      <c r="T276" s="47"/>
      <c r="U276" s="47"/>
      <c r="V276" s="47"/>
      <c r="W276" s="47"/>
      <c r="X276" s="47"/>
      <c r="Y276" s="47"/>
      <c r="Z276" s="47"/>
      <c r="AA276" s="47"/>
      <c r="AB276" s="47"/>
      <c r="AC276" s="47"/>
      <c r="AD276" s="47"/>
      <c r="AE276" s="47"/>
      <c r="AF276" s="47"/>
      <c r="AG276" s="47"/>
      <c r="AH276" s="47"/>
      <c r="AI276" s="46"/>
      <c r="AJ276" s="46"/>
      <c r="AK276" s="46"/>
      <c r="AL276" s="7"/>
      <c r="AM276" s="49" t="str">
        <f aca="false">IF(OR(C276="",G276=""),"",IFERROR(DATEDIF(C276,G276,"m"),""))</f>
        <v/>
      </c>
      <c r="AN276" s="49" t="str">
        <f aca="false">IF(OR(Q276="",AM276=""),"",60+2*Q276-AM276)</f>
        <v/>
      </c>
      <c r="AO276" s="49" t="str">
        <f aca="false">IF(OR(G276="",AJ276=""),"",AJ276-G276)</f>
        <v/>
      </c>
      <c r="AP276" s="50" t="str">
        <f aca="false">IF(AND(A276="",B276=""),"",IF(J276="","Status needed",IF(OR(J276="Applied",J276="Visit booked",J276="Withdrawn"),"OK",IF(G276="","Date assessed needed",IF(C276="","Date of birth needed",IF(COUNTA(L276,M276,P276,U276,V276,X276,AB276)&lt;7,"Band missing",IF(AND(OR(J276="Decision confirmed",J276="Family told",J276="Enrolled"),AG276=""),"Recommendation needed",IF(AND(OR(J276="Family told",J276="Enrolled"),AJ276=""),"Date family told needed","OK"))))))))</f>
        <v/>
      </c>
    </row>
    <row r="277" customFormat="false" ht="15" hidden="false" customHeight="false" outlineLevel="0" collapsed="false">
      <c r="A277" s="7"/>
      <c r="B277" s="7"/>
      <c r="C277" s="46"/>
      <c r="D277" s="7"/>
      <c r="E277" s="47"/>
      <c r="F277" s="46"/>
      <c r="G277" s="46"/>
      <c r="H277" s="7"/>
      <c r="I277" s="7"/>
      <c r="J277" s="47"/>
      <c r="K277" s="47"/>
      <c r="L277" s="47"/>
      <c r="M277" s="47"/>
      <c r="N277" s="10"/>
      <c r="O277" s="47"/>
      <c r="P277" s="47"/>
      <c r="Q277" s="47"/>
      <c r="R277" s="48" t="str">
        <f aca="false">IF(Q277="","",IF(Q277=0,"below 5:00",IF(Q277&gt;=66,"16:00 or above",INT((60+2*Q277)/12)&amp;":"&amp;TEXT(MOD(60+2*Q277,12),"00"))))</f>
        <v/>
      </c>
      <c r="S277" s="47"/>
      <c r="T277" s="47"/>
      <c r="U277" s="47"/>
      <c r="V277" s="47"/>
      <c r="W277" s="47"/>
      <c r="X277" s="47"/>
      <c r="Y277" s="47"/>
      <c r="Z277" s="47"/>
      <c r="AA277" s="47"/>
      <c r="AB277" s="47"/>
      <c r="AC277" s="47"/>
      <c r="AD277" s="47"/>
      <c r="AE277" s="47"/>
      <c r="AF277" s="47"/>
      <c r="AG277" s="47"/>
      <c r="AH277" s="47"/>
      <c r="AI277" s="46"/>
      <c r="AJ277" s="46"/>
      <c r="AK277" s="46"/>
      <c r="AL277" s="7"/>
      <c r="AM277" s="49" t="str">
        <f aca="false">IF(OR(C277="",G277=""),"",IFERROR(DATEDIF(C277,G277,"m"),""))</f>
        <v/>
      </c>
      <c r="AN277" s="49" t="str">
        <f aca="false">IF(OR(Q277="",AM277=""),"",60+2*Q277-AM277)</f>
        <v/>
      </c>
      <c r="AO277" s="49" t="str">
        <f aca="false">IF(OR(G277="",AJ277=""),"",AJ277-G277)</f>
        <v/>
      </c>
      <c r="AP277" s="50" t="str">
        <f aca="false">IF(AND(A277="",B277=""),"",IF(J277="","Status needed",IF(OR(J277="Applied",J277="Visit booked",J277="Withdrawn"),"OK",IF(G277="","Date assessed needed",IF(C277="","Date of birth needed",IF(COUNTA(L277,M277,P277,U277,V277,X277,AB277)&lt;7,"Band missing",IF(AND(OR(J277="Decision confirmed",J277="Family told",J277="Enrolled"),AG277=""),"Recommendation needed",IF(AND(OR(J277="Family told",J277="Enrolled"),AJ277=""),"Date family told needed","OK"))))))))</f>
        <v/>
      </c>
    </row>
    <row r="278" customFormat="false" ht="15" hidden="false" customHeight="false" outlineLevel="0" collapsed="false">
      <c r="A278" s="7"/>
      <c r="B278" s="7"/>
      <c r="C278" s="46"/>
      <c r="D278" s="7"/>
      <c r="E278" s="47"/>
      <c r="F278" s="46"/>
      <c r="G278" s="46"/>
      <c r="H278" s="7"/>
      <c r="I278" s="7"/>
      <c r="J278" s="47"/>
      <c r="K278" s="47"/>
      <c r="L278" s="47"/>
      <c r="M278" s="47"/>
      <c r="N278" s="10"/>
      <c r="O278" s="47"/>
      <c r="P278" s="47"/>
      <c r="Q278" s="47"/>
      <c r="R278" s="48" t="str">
        <f aca="false">IF(Q278="","",IF(Q278=0,"below 5:00",IF(Q278&gt;=66,"16:00 or above",INT((60+2*Q278)/12)&amp;":"&amp;TEXT(MOD(60+2*Q278,12),"00"))))</f>
        <v/>
      </c>
      <c r="S278" s="47"/>
      <c r="T278" s="47"/>
      <c r="U278" s="47"/>
      <c r="V278" s="47"/>
      <c r="W278" s="47"/>
      <c r="X278" s="47"/>
      <c r="Y278" s="47"/>
      <c r="Z278" s="47"/>
      <c r="AA278" s="47"/>
      <c r="AB278" s="47"/>
      <c r="AC278" s="47"/>
      <c r="AD278" s="47"/>
      <c r="AE278" s="47"/>
      <c r="AF278" s="47"/>
      <c r="AG278" s="47"/>
      <c r="AH278" s="47"/>
      <c r="AI278" s="46"/>
      <c r="AJ278" s="46"/>
      <c r="AK278" s="46"/>
      <c r="AL278" s="7"/>
      <c r="AM278" s="49" t="str">
        <f aca="false">IF(OR(C278="",G278=""),"",IFERROR(DATEDIF(C278,G278,"m"),""))</f>
        <v/>
      </c>
      <c r="AN278" s="49" t="str">
        <f aca="false">IF(OR(Q278="",AM278=""),"",60+2*Q278-AM278)</f>
        <v/>
      </c>
      <c r="AO278" s="49" t="str">
        <f aca="false">IF(OR(G278="",AJ278=""),"",AJ278-G278)</f>
        <v/>
      </c>
      <c r="AP278" s="50" t="str">
        <f aca="false">IF(AND(A278="",B278=""),"",IF(J278="","Status needed",IF(OR(J278="Applied",J278="Visit booked",J278="Withdrawn"),"OK",IF(G278="","Date assessed needed",IF(C278="","Date of birth needed",IF(COUNTA(L278,M278,P278,U278,V278,X278,AB278)&lt;7,"Band missing",IF(AND(OR(J278="Decision confirmed",J278="Family told",J278="Enrolled"),AG278=""),"Recommendation needed",IF(AND(OR(J278="Family told",J278="Enrolled"),AJ278=""),"Date family told needed","OK"))))))))</f>
        <v/>
      </c>
    </row>
    <row r="279" customFormat="false" ht="15" hidden="false" customHeight="false" outlineLevel="0" collapsed="false">
      <c r="A279" s="7"/>
      <c r="B279" s="7"/>
      <c r="C279" s="46"/>
      <c r="D279" s="7"/>
      <c r="E279" s="47"/>
      <c r="F279" s="46"/>
      <c r="G279" s="46"/>
      <c r="H279" s="7"/>
      <c r="I279" s="7"/>
      <c r="J279" s="47"/>
      <c r="K279" s="47"/>
      <c r="L279" s="47"/>
      <c r="M279" s="47"/>
      <c r="N279" s="10"/>
      <c r="O279" s="47"/>
      <c r="P279" s="47"/>
      <c r="Q279" s="47"/>
      <c r="R279" s="48" t="str">
        <f aca="false">IF(Q279="","",IF(Q279=0,"below 5:00",IF(Q279&gt;=66,"16:00 or above",INT((60+2*Q279)/12)&amp;":"&amp;TEXT(MOD(60+2*Q279,12),"00"))))</f>
        <v/>
      </c>
      <c r="S279" s="47"/>
      <c r="T279" s="47"/>
      <c r="U279" s="47"/>
      <c r="V279" s="47"/>
      <c r="W279" s="47"/>
      <c r="X279" s="47"/>
      <c r="Y279" s="47"/>
      <c r="Z279" s="47"/>
      <c r="AA279" s="47"/>
      <c r="AB279" s="47"/>
      <c r="AC279" s="47"/>
      <c r="AD279" s="47"/>
      <c r="AE279" s="47"/>
      <c r="AF279" s="47"/>
      <c r="AG279" s="47"/>
      <c r="AH279" s="47"/>
      <c r="AI279" s="46"/>
      <c r="AJ279" s="46"/>
      <c r="AK279" s="46"/>
      <c r="AL279" s="7"/>
      <c r="AM279" s="49" t="str">
        <f aca="false">IF(OR(C279="",G279=""),"",IFERROR(DATEDIF(C279,G279,"m"),""))</f>
        <v/>
      </c>
      <c r="AN279" s="49" t="str">
        <f aca="false">IF(OR(Q279="",AM279=""),"",60+2*Q279-AM279)</f>
        <v/>
      </c>
      <c r="AO279" s="49" t="str">
        <f aca="false">IF(OR(G279="",AJ279=""),"",AJ279-G279)</f>
        <v/>
      </c>
      <c r="AP279" s="50" t="str">
        <f aca="false">IF(AND(A279="",B279=""),"",IF(J279="","Status needed",IF(OR(J279="Applied",J279="Visit booked",J279="Withdrawn"),"OK",IF(G279="","Date assessed needed",IF(C279="","Date of birth needed",IF(COUNTA(L279,M279,P279,U279,V279,X279,AB279)&lt;7,"Band missing",IF(AND(OR(J279="Decision confirmed",J279="Family told",J279="Enrolled"),AG279=""),"Recommendation needed",IF(AND(OR(J279="Family told",J279="Enrolled"),AJ279=""),"Date family told needed","OK"))))))))</f>
        <v/>
      </c>
    </row>
    <row r="280" customFormat="false" ht="15" hidden="false" customHeight="false" outlineLevel="0" collapsed="false">
      <c r="A280" s="7"/>
      <c r="B280" s="7"/>
      <c r="C280" s="46"/>
      <c r="D280" s="7"/>
      <c r="E280" s="47"/>
      <c r="F280" s="46"/>
      <c r="G280" s="46"/>
      <c r="H280" s="7"/>
      <c r="I280" s="7"/>
      <c r="J280" s="47"/>
      <c r="K280" s="47"/>
      <c r="L280" s="47"/>
      <c r="M280" s="47"/>
      <c r="N280" s="10"/>
      <c r="O280" s="47"/>
      <c r="P280" s="47"/>
      <c r="Q280" s="47"/>
      <c r="R280" s="48" t="str">
        <f aca="false">IF(Q280="","",IF(Q280=0,"below 5:00",IF(Q280&gt;=66,"16:00 or above",INT((60+2*Q280)/12)&amp;":"&amp;TEXT(MOD(60+2*Q280,12),"00"))))</f>
        <v/>
      </c>
      <c r="S280" s="47"/>
      <c r="T280" s="47"/>
      <c r="U280" s="47"/>
      <c r="V280" s="47"/>
      <c r="W280" s="47"/>
      <c r="X280" s="47"/>
      <c r="Y280" s="47"/>
      <c r="Z280" s="47"/>
      <c r="AA280" s="47"/>
      <c r="AB280" s="47"/>
      <c r="AC280" s="47"/>
      <c r="AD280" s="47"/>
      <c r="AE280" s="47"/>
      <c r="AF280" s="47"/>
      <c r="AG280" s="47"/>
      <c r="AH280" s="47"/>
      <c r="AI280" s="46"/>
      <c r="AJ280" s="46"/>
      <c r="AK280" s="46"/>
      <c r="AL280" s="7"/>
      <c r="AM280" s="49" t="str">
        <f aca="false">IF(OR(C280="",G280=""),"",IFERROR(DATEDIF(C280,G280,"m"),""))</f>
        <v/>
      </c>
      <c r="AN280" s="49" t="str">
        <f aca="false">IF(OR(Q280="",AM280=""),"",60+2*Q280-AM280)</f>
        <v/>
      </c>
      <c r="AO280" s="49" t="str">
        <f aca="false">IF(OR(G280="",AJ280=""),"",AJ280-G280)</f>
        <v/>
      </c>
      <c r="AP280" s="50" t="str">
        <f aca="false">IF(AND(A280="",B280=""),"",IF(J280="","Status needed",IF(OR(J280="Applied",J280="Visit booked",J280="Withdrawn"),"OK",IF(G280="","Date assessed needed",IF(C280="","Date of birth needed",IF(COUNTA(L280,M280,P280,U280,V280,X280,AB280)&lt;7,"Band missing",IF(AND(OR(J280="Decision confirmed",J280="Family told",J280="Enrolled"),AG280=""),"Recommendation needed",IF(AND(OR(J280="Family told",J280="Enrolled"),AJ280=""),"Date family told needed","OK"))))))))</f>
        <v/>
      </c>
    </row>
    <row r="281" customFormat="false" ht="15" hidden="false" customHeight="false" outlineLevel="0" collapsed="false">
      <c r="A281" s="7"/>
      <c r="B281" s="7"/>
      <c r="C281" s="46"/>
      <c r="D281" s="7"/>
      <c r="E281" s="47"/>
      <c r="F281" s="46"/>
      <c r="G281" s="46"/>
      <c r="H281" s="7"/>
      <c r="I281" s="7"/>
      <c r="J281" s="47"/>
      <c r="K281" s="47"/>
      <c r="L281" s="47"/>
      <c r="M281" s="47"/>
      <c r="N281" s="10"/>
      <c r="O281" s="47"/>
      <c r="P281" s="47"/>
      <c r="Q281" s="47"/>
      <c r="R281" s="48" t="str">
        <f aca="false">IF(Q281="","",IF(Q281=0,"below 5:00",IF(Q281&gt;=66,"16:00 or above",INT((60+2*Q281)/12)&amp;":"&amp;TEXT(MOD(60+2*Q281,12),"00"))))</f>
        <v/>
      </c>
      <c r="S281" s="47"/>
      <c r="T281" s="47"/>
      <c r="U281" s="47"/>
      <c r="V281" s="47"/>
      <c r="W281" s="47"/>
      <c r="X281" s="47"/>
      <c r="Y281" s="47"/>
      <c r="Z281" s="47"/>
      <c r="AA281" s="47"/>
      <c r="AB281" s="47"/>
      <c r="AC281" s="47"/>
      <c r="AD281" s="47"/>
      <c r="AE281" s="47"/>
      <c r="AF281" s="47"/>
      <c r="AG281" s="47"/>
      <c r="AH281" s="47"/>
      <c r="AI281" s="46"/>
      <c r="AJ281" s="46"/>
      <c r="AK281" s="46"/>
      <c r="AL281" s="7"/>
      <c r="AM281" s="49" t="str">
        <f aca="false">IF(OR(C281="",G281=""),"",IFERROR(DATEDIF(C281,G281,"m"),""))</f>
        <v/>
      </c>
      <c r="AN281" s="49" t="str">
        <f aca="false">IF(OR(Q281="",AM281=""),"",60+2*Q281-AM281)</f>
        <v/>
      </c>
      <c r="AO281" s="49" t="str">
        <f aca="false">IF(OR(G281="",AJ281=""),"",AJ281-G281)</f>
        <v/>
      </c>
      <c r="AP281" s="50" t="str">
        <f aca="false">IF(AND(A281="",B281=""),"",IF(J281="","Status needed",IF(OR(J281="Applied",J281="Visit booked",J281="Withdrawn"),"OK",IF(G281="","Date assessed needed",IF(C281="","Date of birth needed",IF(COUNTA(L281,M281,P281,U281,V281,X281,AB281)&lt;7,"Band missing",IF(AND(OR(J281="Decision confirmed",J281="Family told",J281="Enrolled"),AG281=""),"Recommendation needed",IF(AND(OR(J281="Family told",J281="Enrolled"),AJ281=""),"Date family told needed","OK"))))))))</f>
        <v/>
      </c>
    </row>
    <row r="282" customFormat="false" ht="15" hidden="false" customHeight="false" outlineLevel="0" collapsed="false">
      <c r="A282" s="7"/>
      <c r="B282" s="7"/>
      <c r="C282" s="46"/>
      <c r="D282" s="7"/>
      <c r="E282" s="47"/>
      <c r="F282" s="46"/>
      <c r="G282" s="46"/>
      <c r="H282" s="7"/>
      <c r="I282" s="7"/>
      <c r="J282" s="47"/>
      <c r="K282" s="47"/>
      <c r="L282" s="47"/>
      <c r="M282" s="47"/>
      <c r="N282" s="10"/>
      <c r="O282" s="47"/>
      <c r="P282" s="47"/>
      <c r="Q282" s="47"/>
      <c r="R282" s="48" t="str">
        <f aca="false">IF(Q282="","",IF(Q282=0,"below 5:00",IF(Q282&gt;=66,"16:00 or above",INT((60+2*Q282)/12)&amp;":"&amp;TEXT(MOD(60+2*Q282,12),"00"))))</f>
        <v/>
      </c>
      <c r="S282" s="47"/>
      <c r="T282" s="47"/>
      <c r="U282" s="47"/>
      <c r="V282" s="47"/>
      <c r="W282" s="47"/>
      <c r="X282" s="47"/>
      <c r="Y282" s="47"/>
      <c r="Z282" s="47"/>
      <c r="AA282" s="47"/>
      <c r="AB282" s="47"/>
      <c r="AC282" s="47"/>
      <c r="AD282" s="47"/>
      <c r="AE282" s="47"/>
      <c r="AF282" s="47"/>
      <c r="AG282" s="47"/>
      <c r="AH282" s="47"/>
      <c r="AI282" s="46"/>
      <c r="AJ282" s="46"/>
      <c r="AK282" s="46"/>
      <c r="AL282" s="7"/>
      <c r="AM282" s="49" t="str">
        <f aca="false">IF(OR(C282="",G282=""),"",IFERROR(DATEDIF(C282,G282,"m"),""))</f>
        <v/>
      </c>
      <c r="AN282" s="49" t="str">
        <f aca="false">IF(OR(Q282="",AM282=""),"",60+2*Q282-AM282)</f>
        <v/>
      </c>
      <c r="AO282" s="49" t="str">
        <f aca="false">IF(OR(G282="",AJ282=""),"",AJ282-G282)</f>
        <v/>
      </c>
      <c r="AP282" s="50" t="str">
        <f aca="false">IF(AND(A282="",B282=""),"",IF(J282="","Status needed",IF(OR(J282="Applied",J282="Visit booked",J282="Withdrawn"),"OK",IF(G282="","Date assessed needed",IF(C282="","Date of birth needed",IF(COUNTA(L282,M282,P282,U282,V282,X282,AB282)&lt;7,"Band missing",IF(AND(OR(J282="Decision confirmed",J282="Family told",J282="Enrolled"),AG282=""),"Recommendation needed",IF(AND(OR(J282="Family told",J282="Enrolled"),AJ282=""),"Date family told needed","OK"))))))))</f>
        <v/>
      </c>
    </row>
    <row r="283" customFormat="false" ht="15" hidden="false" customHeight="false" outlineLevel="0" collapsed="false">
      <c r="A283" s="7"/>
      <c r="B283" s="7"/>
      <c r="C283" s="46"/>
      <c r="D283" s="7"/>
      <c r="E283" s="47"/>
      <c r="F283" s="46"/>
      <c r="G283" s="46"/>
      <c r="H283" s="7"/>
      <c r="I283" s="7"/>
      <c r="J283" s="47"/>
      <c r="K283" s="47"/>
      <c r="L283" s="47"/>
      <c r="M283" s="47"/>
      <c r="N283" s="10"/>
      <c r="O283" s="47"/>
      <c r="P283" s="47"/>
      <c r="Q283" s="47"/>
      <c r="R283" s="48" t="str">
        <f aca="false">IF(Q283="","",IF(Q283=0,"below 5:00",IF(Q283&gt;=66,"16:00 or above",INT((60+2*Q283)/12)&amp;":"&amp;TEXT(MOD(60+2*Q283,12),"00"))))</f>
        <v/>
      </c>
      <c r="S283" s="47"/>
      <c r="T283" s="47"/>
      <c r="U283" s="47"/>
      <c r="V283" s="47"/>
      <c r="W283" s="47"/>
      <c r="X283" s="47"/>
      <c r="Y283" s="47"/>
      <c r="Z283" s="47"/>
      <c r="AA283" s="47"/>
      <c r="AB283" s="47"/>
      <c r="AC283" s="47"/>
      <c r="AD283" s="47"/>
      <c r="AE283" s="47"/>
      <c r="AF283" s="47"/>
      <c r="AG283" s="47"/>
      <c r="AH283" s="47"/>
      <c r="AI283" s="46"/>
      <c r="AJ283" s="46"/>
      <c r="AK283" s="46"/>
      <c r="AL283" s="7"/>
      <c r="AM283" s="49" t="str">
        <f aca="false">IF(OR(C283="",G283=""),"",IFERROR(DATEDIF(C283,G283,"m"),""))</f>
        <v/>
      </c>
      <c r="AN283" s="49" t="str">
        <f aca="false">IF(OR(Q283="",AM283=""),"",60+2*Q283-AM283)</f>
        <v/>
      </c>
      <c r="AO283" s="49" t="str">
        <f aca="false">IF(OR(G283="",AJ283=""),"",AJ283-G283)</f>
        <v/>
      </c>
      <c r="AP283" s="50" t="str">
        <f aca="false">IF(AND(A283="",B283=""),"",IF(J283="","Status needed",IF(OR(J283="Applied",J283="Visit booked",J283="Withdrawn"),"OK",IF(G283="","Date assessed needed",IF(C283="","Date of birth needed",IF(COUNTA(L283,M283,P283,U283,V283,X283,AB283)&lt;7,"Band missing",IF(AND(OR(J283="Decision confirmed",J283="Family told",J283="Enrolled"),AG283=""),"Recommendation needed",IF(AND(OR(J283="Family told",J283="Enrolled"),AJ283=""),"Date family told needed","OK"))))))))</f>
        <v/>
      </c>
    </row>
    <row r="284" customFormat="false" ht="15" hidden="false" customHeight="false" outlineLevel="0" collapsed="false">
      <c r="A284" s="7"/>
      <c r="B284" s="7"/>
      <c r="C284" s="46"/>
      <c r="D284" s="7"/>
      <c r="E284" s="47"/>
      <c r="F284" s="46"/>
      <c r="G284" s="46"/>
      <c r="H284" s="7"/>
      <c r="I284" s="7"/>
      <c r="J284" s="47"/>
      <c r="K284" s="47"/>
      <c r="L284" s="47"/>
      <c r="M284" s="47"/>
      <c r="N284" s="10"/>
      <c r="O284" s="47"/>
      <c r="P284" s="47"/>
      <c r="Q284" s="47"/>
      <c r="R284" s="48" t="str">
        <f aca="false">IF(Q284="","",IF(Q284=0,"below 5:00",IF(Q284&gt;=66,"16:00 or above",INT((60+2*Q284)/12)&amp;":"&amp;TEXT(MOD(60+2*Q284,12),"00"))))</f>
        <v/>
      </c>
      <c r="S284" s="47"/>
      <c r="T284" s="47"/>
      <c r="U284" s="47"/>
      <c r="V284" s="47"/>
      <c r="W284" s="47"/>
      <c r="X284" s="47"/>
      <c r="Y284" s="47"/>
      <c r="Z284" s="47"/>
      <c r="AA284" s="47"/>
      <c r="AB284" s="47"/>
      <c r="AC284" s="47"/>
      <c r="AD284" s="47"/>
      <c r="AE284" s="47"/>
      <c r="AF284" s="47"/>
      <c r="AG284" s="47"/>
      <c r="AH284" s="47"/>
      <c r="AI284" s="46"/>
      <c r="AJ284" s="46"/>
      <c r="AK284" s="46"/>
      <c r="AL284" s="7"/>
      <c r="AM284" s="49" t="str">
        <f aca="false">IF(OR(C284="",G284=""),"",IFERROR(DATEDIF(C284,G284,"m"),""))</f>
        <v/>
      </c>
      <c r="AN284" s="49" t="str">
        <f aca="false">IF(OR(Q284="",AM284=""),"",60+2*Q284-AM284)</f>
        <v/>
      </c>
      <c r="AO284" s="49" t="str">
        <f aca="false">IF(OR(G284="",AJ284=""),"",AJ284-G284)</f>
        <v/>
      </c>
      <c r="AP284" s="50" t="str">
        <f aca="false">IF(AND(A284="",B284=""),"",IF(J284="","Status needed",IF(OR(J284="Applied",J284="Visit booked",J284="Withdrawn"),"OK",IF(G284="","Date assessed needed",IF(C284="","Date of birth needed",IF(COUNTA(L284,M284,P284,U284,V284,X284,AB284)&lt;7,"Band missing",IF(AND(OR(J284="Decision confirmed",J284="Family told",J284="Enrolled"),AG284=""),"Recommendation needed",IF(AND(OR(J284="Family told",J284="Enrolled"),AJ284=""),"Date family told needed","OK"))))))))</f>
        <v/>
      </c>
    </row>
    <row r="285" customFormat="false" ht="15" hidden="false" customHeight="false" outlineLevel="0" collapsed="false">
      <c r="A285" s="7"/>
      <c r="B285" s="7"/>
      <c r="C285" s="46"/>
      <c r="D285" s="7"/>
      <c r="E285" s="47"/>
      <c r="F285" s="46"/>
      <c r="G285" s="46"/>
      <c r="H285" s="7"/>
      <c r="I285" s="7"/>
      <c r="J285" s="47"/>
      <c r="K285" s="47"/>
      <c r="L285" s="47"/>
      <c r="M285" s="47"/>
      <c r="N285" s="10"/>
      <c r="O285" s="47"/>
      <c r="P285" s="47"/>
      <c r="Q285" s="47"/>
      <c r="R285" s="48" t="str">
        <f aca="false">IF(Q285="","",IF(Q285=0,"below 5:00",IF(Q285&gt;=66,"16:00 or above",INT((60+2*Q285)/12)&amp;":"&amp;TEXT(MOD(60+2*Q285,12),"00"))))</f>
        <v/>
      </c>
      <c r="S285" s="47"/>
      <c r="T285" s="47"/>
      <c r="U285" s="47"/>
      <c r="V285" s="47"/>
      <c r="W285" s="47"/>
      <c r="X285" s="47"/>
      <c r="Y285" s="47"/>
      <c r="Z285" s="47"/>
      <c r="AA285" s="47"/>
      <c r="AB285" s="47"/>
      <c r="AC285" s="47"/>
      <c r="AD285" s="47"/>
      <c r="AE285" s="47"/>
      <c r="AF285" s="47"/>
      <c r="AG285" s="47"/>
      <c r="AH285" s="47"/>
      <c r="AI285" s="46"/>
      <c r="AJ285" s="46"/>
      <c r="AK285" s="46"/>
      <c r="AL285" s="7"/>
      <c r="AM285" s="49" t="str">
        <f aca="false">IF(OR(C285="",G285=""),"",IFERROR(DATEDIF(C285,G285,"m"),""))</f>
        <v/>
      </c>
      <c r="AN285" s="49" t="str">
        <f aca="false">IF(OR(Q285="",AM285=""),"",60+2*Q285-AM285)</f>
        <v/>
      </c>
      <c r="AO285" s="49" t="str">
        <f aca="false">IF(OR(G285="",AJ285=""),"",AJ285-G285)</f>
        <v/>
      </c>
      <c r="AP285" s="50" t="str">
        <f aca="false">IF(AND(A285="",B285=""),"",IF(J285="","Status needed",IF(OR(J285="Applied",J285="Visit booked",J285="Withdrawn"),"OK",IF(G285="","Date assessed needed",IF(C285="","Date of birth needed",IF(COUNTA(L285,M285,P285,U285,V285,X285,AB285)&lt;7,"Band missing",IF(AND(OR(J285="Decision confirmed",J285="Family told",J285="Enrolled"),AG285=""),"Recommendation needed",IF(AND(OR(J285="Family told",J285="Enrolled"),AJ285=""),"Date family told needed","OK"))))))))</f>
        <v/>
      </c>
    </row>
    <row r="286" customFormat="false" ht="15" hidden="false" customHeight="false" outlineLevel="0" collapsed="false">
      <c r="A286" s="7"/>
      <c r="B286" s="7"/>
      <c r="C286" s="46"/>
      <c r="D286" s="7"/>
      <c r="E286" s="47"/>
      <c r="F286" s="46"/>
      <c r="G286" s="46"/>
      <c r="H286" s="7"/>
      <c r="I286" s="7"/>
      <c r="J286" s="47"/>
      <c r="K286" s="47"/>
      <c r="L286" s="47"/>
      <c r="M286" s="47"/>
      <c r="N286" s="10"/>
      <c r="O286" s="47"/>
      <c r="P286" s="47"/>
      <c r="Q286" s="47"/>
      <c r="R286" s="48" t="str">
        <f aca="false">IF(Q286="","",IF(Q286=0,"below 5:00",IF(Q286&gt;=66,"16:00 or above",INT((60+2*Q286)/12)&amp;":"&amp;TEXT(MOD(60+2*Q286,12),"00"))))</f>
        <v/>
      </c>
      <c r="S286" s="47"/>
      <c r="T286" s="47"/>
      <c r="U286" s="47"/>
      <c r="V286" s="47"/>
      <c r="W286" s="47"/>
      <c r="X286" s="47"/>
      <c r="Y286" s="47"/>
      <c r="Z286" s="47"/>
      <c r="AA286" s="47"/>
      <c r="AB286" s="47"/>
      <c r="AC286" s="47"/>
      <c r="AD286" s="47"/>
      <c r="AE286" s="47"/>
      <c r="AF286" s="47"/>
      <c r="AG286" s="47"/>
      <c r="AH286" s="47"/>
      <c r="AI286" s="46"/>
      <c r="AJ286" s="46"/>
      <c r="AK286" s="46"/>
      <c r="AL286" s="7"/>
      <c r="AM286" s="49" t="str">
        <f aca="false">IF(OR(C286="",G286=""),"",IFERROR(DATEDIF(C286,G286,"m"),""))</f>
        <v/>
      </c>
      <c r="AN286" s="49" t="str">
        <f aca="false">IF(OR(Q286="",AM286=""),"",60+2*Q286-AM286)</f>
        <v/>
      </c>
      <c r="AO286" s="49" t="str">
        <f aca="false">IF(OR(G286="",AJ286=""),"",AJ286-G286)</f>
        <v/>
      </c>
      <c r="AP286" s="50" t="str">
        <f aca="false">IF(AND(A286="",B286=""),"",IF(J286="","Status needed",IF(OR(J286="Applied",J286="Visit booked",J286="Withdrawn"),"OK",IF(G286="","Date assessed needed",IF(C286="","Date of birth needed",IF(COUNTA(L286,M286,P286,U286,V286,X286,AB286)&lt;7,"Band missing",IF(AND(OR(J286="Decision confirmed",J286="Family told",J286="Enrolled"),AG286=""),"Recommendation needed",IF(AND(OR(J286="Family told",J286="Enrolled"),AJ286=""),"Date family told needed","OK"))))))))</f>
        <v/>
      </c>
    </row>
    <row r="287" customFormat="false" ht="15" hidden="false" customHeight="false" outlineLevel="0" collapsed="false">
      <c r="A287" s="7"/>
      <c r="B287" s="7"/>
      <c r="C287" s="46"/>
      <c r="D287" s="7"/>
      <c r="E287" s="47"/>
      <c r="F287" s="46"/>
      <c r="G287" s="46"/>
      <c r="H287" s="7"/>
      <c r="I287" s="7"/>
      <c r="J287" s="47"/>
      <c r="K287" s="47"/>
      <c r="L287" s="47"/>
      <c r="M287" s="47"/>
      <c r="N287" s="10"/>
      <c r="O287" s="47"/>
      <c r="P287" s="47"/>
      <c r="Q287" s="47"/>
      <c r="R287" s="48" t="str">
        <f aca="false">IF(Q287="","",IF(Q287=0,"below 5:00",IF(Q287&gt;=66,"16:00 or above",INT((60+2*Q287)/12)&amp;":"&amp;TEXT(MOD(60+2*Q287,12),"00"))))</f>
        <v/>
      </c>
      <c r="S287" s="47"/>
      <c r="T287" s="47"/>
      <c r="U287" s="47"/>
      <c r="V287" s="47"/>
      <c r="W287" s="47"/>
      <c r="X287" s="47"/>
      <c r="Y287" s="47"/>
      <c r="Z287" s="47"/>
      <c r="AA287" s="47"/>
      <c r="AB287" s="47"/>
      <c r="AC287" s="47"/>
      <c r="AD287" s="47"/>
      <c r="AE287" s="47"/>
      <c r="AF287" s="47"/>
      <c r="AG287" s="47"/>
      <c r="AH287" s="47"/>
      <c r="AI287" s="46"/>
      <c r="AJ287" s="46"/>
      <c r="AK287" s="46"/>
      <c r="AL287" s="7"/>
      <c r="AM287" s="49" t="str">
        <f aca="false">IF(OR(C287="",G287=""),"",IFERROR(DATEDIF(C287,G287,"m"),""))</f>
        <v/>
      </c>
      <c r="AN287" s="49" t="str">
        <f aca="false">IF(OR(Q287="",AM287=""),"",60+2*Q287-AM287)</f>
        <v/>
      </c>
      <c r="AO287" s="49" t="str">
        <f aca="false">IF(OR(G287="",AJ287=""),"",AJ287-G287)</f>
        <v/>
      </c>
      <c r="AP287" s="50" t="str">
        <f aca="false">IF(AND(A287="",B287=""),"",IF(J287="","Status needed",IF(OR(J287="Applied",J287="Visit booked",J287="Withdrawn"),"OK",IF(G287="","Date assessed needed",IF(C287="","Date of birth needed",IF(COUNTA(L287,M287,P287,U287,V287,X287,AB287)&lt;7,"Band missing",IF(AND(OR(J287="Decision confirmed",J287="Family told",J287="Enrolled"),AG287=""),"Recommendation needed",IF(AND(OR(J287="Family told",J287="Enrolled"),AJ287=""),"Date family told needed","OK"))))))))</f>
        <v/>
      </c>
    </row>
    <row r="288" customFormat="false" ht="15" hidden="false" customHeight="false" outlineLevel="0" collapsed="false">
      <c r="A288" s="7"/>
      <c r="B288" s="7"/>
      <c r="C288" s="46"/>
      <c r="D288" s="7"/>
      <c r="E288" s="47"/>
      <c r="F288" s="46"/>
      <c r="G288" s="46"/>
      <c r="H288" s="7"/>
      <c r="I288" s="7"/>
      <c r="J288" s="47"/>
      <c r="K288" s="47"/>
      <c r="L288" s="47"/>
      <c r="M288" s="47"/>
      <c r="N288" s="10"/>
      <c r="O288" s="47"/>
      <c r="P288" s="47"/>
      <c r="Q288" s="47"/>
      <c r="R288" s="48" t="str">
        <f aca="false">IF(Q288="","",IF(Q288=0,"below 5:00",IF(Q288&gt;=66,"16:00 or above",INT((60+2*Q288)/12)&amp;":"&amp;TEXT(MOD(60+2*Q288,12),"00"))))</f>
        <v/>
      </c>
      <c r="S288" s="47"/>
      <c r="T288" s="47"/>
      <c r="U288" s="47"/>
      <c r="V288" s="47"/>
      <c r="W288" s="47"/>
      <c r="X288" s="47"/>
      <c r="Y288" s="47"/>
      <c r="Z288" s="47"/>
      <c r="AA288" s="47"/>
      <c r="AB288" s="47"/>
      <c r="AC288" s="47"/>
      <c r="AD288" s="47"/>
      <c r="AE288" s="47"/>
      <c r="AF288" s="47"/>
      <c r="AG288" s="47"/>
      <c r="AH288" s="47"/>
      <c r="AI288" s="46"/>
      <c r="AJ288" s="46"/>
      <c r="AK288" s="46"/>
      <c r="AL288" s="7"/>
      <c r="AM288" s="49" t="str">
        <f aca="false">IF(OR(C288="",G288=""),"",IFERROR(DATEDIF(C288,G288,"m"),""))</f>
        <v/>
      </c>
      <c r="AN288" s="49" t="str">
        <f aca="false">IF(OR(Q288="",AM288=""),"",60+2*Q288-AM288)</f>
        <v/>
      </c>
      <c r="AO288" s="49" t="str">
        <f aca="false">IF(OR(G288="",AJ288=""),"",AJ288-G288)</f>
        <v/>
      </c>
      <c r="AP288" s="50" t="str">
        <f aca="false">IF(AND(A288="",B288=""),"",IF(J288="","Status needed",IF(OR(J288="Applied",J288="Visit booked",J288="Withdrawn"),"OK",IF(G288="","Date assessed needed",IF(C288="","Date of birth needed",IF(COUNTA(L288,M288,P288,U288,V288,X288,AB288)&lt;7,"Band missing",IF(AND(OR(J288="Decision confirmed",J288="Family told",J288="Enrolled"),AG288=""),"Recommendation needed",IF(AND(OR(J288="Family told",J288="Enrolled"),AJ288=""),"Date family told needed","OK"))))))))</f>
        <v/>
      </c>
    </row>
    <row r="289" customFormat="false" ht="15" hidden="false" customHeight="false" outlineLevel="0" collapsed="false">
      <c r="A289" s="7"/>
      <c r="B289" s="7"/>
      <c r="C289" s="46"/>
      <c r="D289" s="7"/>
      <c r="E289" s="47"/>
      <c r="F289" s="46"/>
      <c r="G289" s="46"/>
      <c r="H289" s="7"/>
      <c r="I289" s="7"/>
      <c r="J289" s="47"/>
      <c r="K289" s="47"/>
      <c r="L289" s="47"/>
      <c r="M289" s="47"/>
      <c r="N289" s="10"/>
      <c r="O289" s="47"/>
      <c r="P289" s="47"/>
      <c r="Q289" s="47"/>
      <c r="R289" s="48" t="str">
        <f aca="false">IF(Q289="","",IF(Q289=0,"below 5:00",IF(Q289&gt;=66,"16:00 or above",INT((60+2*Q289)/12)&amp;":"&amp;TEXT(MOD(60+2*Q289,12),"00"))))</f>
        <v/>
      </c>
      <c r="S289" s="47"/>
      <c r="T289" s="47"/>
      <c r="U289" s="47"/>
      <c r="V289" s="47"/>
      <c r="W289" s="47"/>
      <c r="X289" s="47"/>
      <c r="Y289" s="47"/>
      <c r="Z289" s="47"/>
      <c r="AA289" s="47"/>
      <c r="AB289" s="47"/>
      <c r="AC289" s="47"/>
      <c r="AD289" s="47"/>
      <c r="AE289" s="47"/>
      <c r="AF289" s="47"/>
      <c r="AG289" s="47"/>
      <c r="AH289" s="47"/>
      <c r="AI289" s="46"/>
      <c r="AJ289" s="46"/>
      <c r="AK289" s="46"/>
      <c r="AL289" s="7"/>
      <c r="AM289" s="49" t="str">
        <f aca="false">IF(OR(C289="",G289=""),"",IFERROR(DATEDIF(C289,G289,"m"),""))</f>
        <v/>
      </c>
      <c r="AN289" s="49" t="str">
        <f aca="false">IF(OR(Q289="",AM289=""),"",60+2*Q289-AM289)</f>
        <v/>
      </c>
      <c r="AO289" s="49" t="str">
        <f aca="false">IF(OR(G289="",AJ289=""),"",AJ289-G289)</f>
        <v/>
      </c>
      <c r="AP289" s="50" t="str">
        <f aca="false">IF(AND(A289="",B289=""),"",IF(J289="","Status needed",IF(OR(J289="Applied",J289="Visit booked",J289="Withdrawn"),"OK",IF(G289="","Date assessed needed",IF(C289="","Date of birth needed",IF(COUNTA(L289,M289,P289,U289,V289,X289,AB289)&lt;7,"Band missing",IF(AND(OR(J289="Decision confirmed",J289="Family told",J289="Enrolled"),AG289=""),"Recommendation needed",IF(AND(OR(J289="Family told",J289="Enrolled"),AJ289=""),"Date family told needed","OK"))))))))</f>
        <v/>
      </c>
    </row>
    <row r="290" customFormat="false" ht="15" hidden="false" customHeight="false" outlineLevel="0" collapsed="false">
      <c r="A290" s="7"/>
      <c r="B290" s="7"/>
      <c r="C290" s="46"/>
      <c r="D290" s="7"/>
      <c r="E290" s="47"/>
      <c r="F290" s="46"/>
      <c r="G290" s="46"/>
      <c r="H290" s="7"/>
      <c r="I290" s="7"/>
      <c r="J290" s="47"/>
      <c r="K290" s="47"/>
      <c r="L290" s="47"/>
      <c r="M290" s="47"/>
      <c r="N290" s="10"/>
      <c r="O290" s="47"/>
      <c r="P290" s="47"/>
      <c r="Q290" s="47"/>
      <c r="R290" s="48" t="str">
        <f aca="false">IF(Q290="","",IF(Q290=0,"below 5:00",IF(Q290&gt;=66,"16:00 or above",INT((60+2*Q290)/12)&amp;":"&amp;TEXT(MOD(60+2*Q290,12),"00"))))</f>
        <v/>
      </c>
      <c r="S290" s="47"/>
      <c r="T290" s="47"/>
      <c r="U290" s="47"/>
      <c r="V290" s="47"/>
      <c r="W290" s="47"/>
      <c r="X290" s="47"/>
      <c r="Y290" s="47"/>
      <c r="Z290" s="47"/>
      <c r="AA290" s="47"/>
      <c r="AB290" s="47"/>
      <c r="AC290" s="47"/>
      <c r="AD290" s="47"/>
      <c r="AE290" s="47"/>
      <c r="AF290" s="47"/>
      <c r="AG290" s="47"/>
      <c r="AH290" s="47"/>
      <c r="AI290" s="46"/>
      <c r="AJ290" s="46"/>
      <c r="AK290" s="46"/>
      <c r="AL290" s="7"/>
      <c r="AM290" s="49" t="str">
        <f aca="false">IF(OR(C290="",G290=""),"",IFERROR(DATEDIF(C290,G290,"m"),""))</f>
        <v/>
      </c>
      <c r="AN290" s="49" t="str">
        <f aca="false">IF(OR(Q290="",AM290=""),"",60+2*Q290-AM290)</f>
        <v/>
      </c>
      <c r="AO290" s="49" t="str">
        <f aca="false">IF(OR(G290="",AJ290=""),"",AJ290-G290)</f>
        <v/>
      </c>
      <c r="AP290" s="50" t="str">
        <f aca="false">IF(AND(A290="",B290=""),"",IF(J290="","Status needed",IF(OR(J290="Applied",J290="Visit booked",J290="Withdrawn"),"OK",IF(G290="","Date assessed needed",IF(C290="","Date of birth needed",IF(COUNTA(L290,M290,P290,U290,V290,X290,AB290)&lt;7,"Band missing",IF(AND(OR(J290="Decision confirmed",J290="Family told",J290="Enrolled"),AG290=""),"Recommendation needed",IF(AND(OR(J290="Family told",J290="Enrolled"),AJ290=""),"Date family told needed","OK"))))))))</f>
        <v/>
      </c>
    </row>
    <row r="291" customFormat="false" ht="15" hidden="false" customHeight="false" outlineLevel="0" collapsed="false">
      <c r="A291" s="7"/>
      <c r="B291" s="7"/>
      <c r="C291" s="46"/>
      <c r="D291" s="7"/>
      <c r="E291" s="47"/>
      <c r="F291" s="46"/>
      <c r="G291" s="46"/>
      <c r="H291" s="7"/>
      <c r="I291" s="7"/>
      <c r="J291" s="47"/>
      <c r="K291" s="47"/>
      <c r="L291" s="47"/>
      <c r="M291" s="47"/>
      <c r="N291" s="10"/>
      <c r="O291" s="47"/>
      <c r="P291" s="47"/>
      <c r="Q291" s="47"/>
      <c r="R291" s="48" t="str">
        <f aca="false">IF(Q291="","",IF(Q291=0,"below 5:00",IF(Q291&gt;=66,"16:00 or above",INT((60+2*Q291)/12)&amp;":"&amp;TEXT(MOD(60+2*Q291,12),"00"))))</f>
        <v/>
      </c>
      <c r="S291" s="47"/>
      <c r="T291" s="47"/>
      <c r="U291" s="47"/>
      <c r="V291" s="47"/>
      <c r="W291" s="47"/>
      <c r="X291" s="47"/>
      <c r="Y291" s="47"/>
      <c r="Z291" s="47"/>
      <c r="AA291" s="47"/>
      <c r="AB291" s="47"/>
      <c r="AC291" s="47"/>
      <c r="AD291" s="47"/>
      <c r="AE291" s="47"/>
      <c r="AF291" s="47"/>
      <c r="AG291" s="47"/>
      <c r="AH291" s="47"/>
      <c r="AI291" s="46"/>
      <c r="AJ291" s="46"/>
      <c r="AK291" s="46"/>
      <c r="AL291" s="7"/>
      <c r="AM291" s="49" t="str">
        <f aca="false">IF(OR(C291="",G291=""),"",IFERROR(DATEDIF(C291,G291,"m"),""))</f>
        <v/>
      </c>
      <c r="AN291" s="49" t="str">
        <f aca="false">IF(OR(Q291="",AM291=""),"",60+2*Q291-AM291)</f>
        <v/>
      </c>
      <c r="AO291" s="49" t="str">
        <f aca="false">IF(OR(G291="",AJ291=""),"",AJ291-G291)</f>
        <v/>
      </c>
      <c r="AP291" s="50" t="str">
        <f aca="false">IF(AND(A291="",B291=""),"",IF(J291="","Status needed",IF(OR(J291="Applied",J291="Visit booked",J291="Withdrawn"),"OK",IF(G291="","Date assessed needed",IF(C291="","Date of birth needed",IF(COUNTA(L291,M291,P291,U291,V291,X291,AB291)&lt;7,"Band missing",IF(AND(OR(J291="Decision confirmed",J291="Family told",J291="Enrolled"),AG291=""),"Recommendation needed",IF(AND(OR(J291="Family told",J291="Enrolled"),AJ291=""),"Date family told needed","OK"))))))))</f>
        <v/>
      </c>
    </row>
    <row r="292" customFormat="false" ht="15" hidden="false" customHeight="false" outlineLevel="0" collapsed="false">
      <c r="A292" s="7"/>
      <c r="B292" s="7"/>
      <c r="C292" s="46"/>
      <c r="D292" s="7"/>
      <c r="E292" s="47"/>
      <c r="F292" s="46"/>
      <c r="G292" s="46"/>
      <c r="H292" s="7"/>
      <c r="I292" s="7"/>
      <c r="J292" s="47"/>
      <c r="K292" s="47"/>
      <c r="L292" s="47"/>
      <c r="M292" s="47"/>
      <c r="N292" s="10"/>
      <c r="O292" s="47"/>
      <c r="P292" s="47"/>
      <c r="Q292" s="47"/>
      <c r="R292" s="48" t="str">
        <f aca="false">IF(Q292="","",IF(Q292=0,"below 5:00",IF(Q292&gt;=66,"16:00 or above",INT((60+2*Q292)/12)&amp;":"&amp;TEXT(MOD(60+2*Q292,12),"00"))))</f>
        <v/>
      </c>
      <c r="S292" s="47"/>
      <c r="T292" s="47"/>
      <c r="U292" s="47"/>
      <c r="V292" s="47"/>
      <c r="W292" s="47"/>
      <c r="X292" s="47"/>
      <c r="Y292" s="47"/>
      <c r="Z292" s="47"/>
      <c r="AA292" s="47"/>
      <c r="AB292" s="47"/>
      <c r="AC292" s="47"/>
      <c r="AD292" s="47"/>
      <c r="AE292" s="47"/>
      <c r="AF292" s="47"/>
      <c r="AG292" s="47"/>
      <c r="AH292" s="47"/>
      <c r="AI292" s="46"/>
      <c r="AJ292" s="46"/>
      <c r="AK292" s="46"/>
      <c r="AL292" s="7"/>
      <c r="AM292" s="49" t="str">
        <f aca="false">IF(OR(C292="",G292=""),"",IFERROR(DATEDIF(C292,G292,"m"),""))</f>
        <v/>
      </c>
      <c r="AN292" s="49" t="str">
        <f aca="false">IF(OR(Q292="",AM292=""),"",60+2*Q292-AM292)</f>
        <v/>
      </c>
      <c r="AO292" s="49" t="str">
        <f aca="false">IF(OR(G292="",AJ292=""),"",AJ292-G292)</f>
        <v/>
      </c>
      <c r="AP292" s="50" t="str">
        <f aca="false">IF(AND(A292="",B292=""),"",IF(J292="","Status needed",IF(OR(J292="Applied",J292="Visit booked",J292="Withdrawn"),"OK",IF(G292="","Date assessed needed",IF(C292="","Date of birth needed",IF(COUNTA(L292,M292,P292,U292,V292,X292,AB292)&lt;7,"Band missing",IF(AND(OR(J292="Decision confirmed",J292="Family told",J292="Enrolled"),AG292=""),"Recommendation needed",IF(AND(OR(J292="Family told",J292="Enrolled"),AJ292=""),"Date family told needed","OK"))))))))</f>
        <v/>
      </c>
    </row>
    <row r="293" customFormat="false" ht="15" hidden="false" customHeight="false" outlineLevel="0" collapsed="false">
      <c r="A293" s="7"/>
      <c r="B293" s="7"/>
      <c r="C293" s="46"/>
      <c r="D293" s="7"/>
      <c r="E293" s="47"/>
      <c r="F293" s="46"/>
      <c r="G293" s="46"/>
      <c r="H293" s="7"/>
      <c r="I293" s="7"/>
      <c r="J293" s="47"/>
      <c r="K293" s="47"/>
      <c r="L293" s="47"/>
      <c r="M293" s="47"/>
      <c r="N293" s="10"/>
      <c r="O293" s="47"/>
      <c r="P293" s="47"/>
      <c r="Q293" s="47"/>
      <c r="R293" s="48" t="str">
        <f aca="false">IF(Q293="","",IF(Q293=0,"below 5:00",IF(Q293&gt;=66,"16:00 or above",INT((60+2*Q293)/12)&amp;":"&amp;TEXT(MOD(60+2*Q293,12),"00"))))</f>
        <v/>
      </c>
      <c r="S293" s="47"/>
      <c r="T293" s="47"/>
      <c r="U293" s="47"/>
      <c r="V293" s="47"/>
      <c r="W293" s="47"/>
      <c r="X293" s="47"/>
      <c r="Y293" s="47"/>
      <c r="Z293" s="47"/>
      <c r="AA293" s="47"/>
      <c r="AB293" s="47"/>
      <c r="AC293" s="47"/>
      <c r="AD293" s="47"/>
      <c r="AE293" s="47"/>
      <c r="AF293" s="47"/>
      <c r="AG293" s="47"/>
      <c r="AH293" s="47"/>
      <c r="AI293" s="46"/>
      <c r="AJ293" s="46"/>
      <c r="AK293" s="46"/>
      <c r="AL293" s="7"/>
      <c r="AM293" s="49" t="str">
        <f aca="false">IF(OR(C293="",G293=""),"",IFERROR(DATEDIF(C293,G293,"m"),""))</f>
        <v/>
      </c>
      <c r="AN293" s="49" t="str">
        <f aca="false">IF(OR(Q293="",AM293=""),"",60+2*Q293-AM293)</f>
        <v/>
      </c>
      <c r="AO293" s="49" t="str">
        <f aca="false">IF(OR(G293="",AJ293=""),"",AJ293-G293)</f>
        <v/>
      </c>
      <c r="AP293" s="50" t="str">
        <f aca="false">IF(AND(A293="",B293=""),"",IF(J293="","Status needed",IF(OR(J293="Applied",J293="Visit booked",J293="Withdrawn"),"OK",IF(G293="","Date assessed needed",IF(C293="","Date of birth needed",IF(COUNTA(L293,M293,P293,U293,V293,X293,AB293)&lt;7,"Band missing",IF(AND(OR(J293="Decision confirmed",J293="Family told",J293="Enrolled"),AG293=""),"Recommendation needed",IF(AND(OR(J293="Family told",J293="Enrolled"),AJ293=""),"Date family told needed","OK"))))))))</f>
        <v/>
      </c>
    </row>
    <row r="294" customFormat="false" ht="15" hidden="false" customHeight="false" outlineLevel="0" collapsed="false">
      <c r="A294" s="7"/>
      <c r="B294" s="7"/>
      <c r="C294" s="46"/>
      <c r="D294" s="7"/>
      <c r="E294" s="47"/>
      <c r="F294" s="46"/>
      <c r="G294" s="46"/>
      <c r="H294" s="7"/>
      <c r="I294" s="7"/>
      <c r="J294" s="47"/>
      <c r="K294" s="47"/>
      <c r="L294" s="47"/>
      <c r="M294" s="47"/>
      <c r="N294" s="10"/>
      <c r="O294" s="47"/>
      <c r="P294" s="47"/>
      <c r="Q294" s="47"/>
      <c r="R294" s="48" t="str">
        <f aca="false">IF(Q294="","",IF(Q294=0,"below 5:00",IF(Q294&gt;=66,"16:00 or above",INT((60+2*Q294)/12)&amp;":"&amp;TEXT(MOD(60+2*Q294,12),"00"))))</f>
        <v/>
      </c>
      <c r="S294" s="47"/>
      <c r="T294" s="47"/>
      <c r="U294" s="47"/>
      <c r="V294" s="47"/>
      <c r="W294" s="47"/>
      <c r="X294" s="47"/>
      <c r="Y294" s="47"/>
      <c r="Z294" s="47"/>
      <c r="AA294" s="47"/>
      <c r="AB294" s="47"/>
      <c r="AC294" s="47"/>
      <c r="AD294" s="47"/>
      <c r="AE294" s="47"/>
      <c r="AF294" s="47"/>
      <c r="AG294" s="47"/>
      <c r="AH294" s="47"/>
      <c r="AI294" s="46"/>
      <c r="AJ294" s="46"/>
      <c r="AK294" s="46"/>
      <c r="AL294" s="7"/>
      <c r="AM294" s="49" t="str">
        <f aca="false">IF(OR(C294="",G294=""),"",IFERROR(DATEDIF(C294,G294,"m"),""))</f>
        <v/>
      </c>
      <c r="AN294" s="49" t="str">
        <f aca="false">IF(OR(Q294="",AM294=""),"",60+2*Q294-AM294)</f>
        <v/>
      </c>
      <c r="AO294" s="49" t="str">
        <f aca="false">IF(OR(G294="",AJ294=""),"",AJ294-G294)</f>
        <v/>
      </c>
      <c r="AP294" s="50" t="str">
        <f aca="false">IF(AND(A294="",B294=""),"",IF(J294="","Status needed",IF(OR(J294="Applied",J294="Visit booked",J294="Withdrawn"),"OK",IF(G294="","Date assessed needed",IF(C294="","Date of birth needed",IF(COUNTA(L294,M294,P294,U294,V294,X294,AB294)&lt;7,"Band missing",IF(AND(OR(J294="Decision confirmed",J294="Family told",J294="Enrolled"),AG294=""),"Recommendation needed",IF(AND(OR(J294="Family told",J294="Enrolled"),AJ294=""),"Date family told needed","OK"))))))))</f>
        <v/>
      </c>
    </row>
    <row r="295" customFormat="false" ht="15" hidden="false" customHeight="false" outlineLevel="0" collapsed="false">
      <c r="A295" s="7"/>
      <c r="B295" s="7"/>
      <c r="C295" s="46"/>
      <c r="D295" s="7"/>
      <c r="E295" s="47"/>
      <c r="F295" s="46"/>
      <c r="G295" s="46"/>
      <c r="H295" s="7"/>
      <c r="I295" s="7"/>
      <c r="J295" s="47"/>
      <c r="K295" s="47"/>
      <c r="L295" s="47"/>
      <c r="M295" s="47"/>
      <c r="N295" s="10"/>
      <c r="O295" s="47"/>
      <c r="P295" s="47"/>
      <c r="Q295" s="47"/>
      <c r="R295" s="48" t="str">
        <f aca="false">IF(Q295="","",IF(Q295=0,"below 5:00",IF(Q295&gt;=66,"16:00 or above",INT((60+2*Q295)/12)&amp;":"&amp;TEXT(MOD(60+2*Q295,12),"00"))))</f>
        <v/>
      </c>
      <c r="S295" s="47"/>
      <c r="T295" s="47"/>
      <c r="U295" s="47"/>
      <c r="V295" s="47"/>
      <c r="W295" s="47"/>
      <c r="X295" s="47"/>
      <c r="Y295" s="47"/>
      <c r="Z295" s="47"/>
      <c r="AA295" s="47"/>
      <c r="AB295" s="47"/>
      <c r="AC295" s="47"/>
      <c r="AD295" s="47"/>
      <c r="AE295" s="47"/>
      <c r="AF295" s="47"/>
      <c r="AG295" s="47"/>
      <c r="AH295" s="47"/>
      <c r="AI295" s="46"/>
      <c r="AJ295" s="46"/>
      <c r="AK295" s="46"/>
      <c r="AL295" s="7"/>
      <c r="AM295" s="49" t="str">
        <f aca="false">IF(OR(C295="",G295=""),"",IFERROR(DATEDIF(C295,G295,"m"),""))</f>
        <v/>
      </c>
      <c r="AN295" s="49" t="str">
        <f aca="false">IF(OR(Q295="",AM295=""),"",60+2*Q295-AM295)</f>
        <v/>
      </c>
      <c r="AO295" s="49" t="str">
        <f aca="false">IF(OR(G295="",AJ295=""),"",AJ295-G295)</f>
        <v/>
      </c>
      <c r="AP295" s="50" t="str">
        <f aca="false">IF(AND(A295="",B295=""),"",IF(J295="","Status needed",IF(OR(J295="Applied",J295="Visit booked",J295="Withdrawn"),"OK",IF(G295="","Date assessed needed",IF(C295="","Date of birth needed",IF(COUNTA(L295,M295,P295,U295,V295,X295,AB295)&lt;7,"Band missing",IF(AND(OR(J295="Decision confirmed",J295="Family told",J295="Enrolled"),AG295=""),"Recommendation needed",IF(AND(OR(J295="Family told",J295="Enrolled"),AJ295=""),"Date family told needed","OK"))))))))</f>
        <v/>
      </c>
    </row>
    <row r="296" customFormat="false" ht="15" hidden="false" customHeight="false" outlineLevel="0" collapsed="false">
      <c r="A296" s="7"/>
      <c r="B296" s="7"/>
      <c r="C296" s="46"/>
      <c r="D296" s="7"/>
      <c r="E296" s="47"/>
      <c r="F296" s="46"/>
      <c r="G296" s="46"/>
      <c r="H296" s="7"/>
      <c r="I296" s="7"/>
      <c r="J296" s="47"/>
      <c r="K296" s="47"/>
      <c r="L296" s="47"/>
      <c r="M296" s="47"/>
      <c r="N296" s="10"/>
      <c r="O296" s="47"/>
      <c r="P296" s="47"/>
      <c r="Q296" s="47"/>
      <c r="R296" s="48" t="str">
        <f aca="false">IF(Q296="","",IF(Q296=0,"below 5:00",IF(Q296&gt;=66,"16:00 or above",INT((60+2*Q296)/12)&amp;":"&amp;TEXT(MOD(60+2*Q296,12),"00"))))</f>
        <v/>
      </c>
      <c r="S296" s="47"/>
      <c r="T296" s="47"/>
      <c r="U296" s="47"/>
      <c r="V296" s="47"/>
      <c r="W296" s="47"/>
      <c r="X296" s="47"/>
      <c r="Y296" s="47"/>
      <c r="Z296" s="47"/>
      <c r="AA296" s="47"/>
      <c r="AB296" s="47"/>
      <c r="AC296" s="47"/>
      <c r="AD296" s="47"/>
      <c r="AE296" s="47"/>
      <c r="AF296" s="47"/>
      <c r="AG296" s="47"/>
      <c r="AH296" s="47"/>
      <c r="AI296" s="46"/>
      <c r="AJ296" s="46"/>
      <c r="AK296" s="46"/>
      <c r="AL296" s="7"/>
      <c r="AM296" s="49" t="str">
        <f aca="false">IF(OR(C296="",G296=""),"",IFERROR(DATEDIF(C296,G296,"m"),""))</f>
        <v/>
      </c>
      <c r="AN296" s="49" t="str">
        <f aca="false">IF(OR(Q296="",AM296=""),"",60+2*Q296-AM296)</f>
        <v/>
      </c>
      <c r="AO296" s="49" t="str">
        <f aca="false">IF(OR(G296="",AJ296=""),"",AJ296-G296)</f>
        <v/>
      </c>
      <c r="AP296" s="50" t="str">
        <f aca="false">IF(AND(A296="",B296=""),"",IF(J296="","Status needed",IF(OR(J296="Applied",J296="Visit booked",J296="Withdrawn"),"OK",IF(G296="","Date assessed needed",IF(C296="","Date of birth needed",IF(COUNTA(L296,M296,P296,U296,V296,X296,AB296)&lt;7,"Band missing",IF(AND(OR(J296="Decision confirmed",J296="Family told",J296="Enrolled"),AG296=""),"Recommendation needed",IF(AND(OR(J296="Family told",J296="Enrolled"),AJ296=""),"Date family told needed","OK"))))))))</f>
        <v/>
      </c>
    </row>
    <row r="297" customFormat="false" ht="15" hidden="false" customHeight="false" outlineLevel="0" collapsed="false">
      <c r="A297" s="7"/>
      <c r="B297" s="7"/>
      <c r="C297" s="46"/>
      <c r="D297" s="7"/>
      <c r="E297" s="47"/>
      <c r="F297" s="46"/>
      <c r="G297" s="46"/>
      <c r="H297" s="7"/>
      <c r="I297" s="7"/>
      <c r="J297" s="47"/>
      <c r="K297" s="47"/>
      <c r="L297" s="47"/>
      <c r="M297" s="47"/>
      <c r="N297" s="10"/>
      <c r="O297" s="47"/>
      <c r="P297" s="47"/>
      <c r="Q297" s="47"/>
      <c r="R297" s="48" t="str">
        <f aca="false">IF(Q297="","",IF(Q297=0,"below 5:00",IF(Q297&gt;=66,"16:00 or above",INT((60+2*Q297)/12)&amp;":"&amp;TEXT(MOD(60+2*Q297,12),"00"))))</f>
        <v/>
      </c>
      <c r="S297" s="47"/>
      <c r="T297" s="47"/>
      <c r="U297" s="47"/>
      <c r="V297" s="47"/>
      <c r="W297" s="47"/>
      <c r="X297" s="47"/>
      <c r="Y297" s="47"/>
      <c r="Z297" s="47"/>
      <c r="AA297" s="47"/>
      <c r="AB297" s="47"/>
      <c r="AC297" s="47"/>
      <c r="AD297" s="47"/>
      <c r="AE297" s="47"/>
      <c r="AF297" s="47"/>
      <c r="AG297" s="47"/>
      <c r="AH297" s="47"/>
      <c r="AI297" s="46"/>
      <c r="AJ297" s="46"/>
      <c r="AK297" s="46"/>
      <c r="AL297" s="7"/>
      <c r="AM297" s="49" t="str">
        <f aca="false">IF(OR(C297="",G297=""),"",IFERROR(DATEDIF(C297,G297,"m"),""))</f>
        <v/>
      </c>
      <c r="AN297" s="49" t="str">
        <f aca="false">IF(OR(Q297="",AM297=""),"",60+2*Q297-AM297)</f>
        <v/>
      </c>
      <c r="AO297" s="49" t="str">
        <f aca="false">IF(OR(G297="",AJ297=""),"",AJ297-G297)</f>
        <v/>
      </c>
      <c r="AP297" s="50" t="str">
        <f aca="false">IF(AND(A297="",B297=""),"",IF(J297="","Status needed",IF(OR(J297="Applied",J297="Visit booked",J297="Withdrawn"),"OK",IF(G297="","Date assessed needed",IF(C297="","Date of birth needed",IF(COUNTA(L297,M297,P297,U297,V297,X297,AB297)&lt;7,"Band missing",IF(AND(OR(J297="Decision confirmed",J297="Family told",J297="Enrolled"),AG297=""),"Recommendation needed",IF(AND(OR(J297="Family told",J297="Enrolled"),AJ297=""),"Date family told needed","OK"))))))))</f>
        <v/>
      </c>
    </row>
    <row r="298" customFormat="false" ht="15" hidden="false" customHeight="false" outlineLevel="0" collapsed="false">
      <c r="A298" s="7"/>
      <c r="B298" s="7"/>
      <c r="C298" s="46"/>
      <c r="D298" s="7"/>
      <c r="E298" s="47"/>
      <c r="F298" s="46"/>
      <c r="G298" s="46"/>
      <c r="H298" s="7"/>
      <c r="I298" s="7"/>
      <c r="J298" s="47"/>
      <c r="K298" s="47"/>
      <c r="L298" s="47"/>
      <c r="M298" s="47"/>
      <c r="N298" s="10"/>
      <c r="O298" s="47"/>
      <c r="P298" s="47"/>
      <c r="Q298" s="47"/>
      <c r="R298" s="48" t="str">
        <f aca="false">IF(Q298="","",IF(Q298=0,"below 5:00",IF(Q298&gt;=66,"16:00 or above",INT((60+2*Q298)/12)&amp;":"&amp;TEXT(MOD(60+2*Q298,12),"00"))))</f>
        <v/>
      </c>
      <c r="S298" s="47"/>
      <c r="T298" s="47"/>
      <c r="U298" s="47"/>
      <c r="V298" s="47"/>
      <c r="W298" s="47"/>
      <c r="X298" s="47"/>
      <c r="Y298" s="47"/>
      <c r="Z298" s="47"/>
      <c r="AA298" s="47"/>
      <c r="AB298" s="47"/>
      <c r="AC298" s="47"/>
      <c r="AD298" s="47"/>
      <c r="AE298" s="47"/>
      <c r="AF298" s="47"/>
      <c r="AG298" s="47"/>
      <c r="AH298" s="47"/>
      <c r="AI298" s="46"/>
      <c r="AJ298" s="46"/>
      <c r="AK298" s="46"/>
      <c r="AL298" s="7"/>
      <c r="AM298" s="49" t="str">
        <f aca="false">IF(OR(C298="",G298=""),"",IFERROR(DATEDIF(C298,G298,"m"),""))</f>
        <v/>
      </c>
      <c r="AN298" s="49" t="str">
        <f aca="false">IF(OR(Q298="",AM298=""),"",60+2*Q298-AM298)</f>
        <v/>
      </c>
      <c r="AO298" s="49" t="str">
        <f aca="false">IF(OR(G298="",AJ298=""),"",AJ298-G298)</f>
        <v/>
      </c>
      <c r="AP298" s="50" t="str">
        <f aca="false">IF(AND(A298="",B298=""),"",IF(J298="","Status needed",IF(OR(J298="Applied",J298="Visit booked",J298="Withdrawn"),"OK",IF(G298="","Date assessed needed",IF(C298="","Date of birth needed",IF(COUNTA(L298,M298,P298,U298,V298,X298,AB298)&lt;7,"Band missing",IF(AND(OR(J298="Decision confirmed",J298="Family told",J298="Enrolled"),AG298=""),"Recommendation needed",IF(AND(OR(J298="Family told",J298="Enrolled"),AJ298=""),"Date family told needed","OK"))))))))</f>
        <v/>
      </c>
    </row>
    <row r="299" customFormat="false" ht="15" hidden="false" customHeight="false" outlineLevel="0" collapsed="false">
      <c r="A299" s="7"/>
      <c r="B299" s="7"/>
      <c r="C299" s="46"/>
      <c r="D299" s="7"/>
      <c r="E299" s="47"/>
      <c r="F299" s="46"/>
      <c r="G299" s="46"/>
      <c r="H299" s="7"/>
      <c r="I299" s="7"/>
      <c r="J299" s="47"/>
      <c r="K299" s="47"/>
      <c r="L299" s="47"/>
      <c r="M299" s="47"/>
      <c r="N299" s="10"/>
      <c r="O299" s="47"/>
      <c r="P299" s="47"/>
      <c r="Q299" s="47"/>
      <c r="R299" s="48" t="str">
        <f aca="false">IF(Q299="","",IF(Q299=0,"below 5:00",IF(Q299&gt;=66,"16:00 or above",INT((60+2*Q299)/12)&amp;":"&amp;TEXT(MOD(60+2*Q299,12),"00"))))</f>
        <v/>
      </c>
      <c r="S299" s="47"/>
      <c r="T299" s="47"/>
      <c r="U299" s="47"/>
      <c r="V299" s="47"/>
      <c r="W299" s="47"/>
      <c r="X299" s="47"/>
      <c r="Y299" s="47"/>
      <c r="Z299" s="47"/>
      <c r="AA299" s="47"/>
      <c r="AB299" s="47"/>
      <c r="AC299" s="47"/>
      <c r="AD299" s="47"/>
      <c r="AE299" s="47"/>
      <c r="AF299" s="47"/>
      <c r="AG299" s="47"/>
      <c r="AH299" s="47"/>
      <c r="AI299" s="46"/>
      <c r="AJ299" s="46"/>
      <c r="AK299" s="46"/>
      <c r="AL299" s="7"/>
      <c r="AM299" s="49" t="str">
        <f aca="false">IF(OR(C299="",G299=""),"",IFERROR(DATEDIF(C299,G299,"m"),""))</f>
        <v/>
      </c>
      <c r="AN299" s="49" t="str">
        <f aca="false">IF(OR(Q299="",AM299=""),"",60+2*Q299-AM299)</f>
        <v/>
      </c>
      <c r="AO299" s="49" t="str">
        <f aca="false">IF(OR(G299="",AJ299=""),"",AJ299-G299)</f>
        <v/>
      </c>
      <c r="AP299" s="50" t="str">
        <f aca="false">IF(AND(A299="",B299=""),"",IF(J299="","Status needed",IF(OR(J299="Applied",J299="Visit booked",J299="Withdrawn"),"OK",IF(G299="","Date assessed needed",IF(C299="","Date of birth needed",IF(COUNTA(L299,M299,P299,U299,V299,X299,AB299)&lt;7,"Band missing",IF(AND(OR(J299="Decision confirmed",J299="Family told",J299="Enrolled"),AG299=""),"Recommendation needed",IF(AND(OR(J299="Family told",J299="Enrolled"),AJ299=""),"Date family told needed","OK"))))))))</f>
        <v/>
      </c>
    </row>
    <row r="300" customFormat="false" ht="15" hidden="false" customHeight="false" outlineLevel="0" collapsed="false">
      <c r="A300" s="7"/>
      <c r="B300" s="7"/>
      <c r="C300" s="46"/>
      <c r="D300" s="7"/>
      <c r="E300" s="47"/>
      <c r="F300" s="46"/>
      <c r="G300" s="46"/>
      <c r="H300" s="7"/>
      <c r="I300" s="7"/>
      <c r="J300" s="47"/>
      <c r="K300" s="47"/>
      <c r="L300" s="47"/>
      <c r="M300" s="47"/>
      <c r="N300" s="10"/>
      <c r="O300" s="47"/>
      <c r="P300" s="47"/>
      <c r="Q300" s="47"/>
      <c r="R300" s="48" t="str">
        <f aca="false">IF(Q300="","",IF(Q300=0,"below 5:00",IF(Q300&gt;=66,"16:00 or above",INT((60+2*Q300)/12)&amp;":"&amp;TEXT(MOD(60+2*Q300,12),"00"))))</f>
        <v/>
      </c>
      <c r="S300" s="47"/>
      <c r="T300" s="47"/>
      <c r="U300" s="47"/>
      <c r="V300" s="47"/>
      <c r="W300" s="47"/>
      <c r="X300" s="47"/>
      <c r="Y300" s="47"/>
      <c r="Z300" s="47"/>
      <c r="AA300" s="47"/>
      <c r="AB300" s="47"/>
      <c r="AC300" s="47"/>
      <c r="AD300" s="47"/>
      <c r="AE300" s="47"/>
      <c r="AF300" s="47"/>
      <c r="AG300" s="47"/>
      <c r="AH300" s="47"/>
      <c r="AI300" s="46"/>
      <c r="AJ300" s="46"/>
      <c r="AK300" s="46"/>
      <c r="AL300" s="7"/>
      <c r="AM300" s="49" t="str">
        <f aca="false">IF(OR(C300="",G300=""),"",IFERROR(DATEDIF(C300,G300,"m"),""))</f>
        <v/>
      </c>
      <c r="AN300" s="49" t="str">
        <f aca="false">IF(OR(Q300="",AM300=""),"",60+2*Q300-AM300)</f>
        <v/>
      </c>
      <c r="AO300" s="49" t="str">
        <f aca="false">IF(OR(G300="",AJ300=""),"",AJ300-G300)</f>
        <v/>
      </c>
      <c r="AP300" s="50" t="str">
        <f aca="false">IF(AND(A300="",B300=""),"",IF(J300="","Status needed",IF(OR(J300="Applied",J300="Visit booked",J300="Withdrawn"),"OK",IF(G300="","Date assessed needed",IF(C300="","Date of birth needed",IF(COUNTA(L300,M300,P300,U300,V300,X300,AB300)&lt;7,"Band missing",IF(AND(OR(J300="Decision confirmed",J300="Family told",J300="Enrolled"),AG300=""),"Recommendation needed",IF(AND(OR(J300="Family told",J300="Enrolled"),AJ300=""),"Date family told needed","OK"))))))))</f>
        <v/>
      </c>
    </row>
    <row r="301" customFormat="false" ht="15" hidden="false" customHeight="false" outlineLevel="0" collapsed="false">
      <c r="A301" s="7"/>
      <c r="B301" s="7"/>
      <c r="C301" s="46"/>
      <c r="D301" s="7"/>
      <c r="E301" s="47"/>
      <c r="F301" s="46"/>
      <c r="G301" s="46"/>
      <c r="H301" s="7"/>
      <c r="I301" s="7"/>
      <c r="J301" s="47"/>
      <c r="K301" s="47"/>
      <c r="L301" s="47"/>
      <c r="M301" s="47"/>
      <c r="N301" s="10"/>
      <c r="O301" s="47"/>
      <c r="P301" s="47"/>
      <c r="Q301" s="47"/>
      <c r="R301" s="48" t="str">
        <f aca="false">IF(Q301="","",IF(Q301=0,"below 5:00",IF(Q301&gt;=66,"16:00 or above",INT((60+2*Q301)/12)&amp;":"&amp;TEXT(MOD(60+2*Q301,12),"00"))))</f>
        <v/>
      </c>
      <c r="S301" s="47"/>
      <c r="T301" s="47"/>
      <c r="U301" s="47"/>
      <c r="V301" s="47"/>
      <c r="W301" s="47"/>
      <c r="X301" s="47"/>
      <c r="Y301" s="47"/>
      <c r="Z301" s="47"/>
      <c r="AA301" s="47"/>
      <c r="AB301" s="47"/>
      <c r="AC301" s="47"/>
      <c r="AD301" s="47"/>
      <c r="AE301" s="47"/>
      <c r="AF301" s="47"/>
      <c r="AG301" s="47"/>
      <c r="AH301" s="47"/>
      <c r="AI301" s="46"/>
      <c r="AJ301" s="46"/>
      <c r="AK301" s="46"/>
      <c r="AL301" s="7"/>
      <c r="AM301" s="49" t="str">
        <f aca="false">IF(OR(C301="",G301=""),"",IFERROR(DATEDIF(C301,G301,"m"),""))</f>
        <v/>
      </c>
      <c r="AN301" s="49" t="str">
        <f aca="false">IF(OR(Q301="",AM301=""),"",60+2*Q301-AM301)</f>
        <v/>
      </c>
      <c r="AO301" s="49" t="str">
        <f aca="false">IF(OR(G301="",AJ301=""),"",AJ301-G301)</f>
        <v/>
      </c>
      <c r="AP301" s="50" t="str">
        <f aca="false">IF(AND(A301="",B301=""),"",IF(J301="","Status needed",IF(OR(J301="Applied",J301="Visit booked",J301="Withdrawn"),"OK",IF(G301="","Date assessed needed",IF(C301="","Date of birth needed",IF(COUNTA(L301,M301,P301,U301,V301,X301,AB301)&lt;7,"Band missing",IF(AND(OR(J301="Decision confirmed",J301="Family told",J301="Enrolled"),AG301=""),"Recommendation needed",IF(AND(OR(J301="Family told",J301="Enrolled"),AJ301=""),"Date family told needed","OK"))))))))</f>
        <v/>
      </c>
    </row>
    <row r="302" customFormat="false" ht="15" hidden="false" customHeight="false" outlineLevel="0" collapsed="false">
      <c r="A302" s="7"/>
      <c r="B302" s="7"/>
      <c r="C302" s="46"/>
      <c r="D302" s="7"/>
      <c r="E302" s="47"/>
      <c r="F302" s="46"/>
      <c r="G302" s="46"/>
      <c r="H302" s="7"/>
      <c r="I302" s="7"/>
      <c r="J302" s="47"/>
      <c r="K302" s="47"/>
      <c r="L302" s="47"/>
      <c r="M302" s="47"/>
      <c r="N302" s="10"/>
      <c r="O302" s="47"/>
      <c r="P302" s="47"/>
      <c r="Q302" s="47"/>
      <c r="R302" s="48" t="str">
        <f aca="false">IF(Q302="","",IF(Q302=0,"below 5:00",IF(Q302&gt;=66,"16:00 or above",INT((60+2*Q302)/12)&amp;":"&amp;TEXT(MOD(60+2*Q302,12),"00"))))</f>
        <v/>
      </c>
      <c r="S302" s="47"/>
      <c r="T302" s="47"/>
      <c r="U302" s="47"/>
      <c r="V302" s="47"/>
      <c r="W302" s="47"/>
      <c r="X302" s="47"/>
      <c r="Y302" s="47"/>
      <c r="Z302" s="47"/>
      <c r="AA302" s="47"/>
      <c r="AB302" s="47"/>
      <c r="AC302" s="47"/>
      <c r="AD302" s="47"/>
      <c r="AE302" s="47"/>
      <c r="AF302" s="47"/>
      <c r="AG302" s="47"/>
      <c r="AH302" s="47"/>
      <c r="AI302" s="46"/>
      <c r="AJ302" s="46"/>
      <c r="AK302" s="46"/>
      <c r="AL302" s="7"/>
      <c r="AM302" s="49" t="str">
        <f aca="false">IF(OR(C302="",G302=""),"",IFERROR(DATEDIF(C302,G302,"m"),""))</f>
        <v/>
      </c>
      <c r="AN302" s="49" t="str">
        <f aca="false">IF(OR(Q302="",AM302=""),"",60+2*Q302-AM302)</f>
        <v/>
      </c>
      <c r="AO302" s="49" t="str">
        <f aca="false">IF(OR(G302="",AJ302=""),"",AJ302-G302)</f>
        <v/>
      </c>
      <c r="AP302" s="50" t="str">
        <f aca="false">IF(AND(A302="",B302=""),"",IF(J302="","Status needed",IF(OR(J302="Applied",J302="Visit booked",J302="Withdrawn"),"OK",IF(G302="","Date assessed needed",IF(C302="","Date of birth needed",IF(COUNTA(L302,M302,P302,U302,V302,X302,AB302)&lt;7,"Band missing",IF(AND(OR(J302="Decision confirmed",J302="Family told",J302="Enrolled"),AG302=""),"Recommendation needed",IF(AND(OR(J302="Family told",J302="Enrolled"),AJ302=""),"Date family told needed","OK"))))))))</f>
        <v/>
      </c>
    </row>
    <row r="303" customFormat="false" ht="15" hidden="false" customHeight="false" outlineLevel="0" collapsed="false">
      <c r="A303" s="7"/>
      <c r="B303" s="7"/>
      <c r="C303" s="46"/>
      <c r="D303" s="7"/>
      <c r="E303" s="47"/>
      <c r="F303" s="46"/>
      <c r="G303" s="46"/>
      <c r="H303" s="7"/>
      <c r="I303" s="7"/>
      <c r="J303" s="47"/>
      <c r="K303" s="47"/>
      <c r="L303" s="47"/>
      <c r="M303" s="47"/>
      <c r="N303" s="10"/>
      <c r="O303" s="47"/>
      <c r="P303" s="47"/>
      <c r="Q303" s="47"/>
      <c r="R303" s="48" t="str">
        <f aca="false">IF(Q303="","",IF(Q303=0,"below 5:00",IF(Q303&gt;=66,"16:00 or above",INT((60+2*Q303)/12)&amp;":"&amp;TEXT(MOD(60+2*Q303,12),"00"))))</f>
        <v/>
      </c>
      <c r="S303" s="47"/>
      <c r="T303" s="47"/>
      <c r="U303" s="47"/>
      <c r="V303" s="47"/>
      <c r="W303" s="47"/>
      <c r="X303" s="47"/>
      <c r="Y303" s="47"/>
      <c r="Z303" s="47"/>
      <c r="AA303" s="47"/>
      <c r="AB303" s="47"/>
      <c r="AC303" s="47"/>
      <c r="AD303" s="47"/>
      <c r="AE303" s="47"/>
      <c r="AF303" s="47"/>
      <c r="AG303" s="47"/>
      <c r="AH303" s="47"/>
      <c r="AI303" s="46"/>
      <c r="AJ303" s="46"/>
      <c r="AK303" s="46"/>
      <c r="AL303" s="7"/>
      <c r="AM303" s="49" t="str">
        <f aca="false">IF(OR(C303="",G303=""),"",IFERROR(DATEDIF(C303,G303,"m"),""))</f>
        <v/>
      </c>
      <c r="AN303" s="49" t="str">
        <f aca="false">IF(OR(Q303="",AM303=""),"",60+2*Q303-AM303)</f>
        <v/>
      </c>
      <c r="AO303" s="49" t="str">
        <f aca="false">IF(OR(G303="",AJ303=""),"",AJ303-G303)</f>
        <v/>
      </c>
      <c r="AP303" s="50" t="str">
        <f aca="false">IF(AND(A303="",B303=""),"",IF(J303="","Status needed",IF(OR(J303="Applied",J303="Visit booked",J303="Withdrawn"),"OK",IF(G303="","Date assessed needed",IF(C303="","Date of birth needed",IF(COUNTA(L303,M303,P303,U303,V303,X303,AB303)&lt;7,"Band missing",IF(AND(OR(J303="Decision confirmed",J303="Family told",J303="Enrolled"),AG303=""),"Recommendation needed",IF(AND(OR(J303="Family told",J303="Enrolled"),AJ303=""),"Date family told needed","OK"))))))))</f>
        <v/>
      </c>
    </row>
    <row r="304" customFormat="false" ht="15" hidden="false" customHeight="false" outlineLevel="0" collapsed="false">
      <c r="A304" s="7"/>
      <c r="B304" s="7"/>
      <c r="C304" s="46"/>
      <c r="D304" s="7"/>
      <c r="E304" s="47"/>
      <c r="F304" s="46"/>
      <c r="G304" s="46"/>
      <c r="H304" s="7"/>
      <c r="I304" s="7"/>
      <c r="J304" s="47"/>
      <c r="K304" s="47"/>
      <c r="L304" s="47"/>
      <c r="M304" s="47"/>
      <c r="N304" s="10"/>
      <c r="O304" s="47"/>
      <c r="P304" s="47"/>
      <c r="Q304" s="47"/>
      <c r="R304" s="48" t="str">
        <f aca="false">IF(Q304="","",IF(Q304=0,"below 5:00",IF(Q304&gt;=66,"16:00 or above",INT((60+2*Q304)/12)&amp;":"&amp;TEXT(MOD(60+2*Q304,12),"00"))))</f>
        <v/>
      </c>
      <c r="S304" s="47"/>
      <c r="T304" s="47"/>
      <c r="U304" s="47"/>
      <c r="V304" s="47"/>
      <c r="W304" s="47"/>
      <c r="X304" s="47"/>
      <c r="Y304" s="47"/>
      <c r="Z304" s="47"/>
      <c r="AA304" s="47"/>
      <c r="AB304" s="47"/>
      <c r="AC304" s="47"/>
      <c r="AD304" s="47"/>
      <c r="AE304" s="47"/>
      <c r="AF304" s="47"/>
      <c r="AG304" s="47"/>
      <c r="AH304" s="47"/>
      <c r="AI304" s="46"/>
      <c r="AJ304" s="46"/>
      <c r="AK304" s="46"/>
      <c r="AL304" s="7"/>
      <c r="AM304" s="49" t="str">
        <f aca="false">IF(OR(C304="",G304=""),"",IFERROR(DATEDIF(C304,G304,"m"),""))</f>
        <v/>
      </c>
      <c r="AN304" s="49" t="str">
        <f aca="false">IF(OR(Q304="",AM304=""),"",60+2*Q304-AM304)</f>
        <v/>
      </c>
      <c r="AO304" s="49" t="str">
        <f aca="false">IF(OR(G304="",AJ304=""),"",AJ304-G304)</f>
        <v/>
      </c>
      <c r="AP304" s="50" t="str">
        <f aca="false">IF(AND(A304="",B304=""),"",IF(J304="","Status needed",IF(OR(J304="Applied",J304="Visit booked",J304="Withdrawn"),"OK",IF(G304="","Date assessed needed",IF(C304="","Date of birth needed",IF(COUNTA(L304,M304,P304,U304,V304,X304,AB304)&lt;7,"Band missing",IF(AND(OR(J304="Decision confirmed",J304="Family told",J304="Enrolled"),AG304=""),"Recommendation needed",IF(AND(OR(J304="Family told",J304="Enrolled"),AJ304=""),"Date family told needed","OK"))))))))</f>
        <v/>
      </c>
    </row>
    <row r="305" customFormat="false" ht="15" hidden="false" customHeight="false" outlineLevel="0" collapsed="false">
      <c r="A305" s="7"/>
      <c r="B305" s="7"/>
      <c r="C305" s="46"/>
      <c r="D305" s="7"/>
      <c r="E305" s="47"/>
      <c r="F305" s="46"/>
      <c r="G305" s="46"/>
      <c r="H305" s="7"/>
      <c r="I305" s="7"/>
      <c r="J305" s="47"/>
      <c r="K305" s="47"/>
      <c r="L305" s="47"/>
      <c r="M305" s="47"/>
      <c r="N305" s="10"/>
      <c r="O305" s="47"/>
      <c r="P305" s="47"/>
      <c r="Q305" s="47"/>
      <c r="R305" s="48" t="str">
        <f aca="false">IF(Q305="","",IF(Q305=0,"below 5:00",IF(Q305&gt;=66,"16:00 or above",INT((60+2*Q305)/12)&amp;":"&amp;TEXT(MOD(60+2*Q305,12),"00"))))</f>
        <v/>
      </c>
      <c r="S305" s="47"/>
      <c r="T305" s="47"/>
      <c r="U305" s="47"/>
      <c r="V305" s="47"/>
      <c r="W305" s="47"/>
      <c r="X305" s="47"/>
      <c r="Y305" s="47"/>
      <c r="Z305" s="47"/>
      <c r="AA305" s="47"/>
      <c r="AB305" s="47"/>
      <c r="AC305" s="47"/>
      <c r="AD305" s="47"/>
      <c r="AE305" s="47"/>
      <c r="AF305" s="47"/>
      <c r="AG305" s="47"/>
      <c r="AH305" s="47"/>
      <c r="AI305" s="46"/>
      <c r="AJ305" s="46"/>
      <c r="AK305" s="46"/>
      <c r="AL305" s="7"/>
      <c r="AM305" s="49" t="str">
        <f aca="false">IF(OR(C305="",G305=""),"",IFERROR(DATEDIF(C305,G305,"m"),""))</f>
        <v/>
      </c>
      <c r="AN305" s="49" t="str">
        <f aca="false">IF(OR(Q305="",AM305=""),"",60+2*Q305-AM305)</f>
        <v/>
      </c>
      <c r="AO305" s="49" t="str">
        <f aca="false">IF(OR(G305="",AJ305=""),"",AJ305-G305)</f>
        <v/>
      </c>
      <c r="AP305" s="50" t="str">
        <f aca="false">IF(AND(A305="",B305=""),"",IF(J305="","Status needed",IF(OR(J305="Applied",J305="Visit booked",J305="Withdrawn"),"OK",IF(G305="","Date assessed needed",IF(C305="","Date of birth needed",IF(COUNTA(L305,M305,P305,U305,V305,X305,AB305)&lt;7,"Band missing",IF(AND(OR(J305="Decision confirmed",J305="Family told",J305="Enrolled"),AG305=""),"Recommendation needed",IF(AND(OR(J305="Family told",J305="Enrolled"),AJ305=""),"Date family told needed","OK"))))))))</f>
        <v/>
      </c>
    </row>
  </sheetData>
  <autoFilter ref="A5:AP305"/>
  <mergeCells count="7">
    <mergeCell ref="A4:E4"/>
    <mergeCell ref="F4:J4"/>
    <mergeCell ref="K4:V4"/>
    <mergeCell ref="W4:AB4"/>
    <mergeCell ref="AC4:AF4"/>
    <mergeCell ref="AG4:AL4"/>
    <mergeCell ref="AM4:AP4"/>
  </mergeCells>
  <conditionalFormatting sqref="L6:L305">
    <cfRule type="cellIs" priority="2" operator="equal" aboveAverage="0" equalAverage="0" bottom="0" percent="0" rank="0" text="" dxfId="13">
      <formula>"A"</formula>
    </cfRule>
    <cfRule type="cellIs" priority="3" operator="equal" aboveAverage="0" equalAverage="0" bottom="0" percent="0" rank="0" text="" dxfId="14">
      <formula>"B"</formula>
    </cfRule>
    <cfRule type="cellIs" priority="4" operator="equal" aboveAverage="0" equalAverage="0" bottom="0" percent="0" rank="0" text="" dxfId="15">
      <formula>"C"</formula>
    </cfRule>
    <cfRule type="cellIs" priority="5" operator="equal" aboveAverage="0" equalAverage="0" bottom="0" percent="0" rank="0" text="" dxfId="16">
      <formula>"D"</formula>
    </cfRule>
    <cfRule type="cellIs" priority="6" operator="equal" aboveAverage="0" equalAverage="0" bottom="0" percent="0" rank="0" text="" dxfId="17">
      <formula>"E"</formula>
    </cfRule>
  </conditionalFormatting>
  <conditionalFormatting sqref="M6:M305">
    <cfRule type="cellIs" priority="7" operator="equal" aboveAverage="0" equalAverage="0" bottom="0" percent="0" rank="0" text="" dxfId="13">
      <formula>"A"</formula>
    </cfRule>
    <cfRule type="cellIs" priority="8" operator="equal" aboveAverage="0" equalAverage="0" bottom="0" percent="0" rank="0" text="" dxfId="14">
      <formula>"B"</formula>
    </cfRule>
    <cfRule type="cellIs" priority="9" operator="equal" aboveAverage="0" equalAverage="0" bottom="0" percent="0" rank="0" text="" dxfId="15">
      <formula>"C"</formula>
    </cfRule>
    <cfRule type="cellIs" priority="10" operator="equal" aboveAverage="0" equalAverage="0" bottom="0" percent="0" rank="0" text="" dxfId="16">
      <formula>"D"</formula>
    </cfRule>
    <cfRule type="cellIs" priority="11" operator="equal" aboveAverage="0" equalAverage="0" bottom="0" percent="0" rank="0" text="" dxfId="17">
      <formula>"E"</formula>
    </cfRule>
  </conditionalFormatting>
  <conditionalFormatting sqref="P6:P305">
    <cfRule type="cellIs" priority="12" operator="equal" aboveAverage="0" equalAverage="0" bottom="0" percent="0" rank="0" text="" dxfId="13">
      <formula>"A"</formula>
    </cfRule>
    <cfRule type="cellIs" priority="13" operator="equal" aboveAverage="0" equalAverage="0" bottom="0" percent="0" rank="0" text="" dxfId="14">
      <formula>"B"</formula>
    </cfRule>
    <cfRule type="cellIs" priority="14" operator="equal" aboveAverage="0" equalAverage="0" bottom="0" percent="0" rank="0" text="" dxfId="15">
      <formula>"C"</formula>
    </cfRule>
    <cfRule type="cellIs" priority="15" operator="equal" aboveAverage="0" equalAverage="0" bottom="0" percent="0" rank="0" text="" dxfId="16">
      <formula>"D"</formula>
    </cfRule>
    <cfRule type="cellIs" priority="16" operator="equal" aboveAverage="0" equalAverage="0" bottom="0" percent="0" rank="0" text="" dxfId="17">
      <formula>"E"</formula>
    </cfRule>
  </conditionalFormatting>
  <conditionalFormatting sqref="S6:S305">
    <cfRule type="cellIs" priority="17" operator="equal" aboveAverage="0" equalAverage="0" bottom="0" percent="0" rank="0" text="" dxfId="13">
      <formula>"A"</formula>
    </cfRule>
    <cfRule type="cellIs" priority="18" operator="equal" aboveAverage="0" equalAverage="0" bottom="0" percent="0" rank="0" text="" dxfId="14">
      <formula>"B"</formula>
    </cfRule>
    <cfRule type="cellIs" priority="19" operator="equal" aboveAverage="0" equalAverage="0" bottom="0" percent="0" rank="0" text="" dxfId="15">
      <formula>"C"</formula>
    </cfRule>
    <cfRule type="cellIs" priority="20" operator="equal" aboveAverage="0" equalAverage="0" bottom="0" percent="0" rank="0" text="" dxfId="16">
      <formula>"D"</formula>
    </cfRule>
    <cfRule type="cellIs" priority="21" operator="equal" aboveAverage="0" equalAverage="0" bottom="0" percent="0" rank="0" text="" dxfId="17">
      <formula>"E"</formula>
    </cfRule>
  </conditionalFormatting>
  <conditionalFormatting sqref="U6:U305">
    <cfRule type="cellIs" priority="22" operator="equal" aboveAverage="0" equalAverage="0" bottom="0" percent="0" rank="0" text="" dxfId="13">
      <formula>"A"</formula>
    </cfRule>
    <cfRule type="cellIs" priority="23" operator="equal" aboveAverage="0" equalAverage="0" bottom="0" percent="0" rank="0" text="" dxfId="14">
      <formula>"B"</formula>
    </cfRule>
    <cfRule type="cellIs" priority="24" operator="equal" aboveAverage="0" equalAverage="0" bottom="0" percent="0" rank="0" text="" dxfId="15">
      <formula>"C"</formula>
    </cfRule>
    <cfRule type="cellIs" priority="25" operator="equal" aboveAverage="0" equalAverage="0" bottom="0" percent="0" rank="0" text="" dxfId="16">
      <formula>"D"</formula>
    </cfRule>
    <cfRule type="cellIs" priority="26" operator="equal" aboveAverage="0" equalAverage="0" bottom="0" percent="0" rank="0" text="" dxfId="17">
      <formula>"E"</formula>
    </cfRule>
  </conditionalFormatting>
  <conditionalFormatting sqref="V6:V305">
    <cfRule type="cellIs" priority="27" operator="equal" aboveAverage="0" equalAverage="0" bottom="0" percent="0" rank="0" text="" dxfId="13">
      <formula>"A"</formula>
    </cfRule>
    <cfRule type="cellIs" priority="28" operator="equal" aboveAverage="0" equalAverage="0" bottom="0" percent="0" rank="0" text="" dxfId="14">
      <formula>"B"</formula>
    </cfRule>
    <cfRule type="cellIs" priority="29" operator="equal" aboveAverage="0" equalAverage="0" bottom="0" percent="0" rank="0" text="" dxfId="15">
      <formula>"C"</formula>
    </cfRule>
    <cfRule type="cellIs" priority="30" operator="equal" aboveAverage="0" equalAverage="0" bottom="0" percent="0" rank="0" text="" dxfId="16">
      <formula>"D"</formula>
    </cfRule>
    <cfRule type="cellIs" priority="31" operator="equal" aboveAverage="0" equalAverage="0" bottom="0" percent="0" rank="0" text="" dxfId="17">
      <formula>"E"</formula>
    </cfRule>
  </conditionalFormatting>
  <conditionalFormatting sqref="X6:X305">
    <cfRule type="cellIs" priority="32" operator="equal" aboveAverage="0" equalAverage="0" bottom="0" percent="0" rank="0" text="" dxfId="13">
      <formula>1</formula>
    </cfRule>
    <cfRule type="cellIs" priority="33" operator="equal" aboveAverage="0" equalAverage="0" bottom="0" percent="0" rank="0" text="" dxfId="14">
      <formula>2</formula>
    </cfRule>
    <cfRule type="cellIs" priority="34" operator="equal" aboveAverage="0" equalAverage="0" bottom="0" percent="0" rank="0" text="" dxfId="16">
      <formula>3</formula>
    </cfRule>
    <cfRule type="cellIs" priority="35" operator="equal" aboveAverage="0" equalAverage="0" bottom="0" percent="0" rank="0" text="" dxfId="17">
      <formula>4</formula>
    </cfRule>
  </conditionalFormatting>
  <conditionalFormatting sqref="AB6:AB305">
    <cfRule type="cellIs" priority="36" operator="equal" aboveAverage="0" equalAverage="0" bottom="0" percent="0" rank="0" text="" dxfId="13">
      <formula>1</formula>
    </cfRule>
    <cfRule type="cellIs" priority="37" operator="equal" aboveAverage="0" equalAverage="0" bottom="0" percent="0" rank="0" text="" dxfId="14">
      <formula>2</formula>
    </cfRule>
    <cfRule type="cellIs" priority="38" operator="equal" aboveAverage="0" equalAverage="0" bottom="0" percent="0" rank="0" text="" dxfId="16">
      <formula>3</formula>
    </cfRule>
    <cfRule type="cellIs" priority="39" operator="equal" aboveAverage="0" equalAverage="0" bottom="0" percent="0" rank="0" text="" dxfId="17">
      <formula>4</formula>
    </cfRule>
  </conditionalFormatting>
  <conditionalFormatting sqref="AC6:AC305">
    <cfRule type="cellIs" priority="40" operator="equal" aboveAverage="0" equalAverage="0" bottom="0" percent="0" rank="0" text="" dxfId="13">
      <formula>1</formula>
    </cfRule>
    <cfRule type="cellIs" priority="41" operator="equal" aboveAverage="0" equalAverage="0" bottom="0" percent="0" rank="0" text="" dxfId="14">
      <formula>2</formula>
    </cfRule>
  </conditionalFormatting>
  <conditionalFormatting sqref="AD6:AD305">
    <cfRule type="cellIs" priority="42" operator="equal" aboveAverage="0" equalAverage="0" bottom="0" percent="0" rank="0" text="" dxfId="14">
      <formula>"Y"</formula>
    </cfRule>
  </conditionalFormatting>
  <conditionalFormatting sqref="AE6:AE305">
    <cfRule type="cellIs" priority="43" operator="equal" aboveAverage="0" equalAverage="0" bottom="0" percent="0" rank="0" text="" dxfId="14">
      <formula>"Y"</formula>
    </cfRule>
  </conditionalFormatting>
  <conditionalFormatting sqref="AF6:AF305">
    <cfRule type="cellIs" priority="44" operator="equal" aboveAverage="0" equalAverage="0" bottom="0" percent="0" rank="0" text="" dxfId="14">
      <formula>"Y"</formula>
    </cfRule>
  </conditionalFormatting>
  <conditionalFormatting sqref="Z6:Z305">
    <cfRule type="cellIs" priority="45" operator="equal" aboveAverage="0" equalAverage="0" bottom="0" percent="0" rank="0" text="" dxfId="14">
      <formula>"Yes"</formula>
    </cfRule>
  </conditionalFormatting>
  <conditionalFormatting sqref="AN6:AN305">
    <cfRule type="cellIs" priority="46" operator="lessThanOrEqual" aboveAverage="0" equalAverage="0" bottom="0" percent="0" rank="0" text="" dxfId="14">
      <formula>-12</formula>
    </cfRule>
  </conditionalFormatting>
  <conditionalFormatting sqref="J6:J305">
    <cfRule type="cellIs" priority="47" operator="equal" aboveAverage="0" equalAverage="0" bottom="0" percent="0" rank="0" text="" dxfId="18">
      <formula>"Withdrawn"</formula>
    </cfRule>
  </conditionalFormatting>
  <conditionalFormatting sqref="AP6:AP305">
    <cfRule type="expression" priority="48" aboveAverage="0" equalAverage="0" bottom="0" percent="0" rank="0" text="" dxfId="19">
      <formula>AND(AP6&lt;&gt;"",AP6&lt;&gt;"OK")</formula>
    </cfRule>
    <cfRule type="expression" priority="49" aboveAverage="0" equalAverage="0" bottom="0" percent="0" rank="0" text="" dxfId="20">
      <formula>AP6="OK"</formula>
    </cfRule>
  </conditionalFormatting>
  <dataValidations count="25">
    <dataValidation allowBlank="true" error="Enter a date, day first, for example 14/10/2026." errorStyle="stop" errorTitle="Date" operator="between" showDropDown="false" showErrorMessage="true" showInputMessage="false" sqref="C6:C305 F6:G305 AI6:AK305" type="date">
      <formula1>36526</formula1>
      <formula2>73050</formula2>
    </dataValidation>
    <dataValidation allowBlank="true" error="Enter the lowest strand rating on the Interview sheet: 1, 2, 3 or 4." errorStyle="stop" errorTitle="Rating" operator="between" showDropDown="false" showErrorMessage="true" showInputMessage="false" sqref="AC6:AC305" type="whole">
      <formula1>1</formula1>
      <formula2>4</formula2>
    </dataValidation>
    <dataValidation allowBlank="true" error="Enter Y or N, or leave blank." errorStyle="stop" errorTitle="Y or N" operator="between" showDropDown="false" showErrorMessage="true" showInputMessage="false" sqref="E6:E305" type="list">
      <formula1>"Y,N"</formula1>
      <formula2>0</formula2>
    </dataValidation>
    <dataValidation allowBlank="true" error="Choose a status from the list." errorStyle="stop" errorTitle="Status" operator="between" showDropDown="false" showErrorMessage="true" showInputMessage="false" sqref="J6:J305" type="list">
      <formula1>Lists!$A$2:$A$8</formula1>
      <formula2>0</formula2>
    </dataValidation>
    <dataValidation allowBlank="true" error="Enter a whole number from 0 to the maximum shown in row 3 of this column." errorStyle="stop" errorTitle="Score" operator="between" showDropDown="false" showErrorMessage="true" showInputMessage="false" sqref="K6:K305" type="whole">
      <formula1>0</formula1>
      <formula2>$K$3</formula2>
    </dataValidation>
    <dataValidation allowBlank="true" error="Enter a band from the list: A, B, C, D or E." errorStyle="stop" errorTitle="Band" operator="between" showDropDown="false" showErrorMessage="true" showInputMessage="false" sqref="L6:L305" type="list">
      <formula1>"A,B,C,D,E"</formula1>
      <formula2>0</formula2>
    </dataValidation>
    <dataValidation allowBlank="true" error="Enter a band from the list: A, B, C, D or E." errorStyle="stop" errorTitle="Band" operator="between" showDropDown="false" showErrorMessage="true" showInputMessage="false" sqref="M6:M305" type="list">
      <formula1>"A,B,C,D,E"</formula1>
      <formula2>0</formula2>
    </dataValidation>
    <dataValidation allowBlank="true" error="Enter a whole number from 0 to the maximum shown in row 3 of this column." errorStyle="stop" errorTitle="Score" operator="between" showDropDown="false" showErrorMessage="true" showInputMessage="false" sqref="O6:O305" type="whole">
      <formula1>0</formula1>
      <formula2>$O$3</formula2>
    </dataValidation>
    <dataValidation allowBlank="true" error="Enter a band from the list: A, B, C, D or E." errorStyle="stop" errorTitle="Band" operator="between" showDropDown="false" showErrorMessage="true" showInputMessage="false" sqref="P6:P305" type="list">
      <formula1>"A,B,C,D,E"</formula1>
      <formula2>0</formula2>
    </dataValidation>
    <dataValidation allowBlank="true" error="Enter a whole number from 0 to the maximum shown in row 3 of this column." errorStyle="stop" errorTitle="Score" operator="between" showDropDown="false" showErrorMessage="true" showInputMessage="false" sqref="Q6:Q305" type="whole">
      <formula1>0</formula1>
      <formula2>$Q$3</formula2>
    </dataValidation>
    <dataValidation allowBlank="true" error="Enter a band from the list: A, B, C, D or E." errorStyle="stop" errorTitle="Band" operator="between" showDropDown="false" showErrorMessage="true" showInputMessage="false" sqref="S6:S305" type="list">
      <formula1>"A,B,C,D,E"</formula1>
      <formula2>0</formula2>
    </dataValidation>
    <dataValidation allowBlank="true" error="Enter a whole number from 0 to the maximum shown in row 3 of this column." errorStyle="stop" errorTitle="Score" operator="between" showDropDown="false" showErrorMessage="true" showInputMessage="false" sqref="T6:T305" type="whole">
      <formula1>0</formula1>
      <formula2>$T$3</formula2>
    </dataValidation>
    <dataValidation allowBlank="true" error="Enter a band from the list: A, B, C, D or E." errorStyle="stop" errorTitle="Band" operator="between" showDropDown="false" showErrorMessage="true" showInputMessage="false" sqref="U6:U305" type="list">
      <formula1>"A,B,C,D,E"</formula1>
      <formula2>0</formula2>
    </dataValidation>
    <dataValidation allowBlank="true" error="Enter a band from the list: A, B, C, D or E." errorStyle="stop" errorTitle="Band" operator="between" showDropDown="false" showErrorMessage="true" showInputMessage="false" sqref="V6:V305" type="list">
      <formula1>"A,B,C,D,E"</formula1>
      <formula2>0</formula2>
    </dataValidation>
    <dataValidation allowBlank="true" error="Enter a whole number from 0 to the maximum shown in row 3 of this column." errorStyle="stop" errorTitle="Score" operator="between" showDropDown="false" showErrorMessage="true" showInputMessage="false" sqref="W6:W305" type="whole">
      <formula1>0</formula1>
      <formula2>$W$3</formula2>
    </dataValidation>
    <dataValidation allowBlank="true" error="Enter a band from the list: 1, 2, 3 or 4." errorStyle="stop" errorTitle="Band" operator="between" showDropDown="false" showErrorMessage="true" showInputMessage="false" sqref="X6:X305" type="list">
      <formula1>"1,2,3,4"</formula1>
      <formula2>0</formula2>
    </dataValidation>
    <dataValidation allowBlank="true" error="Enter a whole number from 0 to the maximum shown in row 3 of this column." errorStyle="stop" errorTitle="Score" operator="between" showDropDown="false" showErrorMessage="true" showInputMessage="false" sqref="Y6:Y305" type="whole">
      <formula1>0</formula1>
      <formula2>$Y$3</formula2>
    </dataValidation>
    <dataValidation allowBlank="true" error="Choose Yes, No or Unsure." errorStyle="stop" errorTitle="English barrier in maths" operator="between" showDropDown="false" showErrorMessage="true" showInputMessage="false" sqref="Z6:Z305" type="list">
      <formula1>Lists!$E$2:$E$4</formula1>
      <formula2>0</formula2>
    </dataValidation>
    <dataValidation allowBlank="true" error="Enter a whole number from 0 to the maximum shown in row 3 of this column." errorStyle="stop" errorTitle="Score" operator="between" showDropDown="false" showErrorMessage="true" showInputMessage="false" sqref="AA6:AA305" type="whole">
      <formula1>0</formula1>
      <formula2>$AA$3</formula2>
    </dataValidation>
    <dataValidation allowBlank="true" error="Enter a band from the list: 1, 2, 3 or 4." errorStyle="stop" errorTitle="Band" operator="between" showDropDown="false" showErrorMessage="true" showInputMessage="false" sqref="AB6:AB305" type="list">
      <formula1>"1,2,3,4"</formula1>
      <formula2>0</formula2>
    </dataValidation>
    <dataValidation allowBlank="true" error="Enter Y or N, or leave blank." errorStyle="stop" errorTitle="Y or N" operator="between" showDropDown="false" showErrorMessage="true" showInputMessage="false" sqref="AD6:AD305" type="list">
      <formula1>"Y,N"</formula1>
      <formula2>0</formula2>
    </dataValidation>
    <dataValidation allowBlank="true" error="Enter Y or N, or leave blank." errorStyle="stop" errorTitle="Y or N" operator="between" showDropDown="false" showErrorMessage="true" showInputMessage="false" sqref="AE6:AE305" type="list">
      <formula1>"Y,N"</formula1>
      <formula2>0</formula2>
    </dataValidation>
    <dataValidation allowBlank="true" error="Enter Y or N, or leave blank." errorStyle="stop" errorTitle="Y or N" operator="between" showDropDown="false" showErrorMessage="true" showInputMessage="false" sqref="AF6:AF305" type="list">
      <formula1>"Y,N"</formula1>
      <formula2>0</formula2>
    </dataValidation>
    <dataValidation allowBlank="true" error="Choose a recommendation from the list." errorStyle="stop" errorTitle="Recommendation" operator="between" showDropDown="false" showErrorMessage="true" showInputMessage="false" sqref="AG6:AG305" type="list">
      <formula1>Lists!$B$2:$B$6</formula1>
      <formula2>0</formula2>
    </dataValidation>
    <dataValidation allowBlank="true" error="Choose a support level from the list." errorStyle="stop" errorTitle="English support level" operator="between" showDropDown="false" showErrorMessage="true" showInputMessage="false" sqref="AH6:AH305" type="list">
      <formula1>Lists!$C$2:$C$5</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5" min="1" style="0" width="36"/>
  </cols>
  <sheetData>
    <row r="1" customFormat="false" ht="15" hidden="false" customHeight="false" outlineLevel="0" collapsed="false">
      <c r="A1" s="51" t="s">
        <v>86</v>
      </c>
      <c r="B1" s="51" t="s">
        <v>48</v>
      </c>
      <c r="C1" s="51" t="s">
        <v>156</v>
      </c>
      <c r="D1" s="51" t="s">
        <v>491</v>
      </c>
      <c r="E1" s="51" t="s">
        <v>492</v>
      </c>
    </row>
    <row r="2" customFormat="false" ht="15" hidden="false" customHeight="false" outlineLevel="0" collapsed="false">
      <c r="A2" s="52" t="s">
        <v>27</v>
      </c>
      <c r="B2" s="52" t="s">
        <v>229</v>
      </c>
      <c r="C2" s="52" t="s">
        <v>251</v>
      </c>
      <c r="D2" s="52" t="s">
        <v>308</v>
      </c>
      <c r="E2" s="52" t="s">
        <v>382</v>
      </c>
    </row>
    <row r="3" customFormat="false" ht="15" hidden="false" customHeight="false" outlineLevel="0" collapsed="false">
      <c r="A3" s="52" t="s">
        <v>29</v>
      </c>
      <c r="B3" s="52" t="s">
        <v>153</v>
      </c>
      <c r="C3" s="52" t="s">
        <v>252</v>
      </c>
      <c r="D3" s="52" t="s">
        <v>300</v>
      </c>
      <c r="E3" s="52" t="s">
        <v>137</v>
      </c>
    </row>
    <row r="4" customFormat="false" ht="15" hidden="false" customHeight="false" outlineLevel="0" collapsed="false">
      <c r="A4" s="52" t="s">
        <v>31</v>
      </c>
      <c r="B4" s="52" t="s">
        <v>230</v>
      </c>
      <c r="C4" s="52" t="s">
        <v>157</v>
      </c>
      <c r="D4" s="52" t="s">
        <v>304</v>
      </c>
      <c r="E4" s="52" t="s">
        <v>426</v>
      </c>
    </row>
    <row r="5" customFormat="false" ht="15" hidden="false" customHeight="false" outlineLevel="0" collapsed="false">
      <c r="A5" s="52" t="s">
        <v>33</v>
      </c>
      <c r="B5" s="52" t="s">
        <v>231</v>
      </c>
      <c r="C5" s="52" t="s">
        <v>253</v>
      </c>
      <c r="D5" s="52" t="s">
        <v>99</v>
      </c>
      <c r="E5" s="1"/>
    </row>
    <row r="6" customFormat="false" ht="15" hidden="false" customHeight="false" outlineLevel="0" collapsed="false">
      <c r="A6" s="52" t="s">
        <v>35</v>
      </c>
      <c r="B6" s="52" t="s">
        <v>232</v>
      </c>
      <c r="C6" s="1"/>
      <c r="D6" s="52" t="s">
        <v>324</v>
      </c>
      <c r="E6" s="1"/>
    </row>
    <row r="7" customFormat="false" ht="15" hidden="false" customHeight="false" outlineLevel="0" collapsed="false">
      <c r="A7" s="52" t="s">
        <v>37</v>
      </c>
      <c r="B7" s="1"/>
      <c r="C7" s="1"/>
      <c r="D7" s="52" t="s">
        <v>340</v>
      </c>
      <c r="E7" s="1"/>
    </row>
    <row r="8" customFormat="false" ht="15" hidden="false" customHeight="false" outlineLevel="0" collapsed="false">
      <c r="A8" s="52" t="s">
        <v>39</v>
      </c>
      <c r="B8" s="1"/>
      <c r="C8" s="1"/>
      <c r="D8" s="52" t="s">
        <v>493</v>
      </c>
      <c r="E8" s="1"/>
    </row>
    <row r="9" customFormat="false" ht="15" hidden="false" customHeight="false" outlineLevel="0" collapsed="false">
      <c r="A9" s="1"/>
      <c r="B9" s="1"/>
      <c r="C9" s="1"/>
      <c r="D9" s="52" t="s">
        <v>494</v>
      </c>
      <c r="E9" s="1"/>
    </row>
    <row r="10" customFormat="false" ht="15" hidden="false" customHeight="false" outlineLevel="0" collapsed="false">
      <c r="A10" s="1"/>
      <c r="B10" s="1"/>
      <c r="C10" s="1"/>
      <c r="D10" s="52" t="s">
        <v>495</v>
      </c>
      <c r="E10" s="1"/>
    </row>
    <row r="11" customFormat="false" ht="15" hidden="false" customHeight="false" outlineLevel="0" collapsed="false">
      <c r="A11" s="1"/>
      <c r="B11" s="1"/>
      <c r="C11" s="1"/>
      <c r="D11" s="1"/>
      <c r="E11" s="1"/>
    </row>
    <row r="12" customFormat="false" ht="15" hidden="false" customHeight="false" outlineLevel="0" collapsed="false">
      <c r="A12" s="53" t="s">
        <v>496</v>
      </c>
      <c r="B12" s="1"/>
      <c r="C12" s="1"/>
      <c r="D12" s="1"/>
      <c r="E12" s="1"/>
    </row>
  </sheetData>
  <sheetProtection sheet="tru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2026-10-27T06:24:48Z</dcterms:created>
  <dc:creator>Admissions</dc:creator>
  <dc:description/>
  <dc:language>en-US</dc:language>
  <cp:lastModifiedBy/>
  <dcterms:modified xsi:type="dcterms:W3CDTF">2026-10-27T06:25:03Z</dcterms:modified>
  <cp:revision>1</cp:revision>
  <dc:subject/>
  <dc:title>Admissions tracker (DEMO)</dc:title>
</cp:coreProperties>
</file>

<file path=docProps/custom.xml><?xml version="1.0" encoding="utf-8"?>
<Properties xmlns="http://schemas.openxmlformats.org/officeDocument/2006/custom-properties" xmlns:vt="http://schemas.openxmlformats.org/officeDocument/2006/docPropsVTypes"/>
</file>